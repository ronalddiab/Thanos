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 activeTab="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'13'!$A$1:$P$173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'22'!$A$1:$J$173</definedName>
    <definedName name="_xlnm.Print_Area" localSheetId="28">'23'!$A$1:$J$173</definedName>
    <definedName name="_xlnm.Print_Area" localSheetId="29">'24'!$A$1:$M$172</definedName>
    <definedName name="_xlnm.Print_Area" localSheetId="30">'25'!$A$1:$J$174</definedName>
    <definedName name="_xlnm.Print_Area" localSheetId="31">'26'!$A$1:$J$173</definedName>
    <definedName name="_xlnm.Print_Area" localSheetId="32">'27'!$A$1:$J$173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'4'!$A$1:$J$154</definedName>
    <definedName name="_xlnm.Print_Area" localSheetId="11">'6'!$A$1:$J$154</definedName>
    <definedName name="_xlnm.Print_Area" localSheetId="12">'7'!$A$1:$J$154</definedName>
    <definedName name="_xlnm.Print_Area" localSheetId="13">'8'!$A$1:$J$172</definedName>
    <definedName name="_xlnm.Print_Area" localSheetId="14">'9'!$A$1:$J$172</definedName>
  </definedNames>
  <calcPr calcId="124519"/>
</workbook>
</file>

<file path=xl/calcChain.xml><?xml version="1.0" encoding="utf-8"?>
<calcChain xmlns="http://schemas.openxmlformats.org/spreadsheetml/2006/main">
  <c r="N9" i="31"/>
  <c r="O58"/>
  <c r="O7" l="1"/>
  <c r="G34" i="48"/>
  <c r="F34"/>
  <c r="E32"/>
  <c r="G32"/>
  <c r="AZ34" i="1"/>
  <c r="AS34"/>
  <c r="E162" i="43"/>
  <c r="E163"/>
  <c r="E164"/>
  <c r="E165"/>
  <c r="E166"/>
  <c r="E167"/>
  <c r="E168"/>
  <c r="E169"/>
  <c r="E170"/>
  <c r="E171"/>
  <c r="E172"/>
  <c r="E8"/>
  <c r="E9"/>
  <c r="E10"/>
  <c r="E11"/>
  <c r="E12"/>
  <c r="G135" i="27"/>
  <c r="E98"/>
  <c r="E135"/>
  <c r="E7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8"/>
  <c r="E9"/>
  <c r="E10"/>
  <c r="E11"/>
  <c r="E12"/>
  <c r="E91" i="9"/>
  <c r="G91" s="1"/>
  <c r="H91" s="1"/>
  <c r="F133" i="7"/>
  <c r="E133"/>
  <c r="E134"/>
  <c r="N133" i="9"/>
  <c r="E121" i="33"/>
  <c r="E120"/>
  <c r="E119"/>
  <c r="E87" i="4" l="1"/>
  <c r="E88"/>
  <c r="E89"/>
  <c r="E90"/>
  <c r="E91"/>
  <c r="G91" s="1"/>
  <c r="E162"/>
  <c r="E163"/>
  <c r="E164"/>
  <c r="E165"/>
  <c r="E166"/>
  <c r="E167"/>
  <c r="E168"/>
  <c r="E169"/>
  <c r="E170"/>
  <c r="E171"/>
  <c r="E172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E91" i="12"/>
  <c r="G91" s="1"/>
  <c r="H91" s="1"/>
  <c r="E91" i="13"/>
  <c r="G91" s="1"/>
  <c r="H91" s="1"/>
  <c r="E91" i="14"/>
  <c r="G91" s="1"/>
  <c r="H91" s="1"/>
  <c r="E91" i="15"/>
  <c r="G91" s="1"/>
  <c r="H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H91" s="1"/>
  <c r="E91" i="25"/>
  <c r="G91" s="1"/>
  <c r="H91" s="1"/>
  <c r="E91" i="40"/>
  <c r="G91" s="1"/>
  <c r="H91" s="1"/>
  <c r="E91" i="27"/>
  <c r="G91" s="1"/>
  <c r="H91" s="1"/>
  <c r="E91" i="28"/>
  <c r="G91" s="1"/>
  <c r="H91" s="1"/>
  <c r="E91" i="29"/>
  <c r="G91" s="1"/>
  <c r="H91" s="1"/>
  <c r="E91" i="30"/>
  <c r="G91" s="1"/>
  <c r="H91" s="1"/>
  <c r="E91" i="43"/>
  <c r="G91" s="1"/>
  <c r="E91" i="31"/>
  <c r="G91" s="1"/>
  <c r="H91" s="1"/>
  <c r="J91" s="1"/>
  <c r="E91" i="3"/>
  <c r="G91" s="1"/>
  <c r="E172" i="2"/>
  <c r="E171"/>
  <c r="E170"/>
  <c r="E169"/>
  <c r="E168"/>
  <c r="E167"/>
  <c r="E166"/>
  <c r="E165"/>
  <c r="B32" i="47"/>
  <c r="K32"/>
  <c r="L32"/>
  <c r="E31" i="48"/>
  <c r="G31"/>
  <c r="E132" i="43"/>
  <c r="E133"/>
  <c r="E134"/>
  <c r="E135"/>
  <c r="E136"/>
  <c r="E137"/>
  <c r="E138"/>
  <c r="E139"/>
  <c r="E140"/>
  <c r="E141"/>
  <c r="H91" i="8" l="1"/>
  <c r="J91" s="1"/>
  <c r="H91" i="22"/>
  <c r="J91" s="1"/>
  <c r="E10" i="40"/>
  <c r="E135" i="25"/>
  <c r="E134"/>
  <c r="G174" i="21"/>
  <c r="G174" i="20"/>
  <c r="E45" i="11"/>
  <c r="E46"/>
  <c r="E105"/>
  <c r="G2" i="48"/>
  <c r="E93" i="9"/>
  <c r="E83"/>
  <c r="H114" i="3"/>
  <c r="H114" i="4" s="1"/>
  <c r="H114" i="5" s="1"/>
  <c r="H109" i="3"/>
  <c r="H109" i="4" s="1"/>
  <c r="H109" i="5" s="1"/>
  <c r="H91" i="23" l="1"/>
  <c r="J91" s="1"/>
  <c r="E77" i="7"/>
  <c r="E12" i="9"/>
  <c r="E11"/>
  <c r="E12" i="8"/>
  <c r="E11"/>
  <c r="E11" i="7"/>
  <c r="E12"/>
  <c r="E12" i="3"/>
  <c r="E11"/>
  <c r="E23"/>
  <c r="E22"/>
  <c r="E162" i="5"/>
  <c r="E163"/>
  <c r="E164"/>
  <c r="E166"/>
  <c r="E167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5"/>
  <c r="E8"/>
  <c r="E9"/>
  <c r="E10"/>
  <c r="E11"/>
  <c r="E12"/>
  <c r="E7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5"/>
  <c r="E8"/>
  <c r="E9"/>
  <c r="E10"/>
  <c r="E11"/>
  <c r="E12"/>
  <c r="E7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15"/>
  <c r="E9"/>
  <c r="E10"/>
  <c r="E8"/>
  <c r="E7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73" i="25"/>
  <c r="E74"/>
  <c r="E75"/>
  <c r="E76"/>
  <c r="E77"/>
  <c r="E78"/>
  <c r="E79"/>
  <c r="E80"/>
  <c r="E81"/>
  <c r="E82"/>
  <c r="E83"/>
  <c r="E84"/>
  <c r="E8"/>
  <c r="E9"/>
  <c r="E10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8"/>
  <c r="E9"/>
  <c r="E10"/>
  <c r="F172" i="5"/>
  <c r="F171"/>
  <c r="F170"/>
  <c r="F169"/>
  <c r="F168"/>
  <c r="F167"/>
  <c r="G167" s="1"/>
  <c r="F166"/>
  <c r="G166" s="1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2" i="4"/>
  <c r="E172" i="5" s="1"/>
  <c r="F171" i="4"/>
  <c r="E171" i="5" s="1"/>
  <c r="F170" i="4"/>
  <c r="E170" i="5" s="1"/>
  <c r="F169" i="4"/>
  <c r="E169" i="5" s="1"/>
  <c r="F168" i="4"/>
  <c r="E168" i="5" s="1"/>
  <c r="G166" i="4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7"/>
  <c r="G7"/>
  <c r="F172" i="3"/>
  <c r="F171"/>
  <c r="F170"/>
  <c r="F169"/>
  <c r="F168"/>
  <c r="F167"/>
  <c r="G167" i="4" s="1"/>
  <c r="F166" i="3"/>
  <c r="F165"/>
  <c r="G164"/>
  <c r="G163"/>
  <c r="G162"/>
  <c r="G161"/>
  <c r="G141"/>
  <c r="G140"/>
  <c r="H140" s="1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7"/>
  <c r="G7"/>
  <c r="F172" i="2"/>
  <c r="F171"/>
  <c r="E171" i="3" s="1"/>
  <c r="F170" i="2"/>
  <c r="E170" i="3" s="1"/>
  <c r="F169" i="2"/>
  <c r="E169" i="3" s="1"/>
  <c r="F168" i="2"/>
  <c r="F167"/>
  <c r="F166"/>
  <c r="G165"/>
  <c r="G164"/>
  <c r="G163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G23"/>
  <c r="H23" s="1"/>
  <c r="G22"/>
  <c r="H22" s="1"/>
  <c r="J22" s="1"/>
  <c r="G19"/>
  <c r="G31" s="1"/>
  <c r="H31" s="1"/>
  <c r="J31" s="1"/>
  <c r="G18"/>
  <c r="G15"/>
  <c r="D5" i="44" s="1"/>
  <c r="H12" i="2"/>
  <c r="J12" s="1"/>
  <c r="G12"/>
  <c r="G11"/>
  <c r="H11" s="1"/>
  <c r="J11" s="1"/>
  <c r="G10"/>
  <c r="H10" s="1"/>
  <c r="J10" s="1"/>
  <c r="G9"/>
  <c r="G8"/>
  <c r="G7"/>
  <c r="G172" i="4" l="1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7" i="2"/>
  <c r="E167" i="3"/>
  <c r="G166" i="2"/>
  <c r="E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36"/>
  <c r="H36" i="4" s="1"/>
  <c r="H35" i="3"/>
  <c r="H35" i="4" s="1"/>
  <c r="H35" i="5" s="1"/>
  <c r="J35" s="1"/>
  <c r="H41" i="3"/>
  <c r="J41" s="1"/>
  <c r="H39"/>
  <c r="H39" i="4" s="1"/>
  <c r="H39" i="5" s="1"/>
  <c r="J39" s="1"/>
  <c r="H49" i="3"/>
  <c r="H38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49" i="4"/>
  <c r="H49" i="5" s="1"/>
  <c r="J49" s="1"/>
  <c r="H96" i="4"/>
  <c r="J96" s="1"/>
  <c r="H74" i="3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H8" i="3"/>
  <c r="J8" s="1"/>
  <c r="I9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G153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G166" i="3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J96"/>
  <c r="I139" i="4"/>
  <c r="I136"/>
  <c r="G13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47"/>
  <c r="H47" s="1"/>
  <c r="J47" s="1"/>
  <c r="H110"/>
  <c r="J110" s="1"/>
  <c r="G149"/>
  <c r="H149" s="1"/>
  <c r="J149" s="1"/>
  <c r="G168" i="3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G120"/>
  <c r="G102"/>
  <c r="G108"/>
  <c r="I134"/>
  <c r="G169"/>
  <c r="G129"/>
  <c r="G143"/>
  <c r="G47"/>
  <c r="G66"/>
  <c r="I137"/>
  <c r="G170"/>
  <c r="G31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J105"/>
  <c r="G108"/>
  <c r="G113"/>
  <c r="G147"/>
  <c r="G95"/>
  <c r="G59"/>
  <c r="G149"/>
  <c r="H149" s="1"/>
  <c r="I134"/>
  <c r="I141"/>
  <c r="J140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G144"/>
  <c r="H144" s="1"/>
  <c r="J144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35" i="3" l="1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J36" i="4"/>
  <c r="H36" i="5"/>
  <c r="J36" s="1"/>
  <c r="H44"/>
  <c r="J44" s="1"/>
  <c r="J44" i="4"/>
  <c r="H51" i="3"/>
  <c r="J44"/>
  <c r="J36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68" i="4"/>
  <c r="J39"/>
  <c r="H149"/>
  <c r="J149" s="1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8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134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G121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J143"/>
  <c r="G144"/>
  <c r="G60"/>
  <c r="H60" s="1"/>
  <c r="G150"/>
  <c r="J149"/>
  <c r="J113"/>
  <c r="F121"/>
  <c r="G121"/>
  <c r="G146" i="2"/>
  <c r="H146" s="1"/>
  <c r="J146" s="1"/>
  <c r="H145"/>
  <c r="J145" s="1"/>
  <c r="G32"/>
  <c r="H32" s="1"/>
  <c r="J32" s="1"/>
  <c r="J27" i="3" l="1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H149" i="5"/>
  <c r="J149" s="1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H115" i="5"/>
  <c r="J115" s="1"/>
  <c r="J126" i="4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H8" i="5"/>
  <c r="J8" s="1"/>
  <c r="I9" s="1"/>
  <c r="J8" i="4"/>
  <c r="I9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J60" i="3"/>
  <c r="I59"/>
  <c r="I60"/>
  <c r="H147" i="5" l="1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8" i="7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32"/>
  <c r="E133"/>
  <c r="E134"/>
  <c r="E135"/>
  <c r="E136"/>
  <c r="E137"/>
  <c r="E138"/>
  <c r="E139"/>
  <c r="E140"/>
  <c r="E141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5"/>
  <c r="E126"/>
  <c r="E127"/>
  <c r="E128"/>
  <c r="E132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2" i="27"/>
  <c r="E133"/>
  <c r="E134"/>
  <c r="E136"/>
  <c r="E137"/>
  <c r="E138"/>
  <c r="E139"/>
  <c r="E140"/>
  <c r="E141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2" i="12"/>
  <c r="E163"/>
  <c r="E164"/>
  <c r="E161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F171"/>
  <c r="F170"/>
  <c r="F169"/>
  <c r="F168"/>
  <c r="F167"/>
  <c r="F166"/>
  <c r="F165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5" i="9" s="1"/>
  <c r="G164" i="8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1" i="8" l="1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15" i="30" l="1"/>
  <c r="G15" s="1"/>
  <c r="D33" i="44" s="1"/>
  <c r="E90" i="28"/>
  <c r="E74" i="27"/>
  <c r="E8" i="40" l="1"/>
  <c r="E9"/>
  <c r="AP42" i="44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9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G9" i="31" l="1"/>
  <c r="E172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G164" i="12"/>
  <c r="G163"/>
  <c r="G162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F171"/>
  <c r="F170"/>
  <c r="F169"/>
  <c r="F168"/>
  <c r="F167"/>
  <c r="F166"/>
  <c r="F165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F171"/>
  <c r="F170"/>
  <c r="F169"/>
  <c r="F167"/>
  <c r="F166"/>
  <c r="F165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E166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E165" i="12" s="1"/>
  <c r="F165"/>
  <c r="L161" i="21" l="1"/>
  <c r="AD5" i="44"/>
  <c r="G18" i="7"/>
  <c r="E31" s="1"/>
  <c r="E15" i="8"/>
  <c r="E87" i="7"/>
  <c r="E88"/>
  <c r="E89"/>
  <c r="G89" s="1"/>
  <c r="E90"/>
  <c r="G90" s="1"/>
  <c r="E86"/>
  <c r="G89" i="19"/>
  <c r="G90"/>
  <c r="E86"/>
  <c r="E87" i="18"/>
  <c r="E8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7" i="8"/>
  <c r="G7" s="1"/>
  <c r="B11" i="44" s="1"/>
  <c r="E100" i="43"/>
  <c r="E101"/>
  <c r="O59" i="30"/>
  <c r="N88"/>
  <c r="E100"/>
  <c r="E99"/>
  <c r="E101"/>
  <c r="N89" i="31" l="1"/>
  <c r="H90" i="23"/>
  <c r="J90" s="1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9"/>
  <c r="E10"/>
  <c r="E107" i="28"/>
  <c r="E108"/>
  <c r="E109"/>
  <c r="E110"/>
  <c r="E111"/>
  <c r="E112"/>
  <c r="E113"/>
  <c r="E114"/>
  <c r="E115"/>
  <c r="E116"/>
  <c r="E112" i="25"/>
  <c r="E15" i="28"/>
  <c r="G15" s="1"/>
  <c r="E7" i="40"/>
  <c r="E7" i="25"/>
  <c r="G7" s="1"/>
  <c r="B28" i="44" s="1"/>
  <c r="E7" i="23"/>
  <c r="E8"/>
  <c r="E9"/>
  <c r="G9" s="1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11" i="44" l="1"/>
  <c r="AB8" i="49" s="1"/>
  <c r="AB35" i="44"/>
  <c r="AA32" i="49" s="1"/>
  <c r="AD35" i="44"/>
  <c r="D31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E8"/>
  <c r="AC37" i="44" l="1"/>
  <c r="AC32" i="49"/>
  <c r="AD37" i="44"/>
  <c r="AA37"/>
  <c r="AB37"/>
  <c r="H88" i="43"/>
  <c r="J88" s="1"/>
  <c r="Z2" i="49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15" i="20"/>
  <c r="E41" i="18"/>
  <c r="E7" i="20"/>
  <c r="E8" i="17"/>
  <c r="E9"/>
  <c r="E117" i="16"/>
  <c r="E8"/>
  <c r="G8" s="1"/>
  <c r="C19" i="44" s="1"/>
  <c r="E8" i="15"/>
  <c r="O8" i="14"/>
  <c r="O7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8"/>
  <c r="E9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9"/>
  <c r="E10"/>
  <c r="E9" i="12"/>
  <c r="G9" s="1"/>
  <c r="E10"/>
  <c r="E94"/>
  <c r="E95"/>
  <c r="E96"/>
  <c r="E97"/>
  <c r="E98"/>
  <c r="E99"/>
  <c r="E100"/>
  <c r="E101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8"/>
  <c r="C13" i="44" s="1"/>
  <c r="G10" i="10"/>
  <c r="G11"/>
  <c r="G12"/>
  <c r="E7"/>
  <c r="G7" s="1"/>
  <c r="B13" i="44" s="1"/>
  <c r="E105" i="10"/>
  <c r="G105" s="1"/>
  <c r="G106"/>
  <c r="G107"/>
  <c r="E109"/>
  <c r="E110"/>
  <c r="G110" s="1"/>
  <c r="E111"/>
  <c r="G111" s="1"/>
  <c r="E112"/>
  <c r="G112" s="1"/>
  <c r="E115"/>
  <c r="G115" s="1"/>
  <c r="E116"/>
  <c r="G116" s="1"/>
  <c r="E15"/>
  <c r="G15" s="1"/>
  <c r="D13" i="44" s="1"/>
  <c r="G9" i="10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5"/>
  <c r="G15" s="1"/>
  <c r="D12" i="44" s="1"/>
  <c r="E116" i="7"/>
  <c r="E115"/>
  <c r="E124" i="8"/>
  <c r="E116"/>
  <c r="E115"/>
  <c r="AU13" i="44" l="1"/>
  <c r="I13"/>
  <c r="H10" i="49" s="1"/>
  <c r="J13" i="44"/>
  <c r="I10" i="49" s="1"/>
  <c r="L13" i="44"/>
  <c r="K10" i="49" s="1"/>
  <c r="F13" i="44"/>
  <c r="E10" i="49" s="1"/>
  <c r="K13" i="44"/>
  <c r="J10" i="49" s="1"/>
  <c r="L10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E27" i="10"/>
  <c r="G27" s="1"/>
  <c r="G118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29"/>
  <c r="E28"/>
  <c r="G28" s="1"/>
  <c r="G13"/>
  <c r="G113"/>
  <c r="G108"/>
  <c r="G110" i="7"/>
  <c r="E106"/>
  <c r="E107"/>
  <c r="J88" l="1"/>
  <c r="H88" i="8"/>
  <c r="J88" s="1"/>
  <c r="J87" i="7"/>
  <c r="H87" i="8"/>
  <c r="J87" s="1"/>
  <c r="AT10" i="49"/>
  <c r="BB10"/>
  <c r="AS10"/>
  <c r="BA10"/>
  <c r="H86" i="7"/>
  <c r="J86" i="33"/>
  <c r="G121" i="10"/>
  <c r="F121"/>
  <c r="G150"/>
  <c r="G32"/>
  <c r="I13"/>
  <c r="G60"/>
  <c r="I60" s="1"/>
  <c r="G154"/>
  <c r="G152"/>
  <c r="G144"/>
  <c r="G148"/>
  <c r="G146"/>
  <c r="G107" i="7"/>
  <c r="G8"/>
  <c r="C10" i="44" s="1"/>
  <c r="J86" i="7" l="1"/>
  <c r="H86" i="8"/>
  <c r="J86" s="1"/>
  <c r="I59" i="10"/>
  <c r="E108" i="33"/>
  <c r="E109"/>
  <c r="E101"/>
  <c r="E97" l="1"/>
  <c r="E8"/>
  <c r="G8" s="1"/>
  <c r="C9" i="44" s="1"/>
  <c r="E29" i="43" l="1"/>
  <c r="N27" i="31" l="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D35" i="44" s="1"/>
  <c r="G10" i="31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J114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F32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28"/>
  <c r="E8" i="29" s="1"/>
  <c r="E8" i="30" s="1"/>
  <c r="E8" i="27"/>
  <c r="G8" i="24"/>
  <c r="C27" i="44" s="1"/>
  <c r="E8" i="21"/>
  <c r="E8" i="20"/>
  <c r="E8" i="18"/>
  <c r="K9" i="17"/>
  <c r="K8"/>
  <c r="K7"/>
  <c r="E15"/>
  <c r="G15" s="1"/>
  <c r="D20" i="44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50" i="13"/>
  <c r="E51"/>
  <c r="E52"/>
  <c r="E53"/>
  <c r="E54"/>
  <c r="E56"/>
  <c r="E57"/>
  <c r="E58"/>
  <c r="E7"/>
  <c r="G7" s="1"/>
  <c r="B16" i="44" s="1"/>
  <c r="G8" i="30" l="1"/>
  <c r="H32" i="1" s="1"/>
  <c r="L15" i="44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6" i="28"/>
  <c r="E105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5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G8" l="1"/>
  <c r="C33" i="44"/>
  <c r="G29" i="13"/>
  <c r="G117" i="33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7" i="33"/>
  <c r="G191" i="11"/>
  <c r="G192"/>
  <c r="G190"/>
  <c r="G186"/>
  <c r="G187"/>
  <c r="G185"/>
  <c r="G181"/>
  <c r="G182"/>
  <c r="G180"/>
  <c r="N8" i="43" l="1"/>
  <c r="E8" i="31"/>
  <c r="H33" i="1"/>
  <c r="K33" s="1"/>
  <c r="G33"/>
  <c r="C34" i="44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N8" i="31" l="1"/>
  <c r="G8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G8" i="11"/>
  <c r="C14" i="44" s="1"/>
  <c r="G8" i="9"/>
  <c r="C12" i="44" s="1"/>
  <c r="I8" i="20"/>
  <c r="I8" i="19"/>
  <c r="I8" i="18"/>
  <c r="I8" i="17"/>
  <c r="I7" i="16"/>
  <c r="I8"/>
  <c r="I8" i="14"/>
  <c r="I8" i="13"/>
  <c r="I34" i="1" l="1"/>
  <c r="G34"/>
  <c r="H34"/>
  <c r="K34" s="1"/>
  <c r="BO34" s="1"/>
  <c r="C35" i="44"/>
  <c r="E27" i="31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27"/>
  <c r="E27" i="9"/>
  <c r="G27" s="1"/>
  <c r="E19" i="8"/>
  <c r="E8"/>
  <c r="G8" s="1"/>
  <c r="C11" i="44" s="1"/>
  <c r="L34" i="1" l="1"/>
  <c r="E32" i="47"/>
  <c r="J115" i="31"/>
  <c r="H115" i="22"/>
  <c r="J115" s="1"/>
  <c r="J115" i="21"/>
  <c r="H115" i="33"/>
  <c r="G27" i="11"/>
  <c r="H11" i="1"/>
  <c r="K11" s="1"/>
  <c r="H12"/>
  <c r="K12" s="1"/>
  <c r="H13"/>
  <c r="K13" s="1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N11" i="19" l="1"/>
  <c r="C22" i="44"/>
  <c r="C37" s="1"/>
  <c r="N11" i="18"/>
  <c r="C21" i="44"/>
  <c r="H115" i="7"/>
  <c r="J115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C36" i="44" l="1"/>
  <c r="H35" i="1"/>
  <c r="H115" i="8"/>
  <c r="J115" i="7"/>
  <c r="K4" i="1"/>
  <c r="K35" s="1"/>
  <c r="G27" i="13"/>
  <c r="G27" i="30"/>
  <c r="M10" i="29"/>
  <c r="I7"/>
  <c r="J115" i="8" l="1"/>
  <c r="H115" i="9"/>
  <c r="N7" i="28"/>
  <c r="J115" i="9" l="1"/>
  <c r="H115" i="10"/>
  <c r="E9" i="28"/>
  <c r="G9" s="1"/>
  <c r="E10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3" i="17" l="1"/>
  <c r="E49" i="8" l="1"/>
  <c r="E72" l="1"/>
  <c r="E94" i="7" l="1"/>
  <c r="E7"/>
  <c r="G7" s="1"/>
  <c r="B10" i="44" s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E15"/>
  <c r="G15" s="1"/>
  <c r="E28" s="1"/>
  <c r="G28" s="1"/>
  <c r="G9"/>
  <c r="E7" i="28" l="1"/>
  <c r="G24" i="25"/>
  <c r="E29" s="1"/>
  <c r="G29" s="1"/>
  <c r="L28" i="44"/>
  <c r="K25" i="49" s="1"/>
  <c r="G173" i="25"/>
  <c r="E35" i="13"/>
  <c r="I7" i="9"/>
  <c r="E93" i="8"/>
  <c r="E94"/>
  <c r="I7"/>
  <c r="G7" i="27" l="1"/>
  <c r="B30" i="44" s="1"/>
  <c r="E7" i="29"/>
  <c r="G7" s="1"/>
  <c r="B32" i="44" s="1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D28" i="44"/>
  <c r="G10" i="25"/>
  <c r="G7" i="28" l="1"/>
  <c r="B31" i="44" s="1"/>
  <c r="G20" i="25"/>
  <c r="E28" i="44" s="1"/>
  <c r="E31" i="25"/>
  <c r="G31" s="1"/>
  <c r="G32" s="1"/>
  <c r="AA27" i="45"/>
  <c r="BF25" i="49" s="1"/>
  <c r="AR25"/>
  <c r="AP25"/>
  <c r="AM25"/>
  <c r="AA29" i="45"/>
  <c r="AO25" i="49"/>
  <c r="L25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AA5"/>
  <c r="H138" i="25"/>
  <c r="J138" s="1"/>
  <c r="AW28" i="44"/>
  <c r="AY28" s="1"/>
  <c r="AA25" i="45"/>
  <c r="BE25" i="49" s="1"/>
  <c r="AA6" i="45"/>
  <c r="G120" i="25"/>
  <c r="G119"/>
  <c r="H136"/>
  <c r="J136" s="1"/>
  <c r="M27" i="1"/>
  <c r="G25" i="47" s="1"/>
  <c r="AN28" i="44"/>
  <c r="BG25" i="49" s="1"/>
  <c r="H139" i="25"/>
  <c r="J139" s="1"/>
  <c r="G129"/>
  <c r="G151"/>
  <c r="G152" s="1"/>
  <c r="I134"/>
  <c r="G47"/>
  <c r="G145"/>
  <c r="G146" s="1"/>
  <c r="G153"/>
  <c r="G154" s="1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24" i="45" l="1"/>
  <c r="BD25" i="49" s="1"/>
  <c r="AT28" i="44"/>
  <c r="BM25" i="49" s="1"/>
  <c r="G60" i="25"/>
  <c r="G144"/>
  <c r="G148"/>
  <c r="G150"/>
  <c r="E124" i="30"/>
  <c r="E35" i="28"/>
  <c r="G35" s="1"/>
  <c r="BA28" i="44" l="1"/>
  <c r="I59" i="25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5"/>
  <c r="E10"/>
  <c r="E9"/>
  <c r="G9" s="1"/>
  <c r="I7" i="15"/>
  <c r="E36" i="13"/>
  <c r="E39"/>
  <c r="E42"/>
  <c r="E43"/>
  <c r="E44"/>
  <c r="G173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E15"/>
  <c r="G15" s="1"/>
  <c r="G10"/>
  <c r="G9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J3"/>
  <c r="I3"/>
  <c r="H3"/>
  <c r="G3"/>
  <c r="I15" i="24"/>
  <c r="E101" i="20"/>
  <c r="G101" s="1"/>
  <c r="E7" i="16"/>
  <c r="G7" s="1"/>
  <c r="B19" i="44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E172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G15"/>
  <c r="D11" i="44" s="1"/>
  <c r="E18" i="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L30" i="49" s="1"/>
  <c r="E35" i="30"/>
  <c r="G35" s="1"/>
  <c r="E24"/>
  <c r="E23"/>
  <c r="E22"/>
  <c r="G22" s="1"/>
  <c r="E19"/>
  <c r="G19" s="1"/>
  <c r="E18"/>
  <c r="E10"/>
  <c r="G10" s="1"/>
  <c r="E9"/>
  <c r="G9" s="1"/>
  <c r="E7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E131"/>
  <c r="G131" s="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5" i="29"/>
  <c r="E94"/>
  <c r="G94" s="1"/>
  <c r="AE8" i="45" s="1"/>
  <c r="AN29" i="49" s="1"/>
  <c r="E93" i="29"/>
  <c r="G93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D32" i="44" s="1"/>
  <c r="G10" i="29"/>
  <c r="G9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E128"/>
  <c r="G128" s="1"/>
  <c r="AS30" i="44" s="1"/>
  <c r="BL27" i="49" s="1"/>
  <c r="E127" i="27"/>
  <c r="G127" s="1"/>
  <c r="AR30" i="44" s="1"/>
  <c r="BK27" i="49" s="1"/>
  <c r="E126" i="27"/>
  <c r="G126" s="1"/>
  <c r="AQ30" i="44" s="1"/>
  <c r="BJ27" i="49" s="1"/>
  <c r="E125" i="27"/>
  <c r="G125" s="1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D30" i="44" s="1"/>
  <c r="E10" i="27"/>
  <c r="G10" s="1"/>
  <c r="E9"/>
  <c r="G9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E15"/>
  <c r="G15" s="1"/>
  <c r="G10"/>
  <c r="G9"/>
  <c r="G7"/>
  <c r="B29" i="44" s="1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E15"/>
  <c r="G15" s="1"/>
  <c r="D27" i="44" s="1"/>
  <c r="G10" i="24"/>
  <c r="G9"/>
  <c r="G7"/>
  <c r="B27" i="44" s="1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26" i="44" s="1"/>
  <c r="E10" i="23"/>
  <c r="G10" s="1"/>
  <c r="G7"/>
  <c r="B26" i="44" s="1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5"/>
  <c r="G15" s="1"/>
  <c r="D25" i="44" s="1"/>
  <c r="E10" i="22"/>
  <c r="G10" s="1"/>
  <c r="E9"/>
  <c r="G9" s="1"/>
  <c r="E7"/>
  <c r="G7" s="1"/>
  <c r="B25" i="44" s="1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E84" i="21"/>
  <c r="G84" s="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D24" i="44" s="1"/>
  <c r="E10" i="21"/>
  <c r="G10" s="1"/>
  <c r="E9"/>
  <c r="G9" s="1"/>
  <c r="E7"/>
  <c r="G7" s="1"/>
  <c r="B24" i="44" s="1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D23" i="44" s="1"/>
  <c r="E10" i="20"/>
  <c r="E9"/>
  <c r="G9" s="1"/>
  <c r="G7"/>
  <c r="B23" i="44" s="1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E15"/>
  <c r="G15" s="1"/>
  <c r="D22" i="44" s="1"/>
  <c r="G10" i="19"/>
  <c r="G9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E97"/>
  <c r="G97" s="1"/>
  <c r="E96"/>
  <c r="G96" s="1"/>
  <c r="T9" i="45" s="1"/>
  <c r="AO18" i="49" s="1"/>
  <c r="E95" i="18"/>
  <c r="E94"/>
  <c r="G94" s="1"/>
  <c r="T8" i="45" s="1"/>
  <c r="AN18" i="49" s="1"/>
  <c r="E93" i="18"/>
  <c r="G93" s="1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L18" i="49" s="1"/>
  <c r="E35" i="18"/>
  <c r="G35" s="1"/>
  <c r="E24"/>
  <c r="E23"/>
  <c r="E22"/>
  <c r="E19"/>
  <c r="G19" s="1"/>
  <c r="E18"/>
  <c r="E15"/>
  <c r="G15" s="1"/>
  <c r="D21" i="44" s="1"/>
  <c r="E10" i="18"/>
  <c r="G10" s="1"/>
  <c r="E9"/>
  <c r="G9" s="1"/>
  <c r="G7"/>
  <c r="B21" i="44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9"/>
  <c r="G7"/>
  <c r="B20" i="44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D19" i="44" s="1"/>
  <c r="G10" i="16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18" i="44" s="1"/>
  <c r="E10" i="15"/>
  <c r="G10" s="1"/>
  <c r="E7"/>
  <c r="G7" s="1"/>
  <c r="B18" i="44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D17" i="44" s="1"/>
  <c r="G10" i="14"/>
  <c r="E7"/>
  <c r="G7" s="1"/>
  <c r="B17" i="44" s="1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G165" s="1"/>
  <c r="BA14" i="1"/>
  <c r="E35" i="12"/>
  <c r="G35" s="1"/>
  <c r="E23"/>
  <c r="E22"/>
  <c r="G22" s="1"/>
  <c r="E19"/>
  <c r="G19" s="1"/>
  <c r="E18"/>
  <c r="E15"/>
  <c r="G15" s="1"/>
  <c r="D15" i="44" s="1"/>
  <c r="G10" i="12"/>
  <c r="G7"/>
  <c r="B15" i="44" s="1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E15"/>
  <c r="G15" s="1"/>
  <c r="D14" i="44" s="1"/>
  <c r="G9" i="11"/>
  <c r="E7"/>
  <c r="G7" s="1"/>
  <c r="B14" i="44" s="1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E58" i="9"/>
  <c r="G58" s="1"/>
  <c r="Y12" i="44" s="1"/>
  <c r="X9" i="49" s="1"/>
  <c r="E57" i="9"/>
  <c r="G57" s="1"/>
  <c r="BH11" i="1" s="1"/>
  <c r="E56" i="9"/>
  <c r="G56" s="1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B12" i="44" s="1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D10" i="44" s="1"/>
  <c r="G12" i="7"/>
  <c r="G11"/>
  <c r="G10"/>
  <c r="G9"/>
  <c r="E15" i="33"/>
  <c r="G15" s="1"/>
  <c r="D9" i="44" s="1"/>
  <c r="E132" i="33"/>
  <c r="G132" s="1"/>
  <c r="E133"/>
  <c r="G133" s="1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E44"/>
  <c r="G44" s="1"/>
  <c r="E45"/>
  <c r="G45" s="1"/>
  <c r="E46"/>
  <c r="G46" s="1"/>
  <c r="E35"/>
  <c r="G35" s="1"/>
  <c r="G22"/>
  <c r="E19"/>
  <c r="G19" s="1"/>
  <c r="E10"/>
  <c r="G10" s="1"/>
  <c r="E11"/>
  <c r="E12"/>
  <c r="E9"/>
  <c r="G9" s="1"/>
  <c r="E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J33" i="44" l="1"/>
  <c r="I30" i="49" s="1"/>
  <c r="AC29" i="1"/>
  <c r="AE29" s="1"/>
  <c r="F144" i="27"/>
  <c r="BF33" i="1"/>
  <c r="Y33"/>
  <c r="X34"/>
  <c r="AM33"/>
  <c r="AL34"/>
  <c r="AO34" s="1"/>
  <c r="BN34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7" i="30"/>
  <c r="B33" i="44" s="1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E11" i="21"/>
  <c r="G11" s="1"/>
  <c r="E11" i="25"/>
  <c r="G11" s="1"/>
  <c r="E11" i="29"/>
  <c r="G11" s="1"/>
  <c r="E11" i="22"/>
  <c r="G11" s="1"/>
  <c r="E11" i="12"/>
  <c r="G11" s="1"/>
  <c r="E11" i="16"/>
  <c r="G11" s="1"/>
  <c r="E11" i="20"/>
  <c r="G11" s="1"/>
  <c r="E11" i="24"/>
  <c r="G11" s="1"/>
  <c r="E11" i="28"/>
  <c r="G11" s="1"/>
  <c r="E11" i="31"/>
  <c r="G11" s="1"/>
  <c r="E11" i="18"/>
  <c r="G11" s="1"/>
  <c r="E11" i="15"/>
  <c r="G11" s="1"/>
  <c r="G11" i="19"/>
  <c r="E11" i="23"/>
  <c r="G11" s="1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9" i="12"/>
  <c r="G12" i="33"/>
  <c r="E12" i="14"/>
  <c r="G12" s="1"/>
  <c r="E12" i="18"/>
  <c r="G12" s="1"/>
  <c r="E12" i="22"/>
  <c r="G12" s="1"/>
  <c r="E12" i="40"/>
  <c r="G12" s="1"/>
  <c r="E12" i="30"/>
  <c r="G12" s="1"/>
  <c r="G12" i="19"/>
  <c r="E12" i="13"/>
  <c r="G12" s="1"/>
  <c r="E12" i="17"/>
  <c r="G12" s="1"/>
  <c r="E12" i="21"/>
  <c r="G12" s="1"/>
  <c r="E12" i="25"/>
  <c r="G12" s="1"/>
  <c r="E12" i="29"/>
  <c r="G12" s="1"/>
  <c r="E12" i="15"/>
  <c r="G12" s="1"/>
  <c r="E12" i="27"/>
  <c r="G12" s="1"/>
  <c r="G12" i="43"/>
  <c r="E12" i="23"/>
  <c r="G12" s="1"/>
  <c r="E12" i="12"/>
  <c r="G12" s="1"/>
  <c r="E12" i="16"/>
  <c r="G12" s="1"/>
  <c r="E12" i="20"/>
  <c r="G12" s="1"/>
  <c r="E12" i="24"/>
  <c r="G12" s="1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O33" s="1"/>
  <c r="AM34" i="44"/>
  <c r="AL31" i="49" s="1"/>
  <c r="BK33" i="1"/>
  <c r="BD33"/>
  <c r="L34" i="44"/>
  <c r="K31" i="49" s="1"/>
  <c r="BI33" i="1"/>
  <c r="BA33"/>
  <c r="L31" i="49"/>
  <c r="AZ33" i="1"/>
  <c r="AV34" i="44"/>
  <c r="AH33" i="1"/>
  <c r="D34" i="44"/>
  <c r="M33" i="1"/>
  <c r="O33" s="1"/>
  <c r="I124" i="28"/>
  <c r="G129"/>
  <c r="BA28" i="1"/>
  <c r="G143" i="40"/>
  <c r="G144" s="1"/>
  <c r="E28"/>
  <c r="G28" s="1"/>
  <c r="D29" i="44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L2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L12"/>
  <c r="K6" i="44"/>
  <c r="J3" i="49" s="1"/>
  <c r="L27"/>
  <c r="I19" i="44"/>
  <c r="H16" i="49" s="1"/>
  <c r="L6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L4"/>
  <c r="H15" i="44"/>
  <c r="G12" i="49" s="1"/>
  <c r="L1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L24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L13" i="49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L17"/>
  <c r="K25" i="44"/>
  <c r="J22" i="49" s="1"/>
  <c r="H7" i="44"/>
  <c r="G4" i="49" s="1"/>
  <c r="J11" i="44"/>
  <c r="I8" i="49" s="1"/>
  <c r="H14" i="44"/>
  <c r="G11" i="49" s="1"/>
  <c r="I6" i="44"/>
  <c r="H3" i="49" s="1"/>
  <c r="L3"/>
  <c r="J24" i="44"/>
  <c r="I21" i="49" s="1"/>
  <c r="L8"/>
  <c r="K15" i="44"/>
  <c r="J12" i="49" s="1"/>
  <c r="L5"/>
  <c r="L29"/>
  <c r="F9" i="44"/>
  <c r="E6" i="49" s="1"/>
  <c r="I9" i="44"/>
  <c r="H6" i="49" s="1"/>
  <c r="L7"/>
  <c r="L9"/>
  <c r="F15" i="44"/>
  <c r="E12" i="49" s="1"/>
  <c r="I18" i="44"/>
  <c r="H15" i="49" s="1"/>
  <c r="L20"/>
  <c r="L24" i="44"/>
  <c r="K21" i="49" s="1"/>
  <c r="L29" i="44"/>
  <c r="K26" i="49" s="1"/>
  <c r="L30" i="44"/>
  <c r="K27" i="49" s="1"/>
  <c r="L28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L15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L14"/>
  <c r="H20" i="44"/>
  <c r="G17" i="49" s="1"/>
  <c r="L22"/>
  <c r="L7" i="44"/>
  <c r="K4" i="49" s="1"/>
  <c r="G6" i="44"/>
  <c r="F3" i="49" s="1"/>
  <c r="L26"/>
  <c r="AU33" i="44"/>
  <c r="J5"/>
  <c r="AU8"/>
  <c r="H19"/>
  <c r="G16" i="49" s="1"/>
  <c r="BI18" i="1"/>
  <c r="L19" i="44"/>
  <c r="K16" i="49" s="1"/>
  <c r="L19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AU6"/>
  <c r="F14"/>
  <c r="E11" i="49" s="1"/>
  <c r="AL16" i="1"/>
  <c r="AU17" i="44"/>
  <c r="F25"/>
  <c r="E22" i="49" s="1"/>
  <c r="L23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F5"/>
  <c r="I17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L16" i="49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I13" s="1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E171" i="12"/>
  <c r="G171" s="1"/>
  <c r="E166"/>
  <c r="G166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E167" i="12"/>
  <c r="G167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E168" i="12"/>
  <c r="G168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E170" i="12"/>
  <c r="G170" s="1"/>
  <c r="E169"/>
  <c r="G169" s="1"/>
  <c r="G129" i="30"/>
  <c r="G129" i="22"/>
  <c r="G119" i="33"/>
  <c r="F119"/>
  <c r="D35" i="1"/>
  <c r="F35"/>
  <c r="F38" s="1"/>
  <c r="AH30" i="45"/>
  <c r="G134" i="43"/>
  <c r="G120" i="40"/>
  <c r="H120" s="1"/>
  <c r="J120" s="1"/>
  <c r="N27" i="44"/>
  <c r="M24" i="49" s="1"/>
  <c r="G7" i="33"/>
  <c r="G15" i="13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G42" i="20"/>
  <c r="AW22" i="1" s="1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129" i="3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G133"/>
  <c r="AA20" i="1" s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N7" i="40"/>
  <c r="N11" s="1"/>
  <c r="AM26" i="1"/>
  <c r="AM25"/>
  <c r="AX26" i="44"/>
  <c r="AV26"/>
  <c r="AV37" s="1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L22" i="44" s="1"/>
  <c r="AK19" i="49" s="1"/>
  <c r="Y16" i="44"/>
  <c r="X13" i="49" s="1"/>
  <c r="G69" i="12"/>
  <c r="G17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Y37" s="1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I28" i="1"/>
  <c r="E26" i="47" s="1"/>
  <c r="G64" i="40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O7" i="9"/>
  <c r="E28" i="20"/>
  <c r="G28" s="1"/>
  <c r="AA15" i="1"/>
  <c r="Z16" i="44"/>
  <c r="Y13" i="49" s="1"/>
  <c r="U16" i="44"/>
  <c r="T13" i="49" s="1"/>
  <c r="Q16" i="44"/>
  <c r="P13" i="49" s="1"/>
  <c r="N7" i="14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E28" i="22"/>
  <c r="G28" s="1"/>
  <c r="AH24" i="1"/>
  <c r="AI25"/>
  <c r="AW26" i="44"/>
  <c r="E28" i="24"/>
  <c r="G28" s="1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28" i="43"/>
  <c r="G28" s="1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T24" s="1"/>
  <c r="BD18" i="49" s="1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E28" i="33"/>
  <c r="G28" s="1"/>
  <c r="AJ9" i="1"/>
  <c r="AX10" i="44"/>
  <c r="AY10" s="1"/>
  <c r="E28" i="9"/>
  <c r="G28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E28" i="16"/>
  <c r="G28" s="1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E28" i="8"/>
  <c r="G28" s="1"/>
  <c r="G68" i="12"/>
  <c r="G63"/>
  <c r="AF15" i="44" s="1"/>
  <c r="AE12" i="49" s="1"/>
  <c r="AI14" i="1"/>
  <c r="AW15" i="44"/>
  <c r="E31" i="14"/>
  <c r="G31" s="1"/>
  <c r="P5" i="45"/>
  <c r="E28" i="11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E28" i="15"/>
  <c r="G28" s="1"/>
  <c r="X17" i="1"/>
  <c r="Q10" i="45"/>
  <c r="AH17" i="1"/>
  <c r="AW18"/>
  <c r="Y18"/>
  <c r="R11" i="45"/>
  <c r="AQ16" i="49" s="1"/>
  <c r="AJ18" i="1"/>
  <c r="AX19" i="44"/>
  <c r="E28" i="17"/>
  <c r="G28" s="1"/>
  <c r="AJ19" i="1"/>
  <c r="AX20" i="44"/>
  <c r="E28" i="18"/>
  <c r="G28" s="1"/>
  <c r="Y20" i="1"/>
  <c r="T11" i="45"/>
  <c r="AQ18" i="49" s="1"/>
  <c r="AI20" i="1"/>
  <c r="AW21" i="44"/>
  <c r="E28" i="19"/>
  <c r="G28" s="1"/>
  <c r="AJ22" i="1"/>
  <c r="AX23" i="44"/>
  <c r="E28" i="21"/>
  <c r="G28" s="1"/>
  <c r="AH23" i="1"/>
  <c r="E28" i="23"/>
  <c r="G28" s="1"/>
  <c r="AH30" i="1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28" i="7"/>
  <c r="G28" s="1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L24" s="1"/>
  <c r="BD10" i="49" s="1"/>
  <c r="X12" i="1"/>
  <c r="L10" i="45"/>
  <c r="E28" i="12"/>
  <c r="G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E28" i="30"/>
  <c r="G28" s="1"/>
  <c r="AJ31" i="1"/>
  <c r="AX32" i="44"/>
  <c r="Y31" i="1"/>
  <c r="AE11" i="45"/>
  <c r="AQ29" i="49" s="1"/>
  <c r="X31" i="1"/>
  <c r="AE10" i="45"/>
  <c r="BF31" i="1"/>
  <c r="E30" i="29"/>
  <c r="G30" s="1"/>
  <c r="AE6" i="45"/>
  <c r="E28" i="29"/>
  <c r="G28" s="1"/>
  <c r="AJ30" i="1"/>
  <c r="AX31" i="44"/>
  <c r="AI30" i="1"/>
  <c r="AW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N10" i="44"/>
  <c r="BG7" i="49" s="1"/>
  <c r="AT9" i="1"/>
  <c r="AY9"/>
  <c r="BI9"/>
  <c r="AS11"/>
  <c r="AZ12"/>
  <c r="AU12"/>
  <c r="AY12"/>
  <c r="BI12"/>
  <c r="I12" i="35"/>
  <c r="AL13" i="44"/>
  <c r="AK10" i="49" s="1"/>
  <c r="AN14" i="44"/>
  <c r="BG11" i="49" s="1"/>
  <c r="AN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N9" i="44"/>
  <c r="BG6" i="49" s="1"/>
  <c r="AS9" i="1"/>
  <c r="AX9"/>
  <c r="AN12" i="44"/>
  <c r="BG9" i="49" s="1"/>
  <c r="AQ12" i="1"/>
  <c r="AT12"/>
  <c r="AN17" i="44"/>
  <c r="BG14" i="49" s="1"/>
  <c r="AZ17" i="1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N11" i="44"/>
  <c r="BG8" i="49" s="1"/>
  <c r="AV14" i="1"/>
  <c r="AR14"/>
  <c r="AX15"/>
  <c r="AT15"/>
  <c r="AY13"/>
  <c r="AU13"/>
  <c r="BI5"/>
  <c r="AS29"/>
  <c r="I5" i="35"/>
  <c r="AL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N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N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4" i="18"/>
  <c r="AQ5" i="44"/>
  <c r="AP8" i="1"/>
  <c r="AO9" i="44"/>
  <c r="BH6" i="49" s="1"/>
  <c r="AP9" i="1"/>
  <c r="AO10" i="44"/>
  <c r="BH7" i="49" s="1"/>
  <c r="AP12" i="1"/>
  <c r="AO13" i="44"/>
  <c r="BH10" i="49" s="1"/>
  <c r="H18" i="35"/>
  <c r="BK19" i="1"/>
  <c r="AM20" i="44"/>
  <c r="AL17" i="49" s="1"/>
  <c r="M21" i="1"/>
  <c r="G19" i="47" s="1"/>
  <c r="AN22" i="44"/>
  <c r="BG19" i="49" s="1"/>
  <c r="N21" i="44"/>
  <c r="M18" i="49" s="1"/>
  <c r="N22" i="44"/>
  <c r="M19" i="49" s="1"/>
  <c r="BK21" i="1"/>
  <c r="AM22" i="44"/>
  <c r="AL19" i="49" s="1"/>
  <c r="M23" i="1"/>
  <c r="G21" i="47" s="1"/>
  <c r="AN24" i="44"/>
  <c r="BG21" i="49" s="1"/>
  <c r="M25" i="1"/>
  <c r="G23" i="47" s="1"/>
  <c r="AN26" i="44"/>
  <c r="BG23" i="49" s="1"/>
  <c r="BK25" i="1"/>
  <c r="AM26" i="44"/>
  <c r="AL23" i="49" s="1"/>
  <c r="BK26" i="1"/>
  <c r="AM27" i="44"/>
  <c r="AL24" i="49" s="1"/>
  <c r="M29" i="1"/>
  <c r="G27" i="47" s="1"/>
  <c r="AN30" i="44"/>
  <c r="BG27" i="49" s="1"/>
  <c r="V5" i="44"/>
  <c r="O5"/>
  <c r="M16" i="35"/>
  <c r="O16" s="1"/>
  <c r="N17" i="44"/>
  <c r="M14" i="49" s="1"/>
  <c r="BK16" i="1"/>
  <c r="AM17" i="44"/>
  <c r="AL14" i="49" s="1"/>
  <c r="AP6" i="1"/>
  <c r="AO7" i="44"/>
  <c r="BH4" i="49" s="1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BH3" i="49" s="1"/>
  <c r="AN20" i="44"/>
  <c r="BG17" i="49" s="1"/>
  <c r="M19" i="1"/>
  <c r="G17" i="47" s="1"/>
  <c r="M20" i="1"/>
  <c r="G18" i="47" s="1"/>
  <c r="AN21" i="44"/>
  <c r="BG18" i="49" s="1"/>
  <c r="G129" i="18"/>
  <c r="G57"/>
  <c r="BH20" i="1" s="1"/>
  <c r="AP20"/>
  <c r="AO21" i="44"/>
  <c r="BH18" i="49" s="1"/>
  <c r="G7" i="19"/>
  <c r="B22" i="44" s="1"/>
  <c r="G37" i="19"/>
  <c r="M22" i="1"/>
  <c r="G20" i="47" s="1"/>
  <c r="AN23" i="44"/>
  <c r="BG20" i="4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AN34" i="44"/>
  <c r="BG31" i="49" s="1"/>
  <c r="R5" i="44"/>
  <c r="R37" s="1"/>
  <c r="AP7" i="1"/>
  <c r="AO8" i="44"/>
  <c r="BH5" i="49" s="1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M24" i="1"/>
  <c r="G22" i="47" s="1"/>
  <c r="AN25" i="44"/>
  <c r="BG22" i="49" s="1"/>
  <c r="AP25" i="1"/>
  <c r="AO26" i="44"/>
  <c r="BH23" i="49" s="1"/>
  <c r="M26" i="1"/>
  <c r="G24" i="47" s="1"/>
  <c r="AN27" i="44"/>
  <c r="BG24" i="49" s="1"/>
  <c r="AP26" i="1"/>
  <c r="AO27" i="44"/>
  <c r="BH24" i="49" s="1"/>
  <c r="BK28" i="1"/>
  <c r="AM29" i="44"/>
  <c r="AL26" i="49" s="1"/>
  <c r="M31" i="1"/>
  <c r="G29" i="47" s="1"/>
  <c r="AN32" i="44"/>
  <c r="BG29" i="49" s="1"/>
  <c r="AP32" i="1"/>
  <c r="AO33" i="44"/>
  <c r="BH30" i="49" s="1"/>
  <c r="X5" i="44"/>
  <c r="X37" s="1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AN13"/>
  <c r="BG10" i="49" s="1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M28" i="1"/>
  <c r="G26" i="47" s="1"/>
  <c r="AN29" i="44"/>
  <c r="BG26" i="49" s="1"/>
  <c r="AP29" i="1"/>
  <c r="AO30" i="44"/>
  <c r="BH27" i="49" s="1"/>
  <c r="M30" i="1"/>
  <c r="G28" i="47" s="1"/>
  <c r="AN31" i="44"/>
  <c r="BG28" i="49" s="1"/>
  <c r="BK30" i="1"/>
  <c r="AM31" i="44"/>
  <c r="AL28" i="49" s="1"/>
  <c r="M32" i="1"/>
  <c r="G30" i="47" s="1"/>
  <c r="AN33" i="44"/>
  <c r="BG30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G129" i="11"/>
  <c r="M4" i="1"/>
  <c r="G2" i="47" s="1"/>
  <c r="G129" i="15"/>
  <c r="G129" i="24"/>
  <c r="G129" i="27"/>
  <c r="G129" i="19"/>
  <c r="G129" i="21"/>
  <c r="G129" i="29"/>
  <c r="G129" i="17"/>
  <c r="H129" s="1"/>
  <c r="G129" i="40"/>
  <c r="G129" i="43"/>
  <c r="G129" i="14"/>
  <c r="G129" i="23"/>
  <c r="M18" i="1"/>
  <c r="G16" i="47" s="1"/>
  <c r="G129" i="16"/>
  <c r="G129" i="20"/>
  <c r="G129" i="7"/>
  <c r="M10" i="1"/>
  <c r="G8" i="47" s="1"/>
  <c r="G129" i="8"/>
  <c r="G129" i="9"/>
  <c r="G52" i="20"/>
  <c r="H23" i="44" s="1"/>
  <c r="G20" i="49" s="1"/>
  <c r="W13" i="1"/>
  <c r="G8" i="35"/>
  <c r="Q36" i="1"/>
  <c r="I27"/>
  <c r="E25" i="47" s="1"/>
  <c r="G149" i="21"/>
  <c r="G150" s="1"/>
  <c r="G20" i="19"/>
  <c r="G20" i="24"/>
  <c r="E27" i="44" s="1"/>
  <c r="V30" i="1"/>
  <c r="V21"/>
  <c r="V9"/>
  <c r="V8"/>
  <c r="G95" i="11"/>
  <c r="G149" i="16"/>
  <c r="G150" s="1"/>
  <c r="G95" i="28"/>
  <c r="G149" i="43"/>
  <c r="AT4" i="1"/>
  <c r="G147" i="29"/>
  <c r="G149" i="28"/>
  <c r="G150" s="1"/>
  <c r="G20" i="40"/>
  <c r="E29" i="44" s="1"/>
  <c r="AJ27" i="1"/>
  <c r="AJ28"/>
  <c r="G153" i="43"/>
  <c r="O27" i="1"/>
  <c r="G20" i="22"/>
  <c r="G20" i="21"/>
  <c r="E24" i="44" s="1"/>
  <c r="BB36" i="1"/>
  <c r="BF36"/>
  <c r="G95" i="27"/>
  <c r="G153" i="24"/>
  <c r="G154" s="1"/>
  <c r="G151" i="40"/>
  <c r="G152" s="1"/>
  <c r="G20" i="13"/>
  <c r="E16" i="44" s="1"/>
  <c r="G153" i="18"/>
  <c r="G154" s="1"/>
  <c r="V31" i="1"/>
  <c r="V28"/>
  <c r="I139" i="24"/>
  <c r="G147" i="40"/>
  <c r="G148" s="1"/>
  <c r="V7" i="1"/>
  <c r="I139" i="40"/>
  <c r="G147" i="22"/>
  <c r="G148" s="1"/>
  <c r="G149" i="30"/>
  <c r="BC32" i="1"/>
  <c r="V6"/>
  <c r="AS23"/>
  <c r="G153" i="22"/>
  <c r="G154" s="1"/>
  <c r="G145" i="40"/>
  <c r="G146" s="1"/>
  <c r="I139" i="27"/>
  <c r="G153" i="14"/>
  <c r="G154" s="1"/>
  <c r="G20" i="27"/>
  <c r="E30" i="44" s="1"/>
  <c r="G95" i="23"/>
  <c r="G95" i="40"/>
  <c r="G149" i="17"/>
  <c r="G150" s="1"/>
  <c r="G20" i="42"/>
  <c r="E30" s="1"/>
  <c r="G30" s="1"/>
  <c r="G20" i="20"/>
  <c r="E23" i="44" s="1"/>
  <c r="G20" i="43"/>
  <c r="G153" i="8"/>
  <c r="G154" s="1"/>
  <c r="I139" i="28"/>
  <c r="I29" i="1"/>
  <c r="E27" i="47" s="1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G152" s="1"/>
  <c r="E18" i="35"/>
  <c r="G18" s="1"/>
  <c r="G95" i="16"/>
  <c r="BC19" i="1"/>
  <c r="I139" i="16"/>
  <c r="AA36" i="1"/>
  <c r="U36"/>
  <c r="G59" i="15"/>
  <c r="G20" i="14"/>
  <c r="AT27" i="1"/>
  <c r="BG17"/>
  <c r="G145" i="15"/>
  <c r="G146" s="1"/>
  <c r="AZ26" i="1"/>
  <c r="G151" i="24"/>
  <c r="G152" s="1"/>
  <c r="G20" i="11"/>
  <c r="E14" i="44" s="1"/>
  <c r="G102" i="19"/>
  <c r="I134" i="21"/>
  <c r="G85" i="40"/>
  <c r="I24" i="1"/>
  <c r="E22" i="47" s="1"/>
  <c r="BH30" i="1"/>
  <c r="G143" i="28"/>
  <c r="G144" s="1"/>
  <c r="AC13" i="1"/>
  <c r="AE13" s="1"/>
  <c r="I137" i="11"/>
  <c r="M17" i="1"/>
  <c r="G15" i="47" s="1"/>
  <c r="BC27" i="1"/>
  <c r="G85" i="19"/>
  <c r="G59" i="28"/>
  <c r="I137" i="27"/>
  <c r="V26" i="1"/>
  <c r="G20" i="15"/>
  <c r="G20" i="18"/>
  <c r="E21" i="44" s="1"/>
  <c r="G95" i="15"/>
  <c r="G143" i="22"/>
  <c r="G144" s="1"/>
  <c r="G143" i="27"/>
  <c r="G144" s="1"/>
  <c r="G153" i="28"/>
  <c r="G154" s="1"/>
  <c r="X30" i="1"/>
  <c r="G151" i="21"/>
  <c r="G152" s="1"/>
  <c r="G145" i="22"/>
  <c r="G146" s="1"/>
  <c r="G147" i="13"/>
  <c r="G147" i="16"/>
  <c r="G148" s="1"/>
  <c r="G151" i="29"/>
  <c r="E9" i="35"/>
  <c r="G9" s="1"/>
  <c r="V25" i="1"/>
  <c r="G153" i="27"/>
  <c r="G154" s="1"/>
  <c r="G147" i="17"/>
  <c r="G148" s="1"/>
  <c r="G153" i="40"/>
  <c r="G154" s="1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52" s="1"/>
  <c r="G147" i="21"/>
  <c r="G148" s="1"/>
  <c r="G143" i="23"/>
  <c r="I137" i="22"/>
  <c r="D36" i="1"/>
  <c r="J36"/>
  <c r="G95" i="8"/>
  <c r="AZ28" i="1"/>
  <c r="I26"/>
  <c r="E24" i="47" s="1"/>
  <c r="G149" i="9"/>
  <c r="G150" s="1"/>
  <c r="G95" i="18"/>
  <c r="G85" i="23"/>
  <c r="G59" i="27"/>
  <c r="BH29" i="1"/>
  <c r="G20" i="8"/>
  <c r="AE16" i="1"/>
  <c r="G147" i="14"/>
  <c r="G148" s="1"/>
  <c r="I139" i="12"/>
  <c r="G95" i="13"/>
  <c r="G85"/>
  <c r="G149"/>
  <c r="BC15" i="1"/>
  <c r="M14"/>
  <c r="G12" i="47" s="1"/>
  <c r="V13" i="1"/>
  <c r="AO12"/>
  <c r="I134" i="11"/>
  <c r="G85"/>
  <c r="G143"/>
  <c r="G144" s="1"/>
  <c r="W11" i="1"/>
  <c r="BK12"/>
  <c r="AV12"/>
  <c r="G20" i="9"/>
  <c r="M11" i="1"/>
  <c r="G9" i="47" s="1"/>
  <c r="BK11" i="1"/>
  <c r="M11" i="35"/>
  <c r="O11" s="1"/>
  <c r="G85" i="9"/>
  <c r="BC11" i="1"/>
  <c r="G59" i="9"/>
  <c r="G143" i="8"/>
  <c r="G144" s="1"/>
  <c r="G151" i="9"/>
  <c r="G152" s="1"/>
  <c r="G13" i="8"/>
  <c r="I13" s="1"/>
  <c r="W10" i="1"/>
  <c r="G85" i="8"/>
  <c r="I10" i="1"/>
  <c r="E8" i="47" s="1"/>
  <c r="BG10" i="1"/>
  <c r="G145" i="8"/>
  <c r="G146" s="1"/>
  <c r="BB14" i="1"/>
  <c r="G153" i="12"/>
  <c r="G47" i="28"/>
  <c r="G151"/>
  <c r="G152" s="1"/>
  <c r="AZ30" i="1"/>
  <c r="AR5"/>
  <c r="AZ13"/>
  <c r="G151" i="11"/>
  <c r="G152" s="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G150" s="1"/>
  <c r="AS16" i="1"/>
  <c r="AC22"/>
  <c r="AE22" s="1"/>
  <c r="I137" i="20"/>
  <c r="AR18" i="1"/>
  <c r="G153" i="16"/>
  <c r="G154" s="1"/>
  <c r="G151" i="18"/>
  <c r="G152" s="1"/>
  <c r="AZ20" i="1"/>
  <c r="AH15"/>
  <c r="I137" i="13"/>
  <c r="AD10" i="1"/>
  <c r="BB13"/>
  <c r="G153" i="11"/>
  <c r="G154" s="1"/>
  <c r="AS13" i="1"/>
  <c r="G149" i="11"/>
  <c r="G150" s="1"/>
  <c r="AI27" i="1"/>
  <c r="AI28"/>
  <c r="I12"/>
  <c r="E10" i="47" s="1"/>
  <c r="AR23" i="1"/>
  <c r="G153" i="21"/>
  <c r="G154" s="1"/>
  <c r="AJ23" i="1"/>
  <c r="I139" i="21"/>
  <c r="AS26" i="1"/>
  <c r="G149" i="24"/>
  <c r="G150" s="1"/>
  <c r="AQ28" i="1"/>
  <c r="X13"/>
  <c r="AV27"/>
  <c r="G145" i="14"/>
  <c r="G146" s="1"/>
  <c r="G147" i="20"/>
  <c r="G148" s="1"/>
  <c r="AR31" i="1"/>
  <c r="G59" i="17"/>
  <c r="AM27" i="1"/>
  <c r="AO27" s="1"/>
  <c r="I22"/>
  <c r="E20" i="47" s="1"/>
  <c r="G59" i="23"/>
  <c r="BD4" i="1"/>
  <c r="I139" i="18"/>
  <c r="G102" i="20"/>
  <c r="G149" i="22"/>
  <c r="G150" s="1"/>
  <c r="G147" i="23"/>
  <c r="G143" i="13"/>
  <c r="V20" i="1"/>
  <c r="G153" i="23"/>
  <c r="G102" i="8"/>
  <c r="I139" i="9"/>
  <c r="I139" i="11"/>
  <c r="I25" i="1"/>
  <c r="E23" i="47" s="1"/>
  <c r="G143" i="24"/>
  <c r="G144" s="1"/>
  <c r="I134" i="40"/>
  <c r="G149" i="15"/>
  <c r="G150" s="1"/>
  <c r="BB30" i="1"/>
  <c r="V12"/>
  <c r="BA11"/>
  <c r="I134" i="13"/>
  <c r="G151" i="14"/>
  <c r="G152" s="1"/>
  <c r="I134"/>
  <c r="I134" i="20"/>
  <c r="I134" i="28"/>
  <c r="G95" i="29"/>
  <c r="G85" i="12"/>
  <c r="M12" i="1"/>
  <c r="G10" i="47" s="1"/>
  <c r="AX12" i="1"/>
  <c r="AQ19"/>
  <c r="G143" i="17"/>
  <c r="G144" s="1"/>
  <c r="AC23" i="1"/>
  <c r="I137" i="21"/>
  <c r="BI29" i="1"/>
  <c r="G151" i="27"/>
  <c r="G152" s="1"/>
  <c r="AD12" i="1"/>
  <c r="AE12" s="1"/>
  <c r="AJ4"/>
  <c r="AC20"/>
  <c r="I30"/>
  <c r="E28" i="47" s="1"/>
  <c r="AT10" i="1"/>
  <c r="G147" i="8"/>
  <c r="G148" s="1"/>
  <c r="G145" i="27"/>
  <c r="G146" s="1"/>
  <c r="AV29" i="1"/>
  <c r="AV30"/>
  <c r="G145" i="28"/>
  <c r="G146" s="1"/>
  <c r="BG15" i="1"/>
  <c r="G145" i="13"/>
  <c r="W15" i="1"/>
  <c r="G102" i="13"/>
  <c r="AQ23" i="1"/>
  <c r="G143" i="21"/>
  <c r="G144" s="1"/>
  <c r="BF23" i="1"/>
  <c r="G145" i="21"/>
  <c r="G146" s="1"/>
  <c r="AT26" i="1"/>
  <c r="G147" i="24"/>
  <c r="G148" s="1"/>
  <c r="BD30" i="1"/>
  <c r="G147" i="28"/>
  <c r="G148" s="1"/>
  <c r="AI31" i="1"/>
  <c r="I139" i="29"/>
  <c r="M12" i="35"/>
  <c r="O12" s="1"/>
  <c r="G151" i="17"/>
  <c r="G152" s="1"/>
  <c r="I7" i="1"/>
  <c r="E5" i="47" s="1"/>
  <c r="G151" i="8"/>
  <c r="G152" s="1"/>
  <c r="AZ10" i="1"/>
  <c r="AT29"/>
  <c r="G147" i="27"/>
  <c r="G148" s="1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G152" s="1"/>
  <c r="I134"/>
  <c r="I139" i="20"/>
  <c r="V24" i="1"/>
  <c r="V15"/>
  <c r="V22"/>
  <c r="I134" i="24"/>
  <c r="G153" i="7"/>
  <c r="G154" s="1"/>
  <c r="G47" i="16"/>
  <c r="AE19" i="1"/>
  <c r="G102" i="22"/>
  <c r="G13" i="23"/>
  <c r="G109" i="42"/>
  <c r="G143" i="14"/>
  <c r="G144" s="1"/>
  <c r="G95"/>
  <c r="G20" i="16"/>
  <c r="G85" i="20"/>
  <c r="G149" i="23"/>
  <c r="N36" i="1"/>
  <c r="G85" i="14"/>
  <c r="I139" i="13"/>
  <c r="G145" i="17"/>
  <c r="G146" s="1"/>
  <c r="G47" i="27"/>
  <c r="G13" i="11"/>
  <c r="AD36" i="1"/>
  <c r="I139" i="15"/>
  <c r="G20" i="28"/>
  <c r="E31" i="44" s="1"/>
  <c r="G147" i="7"/>
  <c r="G148" s="1"/>
  <c r="G143"/>
  <c r="G144" s="1"/>
  <c r="G95" i="33"/>
  <c r="M9" i="1"/>
  <c r="G7" i="47" s="1"/>
  <c r="G95" i="7"/>
  <c r="BB9" i="1"/>
  <c r="AI9"/>
  <c r="M9" i="35"/>
  <c r="O9" s="1"/>
  <c r="G85" i="7"/>
  <c r="G47"/>
  <c r="AQ9" i="1"/>
  <c r="G149" i="7"/>
  <c r="G150" s="1"/>
  <c r="G13"/>
  <c r="AC8" i="1"/>
  <c r="AE8" s="1"/>
  <c r="I134" i="33"/>
  <c r="G102"/>
  <c r="G85"/>
  <c r="G151"/>
  <c r="AT8" i="1"/>
  <c r="G147" i="33"/>
  <c r="M8" i="1"/>
  <c r="G6" i="47" s="1"/>
  <c r="AS12" i="1"/>
  <c r="T36"/>
  <c r="V17"/>
  <c r="G102" i="7"/>
  <c r="X9" i="1"/>
  <c r="G143" i="9"/>
  <c r="G144" s="1"/>
  <c r="AQ11" i="1"/>
  <c r="X11"/>
  <c r="G102" i="9"/>
  <c r="AR17" i="1"/>
  <c r="G153" i="15"/>
  <c r="G154" s="1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G150" s="1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G144" s="1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8" s="1"/>
  <c r="G145" i="16"/>
  <c r="G146" s="1"/>
  <c r="I137" i="24"/>
  <c r="G102" i="18"/>
  <c r="G145" i="33"/>
  <c r="AZ9" i="1"/>
  <c r="G147" i="9"/>
  <c r="G148" s="1"/>
  <c r="M13" i="1"/>
  <c r="G11" i="47" s="1"/>
  <c r="G102" i="12"/>
  <c r="G151" i="13"/>
  <c r="BB15" i="1"/>
  <c r="G59" i="14"/>
  <c r="G102" i="23"/>
  <c r="K8" i="35"/>
  <c r="V16" i="1"/>
  <c r="G145" i="7"/>
  <c r="G146" s="1"/>
  <c r="G47" i="23"/>
  <c r="I137"/>
  <c r="H4" i="35"/>
  <c r="AR11" i="1"/>
  <c r="G153" i="9"/>
  <c r="G154" s="1"/>
  <c r="I17" i="1"/>
  <c r="E15" i="47" s="1"/>
  <c r="AQ21" i="1"/>
  <c r="BC21"/>
  <c r="G149" i="19"/>
  <c r="AS28" i="1"/>
  <c r="G149" i="40"/>
  <c r="G150" s="1"/>
  <c r="AV11" i="1"/>
  <c r="BJ11" s="1"/>
  <c r="G145" i="9"/>
  <c r="G146" s="1"/>
  <c r="AQ14" i="1"/>
  <c r="G143" i="12"/>
  <c r="G47"/>
  <c r="M16" i="1"/>
  <c r="G14" i="47" s="1"/>
  <c r="G59" i="16"/>
  <c r="BA18" i="1"/>
  <c r="BA36" s="1"/>
  <c r="AW25"/>
  <c r="G145" i="23"/>
  <c r="AH28" i="1"/>
  <c r="AH27"/>
  <c r="AR8"/>
  <c r="G153" i="33"/>
  <c r="BD12" i="1"/>
  <c r="I16"/>
  <c r="E14" i="47" s="1"/>
  <c r="AC18" i="1"/>
  <c r="I137" i="16"/>
  <c r="AS20" i="1"/>
  <c r="G149" i="18"/>
  <c r="G150" s="1"/>
  <c r="AR22" i="1"/>
  <c r="G153" i="20"/>
  <c r="G154" s="1"/>
  <c r="I23" i="1"/>
  <c r="E21" i="47" s="1"/>
  <c r="AT13" i="1"/>
  <c r="G47" i="11"/>
  <c r="G147"/>
  <c r="G148" s="1"/>
  <c r="G47" i="24"/>
  <c r="I137" i="9"/>
  <c r="G151" i="7"/>
  <c r="G152" s="1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G146" s="1"/>
  <c r="J70" i="12"/>
  <c r="H70" i="13"/>
  <c r="G143" i="33"/>
  <c r="G145" i="24"/>
  <c r="G146" s="1"/>
  <c r="I137" i="12"/>
  <c r="G47" i="21"/>
  <c r="L47" s="1"/>
  <c r="G47" i="14"/>
  <c r="G47" i="33"/>
  <c r="G149"/>
  <c r="G149" i="8"/>
  <c r="G150" s="1"/>
  <c r="G145" i="12"/>
  <c r="I137" i="14"/>
  <c r="G143" i="20"/>
  <c r="G144" s="1"/>
  <c r="G59" i="22"/>
  <c r="L59" s="1"/>
  <c r="I137" i="29"/>
  <c r="G153" i="17"/>
  <c r="G154" s="1"/>
  <c r="AV9" i="1"/>
  <c r="BJ9" s="1"/>
  <c r="AR12"/>
  <c r="AQ16"/>
  <c r="BI16"/>
  <c r="BI17"/>
  <c r="W17"/>
  <c r="I19"/>
  <c r="E17" i="47" s="1"/>
  <c r="G47" i="8"/>
  <c r="G143" i="15"/>
  <c r="G144" s="1"/>
  <c r="G102"/>
  <c r="G151" i="22"/>
  <c r="G152" s="1"/>
  <c r="G102" i="21"/>
  <c r="G59" i="11"/>
  <c r="I14" i="1"/>
  <c r="E12" i="47" s="1"/>
  <c r="G102" i="27"/>
  <c r="G149" i="29"/>
  <c r="I119" i="42"/>
  <c r="G143" i="30"/>
  <c r="G13" i="42"/>
  <c r="G113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G2" i="49" l="1"/>
  <c r="H37" i="44"/>
  <c r="T37"/>
  <c r="S37"/>
  <c r="AW37"/>
  <c r="N37"/>
  <c r="E2" i="49"/>
  <c r="AQ37" i="44"/>
  <c r="AI37"/>
  <c r="M37"/>
  <c r="U37"/>
  <c r="Z37"/>
  <c r="P37"/>
  <c r="W37"/>
  <c r="V37"/>
  <c r="F2" i="49"/>
  <c r="J2"/>
  <c r="K37" i="44"/>
  <c r="AN37"/>
  <c r="AR37"/>
  <c r="Q37"/>
  <c r="O37"/>
  <c r="J37"/>
  <c r="AM37"/>
  <c r="AX37"/>
  <c r="L37"/>
  <c r="AP37"/>
  <c r="AP38" s="1"/>
  <c r="AO37"/>
  <c r="AS37"/>
  <c r="G13" i="14"/>
  <c r="I13" s="1"/>
  <c r="Z33" i="1"/>
  <c r="G13" i="17"/>
  <c r="I13" s="1"/>
  <c r="G32" i="27"/>
  <c r="AR31" i="49"/>
  <c r="BL34" i="1"/>
  <c r="BJ33"/>
  <c r="AH31" i="45"/>
  <c r="AF33" i="1"/>
  <c r="G13" i="24"/>
  <c r="I13" s="1"/>
  <c r="AB33" i="1"/>
  <c r="AE33" s="1"/>
  <c r="AA34"/>
  <c r="AE34" s="1"/>
  <c r="G13" i="28"/>
  <c r="I13" s="1"/>
  <c r="Z34" i="1"/>
  <c r="BM34"/>
  <c r="AK33"/>
  <c r="BJ34"/>
  <c r="AF34"/>
  <c r="BP34"/>
  <c r="G13" i="13"/>
  <c r="I13" s="1"/>
  <c r="G13" i="33"/>
  <c r="I13" s="1"/>
  <c r="AO18" i="1"/>
  <c r="G13" i="22"/>
  <c r="I13" s="1"/>
  <c r="E7" i="43"/>
  <c r="E7" i="42"/>
  <c r="G7" s="1"/>
  <c r="E27" s="1"/>
  <c r="G27" s="1"/>
  <c r="G31" s="1"/>
  <c r="G13" i="12"/>
  <c r="I13" s="1"/>
  <c r="AO23" i="1"/>
  <c r="I32"/>
  <c r="E30" i="47" s="1"/>
  <c r="G95" i="9"/>
  <c r="BP33" i="1"/>
  <c r="G13" i="20"/>
  <c r="I13" s="1"/>
  <c r="AE24" i="45"/>
  <c r="BD29" i="49" s="1"/>
  <c r="G13" i="16"/>
  <c r="I13" s="1"/>
  <c r="G13" i="21"/>
  <c r="I13" s="1"/>
  <c r="G13" i="43"/>
  <c r="G152" i="33"/>
  <c r="G13" i="19"/>
  <c r="I13" s="1"/>
  <c r="AH24" i="45"/>
  <c r="BD32" i="49" s="1"/>
  <c r="G13" i="27"/>
  <c r="I13" s="1"/>
  <c r="G13" i="15"/>
  <c r="I13" s="1"/>
  <c r="E24" i="45"/>
  <c r="BD3" i="49" s="1"/>
  <c r="K24" i="45"/>
  <c r="BD9" i="49" s="1"/>
  <c r="F24" i="45"/>
  <c r="BD4" i="49" s="1"/>
  <c r="AV36" i="44"/>
  <c r="G13" i="40"/>
  <c r="I13" s="1"/>
  <c r="G13" i="31"/>
  <c r="I60" s="1"/>
  <c r="G13" i="25"/>
  <c r="I60" s="1"/>
  <c r="V24" i="45"/>
  <c r="BD20" i="49" s="1"/>
  <c r="Z24" i="45"/>
  <c r="BD24" i="49" s="1"/>
  <c r="G13" i="30"/>
  <c r="I13" s="1"/>
  <c r="G13" i="18"/>
  <c r="I13" s="1"/>
  <c r="G13" i="29"/>
  <c r="I13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E37" s="1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G32" i="40"/>
  <c r="AQ17" i="49"/>
  <c r="AH2"/>
  <c r="AI2"/>
  <c r="G31" i="47"/>
  <c r="F31" i="49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M16" s="1"/>
  <c r="E19" i="44"/>
  <c r="Q24" i="45"/>
  <c r="BD15" i="49" s="1"/>
  <c r="P17" i="1"/>
  <c r="I15" i="47" s="1"/>
  <c r="M15" s="1"/>
  <c r="E18" i="44"/>
  <c r="P24" i="45"/>
  <c r="BD14" i="49" s="1"/>
  <c r="P16" i="1"/>
  <c r="I14" i="47" s="1"/>
  <c r="E17" i="44"/>
  <c r="O24" i="45"/>
  <c r="BD13" i="49" s="1"/>
  <c r="N24" i="45"/>
  <c r="BD12" i="49" s="1"/>
  <c r="M15" i="1"/>
  <c r="G13" i="47" s="1"/>
  <c r="D16" i="44"/>
  <c r="E15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AO22"/>
  <c r="AO16"/>
  <c r="I13" i="7"/>
  <c r="H9" i="35"/>
  <c r="I134" i="43"/>
  <c r="BJ5" i="1"/>
  <c r="I9" i="35"/>
  <c r="AM36" i="1"/>
  <c r="E28" i="13"/>
  <c r="G28" s="1"/>
  <c r="G32" s="1"/>
  <c r="I22" i="44"/>
  <c r="H19" i="49" s="1"/>
  <c r="G22" i="44"/>
  <c r="F19" i="49" s="1"/>
  <c r="AN16" i="44"/>
  <c r="BG13" i="49" s="1"/>
  <c r="AO30" i="1"/>
  <c r="I21" i="44"/>
  <c r="H18" i="49" s="1"/>
  <c r="AT32" i="44"/>
  <c r="BM29" i="49" s="1"/>
  <c r="G129" i="13"/>
  <c r="AO29" i="1"/>
  <c r="F22" i="44"/>
  <c r="E19" i="49" s="1"/>
  <c r="J23" i="44"/>
  <c r="I20" i="49" s="1"/>
  <c r="AL21" i="1"/>
  <c r="AU22" i="44"/>
  <c r="AL20" i="1"/>
  <c r="AO20" s="1"/>
  <c r="AU21" i="44"/>
  <c r="AU37" s="1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G144" s="1"/>
  <c r="T30" i="45"/>
  <c r="T31" s="1"/>
  <c r="BJ14" i="1"/>
  <c r="G144" i="33"/>
  <c r="G146"/>
  <c r="I8" i="1"/>
  <c r="E6" i="47" s="1"/>
  <c r="G150" i="33"/>
  <c r="G154"/>
  <c r="G148"/>
  <c r="I6" i="35"/>
  <c r="H6"/>
  <c r="I139" i="19"/>
  <c r="I134" i="18"/>
  <c r="AO7" i="1"/>
  <c r="AH19"/>
  <c r="AH35" s="1"/>
  <c r="H5" i="35"/>
  <c r="K5" s="1"/>
  <c r="AB35" i="1"/>
  <c r="L28"/>
  <c r="G173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8"/>
  <c r="O22"/>
  <c r="O20"/>
  <c r="O13"/>
  <c r="O12"/>
  <c r="M10" i="47"/>
  <c r="O4" i="1"/>
  <c r="L9"/>
  <c r="O14"/>
  <c r="O24"/>
  <c r="U30" i="45"/>
  <c r="U31" s="1"/>
  <c r="O7" i="1"/>
  <c r="O32"/>
  <c r="O28"/>
  <c r="L11"/>
  <c r="O6"/>
  <c r="O10"/>
  <c r="M8" i="47"/>
  <c r="O31" i="1"/>
  <c r="O29"/>
  <c r="O23"/>
  <c r="N30" i="45"/>
  <c r="O16" i="1"/>
  <c r="O11"/>
  <c r="O26"/>
  <c r="I25" i="45"/>
  <c r="BE7" i="49" s="1"/>
  <c r="O9" i="1"/>
  <c r="O18"/>
  <c r="O30"/>
  <c r="O19"/>
  <c r="O25"/>
  <c r="O21"/>
  <c r="L20"/>
  <c r="AS36"/>
  <c r="BJ16"/>
  <c r="H30" i="45"/>
  <c r="H31" s="1"/>
  <c r="BM28" i="1"/>
  <c r="BN28"/>
  <c r="I13" i="35"/>
  <c r="AO15" i="1"/>
  <c r="G32" i="17"/>
  <c r="G32" i="22"/>
  <c r="AE14" i="1"/>
  <c r="I137" i="19"/>
  <c r="I134"/>
  <c r="G47" i="20"/>
  <c r="G145"/>
  <c r="G146" s="1"/>
  <c r="BJ22" i="1"/>
  <c r="G59" i="19"/>
  <c r="G145" i="18"/>
  <c r="G146" s="1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G32" s="1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G150" i="23"/>
  <c r="G146"/>
  <c r="G148"/>
  <c r="G154"/>
  <c r="G152"/>
  <c r="G144"/>
  <c r="P25" i="1"/>
  <c r="H119" i="23"/>
  <c r="J119" s="1"/>
  <c r="I13"/>
  <c r="BJ24" i="1"/>
  <c r="AT5" i="44"/>
  <c r="Z21" i="1"/>
  <c r="Y36"/>
  <c r="G32" i="16"/>
  <c r="BA16" i="44"/>
  <c r="M25" i="45"/>
  <c r="BE11" i="49" s="1"/>
  <c r="I14" i="35"/>
  <c r="AL15" i="44"/>
  <c r="AK12" i="49" s="1"/>
  <c r="H13" i="35"/>
  <c r="G32" i="8"/>
  <c r="G32" i="20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G173" i="15"/>
  <c r="O25" i="45"/>
  <c r="BE13" i="49" s="1"/>
  <c r="H16" i="35"/>
  <c r="K16" s="1"/>
  <c r="G173" i="13"/>
  <c r="G173" i="14"/>
  <c r="AE15" i="1"/>
  <c r="I15" i="35"/>
  <c r="H15"/>
  <c r="AJ16" i="44"/>
  <c r="AI13" i="49" s="1"/>
  <c r="H119" i="13"/>
  <c r="J119" s="1"/>
  <c r="G28" i="11"/>
  <c r="G30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G150" i="30"/>
  <c r="H120"/>
  <c r="G32" i="7"/>
  <c r="G102" i="43"/>
  <c r="Z6" i="1"/>
  <c r="BJ18"/>
  <c r="Y25" i="45"/>
  <c r="BE23" i="49" s="1"/>
  <c r="G32" i="29"/>
  <c r="G144" i="30"/>
  <c r="H119"/>
  <c r="G146"/>
  <c r="G60"/>
  <c r="G32" i="23"/>
  <c r="G32" i="24"/>
  <c r="G147" i="19"/>
  <c r="G148" s="1"/>
  <c r="G147" i="18"/>
  <c r="G148" s="1"/>
  <c r="X36" i="1"/>
  <c r="AK20"/>
  <c r="Q25" i="45"/>
  <c r="BE15" i="49" s="1"/>
  <c r="G154" i="13"/>
  <c r="H120"/>
  <c r="J120" s="1"/>
  <c r="Z5" i="1"/>
  <c r="K11" i="35"/>
  <c r="AN6" i="44"/>
  <c r="BG3" i="49" s="1"/>
  <c r="AY5" i="44"/>
  <c r="G32" i="21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G32" i="33"/>
  <c r="G32" i="14"/>
  <c r="AK15" i="1"/>
  <c r="AY16" i="44"/>
  <c r="N25" i="45"/>
  <c r="BE12" i="49" s="1"/>
  <c r="AK14" i="1"/>
  <c r="G32" i="12"/>
  <c r="AK13" i="1"/>
  <c r="BN13"/>
  <c r="L13"/>
  <c r="BM13"/>
  <c r="AK12"/>
  <c r="Z12"/>
  <c r="AT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Y11" i="44"/>
  <c r="G32" i="19"/>
  <c r="AT8" i="44"/>
  <c r="BM5" i="49" s="1"/>
  <c r="AY9" i="44"/>
  <c r="I15" i="1"/>
  <c r="E13" i="47" s="1"/>
  <c r="H14" i="35"/>
  <c r="Z29" i="1"/>
  <c r="AK29"/>
  <c r="G32" i="28"/>
  <c r="AG25" i="45"/>
  <c r="BE31" i="49" s="1"/>
  <c r="AY25" i="44"/>
  <c r="AY23"/>
  <c r="AY19"/>
  <c r="Z9" i="1"/>
  <c r="Z15"/>
  <c r="Z10"/>
  <c r="L18"/>
  <c r="AE25" i="45"/>
  <c r="BE29" i="49" s="1"/>
  <c r="AY20" i="44"/>
  <c r="H129" i="18"/>
  <c r="J129" s="1"/>
  <c r="J129" i="17"/>
  <c r="AK16" i="1"/>
  <c r="AK24"/>
  <c r="AK25"/>
  <c r="AK10"/>
  <c r="Z8"/>
  <c r="AY13" i="44"/>
  <c r="AY27"/>
  <c r="G32" i="43"/>
  <c r="AY15" i="44"/>
  <c r="AY14"/>
  <c r="AK7" i="1"/>
  <c r="F25" i="45"/>
  <c r="BE4" i="49" s="1"/>
  <c r="G25" i="45"/>
  <c r="BE5" i="49" s="1"/>
  <c r="T4" i="1"/>
  <c r="Z4"/>
  <c r="G60" i="43"/>
  <c r="I60" s="1"/>
  <c r="AY34" i="44"/>
  <c r="G32" i="30"/>
  <c r="AK31" i="1"/>
  <c r="Z31"/>
  <c r="BP31"/>
  <c r="BQ31" s="1"/>
  <c r="BJ31"/>
  <c r="BJ41" s="1"/>
  <c r="AK30"/>
  <c r="AY31" i="44"/>
  <c r="AC25" i="45"/>
  <c r="BE27" i="49" s="1"/>
  <c r="BN30" i="1"/>
  <c r="AY30" i="44"/>
  <c r="AB25" i="45"/>
  <c r="BE26" i="49" s="1"/>
  <c r="Z28" i="1"/>
  <c r="Z26"/>
  <c r="AF25"/>
  <c r="Z25"/>
  <c r="AF24"/>
  <c r="AG24" s="1"/>
  <c r="Z24"/>
  <c r="Z23"/>
  <c r="G149" i="20"/>
  <c r="G150" s="1"/>
  <c r="G47" i="18"/>
  <c r="AF18" i="1"/>
  <c r="BN27"/>
  <c r="AT34" i="44"/>
  <c r="BM31" i="49" s="1"/>
  <c r="AF21" i="1"/>
  <c r="BG20"/>
  <c r="G146" i="13"/>
  <c r="G148"/>
  <c r="G152"/>
  <c r="G144"/>
  <c r="G150"/>
  <c r="Z19" i="1"/>
  <c r="AK5"/>
  <c r="AT33" i="44"/>
  <c r="BM30" i="49" s="1"/>
  <c r="BP24" i="1"/>
  <c r="BQ24" s="1"/>
  <c r="AV36"/>
  <c r="BL28"/>
  <c r="AF28"/>
  <c r="AG28" s="1"/>
  <c r="BP28"/>
  <c r="BQ28" s="1"/>
  <c r="G47" i="19"/>
  <c r="AX36" i="1"/>
  <c r="AT17" i="44"/>
  <c r="BM14" i="49" s="1"/>
  <c r="K18" i="35"/>
  <c r="G146" i="19"/>
  <c r="BP21" i="1"/>
  <c r="G150" i="19"/>
  <c r="BP23" i="1"/>
  <c r="AK6"/>
  <c r="AF19"/>
  <c r="AG19" s="1"/>
  <c r="AF15"/>
  <c r="AT18" i="44"/>
  <c r="BM15" i="49" s="1"/>
  <c r="AT20" i="44"/>
  <c r="BM17" i="49" s="1"/>
  <c r="G152" i="19"/>
  <c r="Z30" i="1"/>
  <c r="AT9" i="44"/>
  <c r="BM6" i="49" s="1"/>
  <c r="AU36" i="1"/>
  <c r="K12" i="35"/>
  <c r="AT36" i="1"/>
  <c r="O17" i="35"/>
  <c r="AT14" i="44"/>
  <c r="BM11" i="49" s="1"/>
  <c r="BP13" i="1"/>
  <c r="BQ13" s="1"/>
  <c r="BP14"/>
  <c r="AT25" i="44"/>
  <c r="BM22" i="49" s="1"/>
  <c r="AT7" i="44"/>
  <c r="BM4" i="49" s="1"/>
  <c r="K7" i="35"/>
  <c r="AF16" i="1"/>
  <c r="AG16" s="1"/>
  <c r="AT11" i="44"/>
  <c r="BM8" i="49" s="1"/>
  <c r="BJ32" i="1"/>
  <c r="BM18"/>
  <c r="AT19" i="44"/>
  <c r="BM16" i="49" s="1"/>
  <c r="BP26" i="1"/>
  <c r="BQ26" s="1"/>
  <c r="AF14"/>
  <c r="AF31"/>
  <c r="AG31" s="1"/>
  <c r="BP16"/>
  <c r="BQ16" s="1"/>
  <c r="BP22"/>
  <c r="BQ22" s="1"/>
  <c r="AF26"/>
  <c r="AG26" s="1"/>
  <c r="AF22"/>
  <c r="AG22" s="1"/>
  <c r="BM32" i="49"/>
  <c r="BL13" i="1"/>
  <c r="I13" i="11"/>
  <c r="AT15" i="44"/>
  <c r="BM12" i="49" s="1"/>
  <c r="AF13" i="1"/>
  <c r="AG13" s="1"/>
  <c r="BM11"/>
  <c r="BN11"/>
  <c r="K10" i="35"/>
  <c r="AT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T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T31" i="44"/>
  <c r="BM28" i="49" s="1"/>
  <c r="AF30" i="1"/>
  <c r="AG30" s="1"/>
  <c r="BJ30"/>
  <c r="AT29" i="44"/>
  <c r="BM26" i="49" s="1"/>
  <c r="AT27" i="44"/>
  <c r="BM24" i="49" s="1"/>
  <c r="AT23" i="44"/>
  <c r="BM20" i="49" s="1"/>
  <c r="G153" i="19"/>
  <c r="G154" s="1"/>
  <c r="BN20" i="1"/>
  <c r="G59" i="18"/>
  <c r="P4" i="1"/>
  <c r="I2" i="47" s="1"/>
  <c r="AT21" i="44"/>
  <c r="BM18" i="49" s="1"/>
  <c r="AT30" i="44"/>
  <c r="BM27" i="49" s="1"/>
  <c r="AT24" i="44"/>
  <c r="BM21" i="49" s="1"/>
  <c r="AT26" i="44"/>
  <c r="BM23" i="49" s="1"/>
  <c r="AT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M24"/>
  <c r="BL24"/>
  <c r="BM5"/>
  <c r="BL5"/>
  <c r="BM25"/>
  <c r="BL25"/>
  <c r="BM12"/>
  <c r="BL12"/>
  <c r="L27"/>
  <c r="BL27"/>
  <c r="BM27"/>
  <c r="BM4"/>
  <c r="BL22"/>
  <c r="BM22"/>
  <c r="BM29"/>
  <c r="BL29"/>
  <c r="BN25"/>
  <c r="BN18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Z13"/>
  <c r="P28"/>
  <c r="I26" i="47" s="1"/>
  <c r="BP7" i="1"/>
  <c r="P20"/>
  <c r="I18" i="47" s="1"/>
  <c r="P15" i="1"/>
  <c r="I13" i="47" s="1"/>
  <c r="G146" i="29"/>
  <c r="P26" i="1"/>
  <c r="I24" i="47" s="1"/>
  <c r="I31" i="1"/>
  <c r="E29" i="47" s="1"/>
  <c r="G148" i="29"/>
  <c r="G150"/>
  <c r="G154"/>
  <c r="G152"/>
  <c r="P6" i="1"/>
  <c r="I4" i="47" s="1"/>
  <c r="AK4" i="1"/>
  <c r="BP27"/>
  <c r="BQ27" s="1"/>
  <c r="G60" i="27"/>
  <c r="I59" s="1"/>
  <c r="P23" i="1"/>
  <c r="I21" i="47" s="1"/>
  <c r="Z16" i="1"/>
  <c r="P22"/>
  <c r="I20" i="47" s="1"/>
  <c r="P8" i="1"/>
  <c r="I6" i="47" s="1"/>
  <c r="P13" i="1"/>
  <c r="I11" i="47" s="1"/>
  <c r="BP30" i="1"/>
  <c r="BQ30" s="1"/>
  <c r="L29"/>
  <c r="P29"/>
  <c r="I27" i="47" s="1"/>
  <c r="Z11" i="1"/>
  <c r="AC36"/>
  <c r="L22"/>
  <c r="G60" i="28"/>
  <c r="I59" s="1"/>
  <c r="G60" i="17"/>
  <c r="I60" s="1"/>
  <c r="G60" i="15"/>
  <c r="G60" i="16"/>
  <c r="I59" s="1"/>
  <c r="AR36" i="1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P7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I59" s="1"/>
  <c r="G152" i="30"/>
  <c r="Z32" i="1"/>
  <c r="P32"/>
  <c r="I30" i="47" s="1"/>
  <c r="AK32" i="1"/>
  <c r="G148" i="30"/>
  <c r="G154"/>
  <c r="G144" i="29"/>
  <c r="AF32" i="1"/>
  <c r="BP32"/>
  <c r="G60" i="29"/>
  <c r="AJ37" i="44" l="1"/>
  <c r="AF37"/>
  <c r="AK37"/>
  <c r="AG37"/>
  <c r="AY37"/>
  <c r="AE37"/>
  <c r="AL37"/>
  <c r="G37"/>
  <c r="D36"/>
  <c r="D37"/>
  <c r="I37"/>
  <c r="AH37"/>
  <c r="F37"/>
  <c r="I60" i="12"/>
  <c r="BQ33" i="1"/>
  <c r="AG33"/>
  <c r="AA35"/>
  <c r="AG34"/>
  <c r="S18"/>
  <c r="BQ34"/>
  <c r="R9"/>
  <c r="BO9" s="1"/>
  <c r="S9"/>
  <c r="O31" i="45"/>
  <c r="BM32" i="1"/>
  <c r="G104" i="42"/>
  <c r="BL32" i="1"/>
  <c r="I13" i="42"/>
  <c r="G112"/>
  <c r="G106"/>
  <c r="L32" i="1"/>
  <c r="BN32"/>
  <c r="G114" i="42"/>
  <c r="I13" i="25"/>
  <c r="AO36" i="1"/>
  <c r="N7" i="43"/>
  <c r="E7" i="31"/>
  <c r="L8" i="1"/>
  <c r="G110" i="42"/>
  <c r="G108"/>
  <c r="I60" i="15"/>
  <c r="Y31" i="45"/>
  <c r="R31" i="1"/>
  <c r="BO31" s="1"/>
  <c r="G29" i="9"/>
  <c r="G32" s="1"/>
  <c r="AU36" i="44"/>
  <c r="AN36"/>
  <c r="BM8" i="1"/>
  <c r="AH36" i="44"/>
  <c r="BL8" i="1"/>
  <c r="E36" i="44"/>
  <c r="N31" i="45"/>
  <c r="K36" i="44"/>
  <c r="AF36"/>
  <c r="BN8" i="1"/>
  <c r="S17"/>
  <c r="R11"/>
  <c r="BO11" s="1"/>
  <c r="J118" i="43"/>
  <c r="F36" i="44"/>
  <c r="AG36"/>
  <c r="AY36"/>
  <c r="AE36"/>
  <c r="AI36"/>
  <c r="AL36"/>
  <c r="BQ23" i="1"/>
  <c r="AG31" i="45"/>
  <c r="R21" i="1"/>
  <c r="BO21" s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BO33" s="1"/>
  <c r="S33"/>
  <c r="J113" i="43"/>
  <c r="J121"/>
  <c r="J110"/>
  <c r="J106"/>
  <c r="J105"/>
  <c r="AF31" i="45"/>
  <c r="S31" i="1"/>
  <c r="S24"/>
  <c r="R24"/>
  <c r="BO24" s="1"/>
  <c r="R18"/>
  <c r="BO18" s="1"/>
  <c r="P36"/>
  <c r="R17"/>
  <c r="BO17" s="1"/>
  <c r="S16"/>
  <c r="R16"/>
  <c r="BO16" s="1"/>
  <c r="O15"/>
  <c r="AT16" i="44"/>
  <c r="BM13" i="49" s="1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M35" i="1"/>
  <c r="G3" i="47"/>
  <c r="I25"/>
  <c r="M25" s="1"/>
  <c r="R25" i="1"/>
  <c r="BO25" s="1"/>
  <c r="I23" i="47"/>
  <c r="M23" s="1"/>
  <c r="K9" i="35"/>
  <c r="I31" i="47"/>
  <c r="BL20" i="1"/>
  <c r="K13" i="35"/>
  <c r="BA34" i="44"/>
  <c r="BA33"/>
  <c r="J112" i="31"/>
  <c r="AG23" i="1"/>
  <c r="AL35"/>
  <c r="H120" i="21"/>
  <c r="H120" i="22" s="1"/>
  <c r="J120" s="1"/>
  <c r="J119" i="21"/>
  <c r="H119" i="22"/>
  <c r="J119" s="1"/>
  <c r="BA24" i="44"/>
  <c r="BA23"/>
  <c r="BA20"/>
  <c r="J119" i="20"/>
  <c r="BA21" i="44"/>
  <c r="BA26"/>
  <c r="AT6"/>
  <c r="BM3" i="49" s="1"/>
  <c r="BA18" i="44"/>
  <c r="BA22"/>
  <c r="BA29"/>
  <c r="BA30"/>
  <c r="BA31"/>
  <c r="BA27"/>
  <c r="BA19"/>
  <c r="BA25"/>
  <c r="BA17"/>
  <c r="BA32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M28" i="47"/>
  <c r="M6"/>
  <c r="AK19" i="1"/>
  <c r="AK35" s="1"/>
  <c r="M17" i="47"/>
  <c r="M27"/>
  <c r="J110" i="31"/>
  <c r="J116"/>
  <c r="H119" i="33"/>
  <c r="M22" i="47"/>
  <c r="O36" i="1"/>
  <c r="AG14"/>
  <c r="BQ14"/>
  <c r="J106" i="31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S14"/>
  <c r="M12" i="47"/>
  <c r="S6" i="1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BN31"/>
  <c r="M29" i="47"/>
  <c r="S28" i="1"/>
  <c r="M26" i="47"/>
  <c r="BL15" i="1"/>
  <c r="M7" i="47"/>
  <c r="J121" i="31"/>
  <c r="AG21" i="1"/>
  <c r="J113" i="31"/>
  <c r="J105"/>
  <c r="J118"/>
  <c r="G60" i="20"/>
  <c r="I60" s="1"/>
  <c r="BQ21" i="1"/>
  <c r="G60" i="19"/>
  <c r="I59" s="1"/>
  <c r="Z36" i="1"/>
  <c r="AK36"/>
  <c r="K14" i="35"/>
  <c r="BQ5" i="1"/>
  <c r="BQ4"/>
  <c r="BQ32"/>
  <c r="BQ25"/>
  <c r="AG25"/>
  <c r="I59" i="23"/>
  <c r="BQ18" i="1"/>
  <c r="BQ15"/>
  <c r="AG15"/>
  <c r="BQ10"/>
  <c r="BQ6"/>
  <c r="BQ7"/>
  <c r="L15"/>
  <c r="K15" i="35"/>
  <c r="G32" i="11"/>
  <c r="I60" i="30"/>
  <c r="R4" i="1"/>
  <c r="AF20"/>
  <c r="AG20" s="1"/>
  <c r="I59" i="11"/>
  <c r="H129" i="19"/>
  <c r="H129" i="20" s="1"/>
  <c r="I59" i="12"/>
  <c r="BM15" i="1"/>
  <c r="L36"/>
  <c r="BN15"/>
  <c r="G60" i="18"/>
  <c r="I59" s="1"/>
  <c r="BM21" i="1"/>
  <c r="BP20"/>
  <c r="BQ20" s="1"/>
  <c r="BJ20"/>
  <c r="BJ35" s="1"/>
  <c r="BN21"/>
  <c r="BP36"/>
  <c r="BM36"/>
  <c r="BL21"/>
  <c r="AG7"/>
  <c r="BL31"/>
  <c r="BL36"/>
  <c r="L31"/>
  <c r="BM31"/>
  <c r="S26"/>
  <c r="R20"/>
  <c r="BO20" s="1"/>
  <c r="R15"/>
  <c r="R6"/>
  <c r="BO6" s="1"/>
  <c r="R28"/>
  <c r="BO28" s="1"/>
  <c r="S13"/>
  <c r="H139" i="33"/>
  <c r="H134"/>
  <c r="H134" i="7" s="1"/>
  <c r="H134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R19"/>
  <c r="BO19" s="1"/>
  <c r="S19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21"/>
  <c r="I60"/>
  <c r="I59" i="13"/>
  <c r="I60"/>
  <c r="I59" i="24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AT37" i="44" l="1"/>
  <c r="J111" i="31"/>
  <c r="S36" i="1"/>
  <c r="N7" i="31"/>
  <c r="G7"/>
  <c r="R36" i="1"/>
  <c r="O35"/>
  <c r="AT36" i="44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9" i="19"/>
  <c r="J129" i="20"/>
  <c r="H129" i="21"/>
  <c r="H28" i="33"/>
  <c r="I60" i="18"/>
  <c r="J134" i="33"/>
  <c r="J134" i="7"/>
  <c r="H141" i="33"/>
  <c r="H141" i="7" s="1"/>
  <c r="J24"/>
  <c r="H24" i="8"/>
  <c r="BO36" i="1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35" i="44" l="1"/>
  <c r="G144" i="31"/>
  <c r="G152"/>
  <c r="G148"/>
  <c r="G150"/>
  <c r="G146"/>
  <c r="G154"/>
  <c r="I59"/>
  <c r="I13"/>
  <c r="J119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BO35" i="1"/>
  <c r="H152" i="33"/>
  <c r="J152" s="1"/>
  <c r="H154"/>
  <c r="J154" s="1"/>
  <c r="J81"/>
  <c r="H129"/>
  <c r="J129" s="1"/>
  <c r="H22" i="7"/>
  <c r="H22" i="8" s="1"/>
  <c r="H22" i="9" s="1"/>
  <c r="H22" i="10" s="1"/>
  <c r="J22" s="1"/>
  <c r="J129" i="21"/>
  <c r="H129" i="22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H151" i="7" l="1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J129" i="22"/>
  <c r="H129" i="23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J45" i="10" l="1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J129" i="23"/>
  <c r="H129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J46" i="10" l="1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J129" i="24"/>
  <c r="H129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H29" l="1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129" i="25"/>
  <c r="H129" i="40"/>
  <c r="J27" i="9"/>
  <c r="H27" i="11"/>
  <c r="H28" i="12"/>
  <c r="J28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J29" i="8" l="1"/>
  <c r="H31" i="12"/>
  <c r="J31" i="11"/>
  <c r="H153" i="10"/>
  <c r="J153" i="9"/>
  <c r="H30" i="11"/>
  <c r="J30" s="1"/>
  <c r="J129" i="40"/>
  <c r="H129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H31" i="13" l="1"/>
  <c r="J31" i="12"/>
  <c r="J153" i="10"/>
  <c r="H153" i="11"/>
  <c r="H30" i="12"/>
  <c r="J30" s="1"/>
  <c r="J60" i="10"/>
  <c r="H60" i="11"/>
  <c r="H60" i="12" s="1"/>
  <c r="J129" i="27"/>
  <c r="H129" i="28"/>
  <c r="J129" s="1"/>
  <c r="H29" i="12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H31" i="14" l="1"/>
  <c r="H31" i="15" s="1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6" l="1"/>
  <c r="H31" i="17" s="1"/>
  <c r="H31" i="18" s="1"/>
  <c r="H31" i="19" s="1"/>
  <c r="H31" i="20" s="1"/>
  <c r="J31" i="15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J31" i="20" l="1"/>
  <c r="H31" i="2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J31" i="21" l="1"/>
  <c r="H31" i="22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J31" i="22" l="1"/>
  <c r="H31" i="23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J31" i="23" l="1"/>
  <c r="H31" i="24"/>
  <c r="H31" i="25" s="1"/>
  <c r="H31" i="40" s="1"/>
  <c r="H31" i="27" s="1"/>
  <c r="H31" i="28" s="1"/>
  <c r="H31" i="29" s="1"/>
  <c r="H31" i="30" s="1"/>
  <c r="H31" i="43" s="1"/>
  <c r="J153" i="17"/>
  <c r="H153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J31" i="43" l="1"/>
  <c r="H31" i="31"/>
  <c r="J31" s="1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153" i="20" l="1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J153" i="20" l="1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J153" l="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H153" i="23" l="1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I33" i="1" s="1"/>
  <c r="L33" l="1"/>
  <c r="BL33"/>
  <c r="BN33"/>
  <c r="BM33"/>
  <c r="H7" i="43"/>
  <c r="H7" i="31" s="1"/>
  <c r="B34" i="44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B36" i="44" l="1"/>
  <c r="B37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<sst xmlns="http://schemas.openxmlformats.org/spreadsheetml/2006/main" count="10312" uniqueCount="371">
  <si>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</si>
  <si>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</si>
  <si>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</si>
  <si>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</si>
  <si>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</si>
  <si>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</si>
  <si>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</si>
  <si>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</si>
  <si>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</si>
  <si>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</si>
  <si>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</si>
  <si>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</si>
  <si>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</si>
  <si>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</si>
  <si>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</si>
  <si>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</si>
  <si>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</si>
  <si>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</si>
  <si>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</si>
  <si>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</si>
  <si>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</si>
  <si>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</si>
  <si>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</si>
  <si>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</si>
  <si>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</si>
  <si>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</si>
  <si>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</si>
  <si>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</si>
  <si>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</si>
  <si>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</si>
  <si>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</si>
  <si>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</si>
  <si>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</si>
  <si>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</si>
  <si>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</si>
  <si>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</si>
  <si>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</si>
  <si>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</si>
  <si>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</si>
  <si>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</si>
  <si>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</si>
  <si>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</si>
  <si>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</si>
  <si>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</si>
  <si>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</si>
  <si>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</si>
  <si>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</si>
  <si>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</si>
  <si>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</si>
  <si>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</si>
  <si>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</si>
  <si>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</si>
  <si>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</si>
  <si>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</si>
  <si>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</si>
  <si>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</si>
  <si>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</si>
  <si>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</si>
  <si>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</si>
  <si>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</si>
  <si>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</si>
  <si>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</si>
  <si>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</si>
  <si>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</si>
  <si>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</si>
  <si>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</si>
  <si>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</si>
  <si>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</si>
  <si>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</si>
  <si>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</si>
  <si>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</si>
  <si>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</si>
  <si>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</si>
  <si>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</si>
  <si>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</si>
  <si>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</si>
  <si>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</si>
  <si>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</si>
  <si>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</si>
  <si>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</si>
  <si>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</si>
  <si>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</si>
  <si>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</si>
  <si>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</si>
  <si>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</si>
  <si>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</si>
  <si>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</si>
  <si>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</si>
  <si>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</si>
  <si>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</si>
  <si>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</si>
  <si>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</si>
  <si>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</si>
  <si>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</si>
  <si>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</si>
  <si>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</si>
  <si>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</si>
  <si>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</si>
  <si>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</si>
  <si>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</si>
  <si>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</si>
  <si>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</si>
  <si>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</si>
  <si>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</si>
  <si>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</si>
  <si>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</si>
  <si>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</si>
  <si>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</si>
  <si>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</si>
  <si>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</si>
  <si>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</si>
  <si>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</si>
  <si>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</si>
  <si>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</si>
  <si>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</si>
  <si>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</si>
  <si>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</si>
  <si>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</si>
  <si>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</si>
  <si>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</si>
  <si>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</si>
  <si>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</si>
  <si>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</si>
  <si>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</si>
  <si>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</si>
  <si>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</si>
  <si>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</si>
  <si>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</si>
  <si>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</si>
  <si>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</si>
  <si>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</si>
  <si>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</si>
  <si>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</si>
  <si>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</si>
  <si>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</si>
  <si>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</si>
  <si>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</si>
  <si>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</si>
  <si>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</si>
  <si>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</si>
  <si>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</si>
  <si>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</si>
  <si>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</si>
  <si>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</si>
  <si>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</si>
  <si>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</si>
  <si>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</si>
  <si>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</si>
  <si>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</si>
  <si>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</si>
  <si>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</si>
  <si>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</si>
  <si>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</si>
  <si>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</si>
  <si>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</si>
  <si>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</si>
  <si>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</si>
  <si>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</si>
  <si>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</si>
  <si>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</si>
  <si>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</si>
  <si>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</si>
  <si>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</si>
  <si>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</si>
  <si>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</si>
  <si>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</si>
  <si>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</si>
  <si>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</si>
  <si>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</si>
  <si>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</si>
  <si>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</si>
  <si>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</si>
  <si>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</si>
  <si>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</si>
  <si>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</si>
  <si>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</si>
  <si>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</si>
  <si>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</si>
  <si>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</si>
  <si>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</si>
  <si>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</si>
  <si>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</si>
  <si>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</si>
  <si>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</si>
  <si>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</si>
  <si>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</si>
  <si>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</si>
  <si>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</si>
  <si>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</si>
  <si>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</si>
  <si>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</si>
  <si>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</si>
  <si>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</si>
  <si>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</si>
  <si>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</si>
  <si>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</si>
  <si>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</si>
  <si>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</si>
  <si>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</si>
  <si>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</si>
  <si>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</si>
  <si>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</si>
  <si>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</si>
  <si>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</si>
  <si>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</si>
  <si>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</si>
  <si>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</si>
  <si>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</si>
  <si>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</si>
  <si>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</si>
  <si>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</si>
  <si>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</si>
  <si>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</si>
  <si>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</si>
  <si>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</si>
  <si>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</si>
  <si>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</si>
  <si>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</si>
  <si>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</si>
  <si>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</si>
  <si>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</si>
  <si>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</si>
  <si>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</si>
  <si>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</si>
  <si>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</si>
  <si>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</si>
  <si>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</si>
  <si>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</si>
  <si>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</si>
  <si>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</si>
  <si>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</si>
  <si>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</si>
  <si>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</si>
  <si>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</si>
  <si>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</si>
  <si>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</si>
  <si>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</si>
  <si>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</si>
  <si>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</si>
  <si>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</si>
  <si>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</si>
  <si>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</si>
  <si>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</si>
  <si>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</si>
  <si>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</si>
  <si>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</si>
  <si>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</si>
  <si>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</si>
  <si>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</si>
  <si>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</si>
  <si>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</si>
  <si>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</si>
  <si>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</si>
  <si>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</si>
  <si>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</si>
  <si>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</si>
  <si>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</si>
  <si>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</si>
  <si>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</si>
  <si>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</si>
  <si>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</si>
  <si>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</si>
  <si>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</si>
  <si>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</si>
  <si>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</si>
  <si>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</si>
  <si>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</si>
  <si>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</si>
  <si>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</si>
  <si>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</si>
  <si>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</si>
  <si>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</si>
  <si>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</si>
  <si>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</si>
  <si>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</si>
  <si>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</si>
  <si>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</si>
  <si>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</si>
  <si>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</si>
  <si>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</si>
  <si>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</si>
  <si>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</si>
  <si>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</si>
  <si>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</si>
  <si>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</si>
  <si>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</si>
  <si>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</si>
  <si>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</si>
  <si>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</si>
  <si>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</si>
  <si>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</si>
  <si>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</si>
  <si>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</si>
  <si>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</si>
  <si>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</si>
  <si>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</si>
  <si>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</si>
  <si>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</si>
  <si>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</si>
  <si>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</si>
  <si>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</si>
  <si>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</si>
  <si>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</si>
  <si>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</si>
  <si>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</si>
  <si>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</si>
  <si>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</si>
  <si>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</si>
  <si>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</si>
  <si>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</si>
  <si>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</si>
  <si>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</si>
  <si>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</si>
  <si>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</si>
  <si>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</si>
  <si>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</si>
  <si>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</si>
  <si>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</si>
  <si>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</si>
  <si>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</si>
  <si>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</si>
  <si>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</si>
  <si>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</si>
  <si>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</si>
  <si>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</si>
  <si>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</si>
  <si>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</si>
  <si>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</si>
  <si>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</si>
  <si>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</si>
  <si>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</si>
  <si>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</si>
  <si>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</si>
  <si>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</si>
  <si>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</si>
  <si>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</si>
  <si>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</si>
  <si>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</si>
  <si>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</si>
  <si>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</si>
  <si>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</si>
  <si>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</si>
  <si>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</si>
  <si>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</si>
  <si>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 xml:space="preserve">Prepaired by --- Devendra </t>
  </si>
  <si>
    <t>HT Kwh</t>
  </si>
  <si>
    <t>HT Kvah</t>
  </si>
  <si>
    <t>Prepaired by---Ramesh</t>
  </si>
  <si>
    <t xml:space="preserve">Water </t>
  </si>
  <si>
    <t>MGL Gas</t>
  </si>
  <si>
    <t>Transformer -Load</t>
  </si>
  <si>
    <t>Prepaired by--Nilesh</t>
  </si>
  <si>
    <t>Prepaired by- Nilesh</t>
  </si>
  <si>
    <t>Prepaired by Nilesh</t>
  </si>
  <si>
    <t xml:space="preserve">Prepaired by------- Devendra </t>
  </si>
  <si>
    <t xml:space="preserve">20th Floor project office meter reading </t>
  </si>
  <si>
    <t xml:space="preserve">Prepaired by -- Devendra </t>
  </si>
  <si>
    <t>Prepaired by- Devendra</t>
  </si>
  <si>
    <t xml:space="preserve">Prepaired by---- Devendra </t>
  </si>
  <si>
    <t>Prepaired by- Prakash</t>
  </si>
  <si>
    <t xml:space="preserve">Average </t>
  </si>
  <si>
    <t>20th Floor Project office</t>
  </si>
  <si>
    <t xml:space="preserve">Prepaired by- Nilesh </t>
  </si>
  <si>
    <t>Prepaired by - Nilesh</t>
  </si>
  <si>
    <t>Prepaired by ---Nilesh</t>
  </si>
  <si>
    <t>Prepaired by-- Prakash</t>
  </si>
  <si>
    <t xml:space="preserve">Prepaired by- Prakash </t>
  </si>
  <si>
    <t>Prepaired by--Prakash</t>
  </si>
  <si>
    <t>Prepaired by-- Nilesh</t>
  </si>
  <si>
    <t>Prepaired by----Nilesh</t>
  </si>
  <si>
    <t>aaaa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</si>
</sst>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5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5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5" fillId="0" borderId="0"/>
    <xf numFmtId="0" fontId="87" fillId="0" borderId="0" applyNumberFormat="0" applyFill="0" applyBorder="0" applyAlignment="0" applyProtection="0"/>
    <xf numFmtId="0" fontId="4" fillId="0" borderId="0"/>
    <xf numFmtId="0" fontId="3" fillId="0" borderId="0"/>
    <xf numFmtId="0" fontId="3" fillId="0" borderId="0"/>
  </cellStyleXfs>
  <cellXfs count="1775">
    <xf numFmtId="0" fontId="0" fillId="0" borderId="0" xfId="0"/>
    <xf numFmtId="0" fontId="7" fillId="0" borderId="1" xfId="1" applyFont="1" applyFill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3" borderId="1" xfId="1" applyNumberFormat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1" fontId="9" fillId="0" borderId="1" xfId="1" applyNumberFormat="1" applyFont="1" applyBorder="1" applyAlignment="1">
      <alignment vertical="center" wrapText="1"/>
    </xf>
    <xf numFmtId="0" fontId="9" fillId="0" borderId="1" xfId="1" applyNumberFormat="1" applyFont="1" applyBorder="1" applyAlignment="1">
      <alignment horizontal="center" vertical="center" wrapText="1"/>
    </xf>
    <xf numFmtId="1" fontId="9" fillId="0" borderId="1" xfId="1" applyNumberFormat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1" applyFont="1" applyFill="1" applyBorder="1" applyAlignment="1">
      <alignment vertical="top" wrapText="1"/>
    </xf>
    <xf numFmtId="0" fontId="1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2" fillId="0" borderId="1" xfId="1" applyFont="1" applyFill="1" applyBorder="1" applyAlignment="1">
      <alignment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vertical="center" wrapText="1"/>
    </xf>
    <xf numFmtId="0" fontId="14" fillId="7" borderId="1" xfId="1" applyFont="1" applyFill="1" applyBorder="1" applyAlignment="1">
      <alignment vertical="top" wrapText="1"/>
    </xf>
    <xf numFmtId="1" fontId="14" fillId="7" borderId="1" xfId="1" applyNumberFormat="1" applyFont="1" applyFill="1" applyBorder="1" applyAlignment="1">
      <alignment vertical="top" wrapText="1"/>
    </xf>
    <xf numFmtId="2" fontId="14" fillId="0" borderId="1" xfId="1" applyNumberFormat="1" applyFont="1" applyFill="1" applyBorder="1" applyAlignment="1">
      <alignment vertical="top" wrapText="1"/>
    </xf>
    <xf numFmtId="2" fontId="14" fillId="0" borderId="1" xfId="1" applyNumberFormat="1" applyFont="1" applyBorder="1" applyAlignment="1"/>
    <xf numFmtId="10" fontId="14" fillId="0" borderId="1" xfId="1" applyNumberFormat="1" applyFont="1" applyBorder="1" applyAlignment="1"/>
    <xf numFmtId="2" fontId="14" fillId="7" borderId="1" xfId="1" applyNumberFormat="1" applyFont="1" applyFill="1" applyBorder="1" applyAlignment="1"/>
    <xf numFmtId="1" fontId="15" fillId="0" borderId="1" xfId="1" applyNumberFormat="1" applyFont="1" applyBorder="1" applyAlignment="1">
      <alignment horizontal="center" vertical="center" wrapText="1"/>
    </xf>
    <xf numFmtId="1" fontId="15" fillId="2" borderId="1" xfId="1" applyNumberFormat="1" applyFont="1" applyFill="1" applyBorder="1" applyAlignment="1">
      <alignment horizontal="center" vertical="center" wrapText="1"/>
    </xf>
    <xf numFmtId="1" fontId="14" fillId="0" borderId="1" xfId="1" applyNumberFormat="1" applyFont="1" applyFill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1" fontId="14" fillId="0" borderId="1" xfId="1" applyNumberFormat="1" applyFont="1" applyBorder="1" applyAlignment="1">
      <alignment vertical="center" wrapText="1"/>
    </xf>
    <xf numFmtId="0" fontId="14" fillId="0" borderId="1" xfId="1" applyNumberFormat="1" applyFont="1" applyBorder="1" applyAlignment="1">
      <alignment horizontal="center" vertical="center" wrapText="1"/>
    </xf>
    <xf numFmtId="1" fontId="14" fillId="0" borderId="1" xfId="1" applyNumberFormat="1" applyFont="1" applyBorder="1" applyAlignment="1"/>
    <xf numFmtId="1" fontId="5" fillId="0" borderId="0" xfId="1" applyNumberFormat="1" applyFont="1"/>
    <xf numFmtId="0" fontId="17" fillId="0" borderId="0" xfId="2" applyFont="1" applyAlignment="1" applyProtection="1"/>
    <xf numFmtId="0" fontId="0" fillId="0" borderId="0" xfId="0" applyFill="1"/>
    <xf numFmtId="0" fontId="19" fillId="0" borderId="0" xfId="0" applyFont="1"/>
    <xf numFmtId="0" fontId="20" fillId="9" borderId="1" xfId="3" applyFont="1" applyFill="1" applyBorder="1" applyAlignment="1">
      <alignment horizontal="center"/>
    </xf>
    <xf numFmtId="1" fontId="19" fillId="9" borderId="1" xfId="3" applyNumberFormat="1" applyFont="1" applyFill="1" applyBorder="1" applyAlignment="1">
      <alignment horizontal="center" vertical="center"/>
    </xf>
    <xf numFmtId="1" fontId="20" fillId="9" borderId="1" xfId="3" applyNumberFormat="1" applyFont="1" applyFill="1" applyBorder="1" applyAlignment="1">
      <alignment horizontal="center"/>
    </xf>
    <xf numFmtId="164" fontId="20" fillId="9" borderId="2" xfId="3" applyNumberFormat="1" applyFont="1" applyFill="1" applyBorder="1" applyAlignment="1">
      <alignment horizontal="center"/>
    </xf>
    <xf numFmtId="0" fontId="20" fillId="2" borderId="6" xfId="3" applyFont="1" applyFill="1" applyBorder="1" applyAlignment="1">
      <alignment horizontal="center" vertical="center"/>
    </xf>
    <xf numFmtId="0" fontId="19" fillId="0" borderId="0" xfId="0" applyFont="1" applyBorder="1"/>
    <xf numFmtId="0" fontId="20" fillId="9" borderId="1" xfId="3" applyFont="1" applyFill="1" applyBorder="1"/>
    <xf numFmtId="9" fontId="19" fillId="9" borderId="1" xfId="3" applyNumberFormat="1" applyFont="1" applyFill="1" applyBorder="1" applyAlignment="1">
      <alignment horizontal="left"/>
    </xf>
    <xf numFmtId="2" fontId="20" fillId="9" borderId="1" xfId="3" applyNumberFormat="1" applyFont="1" applyFill="1" applyBorder="1" applyAlignment="1">
      <alignment horizontal="center"/>
    </xf>
    <xf numFmtId="9" fontId="19" fillId="9" borderId="1" xfId="3" applyNumberFormat="1" applyFont="1" applyFill="1" applyBorder="1" applyAlignment="1">
      <alignment horizontal="center"/>
    </xf>
    <xf numFmtId="1" fontId="19" fillId="9" borderId="1" xfId="3" applyNumberFormat="1" applyFont="1" applyFill="1" applyBorder="1" applyAlignment="1">
      <alignment horizontal="center"/>
    </xf>
    <xf numFmtId="0" fontId="19" fillId="9" borderId="2" xfId="3" applyNumberFormat="1" applyFont="1" applyFill="1" applyBorder="1" applyAlignment="1">
      <alignment horizontal="center" vertical="center"/>
    </xf>
    <xf numFmtId="164" fontId="20" fillId="2" borderId="6" xfId="3" applyNumberFormat="1" applyFont="1" applyFill="1" applyBorder="1" applyAlignment="1">
      <alignment horizontal="center"/>
    </xf>
    <xf numFmtId="0" fontId="19" fillId="9" borderId="1" xfId="3" applyNumberFormat="1" applyFont="1" applyFill="1" applyBorder="1" applyAlignment="1">
      <alignment horizontal="center"/>
    </xf>
    <xf numFmtId="164" fontId="20" fillId="2" borderId="6" xfId="3" applyNumberFormat="1" applyFont="1" applyFill="1" applyBorder="1" applyAlignment="1">
      <alignment horizontal="center" vertical="center" wrapText="1" shrinkToFit="1"/>
    </xf>
    <xf numFmtId="0" fontId="20" fillId="8" borderId="1" xfId="3" applyFont="1" applyFill="1" applyBorder="1" applyAlignment="1">
      <alignment horizontal="center" vertical="center"/>
    </xf>
    <xf numFmtId="0" fontId="20" fillId="8" borderId="1" xfId="3" applyFont="1" applyFill="1" applyBorder="1" applyAlignment="1">
      <alignment horizontal="center"/>
    </xf>
    <xf numFmtId="2" fontId="19" fillId="8" borderId="1" xfId="3" applyNumberFormat="1" applyFont="1" applyFill="1" applyBorder="1" applyAlignment="1">
      <alignment horizontal="center"/>
    </xf>
    <xf numFmtId="1" fontId="20" fillId="8" borderId="1" xfId="3" applyNumberFormat="1" applyFont="1" applyFill="1" applyBorder="1" applyAlignment="1">
      <alignment horizontal="center"/>
    </xf>
    <xf numFmtId="1" fontId="20" fillId="8" borderId="2" xfId="5" applyNumberFormat="1" applyFont="1" applyFill="1" applyBorder="1" applyAlignment="1" applyProtection="1">
      <alignment horizontal="center"/>
    </xf>
    <xf numFmtId="1" fontId="20" fillId="2" borderId="6" xfId="5" applyNumberFormat="1" applyFont="1" applyFill="1" applyBorder="1" applyAlignment="1" applyProtection="1">
      <alignment horizontal="center"/>
    </xf>
    <xf numFmtId="0" fontId="20" fillId="11" borderId="1" xfId="3" applyFont="1" applyFill="1" applyBorder="1" applyAlignment="1">
      <alignment horizontal="center" vertical="center"/>
    </xf>
    <xf numFmtId="1" fontId="20" fillId="11" borderId="1" xfId="3" applyNumberFormat="1" applyFont="1" applyFill="1" applyBorder="1" applyAlignment="1">
      <alignment horizontal="center" vertical="center"/>
    </xf>
    <xf numFmtId="1" fontId="19" fillId="12" borderId="1" xfId="3" applyNumberFormat="1" applyFont="1" applyFill="1" applyBorder="1" applyAlignment="1">
      <alignment horizontal="center"/>
    </xf>
    <xf numFmtId="1" fontId="20" fillId="11" borderId="2" xfId="3" applyNumberFormat="1" applyFont="1" applyFill="1" applyBorder="1" applyAlignment="1">
      <alignment horizontal="center" vertical="center"/>
    </xf>
    <xf numFmtId="167" fontId="20" fillId="8" borderId="2" xfId="3" applyNumberFormat="1" applyFont="1" applyFill="1" applyBorder="1" applyAlignment="1">
      <alignment vertical="center"/>
    </xf>
    <xf numFmtId="167" fontId="20" fillId="8" borderId="3" xfId="3" applyNumberFormat="1" applyFont="1" applyFill="1" applyBorder="1" applyAlignment="1">
      <alignment vertical="center"/>
    </xf>
    <xf numFmtId="167" fontId="20" fillId="8" borderId="4" xfId="3" applyNumberFormat="1" applyFont="1" applyFill="1" applyBorder="1" applyAlignment="1">
      <alignment vertical="center"/>
    </xf>
    <xf numFmtId="0" fontId="19" fillId="0" borderId="1" xfId="4" applyFont="1" applyBorder="1" applyAlignment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2" fontId="19" fillId="8" borderId="1" xfId="3" applyNumberFormat="1" applyFont="1" applyFill="1" applyBorder="1" applyAlignment="1">
      <alignment horizontal="right"/>
    </xf>
    <xf numFmtId="2" fontId="20" fillId="8" borderId="1" xfId="3" applyNumberFormat="1" applyFont="1" applyFill="1" applyBorder="1" applyAlignment="1">
      <alignment horizontal="center"/>
    </xf>
    <xf numFmtId="0" fontId="20" fillId="11" borderId="1" xfId="3" applyFont="1" applyFill="1" applyBorder="1" applyAlignment="1">
      <alignment horizontal="center"/>
    </xf>
    <xf numFmtId="1" fontId="20" fillId="11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20" fillId="11" borderId="2" xfId="3" applyNumberFormat="1" applyFont="1" applyFill="1" applyBorder="1" applyAlignment="1">
      <alignment horizontal="center"/>
    </xf>
    <xf numFmtId="0" fontId="20" fillId="2" borderId="6" xfId="3" applyFont="1" applyFill="1" applyBorder="1" applyAlignment="1">
      <alignment horizontal="center"/>
    </xf>
    <xf numFmtId="2" fontId="20" fillId="8" borderId="2" xfId="3" applyNumberFormat="1" applyFont="1" applyFill="1" applyBorder="1" applyAlignment="1">
      <alignment horizontal="left" vertical="center"/>
    </xf>
    <xf numFmtId="2" fontId="20" fillId="8" borderId="3" xfId="3" applyNumberFormat="1" applyFont="1" applyFill="1" applyBorder="1" applyAlignment="1">
      <alignment horizontal="left" vertical="center"/>
    </xf>
    <xf numFmtId="2" fontId="20" fillId="8" borderId="4" xfId="3" applyNumberFormat="1" applyFont="1" applyFill="1" applyBorder="1" applyAlignment="1">
      <alignment horizontal="left" vertical="center"/>
    </xf>
    <xf numFmtId="1" fontId="20" fillId="8" borderId="1" xfId="3" applyNumberFormat="1" applyFont="1" applyFill="1" applyBorder="1" applyAlignment="1">
      <alignment horizontal="center" vertical="center"/>
    </xf>
    <xf numFmtId="0" fontId="19" fillId="0" borderId="1" xfId="4" applyFont="1" applyBorder="1"/>
    <xf numFmtId="0" fontId="19" fillId="2" borderId="1" xfId="3" applyFont="1" applyFill="1" applyBorder="1" applyAlignment="1">
      <alignment horizontal="center"/>
    </xf>
    <xf numFmtId="0" fontId="6" fillId="0" borderId="1" xfId="4" applyFont="1" applyBorder="1" applyAlignment="1">
      <alignment horizontal="center"/>
    </xf>
    <xf numFmtId="2" fontId="20" fillId="2" borderId="6" xfId="5" applyNumberFormat="1" applyFont="1" applyFill="1" applyBorder="1" applyAlignment="1" applyProtection="1">
      <alignment horizontal="center"/>
    </xf>
    <xf numFmtId="165" fontId="19" fillId="0" borderId="1" xfId="6" applyNumberFormat="1" applyFont="1" applyFill="1" applyBorder="1" applyAlignment="1"/>
    <xf numFmtId="165" fontId="20" fillId="2" borderId="6" xfId="6" applyNumberFormat="1" applyFont="1" applyFill="1" applyBorder="1" applyAlignment="1">
      <alignment horizontal="center"/>
    </xf>
    <xf numFmtId="1" fontId="19" fillId="8" borderId="1" xfId="5" applyNumberFormat="1" applyFont="1" applyFill="1" applyBorder="1" applyAlignment="1">
      <alignment horizontal="right"/>
    </xf>
    <xf numFmtId="43" fontId="19" fillId="8" borderId="1" xfId="7" applyFont="1" applyFill="1" applyBorder="1" applyAlignment="1">
      <alignment horizontal="right" wrapText="1"/>
    </xf>
    <xf numFmtId="164" fontId="20" fillId="2" borderId="6" xfId="5" applyNumberFormat="1" applyFont="1" applyFill="1" applyBorder="1" applyAlignment="1" applyProtection="1">
      <alignment horizontal="center"/>
    </xf>
    <xf numFmtId="0" fontId="20" fillId="0" borderId="1" xfId="4" applyFont="1" applyBorder="1"/>
    <xf numFmtId="164" fontId="19" fillId="12" borderId="1" xfId="5" applyNumberFormat="1" applyFont="1" applyFill="1" applyBorder="1" applyAlignment="1" applyProtection="1">
      <alignment horizontal="right"/>
    </xf>
    <xf numFmtId="0" fontId="23" fillId="0" borderId="1" xfId="4" applyFont="1" applyBorder="1" applyAlignment="1">
      <alignment horizontal="center"/>
    </xf>
    <xf numFmtId="2" fontId="24" fillId="8" borderId="1" xfId="3" applyNumberFormat="1" applyFont="1" applyFill="1" applyBorder="1" applyAlignment="1">
      <alignment horizontal="center"/>
    </xf>
    <xf numFmtId="1" fontId="20" fillId="8" borderId="2" xfId="3" applyNumberFormat="1" applyFont="1" applyFill="1" applyBorder="1" applyAlignment="1">
      <alignment horizontal="center"/>
    </xf>
    <xf numFmtId="1" fontId="24" fillId="8" borderId="1" xfId="5" applyNumberFormat="1" applyFont="1" applyFill="1" applyBorder="1" applyAlignment="1">
      <alignment horizontal="center" vertical="center"/>
    </xf>
    <xf numFmtId="2" fontId="19" fillId="8" borderId="1" xfId="9" applyNumberFormat="1" applyFont="1" applyFill="1" applyBorder="1" applyAlignment="1">
      <alignment horizontal="right"/>
    </xf>
    <xf numFmtId="1" fontId="24" fillId="0" borderId="1" xfId="4" applyNumberFormat="1" applyFont="1" applyBorder="1" applyAlignment="1">
      <alignment horizontal="center"/>
    </xf>
    <xf numFmtId="1" fontId="24" fillId="8" borderId="1" xfId="3" applyNumberFormat="1" applyFont="1" applyFill="1" applyBorder="1" applyAlignment="1">
      <alignment horizontal="center" vertical="center"/>
    </xf>
    <xf numFmtId="0" fontId="21" fillId="10" borderId="1" xfId="3" applyFont="1" applyFill="1" applyBorder="1" applyAlignment="1"/>
    <xf numFmtId="0" fontId="21" fillId="10" borderId="2" xfId="3" applyFont="1" applyFill="1" applyBorder="1" applyAlignment="1"/>
    <xf numFmtId="0" fontId="21" fillId="10" borderId="3" xfId="3" applyFont="1" applyFill="1" applyBorder="1" applyAlignment="1"/>
    <xf numFmtId="0" fontId="20" fillId="10" borderId="3" xfId="3" applyFont="1" applyFill="1" applyBorder="1" applyAlignment="1"/>
    <xf numFmtId="1" fontId="20" fillId="10" borderId="1" xfId="3" applyNumberFormat="1" applyFont="1" applyFill="1" applyBorder="1" applyAlignment="1">
      <alignment horizontal="center"/>
    </xf>
    <xf numFmtId="164" fontId="19" fillId="10" borderId="1" xfId="5" applyNumberFormat="1" applyFont="1" applyFill="1" applyBorder="1" applyAlignment="1" applyProtection="1">
      <alignment horizontal="center" vertical="top"/>
    </xf>
    <xf numFmtId="1" fontId="20" fillId="10" borderId="2" xfId="5" applyNumberFormat="1" applyFont="1" applyFill="1" applyBorder="1" applyAlignment="1" applyProtection="1">
      <alignment horizontal="center"/>
    </xf>
    <xf numFmtId="164" fontId="19" fillId="8" borderId="1" xfId="5" applyNumberFormat="1" applyFont="1" applyFill="1" applyBorder="1" applyAlignment="1" applyProtection="1">
      <alignment horizontal="center" vertical="top"/>
    </xf>
    <xf numFmtId="0" fontId="21" fillId="10" borderId="1" xfId="4" applyFont="1" applyFill="1" applyBorder="1"/>
    <xf numFmtId="0" fontId="20" fillId="10" borderId="1" xfId="4" applyFont="1" applyFill="1" applyBorder="1"/>
    <xf numFmtId="0" fontId="6" fillId="10" borderId="1" xfId="4" applyFont="1" applyFill="1" applyBorder="1" applyAlignment="1">
      <alignment horizontal="center"/>
    </xf>
    <xf numFmtId="1" fontId="20" fillId="10" borderId="1" xfId="5" applyNumberFormat="1" applyFont="1" applyFill="1" applyBorder="1" applyAlignment="1">
      <alignment horizontal="center" vertical="center"/>
    </xf>
    <xf numFmtId="0" fontId="6" fillId="0" borderId="1" xfId="4" applyFont="1" applyBorder="1" applyAlignment="1">
      <alignment horizontal="center" wrapText="1"/>
    </xf>
    <xf numFmtId="164" fontId="20" fillId="2" borderId="0" xfId="5" applyNumberFormat="1" applyFont="1" applyFill="1" applyBorder="1" applyAlignment="1" applyProtection="1">
      <alignment horizontal="center"/>
    </xf>
    <xf numFmtId="2" fontId="25" fillId="8" borderId="1" xfId="3" applyNumberFormat="1" applyFont="1" applyFill="1" applyBorder="1" applyAlignment="1">
      <alignment horizontal="right"/>
    </xf>
    <xf numFmtId="0" fontId="26" fillId="13" borderId="1" xfId="4" applyFont="1" applyFill="1" applyBorder="1"/>
    <xf numFmtId="0" fontId="27" fillId="0" borderId="0" xfId="0" applyFont="1"/>
    <xf numFmtId="10" fontId="19" fillId="9" borderId="1" xfId="3" applyNumberFormat="1" applyFont="1" applyFill="1" applyBorder="1" applyAlignment="1">
      <alignment horizontal="center"/>
    </xf>
    <xf numFmtId="0" fontId="28" fillId="2" borderId="6" xfId="3" applyFont="1" applyFill="1" applyBorder="1" applyAlignment="1">
      <alignment horizontal="center" vertical="center"/>
    </xf>
    <xf numFmtId="0" fontId="27" fillId="0" borderId="0" xfId="0" applyFont="1" applyBorder="1"/>
    <xf numFmtId="164" fontId="28" fillId="2" borderId="6" xfId="3" applyNumberFormat="1" applyFont="1" applyFill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 vertical="center"/>
    </xf>
    <xf numFmtId="1" fontId="30" fillId="11" borderId="1" xfId="3" applyNumberFormat="1" applyFont="1" applyFill="1" applyBorder="1" applyAlignment="1">
      <alignment horizontal="center"/>
    </xf>
    <xf numFmtId="1" fontId="26" fillId="11" borderId="2" xfId="3" applyNumberFormat="1" applyFont="1" applyFill="1" applyBorder="1" applyAlignment="1">
      <alignment horizontal="center"/>
    </xf>
    <xf numFmtId="1" fontId="30" fillId="8" borderId="1" xfId="5" applyNumberFormat="1" applyFont="1" applyFill="1" applyBorder="1" applyAlignment="1">
      <alignment horizontal="center" vertical="center"/>
    </xf>
    <xf numFmtId="164" fontId="23" fillId="8" borderId="1" xfId="5" applyNumberFormat="1" applyFont="1" applyFill="1" applyBorder="1" applyAlignment="1">
      <alignment horizontal="center" vertical="center"/>
    </xf>
    <xf numFmtId="0" fontId="30" fillId="11" borderId="1" xfId="3" applyFont="1" applyFill="1" applyBorder="1" applyAlignment="1">
      <alignment horizontal="center" vertical="center"/>
    </xf>
    <xf numFmtId="1" fontId="19" fillId="12" borderId="1" xfId="5" applyNumberFormat="1" applyFont="1" applyFill="1" applyBorder="1" applyAlignment="1" applyProtection="1">
      <alignment horizontal="center"/>
    </xf>
    <xf numFmtId="0" fontId="30" fillId="11" borderId="1" xfId="3" applyFont="1" applyFill="1" applyBorder="1" applyAlignment="1">
      <alignment horizontal="center"/>
    </xf>
    <xf numFmtId="1" fontId="30" fillId="8" borderId="1" xfId="3" applyNumberFormat="1" applyFont="1" applyFill="1" applyBorder="1" applyAlignment="1">
      <alignment horizontal="center"/>
    </xf>
    <xf numFmtId="165" fontId="30" fillId="8" borderId="1" xfId="6" applyNumberFormat="1" applyFont="1" applyFill="1" applyBorder="1" applyAlignment="1">
      <alignment horizontal="center"/>
    </xf>
    <xf numFmtId="164" fontId="30" fillId="8" borderId="1" xfId="3" applyNumberFormat="1" applyFont="1" applyFill="1" applyBorder="1" applyAlignment="1">
      <alignment horizontal="center"/>
    </xf>
    <xf numFmtId="2" fontId="30" fillId="8" borderId="1" xfId="3" applyNumberFormat="1" applyFont="1" applyFill="1" applyBorder="1" applyAlignment="1">
      <alignment horizontal="center"/>
    </xf>
    <xf numFmtId="0" fontId="20" fillId="8" borderId="7" xfId="3" applyFont="1" applyFill="1" applyBorder="1" applyAlignment="1">
      <alignment horizontal="center"/>
    </xf>
    <xf numFmtId="0" fontId="6" fillId="0" borderId="7" xfId="4" applyFont="1" applyBorder="1" applyAlignment="1">
      <alignment horizontal="center"/>
    </xf>
    <xf numFmtId="1" fontId="30" fillId="8" borderId="7" xfId="5" applyNumberFormat="1" applyFont="1" applyFill="1" applyBorder="1" applyAlignment="1">
      <alignment horizontal="center" vertical="center"/>
    </xf>
    <xf numFmtId="1" fontId="20" fillId="8" borderId="7" xfId="5" applyNumberFormat="1" applyFont="1" applyFill="1" applyBorder="1" applyAlignment="1" applyProtection="1">
      <alignment horizontal="center"/>
    </xf>
    <xf numFmtId="0" fontId="20" fillId="8" borderId="8" xfId="3" applyFont="1" applyFill="1" applyBorder="1" applyAlignment="1">
      <alignment horizontal="center"/>
    </xf>
    <xf numFmtId="0" fontId="19" fillId="0" borderId="8" xfId="4" applyFont="1" applyBorder="1" applyAlignment="1">
      <alignment horizontal="center"/>
    </xf>
    <xf numFmtId="1" fontId="20" fillId="8" borderId="8" xfId="5" applyNumberFormat="1" applyFont="1" applyFill="1" applyBorder="1" applyAlignment="1">
      <alignment horizontal="center" vertical="center"/>
    </xf>
    <xf numFmtId="43" fontId="19" fillId="8" borderId="8" xfId="7" applyFont="1" applyFill="1" applyBorder="1" applyAlignment="1">
      <alignment horizontal="right" wrapText="1"/>
    </xf>
    <xf numFmtId="1" fontId="20" fillId="8" borderId="12" xfId="5" applyNumberFormat="1" applyFont="1" applyFill="1" applyBorder="1" applyAlignment="1" applyProtection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0" fontId="25" fillId="11" borderId="1" xfId="3" applyFont="1" applyFill="1" applyBorder="1" applyAlignment="1">
      <alignment horizontal="center" vertical="center"/>
    </xf>
    <xf numFmtId="44" fontId="24" fillId="8" borderId="1" xfId="8" applyFont="1" applyFill="1" applyBorder="1" applyAlignment="1">
      <alignment horizontal="center"/>
    </xf>
    <xf numFmtId="1" fontId="25" fillId="8" borderId="1" xfId="3" applyNumberFormat="1" applyFont="1" applyFill="1" applyBorder="1" applyAlignment="1">
      <alignment horizontal="center"/>
    </xf>
    <xf numFmtId="0" fontId="24" fillId="8" borderId="1" xfId="3" applyFont="1" applyFill="1" applyBorder="1" applyAlignment="1">
      <alignment horizontal="center"/>
    </xf>
    <xf numFmtId="168" fontId="30" fillId="8" borderId="1" xfId="5" applyNumberFormat="1" applyFont="1" applyFill="1" applyBorder="1" applyAlignment="1" applyProtection="1">
      <alignment vertical="center"/>
    </xf>
    <xf numFmtId="164" fontId="25" fillId="8" borderId="1" xfId="5" applyNumberFormat="1" applyFont="1" applyFill="1" applyBorder="1" applyAlignment="1" applyProtection="1">
      <alignment horizontal="center"/>
    </xf>
    <xf numFmtId="0" fontId="23" fillId="2" borderId="1" xfId="3" applyFont="1" applyFill="1" applyBorder="1" applyAlignment="1">
      <alignment horizontal="center"/>
    </xf>
    <xf numFmtId="169" fontId="23" fillId="8" borderId="1" xfId="5" applyNumberFormat="1" applyFont="1" applyFill="1" applyBorder="1" applyAlignment="1" applyProtection="1">
      <alignment vertical="center"/>
    </xf>
    <xf numFmtId="1" fontId="31" fillId="2" borderId="1" xfId="3" applyNumberFormat="1" applyFont="1" applyFill="1" applyBorder="1" applyAlignment="1">
      <alignment horizontal="center" vertical="top"/>
    </xf>
    <xf numFmtId="0" fontId="19" fillId="10" borderId="1" xfId="3" applyFont="1" applyFill="1" applyBorder="1" applyAlignment="1"/>
    <xf numFmtId="0" fontId="33" fillId="0" borderId="0" xfId="4" applyFont="1"/>
    <xf numFmtId="0" fontId="25" fillId="13" borderId="1" xfId="0" applyFont="1" applyFill="1" applyBorder="1"/>
    <xf numFmtId="1" fontId="27" fillId="0" borderId="0" xfId="0" applyNumberFormat="1" applyFont="1" applyAlignment="1">
      <alignment horizontal="center"/>
    </xf>
    <xf numFmtId="1" fontId="27" fillId="0" borderId="0" xfId="0" applyNumberFormat="1" applyFont="1"/>
    <xf numFmtId="1" fontId="20" fillId="8" borderId="1" xfId="5" applyNumberFormat="1" applyFont="1" applyFill="1" applyBorder="1" applyAlignment="1" applyProtection="1">
      <alignment horizontal="center"/>
    </xf>
    <xf numFmtId="0" fontId="19" fillId="2" borderId="1" xfId="3" applyNumberFormat="1" applyFont="1" applyFill="1" applyBorder="1" applyAlignment="1">
      <alignment horizontal="center"/>
    </xf>
    <xf numFmtId="2" fontId="19" fillId="8" borderId="7" xfId="3" applyNumberFormat="1" applyFont="1" applyFill="1" applyBorder="1" applyAlignment="1">
      <alignment horizontal="center"/>
    </xf>
    <xf numFmtId="1" fontId="20" fillId="8" borderId="7" xfId="3" applyNumberFormat="1" applyFont="1" applyFill="1" applyBorder="1" applyAlignment="1">
      <alignment horizontal="center"/>
    </xf>
    <xf numFmtId="2" fontId="19" fillId="8" borderId="8" xfId="3" applyNumberFormat="1" applyFont="1" applyFill="1" applyBorder="1" applyAlignment="1">
      <alignment horizontal="center"/>
    </xf>
    <xf numFmtId="1" fontId="20" fillId="8" borderId="8" xfId="3" applyNumberFormat="1" applyFont="1" applyFill="1" applyBorder="1" applyAlignment="1">
      <alignment horizontal="center"/>
    </xf>
    <xf numFmtId="2" fontId="19" fillId="8" borderId="1" xfId="3" applyNumberFormat="1" applyFont="1" applyFill="1" applyBorder="1" applyAlignment="1">
      <alignment horizontal="center" vertical="center"/>
    </xf>
    <xf numFmtId="0" fontId="24" fillId="2" borderId="2" xfId="3" applyFont="1" applyFill="1" applyBorder="1" applyAlignment="1">
      <alignment horizontal="center"/>
    </xf>
    <xf numFmtId="0" fontId="24" fillId="2" borderId="3" xfId="3" applyFont="1" applyFill="1" applyBorder="1" applyAlignment="1">
      <alignment horizontal="center"/>
    </xf>
    <xf numFmtId="0" fontId="24" fillId="2" borderId="4" xfId="3" applyFont="1" applyFill="1" applyBorder="1" applyAlignment="1">
      <alignment horizontal="center"/>
    </xf>
    <xf numFmtId="0" fontId="24" fillId="13" borderId="2" xfId="3" applyFont="1" applyFill="1" applyBorder="1" applyAlignment="1">
      <alignment horizontal="center"/>
    </xf>
    <xf numFmtId="0" fontId="24" fillId="13" borderId="3" xfId="3" applyFont="1" applyFill="1" applyBorder="1" applyAlignment="1">
      <alignment horizontal="center"/>
    </xf>
    <xf numFmtId="0" fontId="24" fillId="13" borderId="4" xfId="3" applyFont="1" applyFill="1" applyBorder="1" applyAlignment="1">
      <alignment horizontal="center"/>
    </xf>
    <xf numFmtId="0" fontId="20" fillId="13" borderId="2" xfId="3" applyFont="1" applyFill="1" applyBorder="1" applyAlignment="1">
      <alignment horizontal="center" vertical="center"/>
    </xf>
    <xf numFmtId="0" fontId="20" fillId="13" borderId="3" xfId="3" applyFont="1" applyFill="1" applyBorder="1" applyAlignment="1">
      <alignment horizontal="center" vertical="center"/>
    </xf>
    <xf numFmtId="0" fontId="20" fillId="13" borderId="4" xfId="3" applyFont="1" applyFill="1" applyBorder="1" applyAlignment="1">
      <alignment horizontal="center" vertical="center"/>
    </xf>
    <xf numFmtId="0" fontId="20" fillId="10" borderId="1" xfId="3" applyFont="1" applyFill="1" applyBorder="1" applyAlignment="1">
      <alignment horizontal="center" vertical="center"/>
    </xf>
    <xf numFmtId="0" fontId="20" fillId="10" borderId="1" xfId="3" applyFont="1" applyFill="1" applyBorder="1" applyAlignment="1">
      <alignment horizontal="center"/>
    </xf>
    <xf numFmtId="0" fontId="20" fillId="8" borderId="3" xfId="3" applyFont="1" applyFill="1" applyBorder="1" applyAlignment="1">
      <alignment horizontal="left" vertical="justify"/>
    </xf>
    <xf numFmtId="0" fontId="20" fillId="8" borderId="4" xfId="3" applyFont="1" applyFill="1" applyBorder="1" applyAlignment="1">
      <alignment horizontal="left" vertical="justify"/>
    </xf>
    <xf numFmtId="0" fontId="20" fillId="10" borderId="2" xfId="3" applyFont="1" applyFill="1" applyBorder="1" applyAlignment="1">
      <alignment horizontal="center"/>
    </xf>
    <xf numFmtId="0" fontId="20" fillId="10" borderId="3" xfId="3" applyFont="1" applyFill="1" applyBorder="1" applyAlignment="1">
      <alignment horizontal="center"/>
    </xf>
    <xf numFmtId="0" fontId="20" fillId="10" borderId="4" xfId="3" applyFont="1" applyFill="1" applyBorder="1" applyAlignment="1">
      <alignment horizontal="center"/>
    </xf>
    <xf numFmtId="0" fontId="20" fillId="13" borderId="2" xfId="3" applyFont="1" applyFill="1" applyBorder="1" applyAlignment="1">
      <alignment horizontal="center"/>
    </xf>
    <xf numFmtId="0" fontId="20" fillId="13" borderId="3" xfId="3" applyFont="1" applyFill="1" applyBorder="1" applyAlignment="1">
      <alignment horizontal="center"/>
    </xf>
    <xf numFmtId="0" fontId="20" fillId="13" borderId="4" xfId="3" applyFont="1" applyFill="1" applyBorder="1" applyAlignment="1">
      <alignment horizontal="center"/>
    </xf>
    <xf numFmtId="0" fontId="20" fillId="8" borderId="9" xfId="3" applyFont="1" applyFill="1" applyBorder="1" applyAlignment="1">
      <alignment horizontal="left"/>
    </xf>
    <xf numFmtId="0" fontId="20" fillId="8" borderId="10" xfId="3" applyFont="1" applyFill="1" applyBorder="1" applyAlignment="1">
      <alignment horizontal="left"/>
    </xf>
    <xf numFmtId="0" fontId="20" fillId="8" borderId="11" xfId="3" applyFont="1" applyFill="1" applyBorder="1" applyAlignment="1">
      <alignment horizontal="left"/>
    </xf>
    <xf numFmtId="0" fontId="20" fillId="8" borderId="12" xfId="3" applyFont="1" applyFill="1" applyBorder="1" applyAlignment="1">
      <alignment horizontal="left"/>
    </xf>
    <xf numFmtId="0" fontId="20" fillId="8" borderId="5" xfId="3" applyFont="1" applyFill="1" applyBorder="1" applyAlignment="1">
      <alignment horizontal="left"/>
    </xf>
    <xf numFmtId="0" fontId="20" fillId="8" borderId="13" xfId="3" applyFont="1" applyFill="1" applyBorder="1" applyAlignment="1">
      <alignment horizontal="left"/>
    </xf>
    <xf numFmtId="0" fontId="19" fillId="9" borderId="3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left" vertical="center"/>
    </xf>
    <xf numFmtId="0" fontId="19" fillId="9" borderId="1" xfId="3" applyFont="1" applyFill="1" applyBorder="1" applyAlignment="1">
      <alignment horizontal="center" vertical="center"/>
    </xf>
    <xf numFmtId="0" fontId="20" fillId="8" borderId="2" xfId="3" applyFont="1" applyFill="1" applyBorder="1" applyAlignment="1">
      <alignment horizontal="left" vertical="center"/>
    </xf>
    <xf numFmtId="0" fontId="20" fillId="8" borderId="3" xfId="3" applyFont="1" applyFill="1" applyBorder="1" applyAlignment="1">
      <alignment horizontal="left" vertical="center"/>
    </xf>
    <xf numFmtId="0" fontId="20" fillId="8" borderId="4" xfId="3" applyFont="1" applyFill="1" applyBorder="1" applyAlignment="1">
      <alignment horizontal="left" vertical="center"/>
    </xf>
    <xf numFmtId="170" fontId="20" fillId="9" borderId="1" xfId="3" applyNumberFormat="1" applyFont="1" applyFill="1" applyBorder="1" applyAlignment="1">
      <alignment horizontal="center"/>
    </xf>
    <xf numFmtId="0" fontId="6" fillId="2" borderId="1" xfId="4" applyFont="1" applyFill="1" applyBorder="1" applyAlignment="1">
      <alignment horizontal="center"/>
    </xf>
    <xf numFmtId="0" fontId="20" fillId="8" borderId="1" xfId="3" applyFont="1" applyFill="1" applyBorder="1" applyAlignment="1">
      <alignment horizontal="left"/>
    </xf>
    <xf numFmtId="1" fontId="20" fillId="8" borderId="1" xfId="5" applyNumberFormat="1" applyFont="1" applyFill="1" applyBorder="1" applyAlignment="1" applyProtection="1">
      <alignment horizontal="center" vertical="center"/>
    </xf>
    <xf numFmtId="1" fontId="26" fillId="10" borderId="1" xfId="5" applyNumberFormat="1" applyFont="1" applyFill="1" applyBorder="1" applyAlignment="1" applyProtection="1">
      <alignment horizontal="center"/>
    </xf>
    <xf numFmtId="164" fontId="19" fillId="2" borderId="1" xfId="5" applyNumberFormat="1" applyFont="1" applyFill="1" applyBorder="1" applyAlignment="1" applyProtection="1">
      <alignment horizontal="center" vertical="top"/>
    </xf>
    <xf numFmtId="164" fontId="19" fillId="2" borderId="1" xfId="5" applyNumberFormat="1" applyFont="1" applyFill="1" applyBorder="1" applyAlignment="1" applyProtection="1">
      <alignment horizontal="center" vertical="center"/>
    </xf>
    <xf numFmtId="1" fontId="20" fillId="2" borderId="1" xfId="3" applyNumberFormat="1" applyFont="1" applyFill="1" applyBorder="1" applyAlignment="1">
      <alignment horizontal="center" vertical="center"/>
    </xf>
    <xf numFmtId="1" fontId="20" fillId="8" borderId="7" xfId="5" applyNumberFormat="1" applyFont="1" applyFill="1" applyBorder="1" applyAlignment="1">
      <alignment horizontal="center" vertical="center"/>
    </xf>
    <xf numFmtId="1" fontId="20" fillId="8" borderId="15" xfId="5" applyNumberFormat="1" applyFont="1" applyFill="1" applyBorder="1" applyAlignment="1" applyProtection="1">
      <alignment horizontal="center" vertical="center"/>
    </xf>
    <xf numFmtId="1" fontId="20" fillId="2" borderId="1" xfId="5" applyNumberFormat="1" applyFont="1" applyFill="1" applyBorder="1" applyAlignment="1">
      <alignment horizontal="center" vertical="center"/>
    </xf>
    <xf numFmtId="1" fontId="20" fillId="2" borderId="1" xfId="3" applyNumberFormat="1" applyFont="1" applyFill="1" applyBorder="1" applyAlignment="1">
      <alignment horizontal="center"/>
    </xf>
    <xf numFmtId="0" fontId="20" fillId="2" borderId="1" xfId="4" applyFont="1" applyFill="1" applyBorder="1" applyAlignment="1">
      <alignment horizontal="center"/>
    </xf>
    <xf numFmtId="0" fontId="20" fillId="2" borderId="1" xfId="3" applyFont="1" applyFill="1" applyBorder="1" applyAlignment="1">
      <alignment horizontal="center" vertical="center"/>
    </xf>
    <xf numFmtId="0" fontId="20" fillId="0" borderId="1" xfId="4" applyFont="1" applyBorder="1" applyAlignment="1">
      <alignment horizontal="center"/>
    </xf>
    <xf numFmtId="164" fontId="19" fillId="10" borderId="1" xfId="5" applyNumberFormat="1" applyFont="1" applyFill="1" applyBorder="1" applyAlignment="1" applyProtection="1">
      <alignment horizontal="center"/>
    </xf>
    <xf numFmtId="0" fontId="19" fillId="0" borderId="1" xfId="4" applyFont="1" applyBorder="1" applyAlignment="1">
      <alignment horizontal="center" vertical="center"/>
    </xf>
    <xf numFmtId="0" fontId="19" fillId="2" borderId="1" xfId="4" applyFont="1" applyFill="1" applyBorder="1" applyAlignment="1">
      <alignment horizontal="center"/>
    </xf>
    <xf numFmtId="1" fontId="0" fillId="0" borderId="0" xfId="0" applyNumberFormat="1"/>
    <xf numFmtId="0" fontId="20" fillId="9" borderId="1" xfId="3" applyFont="1" applyFill="1" applyBorder="1" applyAlignment="1">
      <alignment horizontal="right" vertical="center"/>
    </xf>
    <xf numFmtId="9" fontId="20" fillId="9" borderId="1" xfId="4" applyNumberFormat="1" applyFont="1" applyFill="1" applyBorder="1"/>
    <xf numFmtId="0" fontId="21" fillId="8" borderId="9" xfId="3" applyFont="1" applyFill="1" applyBorder="1" applyAlignment="1">
      <alignment horizontal="center" vertical="center"/>
    </xf>
    <xf numFmtId="0" fontId="21" fillId="8" borderId="10" xfId="3" applyFont="1" applyFill="1" applyBorder="1" applyAlignment="1">
      <alignment horizontal="center" vertical="center"/>
    </xf>
    <xf numFmtId="0" fontId="21" fillId="8" borderId="11" xfId="3" applyFont="1" applyFill="1" applyBorder="1" applyAlignment="1">
      <alignment horizontal="center" vertical="center"/>
    </xf>
    <xf numFmtId="0" fontId="20" fillId="8" borderId="7" xfId="3" applyFont="1" applyFill="1" applyBorder="1" applyAlignment="1">
      <alignment horizontal="center" vertical="center"/>
    </xf>
    <xf numFmtId="2" fontId="21" fillId="2" borderId="7" xfId="3" applyNumberFormat="1" applyFont="1" applyFill="1" applyBorder="1" applyAlignment="1">
      <alignment horizontal="center" vertical="center"/>
    </xf>
    <xf numFmtId="164" fontId="21" fillId="8" borderId="7" xfId="3" applyNumberFormat="1" applyFont="1" applyFill="1" applyBorder="1" applyAlignment="1">
      <alignment horizontal="center" wrapText="1" shrinkToFit="1"/>
    </xf>
    <xf numFmtId="2" fontId="29" fillId="8" borderId="7" xfId="3" applyNumberFormat="1" applyFont="1" applyFill="1" applyBorder="1" applyAlignment="1">
      <alignment horizontal="right" vertical="center"/>
    </xf>
    <xf numFmtId="1" fontId="29" fillId="8" borderId="7" xfId="3" applyNumberFormat="1" applyFont="1" applyFill="1" applyBorder="1" applyAlignment="1">
      <alignment horizontal="center" vertical="center"/>
    </xf>
    <xf numFmtId="0" fontId="20" fillId="2" borderId="2" xfId="3" applyFont="1" applyFill="1" applyBorder="1" applyAlignment="1">
      <alignment horizontal="left" vertical="center"/>
    </xf>
    <xf numFmtId="0" fontId="20" fillId="2" borderId="3" xfId="3" applyFont="1" applyFill="1" applyBorder="1" applyAlignment="1">
      <alignment horizontal="left" vertical="center"/>
    </xf>
    <xf numFmtId="0" fontId="20" fillId="2" borderId="4" xfId="3" applyFont="1" applyFill="1" applyBorder="1" applyAlignment="1">
      <alignment horizontal="left" vertical="center"/>
    </xf>
    <xf numFmtId="0" fontId="20" fillId="2" borderId="1" xfId="3" applyFont="1" applyFill="1" applyBorder="1" applyAlignment="1">
      <alignment horizontal="center"/>
    </xf>
    <xf numFmtId="2" fontId="19" fillId="2" borderId="8" xfId="3" applyNumberFormat="1" applyFont="1" applyFill="1" applyBorder="1" applyAlignment="1">
      <alignment horizontal="center"/>
    </xf>
    <xf numFmtId="1" fontId="20" fillId="2" borderId="2" xfId="5" applyNumberFormat="1" applyFont="1" applyFill="1" applyBorder="1" applyAlignment="1" applyProtection="1">
      <alignment horizontal="center"/>
    </xf>
    <xf numFmtId="0" fontId="20" fillId="10" borderId="3" xfId="3" applyFont="1" applyFill="1" applyBorder="1" applyAlignment="1">
      <alignment vertical="center"/>
    </xf>
    <xf numFmtId="0" fontId="20" fillId="10" borderId="4" xfId="3" applyFont="1" applyFill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9" fillId="14" borderId="1" xfId="1" applyFont="1" applyFill="1" applyBorder="1" applyAlignment="1">
      <alignment horizontal="center" vertical="center" wrapText="1"/>
    </xf>
    <xf numFmtId="0" fontId="14" fillId="14" borderId="1" xfId="1" applyFont="1" applyFill="1" applyBorder="1" applyAlignment="1">
      <alignment vertical="top" wrapText="1"/>
    </xf>
    <xf numFmtId="1" fontId="5" fillId="14" borderId="0" xfId="1" applyNumberFormat="1" applyFont="1" applyFill="1"/>
    <xf numFmtId="0" fontId="0" fillId="14" borderId="0" xfId="0" applyFill="1"/>
    <xf numFmtId="0" fontId="8" fillId="14" borderId="1" xfId="1" applyFont="1" applyFill="1" applyBorder="1" applyAlignment="1">
      <alignment horizontal="center" vertical="center" wrapText="1"/>
    </xf>
    <xf numFmtId="1" fontId="14" fillId="14" borderId="1" xfId="1" applyNumberFormat="1" applyFont="1" applyFill="1" applyBorder="1" applyAlignment="1">
      <alignment vertical="top" wrapText="1"/>
    </xf>
    <xf numFmtId="0" fontId="14" fillId="14" borderId="1" xfId="1" applyFont="1" applyFill="1" applyBorder="1" applyAlignment="1">
      <alignment horizontal="center"/>
    </xf>
    <xf numFmtId="164" fontId="14" fillId="14" borderId="1" xfId="1" applyNumberFormat="1" applyFont="1" applyFill="1" applyBorder="1" applyAlignment="1">
      <alignment horizontal="center"/>
    </xf>
    <xf numFmtId="2" fontId="14" fillId="14" borderId="1" xfId="1" applyNumberFormat="1" applyFont="1" applyFill="1" applyBorder="1" applyAlignment="1">
      <alignment vertical="top" wrapText="1"/>
    </xf>
    <xf numFmtId="1" fontId="14" fillId="14" borderId="1" xfId="1" applyNumberFormat="1" applyFont="1" applyFill="1" applyBorder="1" applyAlignment="1">
      <alignment horizontal="center" vertical="top" wrapText="1"/>
    </xf>
    <xf numFmtId="0" fontId="20" fillId="0" borderId="2" xfId="4" applyFont="1" applyBorder="1" applyAlignment="1">
      <alignment vertical="center"/>
    </xf>
    <xf numFmtId="0" fontId="20" fillId="0" borderId="3" xfId="4" applyFont="1" applyBorder="1" applyAlignment="1">
      <alignment vertical="center"/>
    </xf>
    <xf numFmtId="0" fontId="20" fillId="0" borderId="4" xfId="4" applyFont="1" applyBorder="1" applyAlignment="1">
      <alignment vertical="center"/>
    </xf>
    <xf numFmtId="0" fontId="20" fillId="8" borderId="12" xfId="3" applyFont="1" applyFill="1" applyBorder="1" applyAlignment="1">
      <alignment horizontal="left" vertical="center"/>
    </xf>
    <xf numFmtId="0" fontId="20" fillId="8" borderId="5" xfId="3" applyFont="1" applyFill="1" applyBorder="1" applyAlignment="1">
      <alignment horizontal="left" vertical="center"/>
    </xf>
    <xf numFmtId="0" fontId="20" fillId="8" borderId="13" xfId="3" applyFont="1" applyFill="1" applyBorder="1" applyAlignment="1">
      <alignment horizontal="left" vertical="center"/>
    </xf>
    <xf numFmtId="0" fontId="19" fillId="2" borderId="8" xfId="3" applyNumberFormat="1" applyFont="1" applyFill="1" applyBorder="1" applyAlignment="1">
      <alignment horizontal="center"/>
    </xf>
    <xf numFmtId="0" fontId="20" fillId="8" borderId="9" xfId="3" applyFont="1" applyFill="1" applyBorder="1" applyAlignment="1">
      <alignment horizontal="left" vertical="center"/>
    </xf>
    <xf numFmtId="0" fontId="20" fillId="8" borderId="10" xfId="3" applyFont="1" applyFill="1" applyBorder="1" applyAlignment="1">
      <alignment horizontal="left" vertical="center"/>
    </xf>
    <xf numFmtId="0" fontId="20" fillId="8" borderId="11" xfId="3" applyFont="1" applyFill="1" applyBorder="1" applyAlignment="1">
      <alignment horizontal="left" vertical="center"/>
    </xf>
    <xf numFmtId="0" fontId="19" fillId="2" borderId="7" xfId="3" applyNumberFormat="1" applyFont="1" applyFill="1" applyBorder="1" applyAlignment="1">
      <alignment horizontal="center"/>
    </xf>
    <xf numFmtId="1" fontId="20" fillId="2" borderId="8" xfId="3" applyNumberFormat="1" applyFont="1" applyFill="1" applyBorder="1" applyAlignment="1">
      <alignment horizontal="center"/>
    </xf>
    <xf numFmtId="2" fontId="19" fillId="2" borderId="8" xfId="3" applyNumberFormat="1" applyFont="1" applyFill="1" applyBorder="1" applyAlignment="1">
      <alignment horizontal="right"/>
    </xf>
    <xf numFmtId="9" fontId="14" fillId="2" borderId="1" xfId="1" applyNumberFormat="1" applyFont="1" applyFill="1" applyBorder="1" applyAlignment="1">
      <alignment vertical="center" wrapText="1"/>
    </xf>
    <xf numFmtId="0" fontId="10" fillId="0" borderId="2" xfId="1" applyFont="1" applyBorder="1" applyAlignment="1">
      <alignment horizontal="center" vertical="center" wrapText="1"/>
    </xf>
    <xf numFmtId="2" fontId="14" fillId="0" borderId="2" xfId="1" applyNumberFormat="1" applyFont="1" applyBorder="1" applyAlignment="1"/>
    <xf numFmtId="0" fontId="11" fillId="0" borderId="21" xfId="1" applyFont="1" applyFill="1" applyBorder="1" applyAlignment="1">
      <alignment vertical="top" wrapText="1"/>
    </xf>
    <xf numFmtId="0" fontId="11" fillId="0" borderId="15" xfId="1" applyFont="1" applyFill="1" applyBorder="1" applyAlignment="1">
      <alignment vertical="top" wrapText="1"/>
    </xf>
    <xf numFmtId="1" fontId="14" fillId="2" borderId="21" xfId="1" applyNumberFormat="1" applyFont="1" applyFill="1" applyBorder="1" applyAlignment="1">
      <alignment vertical="center" wrapText="1"/>
    </xf>
    <xf numFmtId="1" fontId="14" fillId="2" borderId="15" xfId="1" applyNumberFormat="1" applyFont="1" applyFill="1" applyBorder="1" applyAlignment="1">
      <alignment vertical="center" wrapText="1"/>
    </xf>
    <xf numFmtId="2" fontId="36" fillId="8" borderId="1" xfId="3" applyNumberFormat="1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2" fontId="37" fillId="8" borderId="1" xfId="3" applyNumberFormat="1" applyFont="1" applyFill="1" applyBorder="1" applyAlignment="1">
      <alignment horizontal="center"/>
    </xf>
    <xf numFmtId="0" fontId="38" fillId="0" borderId="7" xfId="4" applyFont="1" applyBorder="1" applyAlignment="1">
      <alignment horizontal="center"/>
    </xf>
    <xf numFmtId="0" fontId="38" fillId="0" borderId="1" xfId="4" applyFont="1" applyBorder="1" applyAlignment="1">
      <alignment horizontal="center"/>
    </xf>
    <xf numFmtId="0" fontId="37" fillId="8" borderId="1" xfId="3" applyFont="1" applyFill="1" applyBorder="1" applyAlignment="1">
      <alignment horizontal="center"/>
    </xf>
    <xf numFmtId="0" fontId="37" fillId="8" borderId="1" xfId="3" applyFont="1" applyFill="1" applyBorder="1" applyAlignment="1">
      <alignment horizontal="center" vertical="center"/>
    </xf>
    <xf numFmtId="1" fontId="37" fillId="2" borderId="1" xfId="3" applyNumberFormat="1" applyFont="1" applyFill="1" applyBorder="1" applyAlignment="1">
      <alignment horizontal="center" vertical="center"/>
    </xf>
    <xf numFmtId="0" fontId="38" fillId="0" borderId="1" xfId="4" applyFont="1" applyBorder="1" applyAlignment="1">
      <alignment horizontal="center" wrapText="1"/>
    </xf>
    <xf numFmtId="0" fontId="38" fillId="2" borderId="1" xfId="4" applyFont="1" applyFill="1" applyBorder="1" applyAlignment="1">
      <alignment horizontal="center"/>
    </xf>
    <xf numFmtId="0" fontId="37" fillId="2" borderId="1" xfId="3" applyFont="1" applyFill="1" applyBorder="1" applyAlignment="1">
      <alignment horizontal="center" vertical="center"/>
    </xf>
    <xf numFmtId="0" fontId="37" fillId="2" borderId="1" xfId="3" applyFont="1" applyFill="1" applyBorder="1" applyAlignment="1">
      <alignment horizontal="center"/>
    </xf>
    <xf numFmtId="0" fontId="36" fillId="0" borderId="8" xfId="4" applyFont="1" applyBorder="1" applyAlignment="1">
      <alignment horizontal="center"/>
    </xf>
    <xf numFmtId="0" fontId="36" fillId="2" borderId="1" xfId="3" applyNumberFormat="1" applyFont="1" applyFill="1" applyBorder="1" applyAlignment="1">
      <alignment horizontal="center"/>
    </xf>
    <xf numFmtId="1" fontId="37" fillId="8" borderId="1" xfId="3" applyNumberFormat="1" applyFont="1" applyFill="1" applyBorder="1" applyAlignment="1">
      <alignment horizontal="center"/>
    </xf>
    <xf numFmtId="1" fontId="36" fillId="12" borderId="1" xfId="3" applyNumberFormat="1" applyFont="1" applyFill="1" applyBorder="1" applyAlignment="1">
      <alignment horizontal="center"/>
    </xf>
    <xf numFmtId="1" fontId="37" fillId="8" borderId="1" xfId="5" applyNumberFormat="1" applyFont="1" applyFill="1" applyBorder="1" applyAlignment="1">
      <alignment horizontal="center" vertical="center"/>
    </xf>
    <xf numFmtId="9" fontId="37" fillId="8" borderId="1" xfId="6" applyNumberFormat="1" applyFont="1" applyFill="1" applyBorder="1" applyAlignment="1">
      <alignment horizontal="center"/>
    </xf>
    <xf numFmtId="0" fontId="39" fillId="0" borderId="0" xfId="0" applyFont="1"/>
    <xf numFmtId="166" fontId="40" fillId="9" borderId="2" xfId="3" applyNumberFormat="1" applyFont="1" applyFill="1" applyBorder="1" applyAlignment="1">
      <alignment horizontal="left"/>
    </xf>
    <xf numFmtId="170" fontId="37" fillId="9" borderId="1" xfId="3" applyNumberFormat="1" applyFont="1" applyFill="1" applyBorder="1" applyAlignment="1">
      <alignment horizontal="center"/>
    </xf>
    <xf numFmtId="9" fontId="37" fillId="9" borderId="1" xfId="4" applyNumberFormat="1" applyFont="1" applyFill="1" applyBorder="1"/>
    <xf numFmtId="0" fontId="36" fillId="9" borderId="1" xfId="3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 vertical="center"/>
    </xf>
    <xf numFmtId="1" fontId="37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36" fillId="9" borderId="1" xfId="3" applyFont="1" applyFill="1" applyBorder="1" applyAlignment="1">
      <alignment horizontal="left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0" fontId="39" fillId="0" borderId="0" xfId="0" applyFont="1" applyBorder="1"/>
    <xf numFmtId="0" fontId="37" fillId="9" borderId="1" xfId="3" applyFont="1" applyFill="1" applyBorder="1"/>
    <xf numFmtId="2" fontId="37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0" fillId="8" borderId="9" xfId="3" applyFont="1" applyFill="1" applyBorder="1" applyAlignment="1">
      <alignment horizontal="center" vertical="center"/>
    </xf>
    <xf numFmtId="0" fontId="40" fillId="8" borderId="10" xfId="3" applyFont="1" applyFill="1" applyBorder="1" applyAlignment="1">
      <alignment horizontal="center" vertical="center"/>
    </xf>
    <xf numFmtId="0" fontId="40" fillId="8" borderId="11" xfId="3" applyFont="1" applyFill="1" applyBorder="1" applyAlignment="1">
      <alignment horizontal="center" vertical="center"/>
    </xf>
    <xf numFmtId="0" fontId="37" fillId="8" borderId="7" xfId="3" applyFont="1" applyFill="1" applyBorder="1" applyAlignment="1">
      <alignment horizontal="center" vertical="center"/>
    </xf>
    <xf numFmtId="2" fontId="40" fillId="2" borderId="7" xfId="3" applyNumberFormat="1" applyFont="1" applyFill="1" applyBorder="1" applyAlignment="1">
      <alignment horizontal="center" vertical="center"/>
    </xf>
    <xf numFmtId="164" fontId="40" fillId="8" borderId="7" xfId="3" applyNumberFormat="1" applyFont="1" applyFill="1" applyBorder="1" applyAlignment="1">
      <alignment horizontal="center" wrapText="1" shrinkToFit="1"/>
    </xf>
    <xf numFmtId="0" fontId="37" fillId="8" borderId="9" xfId="3" applyFont="1" applyFill="1" applyBorder="1" applyAlignment="1">
      <alignment horizontal="left" vertical="center"/>
    </xf>
    <xf numFmtId="0" fontId="37" fillId="8" borderId="10" xfId="3" applyFont="1" applyFill="1" applyBorder="1" applyAlignment="1">
      <alignment horizontal="left" vertical="center"/>
    </xf>
    <xf numFmtId="0" fontId="37" fillId="8" borderId="11" xfId="3" applyFont="1" applyFill="1" applyBorder="1" applyAlignment="1">
      <alignment horizontal="left" vertical="center"/>
    </xf>
    <xf numFmtId="0" fontId="37" fillId="8" borderId="7" xfId="3" applyFont="1" applyFill="1" applyBorder="1" applyAlignment="1">
      <alignment horizontal="center"/>
    </xf>
    <xf numFmtId="2" fontId="36" fillId="8" borderId="7" xfId="3" applyNumberFormat="1" applyFont="1" applyFill="1" applyBorder="1" applyAlignment="1">
      <alignment horizontal="center"/>
    </xf>
    <xf numFmtId="1" fontId="37" fillId="2" borderId="7" xfId="5" applyNumberFormat="1" applyFont="1" applyFill="1" applyBorder="1" applyAlignment="1">
      <alignment horizontal="center" vertical="center"/>
    </xf>
    <xf numFmtId="1" fontId="37" fillId="8" borderId="2" xfId="5" applyNumberFormat="1" applyFont="1" applyFill="1" applyBorder="1" applyAlignment="1" applyProtection="1">
      <alignment horizontal="center"/>
    </xf>
    <xf numFmtId="0" fontId="37" fillId="8" borderId="12" xfId="3" applyFont="1" applyFill="1" applyBorder="1" applyAlignment="1">
      <alignment horizontal="left" vertical="center"/>
    </xf>
    <xf numFmtId="0" fontId="37" fillId="8" borderId="5" xfId="3" applyFont="1" applyFill="1" applyBorder="1" applyAlignment="1">
      <alignment horizontal="left" vertical="center"/>
    </xf>
    <xf numFmtId="0" fontId="37" fillId="8" borderId="13" xfId="3" applyFont="1" applyFill="1" applyBorder="1" applyAlignment="1">
      <alignment horizontal="left" vertical="center"/>
    </xf>
    <xf numFmtId="0" fontId="37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1" fontId="37" fillId="8" borderId="8" xfId="5" applyNumberFormat="1" applyFont="1" applyFill="1" applyBorder="1" applyAlignment="1">
      <alignment horizontal="center" vertical="center"/>
    </xf>
    <xf numFmtId="167" fontId="37" fillId="8" borderId="2" xfId="3" applyNumberFormat="1" applyFont="1" applyFill="1" applyBorder="1" applyAlignment="1">
      <alignment vertical="center"/>
    </xf>
    <xf numFmtId="167" fontId="37" fillId="8" borderId="3" xfId="3" applyNumberFormat="1" applyFont="1" applyFill="1" applyBorder="1" applyAlignment="1">
      <alignment vertical="center"/>
    </xf>
    <xf numFmtId="167" fontId="37" fillId="8" borderId="4" xfId="3" applyNumberFormat="1" applyFont="1" applyFill="1" applyBorder="1" applyAlignment="1">
      <alignment vertical="center"/>
    </xf>
    <xf numFmtId="1" fontId="37" fillId="2" borderId="1" xfId="5" applyNumberFormat="1" applyFont="1" applyFill="1" applyBorder="1" applyAlignment="1">
      <alignment horizontal="center" vertical="center"/>
    </xf>
    <xf numFmtId="2" fontId="36" fillId="8" borderId="1" xfId="3" applyNumberFormat="1" applyFont="1" applyFill="1" applyBorder="1" applyAlignment="1">
      <alignment horizontal="right"/>
    </xf>
    <xf numFmtId="0" fontId="37" fillId="8" borderId="2" xfId="3" applyFont="1" applyFill="1" applyBorder="1" applyAlignment="1">
      <alignment horizontal="left" vertical="center"/>
    </xf>
    <xf numFmtId="0" fontId="37" fillId="8" borderId="3" xfId="3" applyFont="1" applyFill="1" applyBorder="1" applyAlignment="1">
      <alignment horizontal="left" vertical="center"/>
    </xf>
    <xf numFmtId="0" fontId="37" fillId="8" borderId="4" xfId="3" applyFont="1" applyFill="1" applyBorder="1" applyAlignment="1">
      <alignment horizontal="left" vertical="center"/>
    </xf>
    <xf numFmtId="0" fontId="37" fillId="8" borderId="9" xfId="3" applyFont="1" applyFill="1" applyBorder="1" applyAlignment="1">
      <alignment horizontal="left"/>
    </xf>
    <xf numFmtId="0" fontId="37" fillId="8" borderId="10" xfId="3" applyFont="1" applyFill="1" applyBorder="1" applyAlignment="1">
      <alignment horizontal="left"/>
    </xf>
    <xf numFmtId="0" fontId="37" fillId="8" borderId="11" xfId="3" applyFont="1" applyFill="1" applyBorder="1" applyAlignment="1">
      <alignment horizontal="left"/>
    </xf>
    <xf numFmtId="0" fontId="37" fillId="2" borderId="2" xfId="3" applyFont="1" applyFill="1" applyBorder="1" applyAlignment="1">
      <alignment horizontal="left" vertical="center"/>
    </xf>
    <xf numFmtId="0" fontId="37" fillId="2" borderId="3" xfId="3" applyFont="1" applyFill="1" applyBorder="1" applyAlignment="1">
      <alignment horizontal="left" vertical="center"/>
    </xf>
    <xf numFmtId="0" fontId="37" fillId="2" borderId="4" xfId="3" applyFont="1" applyFill="1" applyBorder="1" applyAlignment="1">
      <alignment horizontal="left" vertical="center"/>
    </xf>
    <xf numFmtId="0" fontId="36" fillId="2" borderId="1" xfId="4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" fontId="47" fillId="0" borderId="1" xfId="4" applyNumberFormat="1" applyFont="1" applyBorder="1" applyAlignment="1">
      <alignment horizontal="center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center" vertical="center"/>
    </xf>
    <xf numFmtId="2" fontId="36" fillId="8" borderId="1" xfId="3" applyNumberFormat="1" applyFont="1" applyFill="1" applyBorder="1" applyAlignment="1">
      <alignment horizontal="center" vertical="center"/>
    </xf>
    <xf numFmtId="2" fontId="37" fillId="8" borderId="2" xfId="3" applyNumberFormat="1" applyFont="1" applyFill="1" applyBorder="1" applyAlignment="1">
      <alignment horizontal="left" vertical="center"/>
    </xf>
    <xf numFmtId="2" fontId="37" fillId="8" borderId="3" xfId="3" applyNumberFormat="1" applyFont="1" applyFill="1" applyBorder="1" applyAlignment="1">
      <alignment horizontal="left" vertical="center"/>
    </xf>
    <xf numFmtId="2" fontId="37" fillId="8" borderId="4" xfId="3" applyNumberFormat="1" applyFont="1" applyFill="1" applyBorder="1" applyAlignment="1">
      <alignment horizontal="left" vertical="center"/>
    </xf>
    <xf numFmtId="1" fontId="37" fillId="8" borderId="1" xfId="3" applyNumberFormat="1" applyFont="1" applyFill="1" applyBorder="1" applyAlignment="1">
      <alignment horizontal="center" vertical="center"/>
    </xf>
    <xf numFmtId="0" fontId="37" fillId="8" borderId="3" xfId="3" applyFont="1" applyFill="1" applyBorder="1" applyAlignment="1">
      <alignment horizontal="left" vertical="justify"/>
    </xf>
    <xf numFmtId="0" fontId="37" fillId="8" borderId="4" xfId="3" applyFont="1" applyFill="1" applyBorder="1" applyAlignment="1">
      <alignment horizontal="left" vertical="justify"/>
    </xf>
    <xf numFmtId="0" fontId="37" fillId="8" borderId="1" xfId="3" applyFont="1" applyFill="1" applyBorder="1" applyAlignment="1">
      <alignment horizontal="left" vertical="center"/>
    </xf>
    <xf numFmtId="0" fontId="37" fillId="0" borderId="2" xfId="4" applyFont="1" applyBorder="1" applyAlignment="1">
      <alignment vertical="center"/>
    </xf>
    <xf numFmtId="0" fontId="37" fillId="0" borderId="3" xfId="4" applyFont="1" applyBorder="1" applyAlignment="1">
      <alignment vertical="center"/>
    </xf>
    <xf numFmtId="0" fontId="37" fillId="0" borderId="4" xfId="4" applyFont="1" applyBorder="1" applyAlignment="1">
      <alignment vertical="center"/>
    </xf>
    <xf numFmtId="0" fontId="36" fillId="2" borderId="1" xfId="3" applyFont="1" applyFill="1" applyBorder="1" applyAlignment="1">
      <alignment horizontal="center"/>
    </xf>
    <xf numFmtId="0" fontId="37" fillId="2" borderId="1" xfId="4" applyFont="1" applyFill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7" fillId="0" borderId="1" xfId="4" applyFont="1" applyBorder="1"/>
    <xf numFmtId="0" fontId="37" fillId="8" borderId="12" xfId="3" applyFont="1" applyFill="1" applyBorder="1" applyAlignment="1">
      <alignment horizontal="left"/>
    </xf>
    <xf numFmtId="0" fontId="37" fillId="8" borderId="5" xfId="3" applyFont="1" applyFill="1" applyBorder="1" applyAlignment="1">
      <alignment horizontal="left"/>
    </xf>
    <xf numFmtId="0" fontId="37" fillId="8" borderId="13" xfId="3" applyFont="1" applyFill="1" applyBorder="1" applyAlignment="1">
      <alignment horizontal="left"/>
    </xf>
    <xf numFmtId="43" fontId="36" fillId="8" borderId="1" xfId="7" applyFont="1" applyFill="1" applyBorder="1" applyAlignment="1">
      <alignment horizontal="right" wrapText="1"/>
    </xf>
    <xf numFmtId="164" fontId="37" fillId="2" borderId="0" xfId="5" applyNumberFormat="1" applyFont="1" applyFill="1" applyBorder="1" applyAlignment="1" applyProtection="1">
      <alignment horizontal="center"/>
    </xf>
    <xf numFmtId="1" fontId="39" fillId="0" borderId="0" xfId="0" applyNumberFormat="1" applyFont="1"/>
    <xf numFmtId="168" fontId="43" fillId="8" borderId="1" xfId="5" applyNumberFormat="1" applyFont="1" applyFill="1" applyBorder="1" applyAlignment="1" applyProtection="1">
      <alignment horizontal="center" vertic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36" fillId="8" borderId="1" xfId="3" applyNumberFormat="1" applyFont="1" applyFill="1" applyBorder="1" applyAlignment="1">
      <alignment horizontal="center"/>
    </xf>
    <xf numFmtId="2" fontId="19" fillId="2" borderId="1" xfId="3" applyNumberFormat="1" applyFont="1" applyFill="1" applyBorder="1" applyAlignment="1">
      <alignment horizontal="right"/>
    </xf>
    <xf numFmtId="1" fontId="14" fillId="2" borderId="3" xfId="1" applyNumberFormat="1" applyFont="1" applyFill="1" applyBorder="1" applyAlignment="1">
      <alignment vertical="center" wrapText="1"/>
    </xf>
    <xf numFmtId="0" fontId="41" fillId="2" borderId="0" xfId="3" applyFont="1" applyFill="1" applyBorder="1" applyAlignment="1">
      <alignment horizontal="center" vertical="center"/>
    </xf>
    <xf numFmtId="164" fontId="41" fillId="2" borderId="0" xfId="3" applyNumberFormat="1" applyFont="1" applyFill="1" applyBorder="1" applyAlignment="1">
      <alignment horizontal="center"/>
    </xf>
    <xf numFmtId="1" fontId="37" fillId="2" borderId="0" xfId="5" applyNumberFormat="1" applyFont="1" applyFill="1" applyBorder="1" applyAlignment="1" applyProtection="1">
      <alignment horizontal="center"/>
    </xf>
    <xf numFmtId="0" fontId="37" fillId="2" borderId="0" xfId="3" applyFont="1" applyFill="1" applyBorder="1" applyAlignment="1">
      <alignment horizontal="center"/>
    </xf>
    <xf numFmtId="2" fontId="19" fillId="12" borderId="8" xfId="3" applyNumberFormat="1" applyFont="1" applyFill="1" applyBorder="1" applyAlignment="1">
      <alignment horizontal="center"/>
    </xf>
    <xf numFmtId="0" fontId="49" fillId="0" borderId="0" xfId="0" applyFont="1"/>
    <xf numFmtId="0" fontId="49" fillId="0" borderId="0" xfId="0" applyFont="1" applyBorder="1"/>
    <xf numFmtId="0" fontId="51" fillId="0" borderId="0" xfId="0" applyFont="1" applyBorder="1"/>
    <xf numFmtId="0" fontId="51" fillId="0" borderId="0" xfId="0" applyFont="1"/>
    <xf numFmtId="164" fontId="50" fillId="2" borderId="0" xfId="5" applyNumberFormat="1" applyFont="1" applyFill="1" applyBorder="1" applyAlignment="1" applyProtection="1">
      <alignment horizontal="center"/>
    </xf>
    <xf numFmtId="0" fontId="53" fillId="0" borderId="0" xfId="4" applyFont="1"/>
    <xf numFmtId="1" fontId="49" fillId="0" borderId="0" xfId="0" applyNumberFormat="1" applyFont="1"/>
    <xf numFmtId="9" fontId="0" fillId="0" borderId="0" xfId="0" applyNumberFormat="1"/>
    <xf numFmtId="9" fontId="14" fillId="0" borderId="1" xfId="1" applyNumberFormat="1" applyFont="1" applyBorder="1" applyAlignment="1">
      <alignment vertical="center" wrapText="1"/>
    </xf>
    <xf numFmtId="0" fontId="37" fillId="0" borderId="2" xfId="4" applyFont="1" applyBorder="1"/>
    <xf numFmtId="0" fontId="36" fillId="9" borderId="1" xfId="3" applyFont="1" applyFill="1" applyBorder="1" applyAlignment="1"/>
    <xf numFmtId="0" fontId="37" fillId="9" borderId="1" xfId="3" applyFont="1" applyFill="1" applyBorder="1" applyAlignment="1">
      <alignment horizontal="center"/>
    </xf>
    <xf numFmtId="0" fontId="37" fillId="15" borderId="1" xfId="3" applyFont="1" applyFill="1" applyBorder="1" applyAlignment="1">
      <alignment horizontal="center" vertical="center"/>
    </xf>
    <xf numFmtId="0" fontId="43" fillId="15" borderId="1" xfId="3" applyFont="1" applyFill="1" applyBorder="1" applyAlignment="1">
      <alignment horizontal="center"/>
    </xf>
    <xf numFmtId="1" fontId="43" fillId="15" borderId="1" xfId="3" applyNumberFormat="1" applyFont="1" applyFill="1" applyBorder="1" applyAlignment="1">
      <alignment horizontal="center"/>
    </xf>
    <xf numFmtId="0" fontId="43" fillId="15" borderId="1" xfId="3" applyFont="1" applyFill="1" applyBorder="1" applyAlignment="1">
      <alignment horizontal="center" vertical="center"/>
    </xf>
    <xf numFmtId="0" fontId="40" fillId="15" borderId="1" xfId="3" applyFont="1" applyFill="1" applyBorder="1" applyAlignment="1"/>
    <xf numFmtId="0" fontId="40" fillId="15" borderId="2" xfId="3" applyFont="1" applyFill="1" applyBorder="1" applyAlignment="1"/>
    <xf numFmtId="0" fontId="40" fillId="15" borderId="3" xfId="3" applyFont="1" applyFill="1" applyBorder="1" applyAlignment="1"/>
    <xf numFmtId="0" fontId="37" fillId="15" borderId="3" xfId="3" applyFont="1" applyFill="1" applyBorder="1" applyAlignment="1"/>
    <xf numFmtId="0" fontId="37" fillId="15" borderId="4" xfId="3" applyFont="1" applyFill="1" applyBorder="1" applyAlignment="1">
      <alignment vertical="center"/>
    </xf>
    <xf numFmtId="0" fontId="36" fillId="15" borderId="1" xfId="3" applyFont="1" applyFill="1" applyBorder="1" applyAlignment="1"/>
    <xf numFmtId="0" fontId="37" fillId="15" borderId="3" xfId="3" applyFont="1" applyFill="1" applyBorder="1" applyAlignment="1">
      <alignment horizontal="center"/>
    </xf>
    <xf numFmtId="1" fontId="37" fillId="15" borderId="1" xfId="5" applyNumberFormat="1" applyFont="1" applyFill="1" applyBorder="1" applyAlignment="1">
      <alignment horizontal="center"/>
    </xf>
    <xf numFmtId="0" fontId="37" fillId="16" borderId="2" xfId="3" applyFont="1" applyFill="1" applyBorder="1" applyAlignment="1">
      <alignment horizontal="center"/>
    </xf>
    <xf numFmtId="0" fontId="37" fillId="16" borderId="3" xfId="3" applyFont="1" applyFill="1" applyBorder="1" applyAlignment="1">
      <alignment horizontal="center"/>
    </xf>
    <xf numFmtId="0" fontId="37" fillId="16" borderId="4" xfId="3" applyFont="1" applyFill="1" applyBorder="1" applyAlignment="1">
      <alignment horizontal="center"/>
    </xf>
    <xf numFmtId="0" fontId="37" fillId="16" borderId="2" xfId="3" applyFont="1" applyFill="1" applyBorder="1" applyAlignment="1">
      <alignment horizontal="center" vertical="center"/>
    </xf>
    <xf numFmtId="0" fontId="37" fillId="16" borderId="3" xfId="3" applyFont="1" applyFill="1" applyBorder="1" applyAlignment="1">
      <alignment horizontal="center" vertical="center"/>
    </xf>
    <xf numFmtId="0" fontId="37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4" fillId="16" borderId="1" xfId="4" applyFont="1" applyFill="1" applyBorder="1"/>
    <xf numFmtId="0" fontId="46" fillId="16" borderId="1" xfId="0" applyFont="1" applyFill="1" applyBorder="1"/>
    <xf numFmtId="1" fontId="43" fillId="2" borderId="1" xfId="3" applyNumberFormat="1" applyFont="1" applyFill="1" applyBorder="1" applyAlignment="1">
      <alignment horizontal="center"/>
    </xf>
    <xf numFmtId="2" fontId="36" fillId="8" borderId="1" xfId="9" applyNumberFormat="1" applyFont="1" applyFill="1" applyBorder="1" applyAlignment="1">
      <alignment horizontal="center"/>
    </xf>
    <xf numFmtId="0" fontId="37" fillId="15" borderId="8" xfId="3" applyFont="1" applyFill="1" applyBorder="1" applyAlignment="1">
      <alignment horizontal="center" vertical="center"/>
    </xf>
    <xf numFmtId="0" fontId="37" fillId="8" borderId="8" xfId="3" applyFont="1" applyFill="1" applyBorder="1" applyAlignment="1">
      <alignment horizontal="center" vertical="center"/>
    </xf>
    <xf numFmtId="2" fontId="19" fillId="8" borderId="24" xfId="3" applyNumberFormat="1" applyFont="1" applyFill="1" applyBorder="1" applyAlignment="1">
      <alignment horizontal="center"/>
    </xf>
    <xf numFmtId="0" fontId="37" fillId="2" borderId="8" xfId="3" applyFont="1" applyFill="1" applyBorder="1" applyAlignment="1">
      <alignment horizontal="center"/>
    </xf>
    <xf numFmtId="0" fontId="37" fillId="15" borderId="8" xfId="3" applyFont="1" applyFill="1" applyBorder="1" applyAlignment="1">
      <alignment horizontal="center"/>
    </xf>
    <xf numFmtId="2" fontId="19" fillId="8" borderId="25" xfId="3" applyNumberFormat="1" applyFont="1" applyFill="1" applyBorder="1" applyAlignment="1">
      <alignment horizontal="center"/>
    </xf>
    <xf numFmtId="0" fontId="11" fillId="0" borderId="2" xfId="1" applyFont="1" applyBorder="1" applyAlignment="1">
      <alignment horizontal="center" vertical="top" wrapText="1"/>
    </xf>
    <xf numFmtId="0" fontId="5" fillId="0" borderId="1" xfId="1" applyFont="1" applyFill="1" applyBorder="1" applyAlignment="1">
      <alignment horizontal="center" vertical="center" wrapText="1"/>
    </xf>
    <xf numFmtId="0" fontId="45" fillId="8" borderId="8" xfId="3" applyFont="1" applyFill="1" applyBorder="1" applyAlignment="1">
      <alignment horizontal="center"/>
    </xf>
    <xf numFmtId="2" fontId="37" fillId="8" borderId="8" xfId="3" applyNumberFormat="1" applyFont="1" applyFill="1" applyBorder="1" applyAlignment="1">
      <alignment horizontal="center"/>
    </xf>
    <xf numFmtId="0" fontId="40" fillId="2" borderId="1" xfId="4" applyFont="1" applyFill="1" applyBorder="1" applyAlignment="1"/>
    <xf numFmtId="0" fontId="40" fillId="2" borderId="8" xfId="4" applyFont="1" applyFill="1" applyBorder="1" applyAlignment="1">
      <alignment horizontal="left"/>
    </xf>
    <xf numFmtId="2" fontId="51" fillId="8" borderId="1" xfId="3" applyNumberFormat="1" applyFont="1" applyFill="1" applyBorder="1" applyAlignment="1">
      <alignment horizontal="center"/>
    </xf>
    <xf numFmtId="164" fontId="50" fillId="2" borderId="0" xfId="3" applyNumberFormat="1" applyFont="1" applyFill="1" applyBorder="1" applyAlignment="1">
      <alignment horizontal="center" vertical="center" wrapText="1" shrinkToFit="1"/>
    </xf>
    <xf numFmtId="0" fontId="50" fillId="2" borderId="0" xfId="3" applyFont="1" applyFill="1" applyBorder="1" applyAlignment="1">
      <alignment horizontal="center" vertical="center"/>
    </xf>
    <xf numFmtId="1" fontId="50" fillId="2" borderId="0" xfId="5" applyNumberFormat="1" applyFont="1" applyFill="1" applyBorder="1" applyAlignment="1" applyProtection="1">
      <alignment horizontal="center"/>
    </xf>
    <xf numFmtId="0" fontId="50" fillId="2" borderId="0" xfId="3" applyFont="1" applyFill="1" applyBorder="1" applyAlignment="1">
      <alignment horizontal="center"/>
    </xf>
    <xf numFmtId="2" fontId="50" fillId="2" borderId="0" xfId="5" applyNumberFormat="1" applyFont="1" applyFill="1" applyBorder="1" applyAlignment="1" applyProtection="1">
      <alignment horizontal="center"/>
    </xf>
    <xf numFmtId="165" fontId="50" fillId="2" borderId="0" xfId="6" applyNumberFormat="1" applyFont="1" applyFill="1" applyBorder="1" applyAlignment="1">
      <alignment horizontal="center"/>
    </xf>
    <xf numFmtId="164" fontId="50" fillId="2" borderId="0" xfId="3" applyNumberFormat="1" applyFont="1" applyFill="1" applyBorder="1" applyAlignment="1">
      <alignment horizontal="center"/>
    </xf>
    <xf numFmtId="0" fontId="55" fillId="0" borderId="29" xfId="4" applyFont="1" applyBorder="1" applyAlignment="1">
      <alignment vertical="center" wrapText="1"/>
    </xf>
    <xf numFmtId="0" fontId="55" fillId="0" borderId="24" xfId="4" applyFont="1" applyBorder="1" applyAlignment="1">
      <alignment vertical="center" wrapText="1"/>
    </xf>
    <xf numFmtId="0" fontId="37" fillId="15" borderId="1" xfId="3" applyFont="1" applyFill="1" applyBorder="1" applyAlignment="1">
      <alignment horizontal="center"/>
    </xf>
    <xf numFmtId="0" fontId="37" fillId="8" borderId="1" xfId="3" applyFont="1" applyFill="1" applyBorder="1" applyAlignment="1">
      <alignment horizontal="left"/>
    </xf>
    <xf numFmtId="1" fontId="8" fillId="0" borderId="1" xfId="1" applyNumberFormat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1" fontId="56" fillId="2" borderId="1" xfId="1" applyNumberFormat="1" applyFont="1" applyFill="1" applyBorder="1" applyAlignment="1">
      <alignment vertical="center" wrapText="1"/>
    </xf>
    <xf numFmtId="2" fontId="49" fillId="0" borderId="0" xfId="0" applyNumberFormat="1" applyFont="1"/>
    <xf numFmtId="0" fontId="49" fillId="0" borderId="0" xfId="0" applyFont="1" applyFill="1"/>
    <xf numFmtId="0" fontId="59" fillId="0" borderId="0" xfId="0" applyFont="1"/>
    <xf numFmtId="0" fontId="59" fillId="0" borderId="0" xfId="0" applyFont="1" applyBorder="1"/>
    <xf numFmtId="1" fontId="59" fillId="0" borderId="0" xfId="0" applyNumberFormat="1" applyFont="1"/>
    <xf numFmtId="0" fontId="59" fillId="0" borderId="0" xfId="0" applyFont="1" applyFill="1"/>
    <xf numFmtId="0" fontId="58" fillId="0" borderId="0" xfId="0" applyFont="1" applyFill="1"/>
    <xf numFmtId="1" fontId="59" fillId="0" borderId="0" xfId="0" applyNumberFormat="1" applyFont="1" applyFill="1"/>
    <xf numFmtId="0" fontId="57" fillId="0" borderId="1" xfId="0" applyFont="1" applyBorder="1"/>
    <xf numFmtId="9" fontId="57" fillId="0" borderId="1" xfId="0" applyNumberFormat="1" applyFont="1" applyBorder="1"/>
    <xf numFmtId="1" fontId="57" fillId="0" borderId="1" xfId="0" applyNumberFormat="1" applyFont="1" applyBorder="1"/>
    <xf numFmtId="0" fontId="0" fillId="0" borderId="0" xfId="0" applyAlignment="1">
      <alignment vertical="center" wrapText="1"/>
    </xf>
    <xf numFmtId="0" fontId="57" fillId="0" borderId="1" xfId="0" applyFont="1" applyBorder="1" applyAlignment="1">
      <alignment vertical="center" wrapText="1"/>
    </xf>
    <xf numFmtId="0" fontId="60" fillId="15" borderId="1" xfId="3" applyFont="1" applyFill="1" applyBorder="1" applyAlignment="1"/>
    <xf numFmtId="0" fontId="66" fillId="0" borderId="0" xfId="0" applyFont="1"/>
    <xf numFmtId="2" fontId="67" fillId="8" borderId="1" xfId="3" applyNumberFormat="1" applyFont="1" applyFill="1" applyBorder="1" applyAlignment="1">
      <alignment horizontal="center"/>
    </xf>
    <xf numFmtId="0" fontId="70" fillId="0" borderId="0" xfId="0" applyFont="1"/>
    <xf numFmtId="0" fontId="68" fillId="0" borderId="0" xfId="0" applyFont="1"/>
    <xf numFmtId="0" fontId="60" fillId="15" borderId="1" xfId="3" applyFont="1" applyFill="1" applyBorder="1" applyAlignment="1">
      <alignment horizontal="center" vertical="center"/>
    </xf>
    <xf numFmtId="0" fontId="60" fillId="8" borderId="1" xfId="3" applyFont="1" applyFill="1" applyBorder="1" applyAlignment="1">
      <alignment horizontal="center" vertical="center"/>
    </xf>
    <xf numFmtId="1" fontId="67" fillId="8" borderId="1" xfId="3" applyNumberFormat="1" applyFont="1" applyFill="1" applyBorder="1" applyAlignment="1">
      <alignment horizontal="center"/>
    </xf>
    <xf numFmtId="0" fontId="61" fillId="9" borderId="1" xfId="3" applyFont="1" applyFill="1" applyBorder="1" applyAlignment="1">
      <alignment horizontal="center" vertical="center"/>
    </xf>
    <xf numFmtId="10" fontId="61" fillId="9" borderId="1" xfId="3" applyNumberFormat="1" applyFont="1" applyFill="1" applyBorder="1" applyAlignment="1">
      <alignment horizontal="center"/>
    </xf>
    <xf numFmtId="1" fontId="61" fillId="9" borderId="1" xfId="3" applyNumberFormat="1" applyFont="1" applyFill="1" applyBorder="1" applyAlignment="1">
      <alignment horizontal="center"/>
    </xf>
    <xf numFmtId="2" fontId="61" fillId="9" borderId="1" xfId="3" applyNumberFormat="1" applyFont="1" applyFill="1" applyBorder="1" applyAlignment="1">
      <alignment horizontal="center"/>
    </xf>
    <xf numFmtId="9" fontId="61" fillId="9" borderId="1" xfId="3" applyNumberFormat="1" applyFont="1" applyFill="1" applyBorder="1" applyAlignment="1">
      <alignment horizontal="center"/>
    </xf>
    <xf numFmtId="0" fontId="69" fillId="0" borderId="0" xfId="0" applyFont="1"/>
    <xf numFmtId="2" fontId="67" fillId="2" borderId="1" xfId="3" applyNumberFormat="1" applyFont="1" applyFill="1" applyBorder="1" applyAlignment="1">
      <alignment horizontal="center" vertical="center"/>
    </xf>
    <xf numFmtId="164" fontId="67" fillId="8" borderId="1" xfId="3" applyNumberFormat="1" applyFont="1" applyFill="1" applyBorder="1" applyAlignment="1">
      <alignment horizontal="center" wrapText="1" shrinkToFit="1"/>
    </xf>
    <xf numFmtId="2" fontId="67" fillId="8" borderId="1" xfId="3" applyNumberFormat="1" applyFont="1" applyFill="1" applyBorder="1" applyAlignment="1">
      <alignment horizontal="center" vertical="center"/>
    </xf>
    <xf numFmtId="1" fontId="67" fillId="8" borderId="1" xfId="3" applyNumberFormat="1" applyFont="1" applyFill="1" applyBorder="1" applyAlignment="1">
      <alignment horizontal="center" vertical="center"/>
    </xf>
    <xf numFmtId="0" fontId="67" fillId="15" borderId="1" xfId="3" applyFont="1" applyFill="1" applyBorder="1" applyAlignment="1">
      <alignment horizontal="center" vertical="center"/>
    </xf>
    <xf numFmtId="0" fontId="67" fillId="15" borderId="1" xfId="3" applyFont="1" applyFill="1" applyBorder="1" applyAlignment="1">
      <alignment horizontal="center"/>
    </xf>
    <xf numFmtId="1" fontId="67" fillId="2" borderId="1" xfId="5" applyNumberFormat="1" applyFont="1" applyFill="1" applyBorder="1" applyAlignment="1">
      <alignment horizontal="center" vertical="center"/>
    </xf>
    <xf numFmtId="0" fontId="67" fillId="2" borderId="1" xfId="3" applyNumberFormat="1" applyFont="1" applyFill="1" applyBorder="1" applyAlignment="1">
      <alignment horizontal="center"/>
    </xf>
    <xf numFmtId="2" fontId="67" fillId="8" borderId="8" xfId="3" applyNumberFormat="1" applyFont="1" applyFill="1" applyBorder="1" applyAlignment="1">
      <alignment horizontal="center"/>
    </xf>
    <xf numFmtId="1" fontId="67" fillId="2" borderId="7" xfId="5" applyNumberFormat="1" applyFont="1" applyFill="1" applyBorder="1" applyAlignment="1">
      <alignment horizontal="center" vertical="center"/>
    </xf>
    <xf numFmtId="1" fontId="67" fillId="2" borderId="8" xfId="3" applyNumberFormat="1" applyFont="1" applyFill="1" applyBorder="1" applyAlignment="1">
      <alignment horizontal="center"/>
    </xf>
    <xf numFmtId="0" fontId="67" fillId="0" borderId="1" xfId="4" applyFont="1" applyBorder="1" applyAlignment="1">
      <alignment horizontal="center"/>
    </xf>
    <xf numFmtId="1" fontId="67" fillId="12" borderId="1" xfId="3" applyNumberFormat="1" applyFont="1" applyFill="1" applyBorder="1" applyAlignment="1">
      <alignment horizontal="center"/>
    </xf>
    <xf numFmtId="2" fontId="67" fillId="8" borderId="1" xfId="3" applyNumberFormat="1" applyFont="1" applyFill="1" applyBorder="1" applyAlignment="1">
      <alignment horizontal="right"/>
    </xf>
    <xf numFmtId="1" fontId="67" fillId="8" borderId="1" xfId="5" applyNumberFormat="1" applyFont="1" applyFill="1" applyBorder="1" applyAlignment="1">
      <alignment horizontal="center" vertical="center"/>
    </xf>
    <xf numFmtId="2" fontId="67" fillId="2" borderId="1" xfId="3" applyNumberFormat="1" applyFont="1" applyFill="1" applyBorder="1" applyAlignment="1">
      <alignment horizontal="center"/>
    </xf>
    <xf numFmtId="0" fontId="72" fillId="15" borderId="1" xfId="3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0" fontId="67" fillId="2" borderId="1" xfId="4" applyFont="1" applyFill="1" applyBorder="1" applyAlignment="1">
      <alignment horizontal="center"/>
    </xf>
    <xf numFmtId="1" fontId="67" fillId="2" borderId="1" xfId="3" applyNumberFormat="1" applyFont="1" applyFill="1" applyBorder="1" applyAlignment="1">
      <alignment horizontal="center"/>
    </xf>
    <xf numFmtId="2" fontId="67" fillId="12" borderId="1" xfId="3" applyNumberFormat="1" applyFont="1" applyFill="1" applyBorder="1" applyAlignment="1">
      <alignment horizontal="center"/>
    </xf>
    <xf numFmtId="1" fontId="72" fillId="15" borderId="1" xfId="3" applyNumberFormat="1" applyFont="1" applyFill="1" applyBorder="1" applyAlignment="1">
      <alignment horizontal="center"/>
    </xf>
    <xf numFmtId="0" fontId="67" fillId="0" borderId="1" xfId="4" applyFont="1" applyBorder="1"/>
    <xf numFmtId="0" fontId="74" fillId="8" borderId="1" xfId="3" applyFont="1" applyFill="1" applyBorder="1" applyAlignment="1">
      <alignment horizontal="center"/>
    </xf>
    <xf numFmtId="164" fontId="74" fillId="8" borderId="1" xfId="5" applyNumberFormat="1" applyFont="1" applyFill="1" applyBorder="1" applyAlignment="1">
      <alignment horizontal="center" vertical="center"/>
    </xf>
    <xf numFmtId="1" fontId="67" fillId="12" borderId="1" xfId="5" applyNumberFormat="1" applyFont="1" applyFill="1" applyBorder="1" applyAlignment="1" applyProtection="1">
      <alignment horizontal="center"/>
    </xf>
    <xf numFmtId="0" fontId="74" fillId="2" borderId="1" xfId="4" applyFont="1" applyFill="1" applyBorder="1" applyAlignment="1">
      <alignment horizontal="center"/>
    </xf>
    <xf numFmtId="0" fontId="72" fillId="15" borderId="1" xfId="3" applyFont="1" applyFill="1" applyBorder="1" applyAlignment="1">
      <alignment horizontal="center" vertical="center"/>
    </xf>
    <xf numFmtId="1" fontId="67" fillId="15" borderId="1" xfId="3" applyNumberFormat="1" applyFont="1" applyFill="1" applyBorder="1" applyAlignment="1">
      <alignment horizontal="center" vertical="center"/>
    </xf>
    <xf numFmtId="0" fontId="75" fillId="15" borderId="1" xfId="3" applyFont="1" applyFill="1" applyBorder="1" applyAlignment="1">
      <alignment horizontal="center" vertical="center"/>
    </xf>
    <xf numFmtId="2" fontId="76" fillId="8" borderId="1" xfId="3" applyNumberFormat="1" applyFont="1" applyFill="1" applyBorder="1" applyAlignment="1">
      <alignment horizontal="center"/>
    </xf>
    <xf numFmtId="164" fontId="72" fillId="8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6" fillId="8" borderId="1" xfId="5" applyNumberFormat="1" applyFont="1" applyFill="1" applyBorder="1" applyAlignment="1">
      <alignment horizontal="center" vertical="center"/>
    </xf>
    <xf numFmtId="2" fontId="67" fillId="8" borderId="1" xfId="9" applyNumberFormat="1" applyFont="1" applyFill="1" applyBorder="1" applyAlignment="1">
      <alignment horizontal="center"/>
    </xf>
    <xf numFmtId="168" fontId="72" fillId="8" borderId="1" xfId="5" applyNumberFormat="1" applyFont="1" applyFill="1" applyBorder="1" applyAlignment="1" applyProtection="1">
      <alignment horizontal="center" vertical="center"/>
    </xf>
    <xf numFmtId="164" fontId="75" fillId="8" borderId="1" xfId="5" applyNumberFormat="1" applyFont="1" applyFill="1" applyBorder="1" applyAlignment="1" applyProtection="1">
      <alignment horizontal="center"/>
    </xf>
    <xf numFmtId="1" fontId="76" fillId="0" borderId="1" xfId="4" applyNumberFormat="1" applyFont="1" applyBorder="1" applyAlignment="1">
      <alignment horizontal="center"/>
    </xf>
    <xf numFmtId="2" fontId="75" fillId="8" borderId="1" xfId="3" applyNumberFormat="1" applyFont="1" applyFill="1" applyBorder="1" applyAlignment="1">
      <alignment horizontal="right"/>
    </xf>
    <xf numFmtId="1" fontId="76" fillId="8" borderId="1" xfId="3" applyNumberFormat="1" applyFont="1" applyFill="1" applyBorder="1" applyAlignment="1">
      <alignment horizontal="center" vertical="center"/>
    </xf>
    <xf numFmtId="0" fontId="74" fillId="2" borderId="1" xfId="3" applyFont="1" applyFill="1" applyBorder="1" applyAlignment="1">
      <alignment horizontal="center"/>
    </xf>
    <xf numFmtId="169" fontId="74" fillId="8" borderId="1" xfId="5" applyNumberFormat="1" applyFont="1" applyFill="1" applyBorder="1" applyAlignment="1" applyProtection="1">
      <alignment horizontal="center" vertical="center"/>
    </xf>
    <xf numFmtId="1" fontId="74" fillId="2" borderId="1" xfId="3" applyNumberFormat="1" applyFont="1" applyFill="1" applyBorder="1" applyAlignment="1">
      <alignment horizontal="center" vertical="top"/>
    </xf>
    <xf numFmtId="0" fontId="67" fillId="0" borderId="1" xfId="4" applyFont="1" applyBorder="1" applyAlignment="1">
      <alignment horizontal="center" vertical="center"/>
    </xf>
    <xf numFmtId="0" fontId="67" fillId="8" borderId="1" xfId="3" applyFont="1" applyFill="1" applyBorder="1" applyAlignment="1">
      <alignment horizontal="center" vertical="center"/>
    </xf>
    <xf numFmtId="0" fontId="67" fillId="15" borderId="1" xfId="3" applyFont="1" applyFill="1" applyBorder="1" applyAlignment="1">
      <alignment vertical="center"/>
    </xf>
    <xf numFmtId="0" fontId="67" fillId="15" borderId="1" xfId="3" applyFont="1" applyFill="1" applyBorder="1" applyAlignment="1"/>
    <xf numFmtId="1" fontId="67" fillId="2" borderId="1" xfId="3" applyNumberFormat="1" applyFont="1" applyFill="1" applyBorder="1" applyAlignment="1">
      <alignment horizontal="center" vertical="center"/>
    </xf>
    <xf numFmtId="164" fontId="67" fillId="2" borderId="1" xfId="5" applyNumberFormat="1" applyFont="1" applyFill="1" applyBorder="1" applyAlignment="1" applyProtection="1">
      <alignment horizontal="center" vertical="center"/>
    </xf>
    <xf numFmtId="164" fontId="67" fillId="8" borderId="1" xfId="5" applyNumberFormat="1" applyFont="1" applyFill="1" applyBorder="1" applyAlignment="1" applyProtection="1">
      <alignment horizontal="center" vertical="top"/>
    </xf>
    <xf numFmtId="0" fontId="67" fillId="2" borderId="1" xfId="4" applyFont="1" applyFill="1" applyBorder="1" applyAlignment="1">
      <alignment horizontal="left"/>
    </xf>
    <xf numFmtId="0" fontId="67" fillId="2" borderId="1" xfId="4" applyFont="1" applyFill="1" applyBorder="1" applyAlignment="1"/>
    <xf numFmtId="0" fontId="73" fillId="2" borderId="1" xfId="4" applyFont="1" applyFill="1" applyBorder="1" applyAlignment="1">
      <alignment horizontal="center" wrapText="1"/>
    </xf>
    <xf numFmtId="0" fontId="73" fillId="0" borderId="1" xfId="4" applyFont="1" applyFill="1" applyBorder="1" applyAlignment="1">
      <alignment horizontal="center" wrapText="1"/>
    </xf>
    <xf numFmtId="0" fontId="73" fillId="0" borderId="1" xfId="4" applyFont="1" applyBorder="1" applyAlignment="1">
      <alignment horizontal="center" wrapText="1"/>
    </xf>
    <xf numFmtId="0" fontId="73" fillId="2" borderId="1" xfId="4" applyFont="1" applyFill="1" applyBorder="1" applyAlignment="1">
      <alignment horizontal="center"/>
    </xf>
    <xf numFmtId="0" fontId="67" fillId="8" borderId="1" xfId="3" applyFont="1" applyFill="1" applyBorder="1" applyAlignment="1">
      <alignment horizontal="center"/>
    </xf>
    <xf numFmtId="0" fontId="67" fillId="2" borderId="1" xfId="3" applyFont="1" applyFill="1" applyBorder="1" applyAlignment="1">
      <alignment horizontal="center"/>
    </xf>
    <xf numFmtId="1" fontId="72" fillId="2" borderId="1" xfId="3" applyNumberFormat="1" applyFont="1" applyFill="1" applyBorder="1" applyAlignment="1">
      <alignment horizontal="center"/>
    </xf>
    <xf numFmtId="43" fontId="67" fillId="8" borderId="1" xfId="7" applyFont="1" applyFill="1" applyBorder="1" applyAlignment="1">
      <alignment horizontal="right" wrapText="1"/>
    </xf>
    <xf numFmtId="2" fontId="67" fillId="10" borderId="24" xfId="3" applyNumberFormat="1" applyFont="1" applyFill="1" applyBorder="1" applyAlignment="1">
      <alignment horizontal="center" vertical="center"/>
    </xf>
    <xf numFmtId="0" fontId="73" fillId="10" borderId="24" xfId="4" applyFont="1" applyFill="1" applyBorder="1" applyAlignment="1">
      <alignment horizontal="center" vertical="center"/>
    </xf>
    <xf numFmtId="1" fontId="67" fillId="10" borderId="24" xfId="5" applyNumberFormat="1" applyFont="1" applyFill="1" applyBorder="1" applyAlignment="1">
      <alignment horizontal="center" vertical="center"/>
    </xf>
    <xf numFmtId="1" fontId="67" fillId="10" borderId="24" xfId="3" applyNumberFormat="1" applyFont="1" applyFill="1" applyBorder="1" applyAlignment="1">
      <alignment horizontal="center" vertical="center"/>
    </xf>
    <xf numFmtId="0" fontId="72" fillId="10" borderId="0" xfId="0" applyFont="1" applyFill="1" applyBorder="1" applyAlignment="1">
      <alignment horizontal="center" vertical="center"/>
    </xf>
    <xf numFmtId="0" fontId="72" fillId="0" borderId="1" xfId="0" applyFont="1" applyBorder="1" applyAlignment="1">
      <alignment horizontal="center"/>
    </xf>
    <xf numFmtId="1" fontId="72" fillId="0" borderId="1" xfId="0" applyNumberFormat="1" applyFont="1" applyBorder="1" applyAlignment="1">
      <alignment horizontal="center"/>
    </xf>
    <xf numFmtId="0" fontId="72" fillId="0" borderId="1" xfId="0" applyFont="1" applyFill="1" applyBorder="1" applyAlignment="1">
      <alignment horizontal="center"/>
    </xf>
    <xf numFmtId="0" fontId="72" fillId="0" borderId="1" xfId="0" applyFont="1" applyFill="1" applyBorder="1"/>
    <xf numFmtId="1" fontId="72" fillId="0" borderId="1" xfId="0" applyNumberFormat="1" applyFont="1" applyFill="1" applyBorder="1" applyAlignment="1">
      <alignment horizontal="center"/>
    </xf>
    <xf numFmtId="0" fontId="72" fillId="0" borderId="0" xfId="0" applyFont="1"/>
    <xf numFmtId="1" fontId="72" fillId="0" borderId="0" xfId="0" applyNumberFormat="1" applyFont="1" applyAlignment="1">
      <alignment horizontal="center"/>
    </xf>
    <xf numFmtId="1" fontId="72" fillId="0" borderId="0" xfId="0" applyNumberFormat="1" applyFont="1"/>
    <xf numFmtId="1" fontId="67" fillId="15" borderId="1" xfId="5" applyNumberFormat="1" applyFont="1" applyFill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0" fontId="72" fillId="0" borderId="1" xfId="0" applyFont="1" applyBorder="1"/>
    <xf numFmtId="9" fontId="67" fillId="8" borderId="1" xfId="6" applyNumberFormat="1" applyFont="1" applyFill="1" applyBorder="1" applyAlignment="1">
      <alignment horizontal="center"/>
    </xf>
    <xf numFmtId="165" fontId="67" fillId="0" borderId="1" xfId="6" applyNumberFormat="1" applyFont="1" applyFill="1" applyBorder="1" applyAlignment="1"/>
    <xf numFmtId="1" fontId="67" fillId="8" borderId="1" xfId="5" applyNumberFormat="1" applyFont="1" applyFill="1" applyBorder="1" applyAlignment="1">
      <alignment horizontal="right"/>
    </xf>
    <xf numFmtId="0" fontId="77" fillId="0" borderId="0" xfId="0" applyFont="1"/>
    <xf numFmtId="1" fontId="77" fillId="0" borderId="0" xfId="0" applyNumberFormat="1" applyFont="1" applyAlignment="1">
      <alignment horizontal="center"/>
    </xf>
    <xf numFmtId="1" fontId="77" fillId="0" borderId="0" xfId="0" applyNumberFormat="1" applyFont="1"/>
    <xf numFmtId="2" fontId="36" fillId="8" borderId="11" xfId="3" applyNumberFormat="1" applyFont="1" applyFill="1" applyBorder="1" applyAlignment="1">
      <alignment horizontal="center"/>
    </xf>
    <xf numFmtId="164" fontId="67" fillId="8" borderId="15" xfId="3" applyNumberFormat="1" applyFont="1" applyFill="1" applyBorder="1" applyAlignment="1">
      <alignment horizontal="center" wrapText="1" shrinkToFit="1"/>
    </xf>
    <xf numFmtId="0" fontId="67" fillId="15" borderId="15" xfId="3" applyFont="1" applyFill="1" applyBorder="1" applyAlignment="1">
      <alignment horizontal="center"/>
    </xf>
    <xf numFmtId="1" fontId="67" fillId="8" borderId="15" xfId="5" applyNumberFormat="1" applyFont="1" applyFill="1" applyBorder="1" applyAlignment="1" applyProtection="1">
      <alignment horizontal="center"/>
    </xf>
    <xf numFmtId="1" fontId="67" fillId="2" borderId="15" xfId="5" applyNumberFormat="1" applyFont="1" applyFill="1" applyBorder="1" applyAlignment="1" applyProtection="1">
      <alignment horizontal="center"/>
    </xf>
    <xf numFmtId="1" fontId="67" fillId="15" borderId="15" xfId="3" applyNumberFormat="1" applyFont="1" applyFill="1" applyBorder="1" applyAlignment="1">
      <alignment horizontal="center" vertical="center"/>
    </xf>
    <xf numFmtId="0" fontId="67" fillId="15" borderId="15" xfId="3" applyFont="1" applyFill="1" applyBorder="1" applyAlignment="1"/>
    <xf numFmtId="0" fontId="67" fillId="2" borderId="15" xfId="4" applyFont="1" applyFill="1" applyBorder="1" applyAlignment="1"/>
    <xf numFmtId="1" fontId="67" fillId="10" borderId="30" xfId="5" applyNumberFormat="1" applyFont="1" applyFill="1" applyBorder="1" applyAlignment="1" applyProtection="1">
      <alignment horizontal="center" vertical="center"/>
    </xf>
    <xf numFmtId="1" fontId="72" fillId="0" borderId="15" xfId="0" applyNumberFormat="1" applyFont="1" applyBorder="1" applyAlignment="1">
      <alignment horizontal="center"/>
    </xf>
    <xf numFmtId="1" fontId="72" fillId="0" borderId="15" xfId="0" applyNumberFormat="1" applyFont="1" applyFill="1" applyBorder="1" applyAlignment="1">
      <alignment horizontal="center"/>
    </xf>
    <xf numFmtId="0" fontId="72" fillId="0" borderId="0" xfId="0" applyFont="1" applyBorder="1"/>
    <xf numFmtId="1" fontId="72" fillId="0" borderId="0" xfId="0" applyNumberFormat="1" applyFont="1" applyBorder="1" applyAlignment="1">
      <alignment horizontal="center"/>
    </xf>
    <xf numFmtId="1" fontId="72" fillId="0" borderId="34" xfId="0" applyNumberFormat="1" applyFont="1" applyBorder="1"/>
    <xf numFmtId="0" fontId="72" fillId="15" borderId="15" xfId="3" applyFont="1" applyFill="1" applyBorder="1" applyAlignment="1">
      <alignment horizontal="center"/>
    </xf>
    <xf numFmtId="1" fontId="67" fillId="15" borderId="15" xfId="5" applyNumberFormat="1" applyFont="1" applyFill="1" applyBorder="1" applyAlignment="1">
      <alignment horizontal="center"/>
    </xf>
    <xf numFmtId="2" fontId="67" fillId="8" borderId="7" xfId="3" applyNumberFormat="1" applyFont="1" applyFill="1" applyBorder="1" applyAlignment="1">
      <alignment horizontal="center"/>
    </xf>
    <xf numFmtId="9" fontId="67" fillId="8" borderId="7" xfId="6" applyNumberFormat="1" applyFont="1" applyFill="1" applyBorder="1" applyAlignment="1">
      <alignment horizontal="center"/>
    </xf>
    <xf numFmtId="1" fontId="67" fillId="8" borderId="7" xfId="3" applyNumberFormat="1" applyFont="1" applyFill="1" applyBorder="1" applyAlignment="1">
      <alignment horizontal="center"/>
    </xf>
    <xf numFmtId="2" fontId="67" fillId="8" borderId="7" xfId="3" applyNumberFormat="1" applyFont="1" applyFill="1" applyBorder="1" applyAlignment="1">
      <alignment horizontal="right"/>
    </xf>
    <xf numFmtId="1" fontId="67" fillId="8" borderId="23" xfId="5" applyNumberFormat="1" applyFont="1" applyFill="1" applyBorder="1" applyAlignment="1" applyProtection="1">
      <alignment horizontal="center"/>
    </xf>
    <xf numFmtId="9" fontId="61" fillId="9" borderId="21" xfId="3" applyNumberFormat="1" applyFont="1" applyFill="1" applyBorder="1" applyAlignment="1">
      <alignment horizontal="left"/>
    </xf>
    <xf numFmtId="0" fontId="62" fillId="0" borderId="1" xfId="4" applyFont="1" applyBorder="1" applyAlignment="1">
      <alignment horizontal="left"/>
    </xf>
    <xf numFmtId="0" fontId="64" fillId="16" borderId="1" xfId="0" applyFont="1" applyFill="1" applyBorder="1"/>
    <xf numFmtId="0" fontId="66" fillId="0" borderId="0" xfId="0" applyFont="1" applyBorder="1"/>
    <xf numFmtId="0" fontId="69" fillId="0" borderId="1" xfId="0" applyFont="1" applyFill="1" applyBorder="1" applyAlignment="1">
      <alignment horizontal="left"/>
    </xf>
    <xf numFmtId="166" fontId="61" fillId="9" borderId="21" xfId="3" applyNumberFormat="1" applyFont="1" applyFill="1" applyBorder="1" applyAlignment="1">
      <alignment horizontal="left"/>
    </xf>
    <xf numFmtId="0" fontId="61" fillId="9" borderId="21" xfId="3" applyFont="1" applyFill="1" applyBorder="1"/>
    <xf numFmtId="0" fontId="61" fillId="8" borderId="21" xfId="3" applyFont="1" applyFill="1" applyBorder="1" applyAlignment="1">
      <alignment horizontal="center" vertical="center"/>
    </xf>
    <xf numFmtId="0" fontId="61" fillId="8" borderId="21" xfId="3" applyFont="1" applyFill="1" applyBorder="1" applyAlignment="1">
      <alignment horizontal="left" vertical="center"/>
    </xf>
    <xf numFmtId="0" fontId="60" fillId="8" borderId="1" xfId="3" applyFont="1" applyFill="1" applyBorder="1" applyAlignment="1">
      <alignment horizontal="left" vertical="center"/>
    </xf>
    <xf numFmtId="0" fontId="61" fillId="8" borderId="27" xfId="3" applyFont="1" applyFill="1" applyBorder="1" applyAlignment="1">
      <alignment horizontal="left" vertical="center"/>
    </xf>
    <xf numFmtId="0" fontId="61" fillId="8" borderId="5" xfId="3" applyFont="1" applyFill="1" applyBorder="1" applyAlignment="1">
      <alignment horizontal="left" vertical="center"/>
    </xf>
    <xf numFmtId="0" fontId="61" fillId="8" borderId="13" xfId="3" applyFont="1" applyFill="1" applyBorder="1" applyAlignment="1">
      <alignment horizontal="left" vertical="center"/>
    </xf>
    <xf numFmtId="167" fontId="61" fillId="8" borderId="21" xfId="3" applyNumberFormat="1" applyFont="1" applyFill="1" applyBorder="1" applyAlignment="1">
      <alignment vertical="center"/>
    </xf>
    <xf numFmtId="167" fontId="60" fillId="8" borderId="1" xfId="3" applyNumberFormat="1" applyFont="1" applyFill="1" applyBorder="1" applyAlignment="1">
      <alignment vertical="center"/>
    </xf>
    <xf numFmtId="0" fontId="61" fillId="16" borderId="21" xfId="3" applyFont="1" applyFill="1" applyBorder="1" applyAlignment="1">
      <alignment horizontal="center"/>
    </xf>
    <xf numFmtId="0" fontId="60" fillId="16" borderId="1" xfId="3" applyFont="1" applyFill="1" applyBorder="1" applyAlignment="1">
      <alignment horizontal="center"/>
    </xf>
    <xf numFmtId="0" fontId="61" fillId="2" borderId="21" xfId="3" applyFont="1" applyFill="1" applyBorder="1" applyAlignment="1">
      <alignment horizontal="left" vertical="center"/>
    </xf>
    <xf numFmtId="0" fontId="60" fillId="2" borderId="1" xfId="3" applyFont="1" applyFill="1" applyBorder="1" applyAlignment="1">
      <alignment horizontal="left" vertical="center"/>
    </xf>
    <xf numFmtId="0" fontId="60" fillId="8" borderId="1" xfId="3" applyFont="1" applyFill="1" applyBorder="1" applyAlignment="1">
      <alignment horizontal="left"/>
    </xf>
    <xf numFmtId="0" fontId="61" fillId="16" borderId="21" xfId="3" applyFont="1" applyFill="1" applyBorder="1" applyAlignment="1">
      <alignment horizontal="center" vertical="center"/>
    </xf>
    <xf numFmtId="0" fontId="60" fillId="16" borderId="1" xfId="3" applyFont="1" applyFill="1" applyBorder="1" applyAlignment="1">
      <alignment horizontal="center" vertical="center"/>
    </xf>
    <xf numFmtId="0" fontId="71" fillId="2" borderId="16" xfId="3" applyFont="1" applyFill="1" applyBorder="1" applyAlignment="1">
      <alignment horizontal="center"/>
    </xf>
    <xf numFmtId="0" fontId="71" fillId="2" borderId="3" xfId="3" applyFont="1" applyFill="1" applyBorder="1" applyAlignment="1">
      <alignment horizontal="center"/>
    </xf>
    <xf numFmtId="0" fontId="71" fillId="2" borderId="4" xfId="3" applyFont="1" applyFill="1" applyBorder="1" applyAlignment="1">
      <alignment horizontal="center"/>
    </xf>
    <xf numFmtId="0" fontId="71" fillId="16" borderId="16" xfId="3" applyFont="1" applyFill="1" applyBorder="1" applyAlignment="1">
      <alignment horizontal="center"/>
    </xf>
    <xf numFmtId="0" fontId="71" fillId="16" borderId="3" xfId="3" applyFont="1" applyFill="1" applyBorder="1" applyAlignment="1">
      <alignment horizontal="center"/>
    </xf>
    <xf numFmtId="0" fontId="71" fillId="16" borderId="4" xfId="3" applyFont="1" applyFill="1" applyBorder="1" applyAlignment="1">
      <alignment horizontal="center"/>
    </xf>
    <xf numFmtId="0" fontId="61" fillId="15" borderId="21" xfId="3" applyFont="1" applyFill="1" applyBorder="1" applyAlignment="1">
      <alignment horizontal="left"/>
    </xf>
    <xf numFmtId="2" fontId="61" fillId="8" borderId="21" xfId="3" applyNumberFormat="1" applyFont="1" applyFill="1" applyBorder="1" applyAlignment="1">
      <alignment horizontal="left" vertical="center"/>
    </xf>
    <xf numFmtId="2" fontId="60" fillId="8" borderId="1" xfId="3" applyNumberFormat="1" applyFont="1" applyFill="1" applyBorder="1" applyAlignment="1">
      <alignment horizontal="left" vertical="center"/>
    </xf>
    <xf numFmtId="0" fontId="60" fillId="8" borderId="1" xfId="3" applyFont="1" applyFill="1" applyBorder="1" applyAlignment="1">
      <alignment horizontal="left" vertical="justify"/>
    </xf>
    <xf numFmtId="0" fontId="61" fillId="15" borderId="21" xfId="3" applyFont="1" applyFill="1" applyBorder="1" applyAlignment="1"/>
    <xf numFmtId="0" fontId="61" fillId="0" borderId="21" xfId="4" applyFont="1" applyBorder="1" applyAlignment="1">
      <alignment vertical="center"/>
    </xf>
    <xf numFmtId="0" fontId="60" fillId="0" borderId="1" xfId="4" applyFont="1" applyBorder="1" applyAlignment="1">
      <alignment vertical="center"/>
    </xf>
    <xf numFmtId="0" fontId="63" fillId="16" borderId="21" xfId="4" applyFont="1" applyFill="1" applyBorder="1"/>
    <xf numFmtId="0" fontId="61" fillId="15" borderId="21" xfId="3" applyFont="1" applyFill="1" applyBorder="1" applyAlignment="1">
      <alignment horizontal="center"/>
    </xf>
    <xf numFmtId="0" fontId="61" fillId="10" borderId="32" xfId="3" applyFont="1" applyFill="1" applyBorder="1" applyAlignment="1">
      <alignment horizontal="center" vertical="center"/>
    </xf>
    <xf numFmtId="0" fontId="61" fillId="10" borderId="0" xfId="3" applyFont="1" applyFill="1" applyBorder="1" applyAlignment="1">
      <alignment horizontal="center" vertical="center"/>
    </xf>
    <xf numFmtId="0" fontId="61" fillId="0" borderId="21" xfId="4" applyFont="1" applyBorder="1"/>
    <xf numFmtId="0" fontId="61" fillId="15" borderId="21" xfId="3" applyFont="1" applyFill="1" applyBorder="1" applyAlignment="1">
      <alignment horizontal="center" vertical="center"/>
    </xf>
    <xf numFmtId="9" fontId="67" fillId="9" borderId="1" xfId="4" applyNumberFormat="1" applyFont="1" applyFill="1" applyBorder="1"/>
    <xf numFmtId="0" fontId="67" fillId="9" borderId="1" xfId="3" applyFont="1" applyFill="1" applyBorder="1" applyAlignment="1"/>
    <xf numFmtId="1" fontId="61" fillId="9" borderId="15" xfId="3" applyNumberFormat="1" applyFont="1" applyFill="1" applyBorder="1" applyAlignment="1">
      <alignment horizontal="center" vertical="center"/>
    </xf>
    <xf numFmtId="0" fontId="61" fillId="9" borderId="1" xfId="3" applyFont="1" applyFill="1" applyBorder="1" applyAlignment="1">
      <alignment horizontal="left"/>
    </xf>
    <xf numFmtId="1" fontId="61" fillId="9" borderId="15" xfId="3" applyNumberFormat="1" applyFont="1" applyFill="1" applyBorder="1" applyAlignment="1">
      <alignment horizontal="center"/>
    </xf>
    <xf numFmtId="9" fontId="61" fillId="9" borderId="1" xfId="3" applyNumberFormat="1" applyFont="1" applyFill="1" applyBorder="1" applyAlignment="1">
      <alignment horizontal="left"/>
    </xf>
    <xf numFmtId="0" fontId="67" fillId="8" borderId="8" xfId="3" applyFont="1" applyFill="1" applyBorder="1" applyAlignment="1">
      <alignment horizontal="center"/>
    </xf>
    <xf numFmtId="44" fontId="76" fillId="8" borderId="1" xfId="8" applyFont="1" applyFill="1" applyBorder="1" applyAlignment="1">
      <alignment horizontal="center"/>
    </xf>
    <xf numFmtId="0" fontId="76" fillId="8" borderId="1" xfId="3" applyFont="1" applyFill="1" applyBorder="1" applyAlignment="1">
      <alignment horizontal="center"/>
    </xf>
    <xf numFmtId="0" fontId="67" fillId="2" borderId="1" xfId="3" applyFont="1" applyFill="1" applyBorder="1" applyAlignment="1">
      <alignment horizontal="center" vertical="center"/>
    </xf>
    <xf numFmtId="0" fontId="67" fillId="10" borderId="31" xfId="3" applyFont="1" applyFill="1" applyBorder="1" applyAlignment="1">
      <alignment horizontal="center" vertical="center"/>
    </xf>
    <xf numFmtId="0" fontId="72" fillId="0" borderId="4" xfId="0" applyFont="1" applyBorder="1" applyAlignment="1">
      <alignment horizontal="center"/>
    </xf>
    <xf numFmtId="0" fontId="77" fillId="0" borderId="4" xfId="0" applyFont="1" applyFill="1" applyBorder="1"/>
    <xf numFmtId="0" fontId="72" fillId="0" borderId="4" xfId="0" applyFont="1" applyFill="1" applyBorder="1" applyAlignment="1">
      <alignment horizontal="center"/>
    </xf>
    <xf numFmtId="0" fontId="67" fillId="8" borderId="7" xfId="3" applyFont="1" applyFill="1" applyBorder="1" applyAlignment="1">
      <alignment horizontal="center"/>
    </xf>
    <xf numFmtId="0" fontId="67" fillId="12" borderId="1" xfId="4" applyFont="1" applyFill="1" applyBorder="1" applyAlignment="1">
      <alignment horizontal="center"/>
    </xf>
    <xf numFmtId="0" fontId="67" fillId="0" borderId="1" xfId="3" applyFont="1" applyFill="1" applyBorder="1" applyAlignment="1">
      <alignment horizontal="center"/>
    </xf>
    <xf numFmtId="1" fontId="81" fillId="12" borderId="0" xfId="0" applyNumberFormat="1" applyFont="1" applyFill="1"/>
    <xf numFmtId="1" fontId="81" fillId="0" borderId="0" xfId="0" applyNumberFormat="1" applyFont="1"/>
    <xf numFmtId="0" fontId="66" fillId="9" borderId="1" xfId="3" applyFont="1" applyFill="1" applyBorder="1" applyAlignment="1">
      <alignment horizontal="center" vertical="center"/>
    </xf>
    <xf numFmtId="2" fontId="66" fillId="9" borderId="1" xfId="3" applyNumberFormat="1" applyFont="1" applyFill="1" applyBorder="1" applyAlignment="1">
      <alignment horizontal="center"/>
    </xf>
    <xf numFmtId="2" fontId="72" fillId="2" borderId="1" xfId="3" applyNumberFormat="1" applyFont="1" applyFill="1" applyBorder="1" applyAlignment="1">
      <alignment horizontal="center" vertical="center"/>
    </xf>
    <xf numFmtId="2" fontId="72" fillId="8" borderId="1" xfId="3" applyNumberFormat="1" applyFont="1" applyFill="1" applyBorder="1" applyAlignment="1">
      <alignment horizontal="center"/>
    </xf>
    <xf numFmtId="2" fontId="72" fillId="8" borderId="8" xfId="3" applyNumberFormat="1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2" fillId="8" borderId="1" xfId="3" applyFont="1" applyFill="1" applyBorder="1" applyAlignment="1">
      <alignment horizontal="center"/>
    </xf>
    <xf numFmtId="0" fontId="72" fillId="2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 vertical="center"/>
    </xf>
    <xf numFmtId="2" fontId="72" fillId="8" borderId="1" xfId="3" applyNumberFormat="1" applyFont="1" applyFill="1" applyBorder="1" applyAlignment="1">
      <alignment horizontal="center" vertical="center"/>
    </xf>
    <xf numFmtId="0" fontId="72" fillId="8" borderId="1" xfId="3" applyFont="1" applyFill="1" applyBorder="1" applyAlignment="1">
      <alignment horizontal="center" vertical="center"/>
    </xf>
    <xf numFmtId="0" fontId="72" fillId="0" borderId="1" xfId="4" applyFont="1" applyFill="1" applyBorder="1" applyAlignment="1">
      <alignment horizontal="center" vertical="center"/>
    </xf>
    <xf numFmtId="0" fontId="72" fillId="15" borderId="1" xfId="3" applyFont="1" applyFill="1" applyBorder="1" applyAlignment="1">
      <alignment vertical="center"/>
    </xf>
    <xf numFmtId="1" fontId="72" fillId="2" borderId="1" xfId="3" applyNumberFormat="1" applyFont="1" applyFill="1" applyBorder="1" applyAlignment="1">
      <alignment horizontal="center" vertical="center"/>
    </xf>
    <xf numFmtId="0" fontId="72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0" borderId="1" xfId="3" applyFont="1" applyFill="1" applyBorder="1" applyAlignment="1">
      <alignment horizontal="center"/>
    </xf>
    <xf numFmtId="0" fontId="72" fillId="10" borderId="24" xfId="4" applyFont="1" applyFill="1" applyBorder="1" applyAlignment="1">
      <alignment horizontal="center" vertical="center"/>
    </xf>
    <xf numFmtId="0" fontId="72" fillId="12" borderId="1" xfId="4" applyFont="1" applyFill="1" applyBorder="1" applyAlignment="1">
      <alignment horizontal="center"/>
    </xf>
    <xf numFmtId="2" fontId="72" fillId="8" borderId="7" xfId="3" applyNumberFormat="1" applyFont="1" applyFill="1" applyBorder="1" applyAlignment="1">
      <alignment horizontal="center"/>
    </xf>
    <xf numFmtId="0" fontId="67" fillId="0" borderId="1" xfId="4" applyFont="1" applyFill="1" applyBorder="1" applyAlignment="1">
      <alignment horizontal="center"/>
    </xf>
    <xf numFmtId="1" fontId="67" fillId="0" borderId="1" xfId="5" applyNumberFormat="1" applyFont="1" applyFill="1" applyBorder="1" applyAlignment="1">
      <alignment horizontal="center" vertical="center"/>
    </xf>
    <xf numFmtId="0" fontId="67" fillId="0" borderId="1" xfId="4" applyFont="1" applyFill="1" applyBorder="1" applyAlignment="1">
      <alignment horizontal="center" vertical="center"/>
    </xf>
    <xf numFmtId="0" fontId="67" fillId="2" borderId="1" xfId="4" applyFont="1" applyFill="1" applyBorder="1" applyAlignment="1">
      <alignment horizontal="center" wrapText="1"/>
    </xf>
    <xf numFmtId="0" fontId="67" fillId="0" borderId="1" xfId="4" applyFont="1" applyFill="1" applyBorder="1" applyAlignment="1">
      <alignment horizontal="center" wrapText="1"/>
    </xf>
    <xf numFmtId="0" fontId="67" fillId="0" borderId="1" xfId="4" applyFont="1" applyBorder="1" applyAlignment="1">
      <alignment horizontal="center" wrapText="1"/>
    </xf>
    <xf numFmtId="0" fontId="67" fillId="10" borderId="24" xfId="4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/>
    </xf>
    <xf numFmtId="0" fontId="67" fillId="0" borderId="1" xfId="0" applyFont="1" applyFill="1" applyBorder="1" applyAlignment="1">
      <alignment horizontal="center"/>
    </xf>
    <xf numFmtId="1" fontId="67" fillId="0" borderId="1" xfId="0" applyNumberFormat="1" applyFont="1" applyFill="1" applyBorder="1" applyAlignment="1">
      <alignment horizontal="center"/>
    </xf>
    <xf numFmtId="0" fontId="67" fillId="0" borderId="0" xfId="0" applyFont="1" applyBorder="1"/>
    <xf numFmtId="0" fontId="82" fillId="0" borderId="0" xfId="0" applyFont="1"/>
    <xf numFmtId="0" fontId="67" fillId="0" borderId="0" xfId="0" applyFont="1"/>
    <xf numFmtId="1" fontId="83" fillId="20" borderId="1" xfId="5" applyNumberFormat="1" applyFont="1" applyFill="1" applyBorder="1" applyAlignment="1">
      <alignment horizontal="center" vertical="center"/>
    </xf>
    <xf numFmtId="0" fontId="79" fillId="21" borderId="21" xfId="3" applyFont="1" applyFill="1" applyBorder="1" applyAlignment="1">
      <alignment horizontal="left"/>
    </xf>
    <xf numFmtId="0" fontId="78" fillId="21" borderId="1" xfId="3" applyFont="1" applyFill="1" applyBorder="1" applyAlignment="1">
      <alignment horizontal="left"/>
    </xf>
    <xf numFmtId="0" fontId="83" fillId="21" borderId="1" xfId="3" applyFont="1" applyFill="1" applyBorder="1" applyAlignment="1">
      <alignment horizontal="center"/>
    </xf>
    <xf numFmtId="0" fontId="83" fillId="21" borderId="1" xfId="4" applyFont="1" applyFill="1" applyBorder="1" applyAlignment="1">
      <alignment horizontal="center"/>
    </xf>
    <xf numFmtId="1" fontId="83" fillId="21" borderId="1" xfId="5" applyNumberFormat="1" applyFont="1" applyFill="1" applyBorder="1" applyAlignment="1">
      <alignment horizontal="center" vertical="center"/>
    </xf>
    <xf numFmtId="1" fontId="83" fillId="21" borderId="1" xfId="3" applyNumberFormat="1" applyFont="1" applyFill="1" applyBorder="1" applyAlignment="1">
      <alignment horizontal="center"/>
    </xf>
    <xf numFmtId="0" fontId="83" fillId="21" borderId="1" xfId="3" applyNumberFormat="1" applyFont="1" applyFill="1" applyBorder="1" applyAlignment="1">
      <alignment horizontal="center"/>
    </xf>
    <xf numFmtId="1" fontId="83" fillId="21" borderId="15" xfId="5" applyNumberFormat="1" applyFont="1" applyFill="1" applyBorder="1" applyAlignment="1" applyProtection="1">
      <alignment horizontal="center"/>
    </xf>
    <xf numFmtId="0" fontId="79" fillId="21" borderId="21" xfId="3" applyFont="1" applyFill="1" applyBorder="1" applyAlignment="1">
      <alignment horizontal="left" vertical="center"/>
    </xf>
    <xf numFmtId="0" fontId="78" fillId="21" borderId="1" xfId="3" applyFont="1" applyFill="1" applyBorder="1" applyAlignment="1">
      <alignment horizontal="left" vertical="center"/>
    </xf>
    <xf numFmtId="2" fontId="83" fillId="21" borderId="1" xfId="3" applyNumberFormat="1" applyFont="1" applyFill="1" applyBorder="1" applyAlignment="1">
      <alignment horizontal="center"/>
    </xf>
    <xf numFmtId="0" fontId="66" fillId="8" borderId="2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1" fontId="72" fillId="20" borderId="1" xfId="5" applyNumberFormat="1" applyFont="1" applyFill="1" applyBorder="1" applyAlignment="1">
      <alignment horizontal="center" vertical="center"/>
    </xf>
    <xf numFmtId="1" fontId="72" fillId="8" borderId="1" xfId="3" applyNumberFormat="1" applyFont="1" applyFill="1" applyBorder="1" applyAlignment="1">
      <alignment horizontal="center"/>
    </xf>
    <xf numFmtId="0" fontId="72" fillId="2" borderId="1" xfId="3" applyNumberFormat="1" applyFont="1" applyFill="1" applyBorder="1" applyAlignment="1">
      <alignment horizontal="center"/>
    </xf>
    <xf numFmtId="1" fontId="72" fillId="8" borderId="15" xfId="5" applyNumberFormat="1" applyFont="1" applyFill="1" applyBorder="1" applyAlignment="1" applyProtection="1">
      <alignment horizontal="center"/>
    </xf>
    <xf numFmtId="0" fontId="66" fillId="8" borderId="27" xfId="3" applyFont="1" applyFill="1" applyBorder="1" applyAlignment="1">
      <alignment horizontal="left" vertical="center"/>
    </xf>
    <xf numFmtId="0" fontId="66" fillId="8" borderId="5" xfId="3" applyFont="1" applyFill="1" applyBorder="1" applyAlignment="1">
      <alignment horizontal="left" vertical="center"/>
    </xf>
    <xf numFmtId="0" fontId="66" fillId="8" borderId="13" xfId="3" applyFont="1" applyFill="1" applyBorder="1" applyAlignment="1">
      <alignment horizontal="left" vertical="center"/>
    </xf>
    <xf numFmtId="0" fontId="72" fillId="8" borderId="8" xfId="3" applyFont="1" applyFill="1" applyBorder="1" applyAlignment="1">
      <alignment horizontal="center"/>
    </xf>
    <xf numFmtId="1" fontId="72" fillId="2" borderId="8" xfId="3" applyNumberFormat="1" applyFont="1" applyFill="1" applyBorder="1" applyAlignment="1">
      <alignment horizontal="center"/>
    </xf>
    <xf numFmtId="167" fontId="66" fillId="8" borderId="21" xfId="3" applyNumberFormat="1" applyFont="1" applyFill="1" applyBorder="1" applyAlignment="1">
      <alignment vertical="center"/>
    </xf>
    <xf numFmtId="167" fontId="68" fillId="8" borderId="1" xfId="3" applyNumberFormat="1" applyFont="1" applyFill="1" applyBorder="1" applyAlignment="1">
      <alignment vertical="center"/>
    </xf>
    <xf numFmtId="1" fontId="72" fillId="2" borderId="1" xfId="5" applyNumberFormat="1" applyFont="1" applyFill="1" applyBorder="1" applyAlignment="1">
      <alignment horizontal="center" vertical="center"/>
    </xf>
    <xf numFmtId="1" fontId="72" fillId="12" borderId="1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right"/>
    </xf>
    <xf numFmtId="0" fontId="66" fillId="16" borderId="21" xfId="3" applyFont="1" applyFill="1" applyBorder="1" applyAlignment="1">
      <alignment horizontal="center"/>
    </xf>
    <xf numFmtId="0" fontId="68" fillId="16" borderId="1" xfId="3" applyFont="1" applyFill="1" applyBorder="1" applyAlignment="1">
      <alignment horizontal="center"/>
    </xf>
    <xf numFmtId="1" fontId="72" fillId="8" borderId="1" xfId="5" applyNumberFormat="1" applyFont="1" applyFill="1" applyBorder="1" applyAlignment="1">
      <alignment horizontal="center" vertical="center"/>
    </xf>
    <xf numFmtId="2" fontId="72" fillId="2" borderId="1" xfId="3" applyNumberFormat="1" applyFont="1" applyFill="1" applyBorder="1" applyAlignment="1">
      <alignment horizontal="center"/>
    </xf>
    <xf numFmtId="0" fontId="72" fillId="0" borderId="1" xfId="4" applyFont="1" applyBorder="1"/>
    <xf numFmtId="164" fontId="72" fillId="20" borderId="1" xfId="5" applyNumberFormat="1" applyFont="1" applyFill="1" applyBorder="1" applyAlignment="1">
      <alignment horizontal="center" vertical="center"/>
    </xf>
    <xf numFmtId="1" fontId="72" fillId="12" borderId="1" xfId="5" applyNumberFormat="1" applyFont="1" applyFill="1" applyBorder="1" applyAlignment="1" applyProtection="1">
      <alignment horizontal="center"/>
    </xf>
    <xf numFmtId="1" fontId="67" fillId="8" borderId="1" xfId="9" applyNumberFormat="1" applyFont="1" applyFill="1" applyBorder="1" applyAlignment="1">
      <alignment horizontal="center"/>
    </xf>
    <xf numFmtId="0" fontId="67" fillId="21" borderId="1" xfId="4" applyFont="1" applyFill="1" applyBorder="1" applyAlignment="1">
      <alignment horizontal="center"/>
    </xf>
    <xf numFmtId="0" fontId="73" fillId="12" borderId="1" xfId="4" applyFont="1" applyFill="1" applyBorder="1" applyAlignment="1">
      <alignment horizontal="center"/>
    </xf>
    <xf numFmtId="1" fontId="72" fillId="2" borderId="8" xfId="5" applyNumberFormat="1" applyFont="1" applyFill="1" applyBorder="1" applyAlignment="1">
      <alignment horizontal="center" vertical="center"/>
    </xf>
    <xf numFmtId="171" fontId="49" fillId="0" borderId="0" xfId="0" applyNumberFormat="1" applyFont="1"/>
    <xf numFmtId="1" fontId="81" fillId="0" borderId="5" xfId="0" applyNumberFormat="1" applyFont="1" applyBorder="1"/>
    <xf numFmtId="1" fontId="67" fillId="0" borderId="1" xfId="3" applyNumberFormat="1" applyFont="1" applyFill="1" applyBorder="1" applyAlignment="1">
      <alignment horizontal="center"/>
    </xf>
    <xf numFmtId="2" fontId="67" fillId="0" borderId="1" xfId="3" applyNumberFormat="1" applyFont="1" applyFill="1" applyBorder="1" applyAlignment="1">
      <alignment horizontal="center"/>
    </xf>
    <xf numFmtId="1" fontId="67" fillId="0" borderId="15" xfId="5" applyNumberFormat="1" applyFont="1" applyFill="1" applyBorder="1" applyAlignment="1" applyProtection="1">
      <alignment horizontal="center"/>
    </xf>
    <xf numFmtId="172" fontId="49" fillId="0" borderId="0" xfId="0" applyNumberFormat="1" applyFont="1"/>
    <xf numFmtId="0" fontId="67" fillId="12" borderId="1" xfId="3" applyFont="1" applyFill="1" applyBorder="1" applyAlignment="1">
      <alignment horizontal="center"/>
    </xf>
    <xf numFmtId="0" fontId="39" fillId="0" borderId="0" xfId="0" applyFont="1" applyFill="1"/>
    <xf numFmtId="172" fontId="49" fillId="0" borderId="0" xfId="0" applyNumberFormat="1" applyFont="1" applyFill="1"/>
    <xf numFmtId="171" fontId="49" fillId="0" borderId="0" xfId="0" applyNumberFormat="1" applyFont="1" applyFill="1"/>
    <xf numFmtId="1" fontId="49" fillId="0" borderId="0" xfId="0" applyNumberFormat="1" applyFont="1" applyFill="1"/>
    <xf numFmtId="1" fontId="81" fillId="0" borderId="0" xfId="0" applyNumberFormat="1" applyFont="1" applyFill="1"/>
    <xf numFmtId="1" fontId="81" fillId="0" borderId="5" xfId="0" applyNumberFormat="1" applyFont="1" applyFill="1" applyBorder="1"/>
    <xf numFmtId="0" fontId="84" fillId="0" borderId="0" xfId="0" applyFont="1" applyFill="1" applyAlignment="1">
      <alignment horizontal="center"/>
    </xf>
    <xf numFmtId="0" fontId="85" fillId="0" borderId="0" xfId="0" applyFont="1" applyFill="1" applyAlignment="1">
      <alignment horizontal="center"/>
    </xf>
    <xf numFmtId="1" fontId="84" fillId="0" borderId="0" xfId="0" applyNumberFormat="1" applyFont="1" applyFill="1" applyAlignment="1">
      <alignment horizontal="center"/>
    </xf>
    <xf numFmtId="1" fontId="86" fillId="0" borderId="0" xfId="0" applyNumberFormat="1" applyFont="1" applyFill="1" applyAlignment="1">
      <alignment horizontal="center"/>
    </xf>
    <xf numFmtId="1" fontId="86" fillId="0" borderId="5" xfId="0" applyNumberFormat="1" applyFont="1" applyFill="1" applyBorder="1" applyAlignment="1">
      <alignment horizontal="center"/>
    </xf>
    <xf numFmtId="1" fontId="49" fillId="12" borderId="0" xfId="0" applyNumberFormat="1" applyFont="1" applyFill="1"/>
    <xf numFmtId="1" fontId="84" fillId="12" borderId="0" xfId="0" applyNumberFormat="1" applyFont="1" applyFill="1" applyAlignment="1">
      <alignment horizontal="center"/>
    </xf>
    <xf numFmtId="0" fontId="49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173" fontId="49" fillId="0" borderId="0" xfId="0" applyNumberFormat="1" applyFont="1" applyAlignment="1">
      <alignment horizontal="center"/>
    </xf>
    <xf numFmtId="173" fontId="49" fillId="12" borderId="0" xfId="0" applyNumberFormat="1" applyFont="1" applyFill="1" applyAlignment="1">
      <alignment horizontal="center"/>
    </xf>
    <xf numFmtId="173" fontId="49" fillId="0" borderId="0" xfId="0" applyNumberFormat="1" applyFont="1" applyFill="1" applyAlignment="1">
      <alignment horizontal="center"/>
    </xf>
    <xf numFmtId="172" fontId="49" fillId="12" borderId="0" xfId="0" applyNumberFormat="1" applyFont="1" applyFill="1"/>
    <xf numFmtId="172" fontId="84" fillId="12" borderId="0" xfId="0" applyNumberFormat="1" applyFont="1" applyFill="1" applyAlignment="1">
      <alignment horizontal="center"/>
    </xf>
    <xf numFmtId="0" fontId="63" fillId="0" borderId="21" xfId="4" applyFont="1" applyFill="1" applyBorder="1"/>
    <xf numFmtId="0" fontId="64" fillId="0" borderId="1" xfId="0" applyFont="1" applyFill="1" applyBorder="1"/>
    <xf numFmtId="0" fontId="67" fillId="0" borderId="1" xfId="4" applyFont="1" applyFill="1" applyBorder="1"/>
    <xf numFmtId="164" fontId="50" fillId="0" borderId="0" xfId="5" applyNumberFormat="1" applyFont="1" applyFill="1" applyBorder="1" applyAlignment="1" applyProtection="1">
      <alignment horizontal="center"/>
    </xf>
    <xf numFmtId="0" fontId="51" fillId="0" borderId="0" xfId="0" applyFont="1" applyFill="1" applyBorder="1"/>
    <xf numFmtId="0" fontId="51" fillId="0" borderId="0" xfId="0" applyFont="1" applyFill="1"/>
    <xf numFmtId="1" fontId="61" fillId="9" borderId="1" xfId="3" applyNumberFormat="1" applyFont="1" applyFill="1" applyBorder="1" applyAlignment="1">
      <alignment horizontal="center" vertical="center"/>
    </xf>
    <xf numFmtId="1" fontId="67" fillId="0" borderId="1" xfId="4" applyNumberFormat="1" applyFont="1" applyBorder="1" applyAlignment="1">
      <alignment horizontal="center"/>
    </xf>
    <xf numFmtId="1" fontId="67" fillId="15" borderId="1" xfId="3" applyNumberFormat="1" applyFont="1" applyFill="1" applyBorder="1" applyAlignment="1">
      <alignment horizontal="center"/>
    </xf>
    <xf numFmtId="1" fontId="67" fillId="21" borderId="1" xfId="4" applyNumberFormat="1" applyFont="1" applyFill="1" applyBorder="1" applyAlignment="1">
      <alignment horizontal="center"/>
    </xf>
    <xf numFmtId="1" fontId="67" fillId="2" borderId="1" xfId="4" applyNumberFormat="1" applyFont="1" applyFill="1" applyBorder="1" applyAlignment="1">
      <alignment horizontal="center"/>
    </xf>
    <xf numFmtId="1" fontId="67" fillId="0" borderId="1" xfId="4" applyNumberFormat="1" applyFont="1" applyBorder="1" applyAlignment="1">
      <alignment horizontal="center" vertical="center"/>
    </xf>
    <xf numFmtId="1" fontId="67" fillId="0" borderId="1" xfId="4" applyNumberFormat="1" applyFont="1" applyFill="1" applyBorder="1" applyAlignment="1">
      <alignment horizontal="center" vertical="center"/>
    </xf>
    <xf numFmtId="1" fontId="67" fillId="15" borderId="1" xfId="3" applyNumberFormat="1" applyFont="1" applyFill="1" applyBorder="1" applyAlignment="1">
      <alignment vertical="center"/>
    </xf>
    <xf numFmtId="1" fontId="67" fillId="0" borderId="1" xfId="4" applyNumberFormat="1" applyFont="1" applyFill="1" applyBorder="1" applyAlignment="1">
      <alignment horizontal="center"/>
    </xf>
    <xf numFmtId="1" fontId="67" fillId="2" borderId="1" xfId="4" applyNumberFormat="1" applyFont="1" applyFill="1" applyBorder="1" applyAlignment="1"/>
    <xf numFmtId="1" fontId="67" fillId="2" borderId="1" xfId="4" applyNumberFormat="1" applyFont="1" applyFill="1" applyBorder="1" applyAlignment="1">
      <alignment horizontal="center" wrapText="1"/>
    </xf>
    <xf numFmtId="1" fontId="67" fillId="0" borderId="1" xfId="4" applyNumberFormat="1" applyFont="1" applyFill="1" applyBorder="1" applyAlignment="1">
      <alignment horizontal="center" wrapText="1"/>
    </xf>
    <xf numFmtId="1" fontId="67" fillId="0" borderId="1" xfId="4" applyNumberFormat="1" applyFont="1" applyBorder="1" applyAlignment="1">
      <alignment horizontal="center" wrapText="1"/>
    </xf>
    <xf numFmtId="1" fontId="72" fillId="0" borderId="1" xfId="3" applyNumberFormat="1" applyFont="1" applyFill="1" applyBorder="1" applyAlignment="1">
      <alignment horizontal="center"/>
    </xf>
    <xf numFmtId="1" fontId="67" fillId="10" borderId="24" xfId="4" applyNumberFormat="1" applyFont="1" applyFill="1" applyBorder="1" applyAlignment="1">
      <alignment horizontal="center" vertical="center"/>
    </xf>
    <xf numFmtId="1" fontId="67" fillId="0" borderId="1" xfId="0" applyNumberFormat="1" applyFont="1" applyBorder="1" applyAlignment="1">
      <alignment horizontal="center"/>
    </xf>
    <xf numFmtId="1" fontId="67" fillId="0" borderId="0" xfId="0" applyNumberFormat="1" applyFont="1" applyBorder="1"/>
    <xf numFmtId="1" fontId="67" fillId="12" borderId="1" xfId="4" applyNumberFormat="1" applyFont="1" applyFill="1" applyBorder="1" applyAlignment="1">
      <alignment horizontal="center"/>
    </xf>
    <xf numFmtId="1" fontId="82" fillId="0" borderId="0" xfId="0" applyNumberFormat="1" applyFont="1"/>
    <xf numFmtId="1" fontId="67" fillId="0" borderId="0" xfId="0" applyNumberFormat="1" applyFont="1"/>
    <xf numFmtId="1" fontId="83" fillId="21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0" borderId="1" xfId="4" applyNumberFormat="1" applyFont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>
      <alignment horizontal="center" wrapText="1"/>
    </xf>
    <xf numFmtId="1" fontId="73" fillId="2" borderId="1" xfId="4" applyNumberFormat="1" applyFont="1" applyFill="1" applyBorder="1" applyAlignment="1">
      <alignment horizontal="center"/>
    </xf>
    <xf numFmtId="1" fontId="73" fillId="10" borderId="24" xfId="4" applyNumberFormat="1" applyFont="1" applyFill="1" applyBorder="1" applyAlignment="1">
      <alignment horizontal="center" vertical="center"/>
    </xf>
    <xf numFmtId="1" fontId="72" fillId="0" borderId="0" xfId="0" applyNumberFormat="1" applyFont="1" applyBorder="1"/>
    <xf numFmtId="1" fontId="73" fillId="0" borderId="1" xfId="4" applyNumberFormat="1" applyFont="1" applyFill="1" applyBorder="1" applyAlignment="1">
      <alignment horizontal="center"/>
    </xf>
    <xf numFmtId="1" fontId="73" fillId="12" borderId="1" xfId="4" applyNumberFormat="1" applyFont="1" applyFill="1" applyBorder="1" applyAlignment="1">
      <alignment horizontal="center"/>
    </xf>
    <xf numFmtId="0" fontId="88" fillId="0" borderId="0" xfId="0" applyFont="1" applyFill="1"/>
    <xf numFmtId="0" fontId="16" fillId="0" borderId="0" xfId="2" applyAlignment="1" applyProtection="1"/>
    <xf numFmtId="0" fontId="16" fillId="0" borderId="0" xfId="2" applyFill="1" applyAlignment="1" applyProtection="1"/>
    <xf numFmtId="0" fontId="87" fillId="0" borderId="0" xfId="16" applyAlignment="1" applyProtection="1"/>
    <xf numFmtId="1" fontId="16" fillId="0" borderId="0" xfId="2" applyNumberFormat="1" applyAlignment="1" applyProtection="1"/>
    <xf numFmtId="1" fontId="67" fillId="12" borderId="1" xfId="5" applyNumberFormat="1" applyFont="1" applyFill="1" applyBorder="1" applyAlignment="1">
      <alignment horizontal="center" vertical="center"/>
    </xf>
    <xf numFmtId="1" fontId="67" fillId="12" borderId="15" xfId="5" applyNumberFormat="1" applyFont="1" applyFill="1" applyBorder="1" applyAlignment="1" applyProtection="1">
      <alignment horizontal="center"/>
    </xf>
    <xf numFmtId="0" fontId="49" fillId="12" borderId="0" xfId="0" applyFont="1" applyFill="1"/>
    <xf numFmtId="1" fontId="51" fillId="0" borderId="0" xfId="0" applyNumberFormat="1" applyFont="1"/>
    <xf numFmtId="1" fontId="51" fillId="0" borderId="0" xfId="0" applyNumberFormat="1" applyFont="1" applyFill="1"/>
    <xf numFmtId="1" fontId="58" fillId="0" borderId="0" xfId="0" applyNumberFormat="1" applyFont="1" applyFill="1"/>
    <xf numFmtId="1" fontId="75" fillId="12" borderId="1" xfId="5" applyNumberFormat="1" applyFont="1" applyFill="1" applyBorder="1" applyAlignment="1">
      <alignment horizontal="center" vertical="center"/>
    </xf>
    <xf numFmtId="0" fontId="72" fillId="0" borderId="4" xfId="0" applyFont="1" applyFill="1" applyBorder="1"/>
    <xf numFmtId="1" fontId="90" fillId="0" borderId="1" xfId="0" applyNumberFormat="1" applyFont="1" applyFill="1" applyBorder="1" applyAlignment="1">
      <alignment horizontal="center" wrapText="1"/>
    </xf>
    <xf numFmtId="0" fontId="73" fillId="12" borderId="1" xfId="4" applyFont="1" applyFill="1" applyBorder="1" applyAlignment="1">
      <alignment horizontal="center" wrapText="1"/>
    </xf>
    <xf numFmtId="0" fontId="67" fillId="12" borderId="1" xfId="0" applyFont="1" applyFill="1" applyBorder="1" applyAlignment="1">
      <alignment horizontal="center"/>
    </xf>
    <xf numFmtId="0" fontId="66" fillId="0" borderId="1" xfId="0" applyFont="1" applyBorder="1"/>
    <xf numFmtId="0" fontId="68" fillId="0" borderId="1" xfId="0" applyFont="1" applyBorder="1"/>
    <xf numFmtId="0" fontId="61" fillId="0" borderId="1" xfId="4" applyFont="1" applyBorder="1" applyAlignment="1">
      <alignment vertical="center"/>
    </xf>
    <xf numFmtId="0" fontId="78" fillId="2" borderId="1" xfId="3" applyFont="1" applyFill="1" applyBorder="1" applyAlignment="1">
      <alignment horizontal="left"/>
    </xf>
    <xf numFmtId="0" fontId="83" fillId="2" borderId="1" xfId="3" applyFont="1" applyFill="1" applyBorder="1" applyAlignment="1">
      <alignment horizontal="center"/>
    </xf>
    <xf numFmtId="0" fontId="83" fillId="2" borderId="1" xfId="4" applyFont="1" applyFill="1" applyBorder="1" applyAlignment="1">
      <alignment horizontal="center"/>
    </xf>
    <xf numFmtId="0" fontId="79" fillId="2" borderId="2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left" vertical="center"/>
    </xf>
    <xf numFmtId="0" fontId="61" fillId="2" borderId="21" xfId="3" applyFont="1" applyFill="1" applyBorder="1" applyAlignment="1">
      <alignment horizontal="left"/>
    </xf>
    <xf numFmtId="0" fontId="60" fillId="2" borderId="1" xfId="3" applyFont="1" applyFill="1" applyBorder="1" applyAlignment="1">
      <alignment horizontal="left"/>
    </xf>
    <xf numFmtId="0" fontId="66" fillId="2" borderId="1" xfId="0" applyFont="1" applyFill="1" applyBorder="1"/>
    <xf numFmtId="0" fontId="68" fillId="2" borderId="1" xfId="0" applyFont="1" applyFill="1" applyBorder="1"/>
    <xf numFmtId="0" fontId="61" fillId="2" borderId="1" xfId="4" applyFont="1" applyFill="1" applyBorder="1" applyAlignment="1">
      <alignment vertical="center"/>
    </xf>
    <xf numFmtId="0" fontId="60" fillId="2" borderId="1" xfId="4" applyFont="1" applyFill="1" applyBorder="1" applyAlignment="1">
      <alignment vertical="center"/>
    </xf>
    <xf numFmtId="0" fontId="66" fillId="2" borderId="0" xfId="0" applyFont="1" applyFill="1"/>
    <xf numFmtId="0" fontId="68" fillId="2" borderId="0" xfId="0" applyFont="1" applyFill="1"/>
    <xf numFmtId="0" fontId="72" fillId="2" borderId="0" xfId="0" applyFont="1" applyFill="1"/>
    <xf numFmtId="0" fontId="67" fillId="2" borderId="0" xfId="0" applyFont="1" applyFill="1"/>
    <xf numFmtId="1" fontId="72" fillId="2" borderId="0" xfId="0" applyNumberFormat="1" applyFont="1" applyFill="1"/>
    <xf numFmtId="0" fontId="67" fillId="2" borderId="1" xfId="0" applyFont="1" applyFill="1" applyBorder="1" applyAlignment="1">
      <alignment horizontal="center"/>
    </xf>
    <xf numFmtId="1" fontId="49" fillId="0" borderId="0" xfId="0" applyNumberFormat="1" applyFont="1" applyBorder="1"/>
    <xf numFmtId="0" fontId="92" fillId="0" borderId="0" xfId="0" applyFont="1"/>
    <xf numFmtId="166" fontId="93" fillId="9" borderId="21" xfId="3" applyNumberFormat="1" applyFont="1" applyFill="1" applyBorder="1" applyAlignment="1">
      <alignment horizontal="left"/>
    </xf>
    <xf numFmtId="0" fontId="93" fillId="9" borderId="1" xfId="3" applyFont="1" applyFill="1" applyBorder="1" applyAlignment="1">
      <alignment horizontal="center"/>
    </xf>
    <xf numFmtId="9" fontId="93" fillId="9" borderId="1" xfId="4" applyNumberFormat="1" applyFont="1" applyFill="1" applyBorder="1"/>
    <xf numFmtId="0" fontId="93" fillId="9" borderId="1" xfId="3" applyFont="1" applyFill="1" applyBorder="1" applyAlignment="1">
      <alignment horizontal="center" vertical="center"/>
    </xf>
    <xf numFmtId="1" fontId="93" fillId="9" borderId="15" xfId="3" applyNumberFormat="1" applyFont="1" applyFill="1" applyBorder="1" applyAlignment="1">
      <alignment horizontal="center" vertical="center"/>
    </xf>
    <xf numFmtId="9" fontId="93" fillId="9" borderId="21" xfId="3" applyNumberFormat="1" applyFont="1" applyFill="1" applyBorder="1" applyAlignment="1">
      <alignment horizontal="left"/>
    </xf>
    <xf numFmtId="0" fontId="93" fillId="9" borderId="1" xfId="3" applyFont="1" applyFill="1" applyBorder="1" applyAlignment="1">
      <alignment horizontal="left"/>
    </xf>
    <xf numFmtId="0" fontId="93" fillId="9" borderId="1" xfId="3" applyFont="1" applyFill="1" applyBorder="1" applyAlignment="1"/>
    <xf numFmtId="10" fontId="93" fillId="9" borderId="1" xfId="3" applyNumberFormat="1" applyFont="1" applyFill="1" applyBorder="1" applyAlignment="1">
      <alignment horizontal="center"/>
    </xf>
    <xf numFmtId="1" fontId="93" fillId="9" borderId="1" xfId="3" applyNumberFormat="1" applyFont="1" applyFill="1" applyBorder="1" applyAlignment="1">
      <alignment horizontal="center"/>
    </xf>
    <xf numFmtId="1" fontId="93" fillId="9" borderId="15" xfId="3" applyNumberFormat="1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0" borderId="0" xfId="0" applyFont="1" applyBorder="1"/>
    <xf numFmtId="0" fontId="93" fillId="9" borderId="21" xfId="3" applyFont="1" applyFill="1" applyBorder="1"/>
    <xf numFmtId="9" fontId="93" fillId="9" borderId="1" xfId="3" applyNumberFormat="1" applyFont="1" applyFill="1" applyBorder="1" applyAlignment="1">
      <alignment horizontal="left"/>
    </xf>
    <xf numFmtId="2" fontId="93" fillId="9" borderId="1" xfId="3" applyNumberFormat="1" applyFont="1" applyFill="1" applyBorder="1" applyAlignment="1">
      <alignment horizontal="center"/>
    </xf>
    <xf numFmtId="9" fontId="93" fillId="9" borderId="1" xfId="3" applyNumberFormat="1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0" fontId="93" fillId="8" borderId="21" xfId="3" applyFont="1" applyFill="1" applyBorder="1" applyAlignment="1">
      <alignment horizontal="center" vertical="center"/>
    </xf>
    <xf numFmtId="0" fontId="93" fillId="8" borderId="1" xfId="3" applyFont="1" applyFill="1" applyBorder="1" applyAlignment="1">
      <alignment horizontal="center" vertical="center"/>
    </xf>
    <xf numFmtId="2" fontId="93" fillId="2" borderId="1" xfId="3" applyNumberFormat="1" applyFont="1" applyFill="1" applyBorder="1" applyAlignment="1">
      <alignment horizontal="center" vertical="center"/>
    </xf>
    <xf numFmtId="164" fontId="93" fillId="8" borderId="1" xfId="3" applyNumberFormat="1" applyFont="1" applyFill="1" applyBorder="1" applyAlignment="1">
      <alignment horizontal="center" wrapText="1" shrinkToFit="1"/>
    </xf>
    <xf numFmtId="2" fontId="93" fillId="8" borderId="1" xfId="3" applyNumberFormat="1" applyFont="1" applyFill="1" applyBorder="1" applyAlignment="1">
      <alignment horizontal="center" vertical="center"/>
    </xf>
    <xf numFmtId="1" fontId="93" fillId="8" borderId="1" xfId="3" applyNumberFormat="1" applyFont="1" applyFill="1" applyBorder="1" applyAlignment="1">
      <alignment horizontal="center" vertical="center"/>
    </xf>
    <xf numFmtId="164" fontId="93" fillId="8" borderId="15" xfId="3" applyNumberFormat="1" applyFont="1" applyFill="1" applyBorder="1" applyAlignment="1">
      <alignment horizontal="center" wrapText="1" shrinkToFit="1"/>
    </xf>
    <xf numFmtId="164" fontId="95" fillId="2" borderId="0" xfId="3" applyNumberFormat="1" applyFont="1" applyFill="1" applyBorder="1" applyAlignment="1">
      <alignment horizontal="center" vertical="center" wrapText="1" shrinkToFit="1"/>
    </xf>
    <xf numFmtId="0" fontId="93" fillId="15" borderId="1" xfId="3" applyFont="1" applyFill="1" applyBorder="1" applyAlignment="1">
      <alignment horizontal="center" vertical="center"/>
    </xf>
    <xf numFmtId="0" fontId="93" fillId="15" borderId="1" xfId="3" applyFont="1" applyFill="1" applyBorder="1" applyAlignment="1">
      <alignment horizontal="center"/>
    </xf>
    <xf numFmtId="0" fontId="93" fillId="15" borderId="15" xfId="3" applyFont="1" applyFill="1" applyBorder="1" applyAlignment="1">
      <alignment horizontal="center"/>
    </xf>
    <xf numFmtId="0" fontId="95" fillId="2" borderId="0" xfId="3" applyFont="1" applyFill="1" applyBorder="1" applyAlignment="1">
      <alignment horizontal="center" vertical="center"/>
    </xf>
    <xf numFmtId="0" fontId="93" fillId="8" borderId="21" xfId="3" applyFont="1" applyFill="1" applyBorder="1" applyAlignment="1">
      <alignment horizontal="left" vertical="center"/>
    </xf>
    <xf numFmtId="0" fontId="93" fillId="8" borderId="1" xfId="3" applyFont="1" applyFill="1" applyBorder="1" applyAlignment="1">
      <alignment horizontal="left" vertical="center"/>
    </xf>
    <xf numFmtId="0" fontId="93" fillId="8" borderId="1" xfId="3" applyFont="1" applyFill="1" applyBorder="1" applyAlignment="1">
      <alignment horizontal="center"/>
    </xf>
    <xf numFmtId="2" fontId="93" fillId="8" borderId="1" xfId="3" applyNumberFormat="1" applyFont="1" applyFill="1" applyBorder="1" applyAlignment="1">
      <alignment horizontal="center"/>
    </xf>
    <xf numFmtId="1" fontId="93" fillId="2" borderId="1" xfId="5" applyNumberFormat="1" applyFont="1" applyFill="1" applyBorder="1" applyAlignment="1">
      <alignment horizontal="center" vertical="center"/>
    </xf>
    <xf numFmtId="1" fontId="93" fillId="8" borderId="1" xfId="3" applyNumberFormat="1" applyFont="1" applyFill="1" applyBorder="1" applyAlignment="1">
      <alignment horizontal="center"/>
    </xf>
    <xf numFmtId="0" fontId="93" fillId="2" borderId="1" xfId="3" applyNumberFormat="1" applyFont="1" applyFill="1" applyBorder="1" applyAlignment="1">
      <alignment horizontal="center"/>
    </xf>
    <xf numFmtId="1" fontId="93" fillId="8" borderId="15" xfId="5" applyNumberFormat="1" applyFont="1" applyFill="1" applyBorder="1" applyAlignment="1" applyProtection="1">
      <alignment horizontal="center"/>
    </xf>
    <xf numFmtId="2" fontId="97" fillId="8" borderId="11" xfId="3" applyNumberFormat="1" applyFont="1" applyFill="1" applyBorder="1" applyAlignment="1">
      <alignment horizontal="center"/>
    </xf>
    <xf numFmtId="1" fontId="92" fillId="0" borderId="0" xfId="0" applyNumberFormat="1" applyFont="1"/>
    <xf numFmtId="0" fontId="93" fillId="8" borderId="27" xfId="3" applyFont="1" applyFill="1" applyBorder="1" applyAlignment="1">
      <alignment horizontal="left" vertical="center"/>
    </xf>
    <xf numFmtId="0" fontId="93" fillId="8" borderId="5" xfId="3" applyFont="1" applyFill="1" applyBorder="1" applyAlignment="1">
      <alignment horizontal="left" vertical="center"/>
    </xf>
    <xf numFmtId="0" fontId="93" fillId="8" borderId="13" xfId="3" applyFont="1" applyFill="1" applyBorder="1" applyAlignment="1">
      <alignment horizontal="left" vertical="center"/>
    </xf>
    <xf numFmtId="0" fontId="93" fillId="8" borderId="8" xfId="3" applyFont="1" applyFill="1" applyBorder="1" applyAlignment="1">
      <alignment horizontal="center"/>
    </xf>
    <xf numFmtId="2" fontId="93" fillId="8" borderId="8" xfId="3" applyNumberFormat="1" applyFont="1" applyFill="1" applyBorder="1" applyAlignment="1">
      <alignment horizontal="center"/>
    </xf>
    <xf numFmtId="1" fontId="93" fillId="2" borderId="7" xfId="5" applyNumberFormat="1" applyFont="1" applyFill="1" applyBorder="1" applyAlignment="1">
      <alignment horizontal="center" vertical="center"/>
    </xf>
    <xf numFmtId="1" fontId="93" fillId="2" borderId="8" xfId="3" applyNumberFormat="1" applyFont="1" applyFill="1" applyBorder="1" applyAlignment="1">
      <alignment horizontal="center"/>
    </xf>
    <xf numFmtId="2" fontId="97" fillId="8" borderId="1" xfId="3" applyNumberFormat="1" applyFont="1" applyFill="1" applyBorder="1" applyAlignment="1">
      <alignment horizontal="center"/>
    </xf>
    <xf numFmtId="2" fontId="92" fillId="0" borderId="0" xfId="0" applyNumberFormat="1" applyFont="1"/>
    <xf numFmtId="167" fontId="93" fillId="8" borderId="21" xfId="3" applyNumberFormat="1" applyFont="1" applyFill="1" applyBorder="1" applyAlignment="1">
      <alignment vertical="center"/>
    </xf>
    <xf numFmtId="167" fontId="93" fillId="8" borderId="1" xfId="3" applyNumberFormat="1" applyFont="1" applyFill="1" applyBorder="1" applyAlignment="1">
      <alignment vertical="center"/>
    </xf>
    <xf numFmtId="0" fontId="93" fillId="0" borderId="1" xfId="4" applyFont="1" applyBorder="1" applyAlignment="1">
      <alignment horizontal="center"/>
    </xf>
    <xf numFmtId="1" fontId="93" fillId="12" borderId="1" xfId="3" applyNumberFormat="1" applyFont="1" applyFill="1" applyBorder="1" applyAlignment="1">
      <alignment horizontal="center"/>
    </xf>
    <xf numFmtId="1" fontId="95" fillId="2" borderId="0" xfId="5" applyNumberFormat="1" applyFont="1" applyFill="1" applyBorder="1" applyAlignment="1" applyProtection="1">
      <alignment horizontal="center"/>
    </xf>
    <xf numFmtId="2" fontId="93" fillId="8" borderId="1" xfId="3" applyNumberFormat="1" applyFont="1" applyFill="1" applyBorder="1" applyAlignment="1">
      <alignment horizontal="right"/>
    </xf>
    <xf numFmtId="0" fontId="93" fillId="16" borderId="21" xfId="3" applyFont="1" applyFill="1" applyBorder="1" applyAlignment="1">
      <alignment horizontal="center"/>
    </xf>
    <xf numFmtId="0" fontId="93" fillId="16" borderId="1" xfId="3" applyFont="1" applyFill="1" applyBorder="1" applyAlignment="1">
      <alignment horizontal="center"/>
    </xf>
    <xf numFmtId="1" fontId="93" fillId="8" borderId="1" xfId="5" applyNumberFormat="1" applyFont="1" applyFill="1" applyBorder="1" applyAlignment="1">
      <alignment horizontal="center" vertical="center"/>
    </xf>
    <xf numFmtId="2" fontId="93" fillId="2" borderId="1" xfId="3" applyNumberFormat="1" applyFont="1" applyFill="1" applyBorder="1" applyAlignment="1">
      <alignment horizontal="center"/>
    </xf>
    <xf numFmtId="0" fontId="98" fillId="15" borderId="1" xfId="3" applyFont="1" applyFill="1" applyBorder="1" applyAlignment="1">
      <alignment horizontal="center"/>
    </xf>
    <xf numFmtId="0" fontId="95" fillId="2" borderId="0" xfId="3" applyFont="1" applyFill="1" applyBorder="1" applyAlignment="1">
      <alignment horizontal="center"/>
    </xf>
    <xf numFmtId="0" fontId="93" fillId="8" borderId="21" xfId="3" applyFont="1" applyFill="1" applyBorder="1" applyAlignment="1">
      <alignment horizontal="left"/>
    </xf>
    <xf numFmtId="0" fontId="93" fillId="8" borderId="1" xfId="3" applyFont="1" applyFill="1" applyBorder="1" applyAlignment="1">
      <alignment horizontal="left"/>
    </xf>
    <xf numFmtId="0" fontId="99" fillId="0" borderId="1" xfId="4" applyFont="1" applyBorder="1" applyAlignment="1">
      <alignment horizontal="center"/>
    </xf>
    <xf numFmtId="0" fontId="93" fillId="2" borderId="21" xfId="3" applyFont="1" applyFill="1" applyBorder="1" applyAlignment="1">
      <alignment horizontal="left" vertical="center"/>
    </xf>
    <xf numFmtId="0" fontId="93" fillId="2" borderId="1" xfId="3" applyFont="1" applyFill="1" applyBorder="1" applyAlignment="1">
      <alignment horizontal="left" vertical="center"/>
    </xf>
    <xf numFmtId="0" fontId="93" fillId="2" borderId="1" xfId="3" applyFont="1" applyFill="1" applyBorder="1" applyAlignment="1">
      <alignment horizontal="center"/>
    </xf>
    <xf numFmtId="0" fontId="93" fillId="2" borderId="1" xfId="4" applyFont="1" applyFill="1" applyBorder="1" applyAlignment="1">
      <alignment horizontal="center"/>
    </xf>
    <xf numFmtId="1" fontId="93" fillId="2" borderId="1" xfId="3" applyNumberFormat="1" applyFont="1" applyFill="1" applyBorder="1" applyAlignment="1">
      <alignment horizontal="center"/>
    </xf>
    <xf numFmtId="2" fontId="93" fillId="12" borderId="1" xfId="3" applyNumberFormat="1" applyFont="1" applyFill="1" applyBorder="1" applyAlignment="1">
      <alignment horizontal="center"/>
    </xf>
    <xf numFmtId="1" fontId="93" fillId="2" borderId="15" xfId="5" applyNumberFormat="1" applyFont="1" applyFill="1" applyBorder="1" applyAlignment="1" applyProtection="1">
      <alignment horizontal="center"/>
    </xf>
    <xf numFmtId="1" fontId="98" fillId="15" borderId="1" xfId="3" applyNumberFormat="1" applyFont="1" applyFill="1" applyBorder="1" applyAlignment="1">
      <alignment horizontal="center"/>
    </xf>
    <xf numFmtId="0" fontId="93" fillId="0" borderId="1" xfId="4" applyFont="1" applyBorder="1"/>
    <xf numFmtId="0" fontId="100" fillId="8" borderId="1" xfId="3" applyFont="1" applyFill="1" applyBorder="1" applyAlignment="1">
      <alignment horizontal="center"/>
    </xf>
    <xf numFmtId="164" fontId="100" fillId="8" borderId="1" xfId="5" applyNumberFormat="1" applyFont="1" applyFill="1" applyBorder="1" applyAlignment="1">
      <alignment horizontal="center" vertical="center"/>
    </xf>
    <xf numFmtId="1" fontId="93" fillId="12" borderId="1" xfId="5" applyNumberFormat="1" applyFont="1" applyFill="1" applyBorder="1" applyAlignment="1" applyProtection="1">
      <alignment horizontal="center"/>
    </xf>
    <xf numFmtId="0" fontId="93" fillId="16" borderId="21" xfId="3" applyFont="1" applyFill="1" applyBorder="1" applyAlignment="1">
      <alignment horizontal="center" vertical="center"/>
    </xf>
    <xf numFmtId="0" fontId="93" fillId="16" borderId="1" xfId="3" applyFont="1" applyFill="1" applyBorder="1" applyAlignment="1">
      <alignment horizontal="center" vertical="center"/>
    </xf>
    <xf numFmtId="0" fontId="100" fillId="2" borderId="1" xfId="4" applyFont="1" applyFill="1" applyBorder="1" applyAlignment="1">
      <alignment horizontal="center"/>
    </xf>
    <xf numFmtId="0" fontId="98" fillId="15" borderId="1" xfId="3" applyFont="1" applyFill="1" applyBorder="1" applyAlignment="1">
      <alignment horizontal="center" vertical="center"/>
    </xf>
    <xf numFmtId="1" fontId="93" fillId="15" borderId="1" xfId="3" applyNumberFormat="1" applyFont="1" applyFill="1" applyBorder="1" applyAlignment="1">
      <alignment horizontal="center" vertical="center"/>
    </xf>
    <xf numFmtId="0" fontId="101" fillId="15" borderId="1" xfId="3" applyFont="1" applyFill="1" applyBorder="1" applyAlignment="1">
      <alignment horizontal="center" vertical="center"/>
    </xf>
    <xf numFmtId="1" fontId="93" fillId="15" borderId="15" xfId="3" applyNumberFormat="1" applyFont="1" applyFill="1" applyBorder="1" applyAlignment="1">
      <alignment horizontal="center" vertical="center"/>
    </xf>
    <xf numFmtId="0" fontId="102" fillId="0" borderId="0" xfId="0" applyFont="1" applyBorder="1"/>
    <xf numFmtId="0" fontId="102" fillId="0" borderId="0" xfId="0" applyFont="1"/>
    <xf numFmtId="0" fontId="103" fillId="2" borderId="16" xfId="3" applyFont="1" applyFill="1" applyBorder="1" applyAlignment="1">
      <alignment horizontal="center"/>
    </xf>
    <xf numFmtId="0" fontId="103" fillId="2" borderId="3" xfId="3" applyFont="1" applyFill="1" applyBorder="1" applyAlignment="1">
      <alignment horizontal="center"/>
    </xf>
    <xf numFmtId="0" fontId="103" fillId="2" borderId="4" xfId="3" applyFont="1" applyFill="1" applyBorder="1" applyAlignment="1">
      <alignment horizontal="center"/>
    </xf>
    <xf numFmtId="44" fontId="103" fillId="8" borderId="1" xfId="8" applyFont="1" applyFill="1" applyBorder="1" applyAlignment="1">
      <alignment horizontal="center"/>
    </xf>
    <xf numFmtId="2" fontId="103" fillId="8" borderId="1" xfId="3" applyNumberFormat="1" applyFont="1" applyFill="1" applyBorder="1" applyAlignment="1">
      <alignment horizontal="center"/>
    </xf>
    <xf numFmtId="164" fontId="98" fillId="8" borderId="1" xfId="3" applyNumberFormat="1" applyFont="1" applyFill="1" applyBorder="1" applyAlignment="1">
      <alignment horizontal="center"/>
    </xf>
    <xf numFmtId="1" fontId="101" fillId="8" borderId="1" xfId="3" applyNumberFormat="1" applyFont="1" applyFill="1" applyBorder="1" applyAlignment="1">
      <alignment horizontal="center"/>
    </xf>
    <xf numFmtId="0" fontId="103" fillId="8" borderId="1" xfId="3" applyFont="1" applyFill="1" applyBorder="1" applyAlignment="1">
      <alignment horizontal="center"/>
    </xf>
    <xf numFmtId="1" fontId="103" fillId="8" borderId="1" xfId="5" applyNumberFormat="1" applyFont="1" applyFill="1" applyBorder="1" applyAlignment="1">
      <alignment horizontal="center" vertical="center"/>
    </xf>
    <xf numFmtId="2" fontId="93" fillId="8" borderId="1" xfId="9" applyNumberFormat="1" applyFont="1" applyFill="1" applyBorder="1" applyAlignment="1">
      <alignment horizontal="center"/>
    </xf>
    <xf numFmtId="168" fontId="98" fillId="8" borderId="1" xfId="5" applyNumberFormat="1" applyFont="1" applyFill="1" applyBorder="1" applyAlignment="1" applyProtection="1">
      <alignment horizontal="center" vertical="center"/>
    </xf>
    <xf numFmtId="164" fontId="101" fillId="8" borderId="1" xfId="5" applyNumberFormat="1" applyFont="1" applyFill="1" applyBorder="1" applyAlignment="1" applyProtection="1">
      <alignment horizontal="center"/>
    </xf>
    <xf numFmtId="2" fontId="101" fillId="8" borderId="1" xfId="3" applyNumberFormat="1" applyFont="1" applyFill="1" applyBorder="1" applyAlignment="1">
      <alignment horizontal="right"/>
    </xf>
    <xf numFmtId="0" fontId="103" fillId="16" borderId="16" xfId="3" applyFont="1" applyFill="1" applyBorder="1" applyAlignment="1">
      <alignment horizontal="center"/>
    </xf>
    <xf numFmtId="0" fontId="103" fillId="16" borderId="3" xfId="3" applyFont="1" applyFill="1" applyBorder="1" applyAlignment="1">
      <alignment horizontal="center"/>
    </xf>
    <xf numFmtId="0" fontId="103" fillId="16" borderId="4" xfId="3" applyFont="1" applyFill="1" applyBorder="1" applyAlignment="1">
      <alignment horizontal="center"/>
    </xf>
    <xf numFmtId="0" fontId="100" fillId="2" borderId="1" xfId="3" applyFont="1" applyFill="1" applyBorder="1" applyAlignment="1">
      <alignment horizontal="center"/>
    </xf>
    <xf numFmtId="169" fontId="100" fillId="8" borderId="1" xfId="5" applyNumberFormat="1" applyFont="1" applyFill="1" applyBorder="1" applyAlignment="1" applyProtection="1">
      <alignment horizontal="center" vertical="center"/>
    </xf>
    <xf numFmtId="1" fontId="100" fillId="2" borderId="1" xfId="3" applyNumberFormat="1" applyFont="1" applyFill="1" applyBorder="1" applyAlignment="1">
      <alignment horizontal="center" vertical="top"/>
    </xf>
    <xf numFmtId="0" fontId="93" fillId="15" borderId="21" xfId="3" applyFont="1" applyFill="1" applyBorder="1" applyAlignment="1">
      <alignment horizontal="left"/>
    </xf>
    <xf numFmtId="0" fontId="93" fillId="15" borderId="1" xfId="3" applyFont="1" applyFill="1" applyBorder="1" applyAlignment="1">
      <alignment horizontal="left"/>
    </xf>
    <xf numFmtId="0" fontId="93" fillId="0" borderId="1" xfId="4" applyFont="1" applyBorder="1" applyAlignment="1">
      <alignment horizontal="center" vertical="center"/>
    </xf>
    <xf numFmtId="2" fontId="93" fillId="8" borderId="21" xfId="3" applyNumberFormat="1" applyFont="1" applyFill="1" applyBorder="1" applyAlignment="1">
      <alignment horizontal="left" vertical="center"/>
    </xf>
    <xf numFmtId="2" fontId="93" fillId="8" borderId="1" xfId="3" applyNumberFormat="1" applyFont="1" applyFill="1" applyBorder="1" applyAlignment="1">
      <alignment horizontal="left" vertical="center"/>
    </xf>
    <xf numFmtId="0" fontId="93" fillId="8" borderId="1" xfId="3" applyFont="1" applyFill="1" applyBorder="1" applyAlignment="1">
      <alignment horizontal="left" vertical="justify"/>
    </xf>
    <xf numFmtId="0" fontId="93" fillId="15" borderId="21" xfId="3" applyFont="1" applyFill="1" applyBorder="1" applyAlignment="1"/>
    <xf numFmtId="0" fontId="93" fillId="15" borderId="1" xfId="3" applyFont="1" applyFill="1" applyBorder="1" applyAlignment="1"/>
    <xf numFmtId="0" fontId="93" fillId="15" borderId="1" xfId="3" applyFont="1" applyFill="1" applyBorder="1" applyAlignment="1">
      <alignment vertical="center"/>
    </xf>
    <xf numFmtId="0" fontId="93" fillId="15" borderId="15" xfId="3" applyFont="1" applyFill="1" applyBorder="1" applyAlignment="1"/>
    <xf numFmtId="0" fontId="93" fillId="0" borderId="21" xfId="4" applyFont="1" applyBorder="1" applyAlignment="1">
      <alignment vertical="center"/>
    </xf>
    <xf numFmtId="0" fontId="93" fillId="0" borderId="1" xfId="4" applyFont="1" applyBorder="1" applyAlignment="1">
      <alignment vertical="center"/>
    </xf>
    <xf numFmtId="1" fontId="93" fillId="2" borderId="1" xfId="3" applyNumberFormat="1" applyFont="1" applyFill="1" applyBorder="1" applyAlignment="1">
      <alignment horizontal="center" vertical="center"/>
    </xf>
    <xf numFmtId="164" fontId="93" fillId="2" borderId="1" xfId="5" applyNumberFormat="1" applyFont="1" applyFill="1" applyBorder="1" applyAlignment="1" applyProtection="1">
      <alignment horizontal="center" vertical="center"/>
    </xf>
    <xf numFmtId="164" fontId="93" fillId="8" borderId="1" xfId="5" applyNumberFormat="1" applyFont="1" applyFill="1" applyBorder="1" applyAlignment="1" applyProtection="1">
      <alignment horizontal="center" vertical="top"/>
    </xf>
    <xf numFmtId="2" fontId="95" fillId="2" borderId="0" xfId="5" applyNumberFormat="1" applyFont="1" applyFill="1" applyBorder="1" applyAlignment="1" applyProtection="1">
      <alignment horizontal="center"/>
    </xf>
    <xf numFmtId="165" fontId="95" fillId="2" borderId="0" xfId="6" applyNumberFormat="1" applyFont="1" applyFill="1" applyBorder="1" applyAlignment="1">
      <alignment horizontal="center"/>
    </xf>
    <xf numFmtId="0" fontId="93" fillId="2" borderId="1" xfId="4" applyFont="1" applyFill="1" applyBorder="1" applyAlignment="1">
      <alignment horizontal="left"/>
    </xf>
    <xf numFmtId="0" fontId="93" fillId="2" borderId="1" xfId="4" applyFont="1" applyFill="1" applyBorder="1" applyAlignment="1"/>
    <xf numFmtId="0" fontId="93" fillId="2" borderId="15" xfId="4" applyFont="1" applyFill="1" applyBorder="1" applyAlignment="1"/>
    <xf numFmtId="0" fontId="99" fillId="2" borderId="1" xfId="4" applyFont="1" applyFill="1" applyBorder="1" applyAlignment="1">
      <alignment horizontal="center" wrapText="1"/>
    </xf>
    <xf numFmtId="0" fontId="99" fillId="0" borderId="1" xfId="4" applyFont="1" applyFill="1" applyBorder="1" applyAlignment="1">
      <alignment horizontal="center" wrapText="1"/>
    </xf>
    <xf numFmtId="0" fontId="99" fillId="0" borderId="1" xfId="4" applyFont="1" applyBorder="1" applyAlignment="1">
      <alignment horizontal="center" wrapText="1"/>
    </xf>
    <xf numFmtId="0" fontId="93" fillId="0" borderId="21" xfId="4" applyFont="1" applyBorder="1" applyAlignment="1">
      <alignment horizontal="left"/>
    </xf>
    <xf numFmtId="0" fontId="99" fillId="2" borderId="1" xfId="4" applyFont="1" applyFill="1" applyBorder="1" applyAlignment="1">
      <alignment horizontal="center"/>
    </xf>
    <xf numFmtId="0" fontId="93" fillId="2" borderId="1" xfId="3" applyFont="1" applyFill="1" applyBorder="1" applyAlignment="1">
      <alignment horizontal="center" vertical="center"/>
    </xf>
    <xf numFmtId="0" fontId="99" fillId="0" borderId="21" xfId="4" applyFont="1" applyBorder="1" applyAlignment="1">
      <alignment horizontal="left"/>
    </xf>
    <xf numFmtId="0" fontId="99" fillId="0" borderId="1" xfId="4" applyFont="1" applyBorder="1" applyAlignment="1">
      <alignment horizontal="left"/>
    </xf>
    <xf numFmtId="0" fontId="93" fillId="0" borderId="1" xfId="3" applyFont="1" applyFill="1" applyBorder="1" applyAlignment="1">
      <alignment horizontal="center"/>
    </xf>
    <xf numFmtId="164" fontId="95" fillId="2" borderId="0" xfId="5" applyNumberFormat="1" applyFont="1" applyFill="1" applyBorder="1" applyAlignment="1" applyProtection="1">
      <alignment horizontal="center"/>
    </xf>
    <xf numFmtId="0" fontId="101" fillId="16" borderId="21" xfId="4" applyFont="1" applyFill="1" applyBorder="1"/>
    <xf numFmtId="0" fontId="101" fillId="16" borderId="1" xfId="0" applyFont="1" applyFill="1" applyBorder="1"/>
    <xf numFmtId="0" fontId="97" fillId="0" borderId="0" xfId="0" applyFont="1" applyBorder="1"/>
    <xf numFmtId="0" fontId="97" fillId="0" borderId="0" xfId="0" applyFont="1"/>
    <xf numFmtId="0" fontId="101" fillId="0" borderId="21" xfId="4" applyFont="1" applyFill="1" applyBorder="1"/>
    <xf numFmtId="0" fontId="101" fillId="0" borderId="1" xfId="0" applyFont="1" applyFill="1" applyBorder="1"/>
    <xf numFmtId="0" fontId="93" fillId="0" borderId="1" xfId="4" applyFont="1" applyFill="1" applyBorder="1"/>
    <xf numFmtId="0" fontId="98" fillId="0" borderId="1" xfId="3" applyFont="1" applyFill="1" applyBorder="1" applyAlignment="1">
      <alignment horizontal="center"/>
    </xf>
    <xf numFmtId="1" fontId="93" fillId="0" borderId="1" xfId="3" applyNumberFormat="1" applyFont="1" applyFill="1" applyBorder="1" applyAlignment="1">
      <alignment horizontal="center"/>
    </xf>
    <xf numFmtId="1" fontId="93" fillId="0" borderId="1" xfId="5" applyNumberFormat="1" applyFont="1" applyFill="1" applyBorder="1" applyAlignment="1">
      <alignment horizontal="center" vertical="center"/>
    </xf>
    <xf numFmtId="1" fontId="93" fillId="0" borderId="15" xfId="5" applyNumberFormat="1" applyFont="1" applyFill="1" applyBorder="1" applyAlignment="1" applyProtection="1">
      <alignment horizontal="center"/>
    </xf>
    <xf numFmtId="164" fontId="95" fillId="0" borderId="0" xfId="5" applyNumberFormat="1" applyFont="1" applyFill="1" applyBorder="1" applyAlignment="1" applyProtection="1">
      <alignment horizontal="center"/>
    </xf>
    <xf numFmtId="0" fontId="97" fillId="0" borderId="0" xfId="0" applyFont="1" applyFill="1" applyBorder="1"/>
    <xf numFmtId="0" fontId="97" fillId="0" borderId="0" xfId="0" applyFont="1" applyFill="1"/>
    <xf numFmtId="0" fontId="93" fillId="15" borderId="21" xfId="3" applyFont="1" applyFill="1" applyBorder="1" applyAlignment="1">
      <alignment horizontal="center"/>
    </xf>
    <xf numFmtId="164" fontId="95" fillId="2" borderId="0" xfId="3" applyNumberFormat="1" applyFont="1" applyFill="1" applyBorder="1" applyAlignment="1">
      <alignment horizontal="center"/>
    </xf>
    <xf numFmtId="1" fontId="98" fillId="2" borderId="1" xfId="3" applyNumberFormat="1" applyFont="1" applyFill="1" applyBorder="1" applyAlignment="1">
      <alignment horizontal="center"/>
    </xf>
    <xf numFmtId="43" fontId="93" fillId="8" borderId="1" xfId="7" applyFont="1" applyFill="1" applyBorder="1" applyAlignment="1">
      <alignment horizontal="right" wrapText="1"/>
    </xf>
    <xf numFmtId="0" fontId="93" fillId="10" borderId="32" xfId="3" applyFont="1" applyFill="1" applyBorder="1" applyAlignment="1">
      <alignment horizontal="center" vertical="center"/>
    </xf>
    <xf numFmtId="0" fontId="93" fillId="10" borderId="0" xfId="3" applyFont="1" applyFill="1" applyBorder="1" applyAlignment="1">
      <alignment horizontal="center" vertical="center"/>
    </xf>
    <xf numFmtId="0" fontId="93" fillId="10" borderId="31" xfId="3" applyFont="1" applyFill="1" applyBorder="1" applyAlignment="1">
      <alignment horizontal="center" vertical="center"/>
    </xf>
    <xf numFmtId="2" fontId="93" fillId="10" borderId="24" xfId="3" applyNumberFormat="1" applyFont="1" applyFill="1" applyBorder="1" applyAlignment="1">
      <alignment horizontal="center" vertical="center"/>
    </xf>
    <xf numFmtId="0" fontId="99" fillId="10" borderId="24" xfId="4" applyFont="1" applyFill="1" applyBorder="1" applyAlignment="1">
      <alignment horizontal="center" vertical="center"/>
    </xf>
    <xf numFmtId="1" fontId="93" fillId="10" borderId="24" xfId="5" applyNumberFormat="1" applyFont="1" applyFill="1" applyBorder="1" applyAlignment="1">
      <alignment horizontal="center" vertical="center"/>
    </xf>
    <xf numFmtId="1" fontId="93" fillId="10" borderId="24" xfId="3" applyNumberFormat="1" applyFont="1" applyFill="1" applyBorder="1" applyAlignment="1">
      <alignment horizontal="center" vertical="center"/>
    </xf>
    <xf numFmtId="0" fontId="98" fillId="10" borderId="0" xfId="0" applyFont="1" applyFill="1" applyBorder="1" applyAlignment="1">
      <alignment horizontal="center" vertical="center"/>
    </xf>
    <xf numFmtId="1" fontId="93" fillId="10" borderId="30" xfId="5" applyNumberFormat="1" applyFont="1" applyFill="1" applyBorder="1" applyAlignment="1" applyProtection="1">
      <alignment horizontal="center" vertical="center"/>
    </xf>
    <xf numFmtId="0" fontId="98" fillId="0" borderId="0" xfId="0" applyFont="1" applyBorder="1"/>
    <xf numFmtId="0" fontId="98" fillId="0" borderId="4" xfId="0" applyFont="1" applyBorder="1" applyAlignment="1">
      <alignment horizontal="center"/>
    </xf>
    <xf numFmtId="0" fontId="98" fillId="0" borderId="1" xfId="0" applyFont="1" applyBorder="1" applyAlignment="1">
      <alignment horizontal="center"/>
    </xf>
    <xf numFmtId="1" fontId="98" fillId="0" borderId="1" xfId="0" applyNumberFormat="1" applyFont="1" applyBorder="1" applyAlignment="1">
      <alignment horizontal="center"/>
    </xf>
    <xf numFmtId="1" fontId="98" fillId="0" borderId="15" xfId="0" applyNumberFormat="1" applyFont="1" applyBorder="1" applyAlignment="1">
      <alignment horizontal="center"/>
    </xf>
    <xf numFmtId="0" fontId="98" fillId="0" borderId="1" xfId="0" applyFont="1" applyBorder="1" applyAlignment="1">
      <alignment horizontal="left"/>
    </xf>
    <xf numFmtId="0" fontId="98" fillId="0" borderId="1" xfId="0" applyFont="1" applyFill="1" applyBorder="1" applyAlignment="1">
      <alignment horizontal="center"/>
    </xf>
    <xf numFmtId="0" fontId="89" fillId="0" borderId="1" xfId="0" applyFont="1" applyFill="1" applyBorder="1" applyAlignment="1">
      <alignment horizontal="left"/>
    </xf>
    <xf numFmtId="0" fontId="89" fillId="0" borderId="4" xfId="0" applyFont="1" applyFill="1" applyBorder="1"/>
    <xf numFmtId="0" fontId="102" fillId="0" borderId="0" xfId="0" applyFont="1" applyFill="1"/>
    <xf numFmtId="0" fontId="98" fillId="0" borderId="1" xfId="0" applyFont="1" applyFill="1" applyBorder="1" applyAlignment="1">
      <alignment horizontal="left"/>
    </xf>
    <xf numFmtId="0" fontId="98" fillId="0" borderId="4" xfId="0" applyFont="1" applyFill="1" applyBorder="1" applyAlignment="1">
      <alignment horizontal="center"/>
    </xf>
    <xf numFmtId="0" fontId="98" fillId="0" borderId="1" xfId="0" applyFont="1" applyFill="1" applyBorder="1"/>
    <xf numFmtId="1" fontId="98" fillId="0" borderId="1" xfId="0" applyNumberFormat="1" applyFont="1" applyFill="1" applyBorder="1" applyAlignment="1">
      <alignment horizontal="center"/>
    </xf>
    <xf numFmtId="1" fontId="98" fillId="0" borderId="15" xfId="0" applyNumberFormat="1" applyFont="1" applyFill="1" applyBorder="1" applyAlignment="1">
      <alignment horizontal="center"/>
    </xf>
    <xf numFmtId="1" fontId="98" fillId="0" borderId="0" xfId="0" applyNumberFormat="1" applyFont="1" applyBorder="1" applyAlignment="1">
      <alignment horizontal="center"/>
    </xf>
    <xf numFmtId="1" fontId="98" fillId="0" borderId="34" xfId="0" applyNumberFormat="1" applyFont="1" applyBorder="1"/>
    <xf numFmtId="0" fontId="98" fillId="15" borderId="15" xfId="3" applyFont="1" applyFill="1" applyBorder="1" applyAlignment="1">
      <alignment horizontal="center"/>
    </xf>
    <xf numFmtId="0" fontId="93" fillId="12" borderId="1" xfId="4" applyFont="1" applyFill="1" applyBorder="1" applyAlignment="1">
      <alignment horizontal="center"/>
    </xf>
    <xf numFmtId="0" fontId="93" fillId="0" borderId="21" xfId="4" applyFont="1" applyBorder="1"/>
    <xf numFmtId="0" fontId="93" fillId="15" borderId="21" xfId="3" applyFont="1" applyFill="1" applyBorder="1" applyAlignment="1">
      <alignment horizontal="center" vertical="center"/>
    </xf>
    <xf numFmtId="1" fontId="93" fillId="15" borderId="1" xfId="5" applyNumberFormat="1" applyFont="1" applyFill="1" applyBorder="1" applyAlignment="1">
      <alignment horizontal="center"/>
    </xf>
    <xf numFmtId="1" fontId="93" fillId="15" borderId="15" xfId="5" applyNumberFormat="1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0" fontId="98" fillId="0" borderId="1" xfId="0" applyFont="1" applyBorder="1"/>
    <xf numFmtId="9" fontId="93" fillId="8" borderId="1" xfId="6" applyNumberFormat="1" applyFont="1" applyFill="1" applyBorder="1" applyAlignment="1">
      <alignment horizontal="center"/>
    </xf>
    <xf numFmtId="165" fontId="93" fillId="0" borderId="1" xfId="6" applyNumberFormat="1" applyFont="1" applyFill="1" applyBorder="1" applyAlignment="1"/>
    <xf numFmtId="1" fontId="93" fillId="8" borderId="1" xfId="5" applyNumberFormat="1" applyFont="1" applyFill="1" applyBorder="1" applyAlignment="1">
      <alignment horizontal="right"/>
    </xf>
    <xf numFmtId="0" fontId="105" fillId="0" borderId="0" xfId="4" applyFont="1"/>
    <xf numFmtId="0" fontId="93" fillId="8" borderId="7" xfId="3" applyFont="1" applyFill="1" applyBorder="1" applyAlignment="1">
      <alignment horizontal="center"/>
    </xf>
    <xf numFmtId="2" fontId="93" fillId="8" borderId="7" xfId="3" applyNumberFormat="1" applyFont="1" applyFill="1" applyBorder="1" applyAlignment="1">
      <alignment horizontal="center"/>
    </xf>
    <xf numFmtId="9" fontId="93" fillId="8" borderId="7" xfId="6" applyNumberFormat="1" applyFont="1" applyFill="1" applyBorder="1" applyAlignment="1">
      <alignment horizontal="center"/>
    </xf>
    <xf numFmtId="2" fontId="93" fillId="8" borderId="7" xfId="3" applyNumberFormat="1" applyFont="1" applyFill="1" applyBorder="1" applyAlignment="1">
      <alignment horizontal="right"/>
    </xf>
    <xf numFmtId="1" fontId="93" fillId="8" borderId="23" xfId="5" applyNumberFormat="1" applyFont="1" applyFill="1" applyBorder="1" applyAlignment="1" applyProtection="1">
      <alignment horizontal="center"/>
    </xf>
    <xf numFmtId="0" fontId="89" fillId="0" borderId="0" xfId="0" applyFont="1"/>
    <xf numFmtId="1" fontId="89" fillId="0" borderId="0" xfId="0" applyNumberFormat="1" applyFont="1" applyAlignment="1">
      <alignment horizontal="center"/>
    </xf>
    <xf numFmtId="1" fontId="89" fillId="0" borderId="0" xfId="0" applyNumberFormat="1" applyFont="1"/>
    <xf numFmtId="0" fontId="98" fillId="0" borderId="0" xfId="0" applyFont="1"/>
    <xf numFmtId="1" fontId="98" fillId="0" borderId="0" xfId="0" applyNumberFormat="1" applyFont="1" applyAlignment="1">
      <alignment horizontal="center"/>
    </xf>
    <xf numFmtId="1" fontId="98" fillId="0" borderId="0" xfId="0" applyNumberFormat="1" applyFont="1"/>
    <xf numFmtId="0" fontId="9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1" fontId="92" fillId="0" borderId="0" xfId="0" applyNumberFormat="1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7" fillId="0" borderId="0" xfId="0" applyFont="1" applyFill="1" applyAlignment="1">
      <alignment horizontal="center" vertical="center"/>
    </xf>
    <xf numFmtId="1" fontId="97" fillId="0" borderId="0" xfId="0" applyNumberFormat="1" applyFont="1" applyFill="1" applyAlignment="1">
      <alignment horizontal="center" vertical="center"/>
    </xf>
    <xf numFmtId="0" fontId="102" fillId="0" borderId="0" xfId="0" applyFont="1" applyFill="1" applyAlignment="1">
      <alignment horizontal="center" vertical="center"/>
    </xf>
    <xf numFmtId="0" fontId="88" fillId="0" borderId="0" xfId="0" applyFont="1" applyFill="1" applyAlignment="1">
      <alignment horizontal="center" vertical="center"/>
    </xf>
    <xf numFmtId="1" fontId="93" fillId="0" borderId="1" xfId="0" applyNumberFormat="1" applyFont="1" applyBorder="1" applyAlignment="1">
      <alignment horizontal="center"/>
    </xf>
    <xf numFmtId="1" fontId="93" fillId="12" borderId="1" xfId="5" applyNumberFormat="1" applyFont="1" applyFill="1" applyBorder="1" applyAlignment="1">
      <alignment horizontal="center" vertical="center"/>
    </xf>
    <xf numFmtId="174" fontId="97" fillId="0" borderId="0" xfId="0" applyNumberFormat="1" applyFont="1" applyFill="1" applyAlignment="1">
      <alignment horizontal="center" vertical="center"/>
    </xf>
    <xf numFmtId="171" fontId="92" fillId="0" borderId="0" xfId="0" applyNumberFormat="1" applyFont="1" applyAlignment="1">
      <alignment horizontal="center" vertical="center"/>
    </xf>
    <xf numFmtId="164" fontId="92" fillId="0" borderId="0" xfId="0" applyNumberFormat="1" applyFont="1" applyAlignment="1">
      <alignment horizontal="center" vertical="center"/>
    </xf>
    <xf numFmtId="9" fontId="93" fillId="9" borderId="1" xfId="4" applyNumberFormat="1" applyFont="1" applyFill="1" applyBorder="1" applyAlignment="1">
      <alignment horizontal="center"/>
    </xf>
    <xf numFmtId="164" fontId="74" fillId="12" borderId="1" xfId="5" applyNumberFormat="1" applyFont="1" applyFill="1" applyBorder="1" applyAlignment="1">
      <alignment horizontal="center" vertical="center"/>
    </xf>
    <xf numFmtId="2" fontId="72" fillId="8" borderId="0" xfId="3" applyNumberFormat="1" applyFont="1" applyFill="1" applyBorder="1" applyAlignment="1">
      <alignment horizontal="center"/>
    </xf>
    <xf numFmtId="2" fontId="49" fillId="0" borderId="0" xfId="0" applyNumberFormat="1" applyFont="1" applyBorder="1"/>
    <xf numFmtId="168" fontId="72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7" fillId="12" borderId="1" xfId="0" applyFont="1" applyFill="1" applyBorder="1"/>
    <xf numFmtId="1" fontId="81" fillId="0" borderId="0" xfId="0" applyNumberFormat="1" applyFont="1" applyBorder="1"/>
    <xf numFmtId="1" fontId="67" fillId="2" borderId="0" xfId="0" applyNumberFormat="1" applyFont="1" applyFill="1"/>
    <xf numFmtId="1" fontId="18" fillId="0" borderId="1" xfId="0" applyNumberFormat="1" applyFont="1" applyFill="1" applyBorder="1" applyAlignment="1">
      <alignment horizontal="center" wrapText="1"/>
    </xf>
    <xf numFmtId="170" fontId="36" fillId="9" borderId="1" xfId="3" applyNumberFormat="1" applyFont="1" applyFill="1" applyBorder="1" applyAlignment="1">
      <alignment horizontal="center"/>
    </xf>
    <xf numFmtId="0" fontId="67" fillId="2" borderId="1" xfId="4" applyFont="1" applyFill="1" applyBorder="1" applyAlignment="1">
      <alignment horizontal="center" vertical="center"/>
    </xf>
    <xf numFmtId="164" fontId="74" fillId="2" borderId="1" xfId="5" applyNumberFormat="1" applyFont="1" applyFill="1" applyBorder="1" applyAlignment="1">
      <alignment horizontal="center" vertical="center"/>
    </xf>
    <xf numFmtId="1" fontId="83" fillId="2" borderId="1" xfId="5" applyNumberFormat="1" applyFont="1" applyFill="1" applyBorder="1" applyAlignment="1">
      <alignment horizontal="center" vertical="center"/>
    </xf>
    <xf numFmtId="0" fontId="107" fillId="0" borderId="0" xfId="0" applyFont="1"/>
    <xf numFmtId="0" fontId="18" fillId="0" borderId="1" xfId="0" applyFont="1" applyBorder="1" applyAlignment="1">
      <alignment horizontal="center" wrapText="1"/>
    </xf>
    <xf numFmtId="0" fontId="18" fillId="0" borderId="29" xfId="0" applyFont="1" applyBorder="1" applyAlignment="1">
      <alignment horizontal="center" wrapText="1"/>
    </xf>
    <xf numFmtId="16" fontId="18" fillId="0" borderId="1" xfId="0" applyNumberFormat="1" applyFont="1" applyBorder="1" applyAlignment="1">
      <alignment horizontal="center" wrapText="1"/>
    </xf>
    <xf numFmtId="1" fontId="18" fillId="0" borderId="1" xfId="0" applyNumberFormat="1" applyFont="1" applyBorder="1" applyAlignment="1">
      <alignment horizontal="center" wrapText="1"/>
    </xf>
    <xf numFmtId="0" fontId="18" fillId="0" borderId="1" xfId="0" applyFont="1" applyFill="1" applyBorder="1" applyAlignment="1">
      <alignment horizontal="center" wrapText="1"/>
    </xf>
    <xf numFmtId="0" fontId="107" fillId="0" borderId="0" xfId="0" applyFont="1" applyFill="1"/>
    <xf numFmtId="1" fontId="18" fillId="2" borderId="1" xfId="0" applyNumberFormat="1" applyFont="1" applyFill="1" applyBorder="1" applyAlignment="1">
      <alignment horizontal="center" wrapText="1"/>
    </xf>
    <xf numFmtId="1" fontId="108" fillId="0" borderId="1" xfId="0" applyNumberFormat="1" applyFont="1" applyFill="1" applyBorder="1" applyAlignment="1">
      <alignment horizontal="center" wrapText="1"/>
    </xf>
    <xf numFmtId="1" fontId="107" fillId="0" borderId="0" xfId="0" applyNumberFormat="1" applyFont="1"/>
    <xf numFmtId="1" fontId="107" fillId="0" borderId="0" xfId="0" applyNumberFormat="1" applyFont="1" applyFill="1"/>
    <xf numFmtId="0" fontId="72" fillId="2" borderId="1" xfId="0" applyFont="1" applyFill="1" applyBorder="1" applyAlignment="1">
      <alignment horizontal="center"/>
    </xf>
    <xf numFmtId="164" fontId="72" fillId="12" borderId="1" xfId="5" applyNumberFormat="1" applyFont="1" applyFill="1" applyBorder="1" applyAlignment="1">
      <alignment horizontal="center" vertical="center"/>
    </xf>
    <xf numFmtId="1" fontId="72" fillId="12" borderId="1" xfId="5" applyNumberFormat="1" applyFont="1" applyFill="1" applyBorder="1" applyAlignment="1">
      <alignment horizontal="center" vertical="center"/>
    </xf>
    <xf numFmtId="1" fontId="90" fillId="0" borderId="1" xfId="0" applyNumberFormat="1" applyFont="1" applyBorder="1" applyAlignment="1">
      <alignment horizontal="center" wrapText="1"/>
    </xf>
    <xf numFmtId="1" fontId="108" fillId="0" borderId="1" xfId="0" applyNumberFormat="1" applyFont="1" applyBorder="1" applyAlignment="1">
      <alignment horizontal="center" wrapText="1"/>
    </xf>
    <xf numFmtId="1" fontId="83" fillId="2" borderId="1" xfId="3" applyNumberFormat="1" applyFont="1" applyFill="1" applyBorder="1" applyAlignment="1">
      <alignment horizontal="center"/>
    </xf>
    <xf numFmtId="1" fontId="83" fillId="2" borderId="15" xfId="5" applyNumberFormat="1" applyFont="1" applyFill="1" applyBorder="1" applyAlignment="1" applyProtection="1">
      <alignment horizontal="center"/>
    </xf>
    <xf numFmtId="169" fontId="74" fillId="8" borderId="1" xfId="5" applyNumberFormat="1" applyFont="1" applyFill="1" applyBorder="1" applyAlignment="1" applyProtection="1">
      <alignment vertical="center"/>
    </xf>
    <xf numFmtId="1" fontId="67" fillId="22" borderId="1" xfId="5" applyNumberFormat="1" applyFont="1" applyFill="1" applyBorder="1" applyAlignment="1">
      <alignment horizontal="center" vertical="center"/>
    </xf>
    <xf numFmtId="0" fontId="67" fillId="12" borderId="1" xfId="4" applyFont="1" applyFill="1" applyBorder="1" applyAlignment="1">
      <alignment horizontal="center" vertical="center"/>
    </xf>
    <xf numFmtId="0" fontId="67" fillId="10" borderId="1" xfId="4" applyFont="1" applyFill="1" applyBorder="1" applyAlignment="1">
      <alignment horizontal="center"/>
    </xf>
    <xf numFmtId="1" fontId="67" fillId="10" borderId="1" xfId="5" applyNumberFormat="1" applyFont="1" applyFill="1" applyBorder="1" applyAlignment="1">
      <alignment horizontal="center" vertical="center"/>
    </xf>
    <xf numFmtId="1" fontId="67" fillId="17" borderId="1" xfId="5" applyNumberFormat="1" applyFont="1" applyFill="1" applyBorder="1" applyAlignment="1">
      <alignment horizontal="center" vertical="center"/>
    </xf>
    <xf numFmtId="0" fontId="73" fillId="10" borderId="1" xfId="4" applyFont="1" applyFill="1" applyBorder="1" applyAlignment="1">
      <alignment horizontal="center"/>
    </xf>
    <xf numFmtId="0" fontId="73" fillId="22" borderId="1" xfId="4" applyFont="1" applyFill="1" applyBorder="1" applyAlignment="1">
      <alignment horizontal="center"/>
    </xf>
    <xf numFmtId="0" fontId="67" fillId="22" borderId="1" xfId="4" applyFont="1" applyFill="1" applyBorder="1" applyAlignment="1">
      <alignment horizontal="center"/>
    </xf>
    <xf numFmtId="0" fontId="67" fillId="17" borderId="1" xfId="4" applyFont="1" applyFill="1" applyBorder="1" applyAlignment="1">
      <alignment horizontal="center"/>
    </xf>
    <xf numFmtId="0" fontId="60" fillId="2" borderId="1" xfId="3" applyFont="1" applyFill="1" applyBorder="1" applyAlignment="1">
      <alignment horizontal="left" vertical="justify"/>
    </xf>
    <xf numFmtId="0" fontId="67" fillId="12" borderId="1" xfId="3" applyNumberFormat="1" applyFont="1" applyFill="1" applyBorder="1" applyAlignment="1">
      <alignment horizontal="center"/>
    </xf>
    <xf numFmtId="1" fontId="90" fillId="2" borderId="1" xfId="0" applyNumberFormat="1" applyFont="1" applyFill="1" applyBorder="1" applyAlignment="1">
      <alignment horizontal="center" wrapText="1"/>
    </xf>
    <xf numFmtId="1" fontId="90" fillId="12" borderId="1" xfId="0" applyNumberFormat="1" applyFont="1" applyFill="1" applyBorder="1" applyAlignment="1">
      <alignment horizontal="center" wrapText="1"/>
    </xf>
    <xf numFmtId="0" fontId="57" fillId="0" borderId="1" xfId="0" applyFont="1" applyFill="1" applyBorder="1" applyAlignment="1">
      <alignment vertical="center" wrapText="1"/>
    </xf>
    <xf numFmtId="0" fontId="57" fillId="0" borderId="1" xfId="0" applyFont="1" applyFill="1" applyBorder="1"/>
    <xf numFmtId="0" fontId="61" fillId="0" borderId="21" xfId="3" applyFont="1" applyFill="1" applyBorder="1" applyAlignment="1">
      <alignment horizontal="left"/>
    </xf>
    <xf numFmtId="0" fontId="61" fillId="0" borderId="1" xfId="3" applyFont="1" applyFill="1" applyBorder="1" applyAlignment="1">
      <alignment horizontal="left"/>
    </xf>
    <xf numFmtId="2" fontId="67" fillId="0" borderId="1" xfId="3" applyNumberFormat="1" applyFont="1" applyFill="1" applyBorder="1" applyAlignment="1">
      <alignment horizontal="right"/>
    </xf>
    <xf numFmtId="1" fontId="109" fillId="0" borderId="0" xfId="0" applyNumberFormat="1" applyFont="1"/>
    <xf numFmtId="1" fontId="110" fillId="0" borderId="0" xfId="0" applyNumberFormat="1" applyFont="1"/>
    <xf numFmtId="49" fontId="98" fillId="0" borderId="0" xfId="0" applyNumberFormat="1" applyFont="1"/>
    <xf numFmtId="1" fontId="111" fillId="0" borderId="1" xfId="0" applyNumberFormat="1" applyFont="1" applyFill="1" applyBorder="1" applyAlignment="1">
      <alignment horizontal="center" wrapText="1"/>
    </xf>
    <xf numFmtId="170" fontId="97" fillId="9" borderId="1" xfId="3" applyNumberFormat="1" applyFont="1" applyFill="1" applyBorder="1" applyAlignment="1">
      <alignment horizontal="center"/>
    </xf>
    <xf numFmtId="1" fontId="18" fillId="15" borderId="1" xfId="0" applyNumberFormat="1" applyFont="1" applyFill="1" applyBorder="1" applyAlignment="1">
      <alignment horizontal="center" wrapText="1"/>
    </xf>
    <xf numFmtId="0" fontId="107" fillId="15" borderId="0" xfId="0" applyFont="1" applyFill="1"/>
    <xf numFmtId="1" fontId="107" fillId="15" borderId="0" xfId="0" applyNumberFormat="1" applyFont="1" applyFill="1"/>
    <xf numFmtId="16" fontId="18" fillId="0" borderId="0" xfId="0" applyNumberFormat="1" applyFont="1" applyBorder="1" applyAlignment="1">
      <alignment horizontal="center" wrapText="1"/>
    </xf>
    <xf numFmtId="0" fontId="107" fillId="0" borderId="0" xfId="0" applyFont="1" applyBorder="1"/>
    <xf numFmtId="0" fontId="113" fillId="0" borderId="1" xfId="0" applyFont="1" applyBorder="1"/>
    <xf numFmtId="0" fontId="107" fillId="0" borderId="1" xfId="0" applyFont="1" applyBorder="1"/>
    <xf numFmtId="0" fontId="107" fillId="22" borderId="1" xfId="0" applyFont="1" applyFill="1" applyBorder="1"/>
    <xf numFmtId="0" fontId="112" fillId="0" borderId="1" xfId="0" applyFont="1" applyBorder="1"/>
    <xf numFmtId="1" fontId="114" fillId="21" borderId="1" xfId="3" applyNumberFormat="1" applyFont="1" applyFill="1" applyBorder="1" applyAlignment="1">
      <alignment horizontal="center"/>
    </xf>
    <xf numFmtId="0" fontId="114" fillId="21" borderId="1" xfId="3" applyNumberFormat="1" applyFont="1" applyFill="1" applyBorder="1" applyAlignment="1">
      <alignment horizontal="center"/>
    </xf>
    <xf numFmtId="1" fontId="114" fillId="21" borderId="15" xfId="5" applyNumberFormat="1" applyFont="1" applyFill="1" applyBorder="1" applyAlignment="1" applyProtection="1">
      <alignment horizontal="center"/>
    </xf>
    <xf numFmtId="2" fontId="114" fillId="21" borderId="1" xfId="3" applyNumberFormat="1" applyFont="1" applyFill="1" applyBorder="1" applyAlignment="1">
      <alignment horizontal="center"/>
    </xf>
    <xf numFmtId="1" fontId="114" fillId="8" borderId="1" xfId="3" applyNumberFormat="1" applyFont="1" applyFill="1" applyBorder="1" applyAlignment="1">
      <alignment horizontal="center"/>
    </xf>
    <xf numFmtId="2" fontId="114" fillId="2" borderId="1" xfId="3" applyNumberFormat="1" applyFont="1" applyFill="1" applyBorder="1" applyAlignment="1">
      <alignment horizontal="center"/>
    </xf>
    <xf numFmtId="1" fontId="114" fillId="8" borderId="15" xfId="5" applyNumberFormat="1" applyFont="1" applyFill="1" applyBorder="1" applyAlignment="1" applyProtection="1">
      <alignment horizontal="center"/>
    </xf>
    <xf numFmtId="0" fontId="114" fillId="15" borderId="1" xfId="3" applyFont="1" applyFill="1" applyBorder="1" applyAlignment="1">
      <alignment horizontal="center"/>
    </xf>
    <xf numFmtId="0" fontId="114" fillId="15" borderId="15" xfId="3" applyFont="1" applyFill="1" applyBorder="1" applyAlignment="1">
      <alignment horizontal="center"/>
    </xf>
    <xf numFmtId="0" fontId="114" fillId="2" borderId="1" xfId="3" applyNumberFormat="1" applyFont="1" applyFill="1" applyBorder="1" applyAlignment="1">
      <alignment horizontal="center"/>
    </xf>
    <xf numFmtId="0" fontId="114" fillId="8" borderId="1" xfId="3" applyFont="1" applyFill="1" applyBorder="1" applyAlignment="1">
      <alignment horizontal="center"/>
    </xf>
    <xf numFmtId="1" fontId="114" fillId="15" borderId="1" xfId="3" applyNumberFormat="1" applyFont="1" applyFill="1" applyBorder="1" applyAlignment="1">
      <alignment horizontal="center"/>
    </xf>
    <xf numFmtId="0" fontId="114" fillId="21" borderId="1" xfId="3" applyFont="1" applyFill="1" applyBorder="1" applyAlignment="1">
      <alignment horizontal="center"/>
    </xf>
    <xf numFmtId="1" fontId="114" fillId="21" borderId="1" xfId="4" applyNumberFormat="1" applyFont="1" applyFill="1" applyBorder="1" applyAlignment="1">
      <alignment horizontal="center"/>
    </xf>
    <xf numFmtId="0" fontId="115" fillId="0" borderId="0" xfId="2" applyFont="1" applyAlignment="1" applyProtection="1"/>
    <xf numFmtId="2" fontId="115" fillId="0" borderId="0" xfId="2" applyNumberFormat="1" applyFont="1" applyAlignment="1" applyProtection="1"/>
    <xf numFmtId="0" fontId="61" fillId="0" borderId="21" xfId="3" applyFont="1" applyFill="1" applyBorder="1" applyAlignment="1">
      <alignment horizontal="left" vertical="center"/>
    </xf>
    <xf numFmtId="0" fontId="60" fillId="0" borderId="1" xfId="3" applyFont="1" applyFill="1" applyBorder="1" applyAlignment="1">
      <alignment horizontal="left" vertical="justify"/>
    </xf>
    <xf numFmtId="1" fontId="50" fillId="0" borderId="0" xfId="5" applyNumberFormat="1" applyFont="1" applyFill="1" applyBorder="1" applyAlignment="1" applyProtection="1">
      <alignment horizontal="center"/>
    </xf>
    <xf numFmtId="0" fontId="49" fillId="0" borderId="0" xfId="0" applyFont="1" applyFill="1" applyBorder="1"/>
    <xf numFmtId="0" fontId="60" fillId="0" borderId="1" xfId="3" applyFont="1" applyFill="1" applyBorder="1" applyAlignment="1">
      <alignment horizontal="left" vertical="center"/>
    </xf>
    <xf numFmtId="1" fontId="67" fillId="0" borderId="1" xfId="3" applyNumberFormat="1" applyFont="1" applyFill="1" applyBorder="1" applyAlignment="1">
      <alignment horizontal="center" vertical="center"/>
    </xf>
    <xf numFmtId="2" fontId="61" fillId="0" borderId="21" xfId="3" applyNumberFormat="1" applyFont="1" applyFill="1" applyBorder="1" applyAlignment="1">
      <alignment horizontal="left" vertical="center"/>
    </xf>
    <xf numFmtId="2" fontId="60" fillId="0" borderId="1" xfId="3" applyNumberFormat="1" applyFont="1" applyFill="1" applyBorder="1" applyAlignment="1">
      <alignment horizontal="left" vertical="center"/>
    </xf>
    <xf numFmtId="0" fontId="50" fillId="0" borderId="0" xfId="3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07" fillId="17" borderId="5" xfId="0" applyFont="1" applyFill="1" applyBorder="1" applyAlignment="1">
      <alignment horizontal="center"/>
    </xf>
    <xf numFmtId="0" fontId="61" fillId="0" borderId="1" xfId="4" applyFont="1" applyBorder="1" applyAlignment="1">
      <alignment horizontal="left"/>
    </xf>
    <xf numFmtId="0" fontId="37" fillId="15" borderId="2" xfId="3" applyFont="1" applyFill="1" applyBorder="1" applyAlignment="1">
      <alignment horizontal="left"/>
    </xf>
    <xf numFmtId="0" fontId="37" fillId="15" borderId="3" xfId="3" applyFont="1" applyFill="1" applyBorder="1" applyAlignment="1">
      <alignment horizontal="left"/>
    </xf>
    <xf numFmtId="0" fontId="37" fillId="15" borderId="4" xfId="3" applyFont="1" applyFill="1" applyBorder="1" applyAlignment="1">
      <alignment horizontal="left"/>
    </xf>
    <xf numFmtId="0" fontId="37" fillId="15" borderId="2" xfId="3" applyFont="1" applyFill="1" applyBorder="1" applyAlignment="1">
      <alignment horizontal="center"/>
    </xf>
    <xf numFmtId="0" fontId="37" fillId="15" borderId="4" xfId="3" applyFont="1" applyFill="1" applyBorder="1" applyAlignment="1">
      <alignment horizontal="center"/>
    </xf>
    <xf numFmtId="0" fontId="37" fillId="8" borderId="2" xfId="3" applyFont="1" applyFill="1" applyBorder="1" applyAlignment="1">
      <alignment horizontal="left"/>
    </xf>
    <xf numFmtId="0" fontId="37" fillId="8" borderId="3" xfId="3" applyFont="1" applyFill="1" applyBorder="1" applyAlignment="1">
      <alignment horizontal="left"/>
    </xf>
    <xf numFmtId="0" fontId="37" fillId="8" borderId="4" xfId="3" applyFont="1" applyFill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8" fillId="0" borderId="3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6" fillId="9" borderId="2" xfId="3" applyFont="1" applyFill="1" applyBorder="1" applyAlignment="1">
      <alignment horizontal="center"/>
    </xf>
    <xf numFmtId="0" fontId="20" fillId="8" borderId="2" xfId="3" applyFont="1" applyFill="1" applyBorder="1" applyAlignment="1">
      <alignment horizontal="left"/>
    </xf>
    <xf numFmtId="0" fontId="20" fillId="8" borderId="3" xfId="3" applyFont="1" applyFill="1" applyBorder="1" applyAlignment="1">
      <alignment horizontal="left"/>
    </xf>
    <xf numFmtId="0" fontId="20" fillId="8" borderId="4" xfId="3" applyFont="1" applyFill="1" applyBorder="1" applyAlignment="1">
      <alignment horizontal="left"/>
    </xf>
    <xf numFmtId="0" fontId="19" fillId="9" borderId="2" xfId="3" applyFont="1" applyFill="1" applyBorder="1" applyAlignment="1">
      <alignment horizontal="center"/>
    </xf>
    <xf numFmtId="0" fontId="19" fillId="9" borderId="4" xfId="3" applyFont="1" applyFill="1" applyBorder="1" applyAlignment="1">
      <alignment horizontal="center"/>
    </xf>
    <xf numFmtId="0" fontId="93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0" fontId="20" fillId="10" borderId="2" xfId="3" applyFont="1" applyFill="1" applyBorder="1" applyAlignment="1">
      <alignment horizontal="left"/>
    </xf>
    <xf numFmtId="0" fontId="20" fillId="10" borderId="3" xfId="3" applyFont="1" applyFill="1" applyBorder="1" applyAlignment="1">
      <alignment horizontal="left"/>
    </xf>
    <xf numFmtId="0" fontId="20" fillId="10" borderId="4" xfId="3" applyFont="1" applyFill="1" applyBorder="1" applyAlignment="1">
      <alignment horizontal="left"/>
    </xf>
    <xf numFmtId="0" fontId="116" fillId="0" borderId="35" xfId="17" applyFont="1" applyBorder="1" applyAlignment="1">
      <alignment horizontal="center"/>
    </xf>
    <xf numFmtId="0" fontId="117" fillId="0" borderId="35" xfId="17" applyFont="1" applyBorder="1" applyAlignment="1">
      <alignment horizontal="center"/>
    </xf>
    <xf numFmtId="1" fontId="117" fillId="0" borderId="35" xfId="17" applyNumberFormat="1" applyFont="1" applyBorder="1" applyAlignment="1">
      <alignment horizontal="center"/>
    </xf>
    <xf numFmtId="1" fontId="116" fillId="0" borderId="35" xfId="17" applyNumberFormat="1" applyFont="1" applyBorder="1" applyAlignment="1">
      <alignment horizontal="center" wrapText="1"/>
    </xf>
    <xf numFmtId="0" fontId="116" fillId="0" borderId="35" xfId="17" applyFont="1" applyBorder="1" applyAlignment="1">
      <alignment horizontal="center" wrapText="1"/>
    </xf>
    <xf numFmtId="0" fontId="116" fillId="0" borderId="0" xfId="17" applyFont="1" applyAlignment="1">
      <alignment wrapText="1"/>
    </xf>
    <xf numFmtId="0" fontId="116" fillId="0" borderId="0" xfId="17" applyFont="1"/>
    <xf numFmtId="0" fontId="18" fillId="0" borderId="0" xfId="17" applyFont="1" applyAlignment="1">
      <alignment horizontal="center"/>
    </xf>
    <xf numFmtId="0" fontId="90" fillId="0" borderId="0" xfId="17" applyFont="1" applyAlignment="1">
      <alignment horizontal="center"/>
    </xf>
    <xf numFmtId="1" fontId="90" fillId="0" borderId="0" xfId="17" applyNumberFormat="1" applyFont="1" applyAlignment="1">
      <alignment horizontal="center"/>
    </xf>
    <xf numFmtId="1" fontId="4" fillId="0" borderId="0" xfId="17" applyNumberFormat="1" applyAlignment="1">
      <alignment horizontal="center"/>
    </xf>
    <xf numFmtId="2" fontId="4" fillId="0" borderId="0" xfId="17" applyNumberFormat="1" applyAlignment="1">
      <alignment horizontal="center"/>
    </xf>
    <xf numFmtId="2" fontId="4" fillId="0" borderId="0" xfId="17" applyNumberFormat="1"/>
    <xf numFmtId="0" fontId="4" fillId="0" borderId="0" xfId="17"/>
    <xf numFmtId="0" fontId="4" fillId="0" borderId="0" xfId="17" applyAlignment="1">
      <alignment horizontal="center"/>
    </xf>
    <xf numFmtId="0" fontId="120" fillId="21" borderId="1" xfId="3" applyFont="1" applyFill="1" applyBorder="1" applyAlignment="1">
      <alignment horizontal="center"/>
    </xf>
    <xf numFmtId="0" fontId="120" fillId="21" borderId="1" xfId="4" applyFont="1" applyFill="1" applyBorder="1" applyAlignment="1">
      <alignment horizontal="center"/>
    </xf>
    <xf numFmtId="1" fontId="52" fillId="2" borderId="0" xfId="5" applyNumberFormat="1" applyFont="1" applyFill="1" applyBorder="1" applyAlignment="1" applyProtection="1">
      <alignment horizontal="center"/>
    </xf>
    <xf numFmtId="0" fontId="121" fillId="0" borderId="0" xfId="0" applyFont="1" applyBorder="1"/>
    <xf numFmtId="0" fontId="121" fillId="0" borderId="0" xfId="0" applyFont="1"/>
    <xf numFmtId="1" fontId="121" fillId="0" borderId="0" xfId="0" applyNumberFormat="1" applyFont="1"/>
    <xf numFmtId="0" fontId="118" fillId="21" borderId="21" xfId="3" applyFont="1" applyFill="1" applyBorder="1" applyAlignment="1">
      <alignment horizontal="left" vertical="center"/>
    </xf>
    <xf numFmtId="0" fontId="119" fillId="21" borderId="1" xfId="3" applyFont="1" applyFill="1" applyBorder="1" applyAlignment="1">
      <alignment horizontal="left" vertical="center"/>
    </xf>
    <xf numFmtId="1" fontId="122" fillId="21" borderId="1" xfId="3" applyNumberFormat="1" applyFont="1" applyFill="1" applyBorder="1" applyAlignment="1">
      <alignment horizontal="center"/>
    </xf>
    <xf numFmtId="0" fontId="122" fillId="21" borderId="1" xfId="3" applyNumberFormat="1" applyFont="1" applyFill="1" applyBorder="1" applyAlignment="1">
      <alignment horizontal="center"/>
    </xf>
    <xf numFmtId="1" fontId="122" fillId="21" borderId="15" xfId="5" applyNumberFormat="1" applyFont="1" applyFill="1" applyBorder="1" applyAlignment="1" applyProtection="1">
      <alignment horizontal="center"/>
    </xf>
    <xf numFmtId="1" fontId="122" fillId="21" borderId="1" xfId="5" applyNumberFormat="1" applyFont="1" applyFill="1" applyBorder="1" applyAlignment="1">
      <alignment horizontal="center" vertical="center"/>
    </xf>
    <xf numFmtId="2" fontId="122" fillId="21" borderId="1" xfId="3" applyNumberFormat="1" applyFont="1" applyFill="1" applyBorder="1" applyAlignment="1">
      <alignment horizontal="center"/>
    </xf>
    <xf numFmtId="0" fontId="66" fillId="21" borderId="21" xfId="3" applyFont="1" applyFill="1" applyBorder="1" applyAlignment="1">
      <alignment horizontal="left"/>
    </xf>
    <xf numFmtId="0" fontId="68" fillId="21" borderId="1" xfId="3" applyFont="1" applyFill="1" applyBorder="1" applyAlignment="1">
      <alignment horizontal="left"/>
    </xf>
    <xf numFmtId="0" fontId="72" fillId="21" borderId="1" xfId="3" applyFont="1" applyFill="1" applyBorder="1" applyAlignment="1">
      <alignment horizontal="center"/>
    </xf>
    <xf numFmtId="0" fontId="49" fillId="0" borderId="0" xfId="0" applyFont="1" applyFill="1" applyAlignment="1">
      <alignment horizontal="center"/>
    </xf>
    <xf numFmtId="0" fontId="39" fillId="0" borderId="0" xfId="0" applyFont="1" applyFill="1" applyAlignment="1">
      <alignment horizontal="center"/>
    </xf>
    <xf numFmtId="0" fontId="61" fillId="0" borderId="1" xfId="4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1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0" fontId="69" fillId="0" borderId="1" xfId="0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0" fontId="61" fillId="0" borderId="1" xfId="4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1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0" fontId="69" fillId="0" borderId="1" xfId="0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2" fontId="50" fillId="12" borderId="0" xfId="5" applyNumberFormat="1" applyFont="1" applyFill="1" applyBorder="1" applyAlignment="1" applyProtection="1">
      <alignment horizontal="center"/>
    </xf>
    <xf numFmtId="0" fontId="49" fillId="12" borderId="0" xfId="0" applyFont="1" applyFill="1" applyBorder="1"/>
    <xf numFmtId="0" fontId="61" fillId="15" borderId="15" xfId="3" applyFont="1" applyFill="1" applyBorder="1" applyAlignment="1">
      <alignment horizontal="center"/>
    </xf>
    <xf numFmtId="0" fontId="61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1" fontId="67" fillId="12" borderId="1" xfId="3" applyNumberFormat="1" applyFont="1" applyFill="1" applyBorder="1" applyAlignment="1">
      <alignment horizontal="center" vertical="center"/>
    </xf>
    <xf numFmtId="0" fontId="99" fillId="12" borderId="1" xfId="4" applyFont="1" applyFill="1" applyBorder="1" applyAlignment="1">
      <alignment horizontal="center" wrapText="1"/>
    </xf>
    <xf numFmtId="1" fontId="67" fillId="2" borderId="1" xfId="4" applyNumberFormat="1" applyFont="1" applyFill="1" applyBorder="1" applyAlignment="1">
      <alignment horizontal="center" vertical="center"/>
    </xf>
    <xf numFmtId="1" fontId="116" fillId="0" borderId="1" xfId="17" applyNumberFormat="1" applyFont="1" applyBorder="1" applyAlignment="1">
      <alignment horizontal="center" wrapText="1"/>
    </xf>
    <xf numFmtId="0" fontId="4" fillId="0" borderId="1" xfId="17" applyNumberFormat="1" applyBorder="1" applyAlignment="1">
      <alignment horizontal="center"/>
    </xf>
    <xf numFmtId="1" fontId="4" fillId="0" borderId="1" xfId="17" applyNumberFormat="1" applyBorder="1" applyAlignment="1">
      <alignment horizontal="center"/>
    </xf>
    <xf numFmtId="1" fontId="123" fillId="0" borderId="1" xfId="0" applyNumberFormat="1" applyFont="1" applyBorder="1" applyAlignment="1">
      <alignment horizontal="center"/>
    </xf>
    <xf numFmtId="0" fontId="61" fillId="2" borderId="1" xfId="3" applyFont="1" applyFill="1" applyBorder="1" applyAlignment="1">
      <alignment horizontal="left"/>
    </xf>
    <xf numFmtId="2" fontId="67" fillId="2" borderId="1" xfId="3" applyNumberFormat="1" applyFont="1" applyFill="1" applyBorder="1" applyAlignment="1">
      <alignment horizontal="right"/>
    </xf>
    <xf numFmtId="0" fontId="114" fillId="0" borderId="1" xfId="4" applyFont="1" applyBorder="1" applyAlignment="1">
      <alignment horizontal="center" vertical="center"/>
    </xf>
    <xf numFmtId="2" fontId="114" fillId="8" borderId="1" xfId="3" applyNumberFormat="1" applyFont="1" applyFill="1" applyBorder="1" applyAlignment="1">
      <alignment horizontal="center" vertical="center"/>
    </xf>
    <xf numFmtId="0" fontId="114" fillId="8" borderId="1" xfId="3" applyFont="1" applyFill="1" applyBorder="1" applyAlignment="1">
      <alignment horizontal="center" vertical="center"/>
    </xf>
    <xf numFmtId="0" fontId="114" fillId="15" borderId="1" xfId="3" applyFont="1" applyFill="1" applyBorder="1" applyAlignment="1">
      <alignment horizontal="center" vertical="center"/>
    </xf>
    <xf numFmtId="0" fontId="114" fillId="0" borderId="1" xfId="4" applyFont="1" applyFill="1" applyBorder="1" applyAlignment="1">
      <alignment horizontal="center" vertical="center"/>
    </xf>
    <xf numFmtId="0" fontId="114" fillId="15" borderId="1" xfId="3" applyFont="1" applyFill="1" applyBorder="1" applyAlignment="1">
      <alignment vertical="center"/>
    </xf>
    <xf numFmtId="1" fontId="114" fillId="2" borderId="1" xfId="3" applyNumberFormat="1" applyFont="1" applyFill="1" applyBorder="1" applyAlignment="1">
      <alignment horizontal="center" vertical="center"/>
    </xf>
    <xf numFmtId="0" fontId="114" fillId="0" borderId="1" xfId="4" applyFont="1" applyBorder="1" applyAlignment="1">
      <alignment horizontal="center"/>
    </xf>
    <xf numFmtId="0" fontId="114" fillId="0" borderId="1" xfId="4" applyFont="1" applyFill="1" applyBorder="1" applyAlignment="1">
      <alignment horizontal="center"/>
    </xf>
    <xf numFmtId="0" fontId="114" fillId="2" borderId="1" xfId="4" applyFont="1" applyFill="1" applyBorder="1" applyAlignment="1"/>
    <xf numFmtId="2" fontId="114" fillId="8" borderId="1" xfId="3" applyNumberFormat="1" applyFont="1" applyFill="1" applyBorder="1" applyAlignment="1">
      <alignment horizontal="center"/>
    </xf>
    <xf numFmtId="2" fontId="114" fillId="8" borderId="8" xfId="3" applyNumberFormat="1" applyFont="1" applyFill="1" applyBorder="1" applyAlignment="1">
      <alignment horizontal="center"/>
    </xf>
    <xf numFmtId="0" fontId="114" fillId="23" borderId="1" xfId="4" applyFont="1" applyFill="1" applyBorder="1" applyAlignment="1">
      <alignment horizontal="center" vertical="center"/>
    </xf>
    <xf numFmtId="0" fontId="79" fillId="2" borderId="21" xfId="3" applyFont="1" applyFill="1" applyBorder="1" applyAlignment="1">
      <alignment horizontal="left"/>
    </xf>
    <xf numFmtId="0" fontId="114" fillId="2" borderId="1" xfId="4" applyFont="1" applyFill="1" applyBorder="1" applyAlignment="1">
      <alignment horizontal="center"/>
    </xf>
    <xf numFmtId="1" fontId="114" fillId="2" borderId="1" xfId="5" applyNumberFormat="1" applyFont="1" applyFill="1" applyBorder="1" applyAlignment="1">
      <alignment horizontal="center" vertical="center"/>
    </xf>
    <xf numFmtId="1" fontId="114" fillId="2" borderId="1" xfId="3" applyNumberFormat="1" applyFont="1" applyFill="1" applyBorder="1" applyAlignment="1">
      <alignment horizontal="center"/>
    </xf>
    <xf numFmtId="1" fontId="114" fillId="2" borderId="15" xfId="5" applyNumberFormat="1" applyFont="1" applyFill="1" applyBorder="1" applyAlignment="1" applyProtection="1">
      <alignment horizontal="center"/>
    </xf>
    <xf numFmtId="0" fontId="114" fillId="2" borderId="1" xfId="3" applyFont="1" applyFill="1" applyBorder="1" applyAlignment="1">
      <alignment horizontal="center"/>
    </xf>
    <xf numFmtId="164" fontId="114" fillId="2" borderId="1" xfId="5" applyNumberFormat="1" applyFont="1" applyFill="1" applyBorder="1" applyAlignment="1">
      <alignment horizontal="center" vertical="center"/>
    </xf>
    <xf numFmtId="0" fontId="114" fillId="2" borderId="1" xfId="4" applyFont="1" applyFill="1" applyBorder="1" applyAlignment="1">
      <alignment horizontal="center" wrapText="1"/>
    </xf>
    <xf numFmtId="0" fontId="114" fillId="0" borderId="1" xfId="4" applyFont="1" applyFill="1" applyBorder="1" applyAlignment="1">
      <alignment horizontal="center" wrapText="1"/>
    </xf>
    <xf numFmtId="0" fontId="114" fillId="0" borderId="1" xfId="4" applyFont="1" applyBorder="1" applyAlignment="1">
      <alignment horizontal="center" wrapText="1"/>
    </xf>
    <xf numFmtId="0" fontId="114" fillId="0" borderId="1" xfId="3" applyFont="1" applyFill="1" applyBorder="1" applyAlignment="1">
      <alignment horizontal="center"/>
    </xf>
    <xf numFmtId="0" fontId="114" fillId="10" borderId="24" xfId="4" applyFont="1" applyFill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0" fontId="114" fillId="0" borderId="1" xfId="0" applyFont="1" applyFill="1" applyBorder="1" applyAlignment="1">
      <alignment horizontal="center"/>
    </xf>
    <xf numFmtId="1" fontId="114" fillId="0" borderId="1" xfId="0" applyNumberFormat="1" applyFont="1" applyFill="1" applyBorder="1" applyAlignment="1">
      <alignment horizontal="center"/>
    </xf>
    <xf numFmtId="0" fontId="114" fillId="0" borderId="0" xfId="0" applyFont="1" applyBorder="1"/>
    <xf numFmtId="0" fontId="114" fillId="12" borderId="1" xfId="4" applyFont="1" applyFill="1" applyBorder="1" applyAlignment="1">
      <alignment horizontal="center"/>
    </xf>
    <xf numFmtId="2" fontId="114" fillId="8" borderId="7" xfId="3" applyNumberFormat="1" applyFont="1" applyFill="1" applyBorder="1" applyAlignment="1">
      <alignment horizontal="center"/>
    </xf>
    <xf numFmtId="0" fontId="114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9" fillId="12" borderId="1" xfId="4" applyFont="1" applyFill="1" applyBorder="1" applyAlignment="1">
      <alignment horizontal="center"/>
    </xf>
    <xf numFmtId="0" fontId="93" fillId="12" borderId="1" xfId="3" applyFont="1" applyFill="1" applyBorder="1" applyAlignment="1">
      <alignment horizontal="center" vertical="center"/>
    </xf>
    <xf numFmtId="0" fontId="98" fillId="12" borderId="1" xfId="0" applyFont="1" applyFill="1" applyBorder="1" applyAlignment="1">
      <alignment horizontal="center"/>
    </xf>
    <xf numFmtId="0" fontId="116" fillId="0" borderId="5" xfId="18" applyFont="1" applyBorder="1"/>
    <xf numFmtId="0" fontId="117" fillId="0" borderId="5" xfId="18" applyFont="1" applyBorder="1" applyAlignment="1">
      <alignment horizontal="center"/>
    </xf>
    <xf numFmtId="0" fontId="116" fillId="0" borderId="0" xfId="18" applyFont="1"/>
    <xf numFmtId="0" fontId="18" fillId="0" borderId="0" xfId="19" applyFont="1" applyAlignment="1">
      <alignment horizontal="center"/>
    </xf>
    <xf numFmtId="0" fontId="87" fillId="0" borderId="0" xfId="18" applyFont="1" applyAlignment="1">
      <alignment horizontal="center"/>
    </xf>
    <xf numFmtId="0" fontId="3" fillId="0" borderId="0" xfId="18"/>
    <xf numFmtId="0" fontId="3" fillId="0" borderId="0" xfId="18" applyAlignment="1">
      <alignment horizontal="center"/>
    </xf>
    <xf numFmtId="0" fontId="98" fillId="12" borderId="1" xfId="3" applyFont="1" applyFill="1" applyBorder="1" applyAlignment="1">
      <alignment horizontal="center"/>
    </xf>
    <xf numFmtId="1" fontId="83" fillId="24" borderId="15" xfId="5" applyNumberFormat="1" applyFont="1" applyFill="1" applyBorder="1" applyAlignment="1" applyProtection="1">
      <alignment horizontal="center"/>
    </xf>
    <xf numFmtId="0" fontId="107" fillId="19" borderId="5" xfId="0" applyFont="1" applyFill="1" applyBorder="1" applyAlignment="1">
      <alignment horizontal="center"/>
    </xf>
    <xf numFmtId="0" fontId="5" fillId="0" borderId="27" xfId="1" applyFont="1" applyFill="1" applyBorder="1" applyAlignment="1">
      <alignment horizontal="center" vertical="center" wrapText="1"/>
    </xf>
    <xf numFmtId="0" fontId="5" fillId="0" borderId="36" xfId="1" applyFont="1" applyFill="1" applyBorder="1" applyAlignment="1">
      <alignment horizontal="center" vertical="center" wrapText="1"/>
    </xf>
    <xf numFmtId="0" fontId="107" fillId="19" borderId="0" xfId="0" applyFont="1" applyFill="1" applyBorder="1" applyAlignment="1">
      <alignment horizontal="center"/>
    </xf>
    <xf numFmtId="0" fontId="130" fillId="0" borderId="21" xfId="1" applyFont="1" applyFill="1" applyBorder="1" applyAlignment="1">
      <alignment vertical="top" wrapText="1"/>
    </xf>
    <xf numFmtId="0" fontId="130" fillId="0" borderId="1" xfId="1" applyFont="1" applyFill="1" applyBorder="1" applyAlignment="1">
      <alignment horizontal="center" vertical="top" wrapText="1"/>
    </xf>
    <xf numFmtId="0" fontId="130" fillId="0" borderId="15" xfId="1" applyFont="1" applyFill="1" applyBorder="1" applyAlignment="1">
      <alignment horizontal="center" vertical="top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5" xfId="18" applyNumberFormat="1" applyFont="1" applyFill="1" applyBorder="1" applyAlignment="1">
      <alignment horizontal="center" wrapText="1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129" fillId="0" borderId="0" xfId="18" applyNumberFormat="1" applyFont="1" applyFill="1" applyAlignment="1">
      <alignment horizontal="center"/>
    </xf>
    <xf numFmtId="1" fontId="3" fillId="0" borderId="0" xfId="18" applyNumberFormat="1" applyFill="1" applyAlignment="1">
      <alignment horizontal="center"/>
    </xf>
    <xf numFmtId="0" fontId="3" fillId="0" borderId="0" xfId="18" applyFill="1" applyAlignment="1">
      <alignment horizontal="center"/>
    </xf>
    <xf numFmtId="0" fontId="3" fillId="0" borderId="0" xfId="18" applyFill="1"/>
    <xf numFmtId="0" fontId="61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 wrapText="1"/>
    </xf>
    <xf numFmtId="0" fontId="72" fillId="12" borderId="1" xfId="3" applyFont="1" applyFill="1" applyBorder="1" applyAlignment="1">
      <alignment horizontal="center" vertical="center"/>
    </xf>
    <xf numFmtId="0" fontId="67" fillId="12" borderId="1" xfId="4" applyFont="1" applyFill="1" applyBorder="1" applyAlignment="1">
      <alignment horizontal="center" wrapText="1"/>
    </xf>
    <xf numFmtId="0" fontId="67" fillId="12" borderId="1" xfId="3" applyFont="1" applyFill="1" applyBorder="1" applyAlignment="1">
      <alignment horizontal="center" vertical="center"/>
    </xf>
    <xf numFmtId="0" fontId="50" fillId="12" borderId="0" xfId="3" applyFont="1" applyFill="1" applyBorder="1" applyAlignment="1">
      <alignment horizontal="center"/>
    </xf>
    <xf numFmtId="0" fontId="75" fillId="0" borderId="1" xfId="0" applyFont="1" applyBorder="1" applyAlignment="1">
      <alignment horizontal="center"/>
    </xf>
    <xf numFmtId="2" fontId="50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1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175" fontId="61" fillId="9" borderId="1" xfId="3" applyNumberFormat="1" applyFont="1" applyFill="1" applyBorder="1" applyAlignment="1">
      <alignment horizontal="center" vertical="center"/>
    </xf>
    <xf numFmtId="175" fontId="61" fillId="9" borderId="1" xfId="3" applyNumberFormat="1" applyFont="1" applyFill="1" applyBorder="1" applyAlignment="1">
      <alignment horizontal="center"/>
    </xf>
    <xf numFmtId="175" fontId="67" fillId="8" borderId="1" xfId="3" applyNumberFormat="1" applyFont="1" applyFill="1" applyBorder="1" applyAlignment="1">
      <alignment horizontal="center" wrapText="1" shrinkToFit="1"/>
    </xf>
    <xf numFmtId="175" fontId="67" fillId="15" borderId="1" xfId="3" applyNumberFormat="1" applyFont="1" applyFill="1" applyBorder="1" applyAlignment="1">
      <alignment horizontal="center" vertical="center"/>
    </xf>
    <xf numFmtId="175" fontId="67" fillId="2" borderId="1" xfId="5" applyNumberFormat="1" applyFont="1" applyFill="1" applyBorder="1" applyAlignment="1">
      <alignment horizontal="center" vertical="center"/>
    </xf>
    <xf numFmtId="175" fontId="67" fillId="2" borderId="7" xfId="5" applyNumberFormat="1" applyFont="1" applyFill="1" applyBorder="1" applyAlignment="1">
      <alignment horizontal="center" vertical="center"/>
    </xf>
    <xf numFmtId="175" fontId="67" fillId="8" borderId="1" xfId="5" applyNumberFormat="1" applyFont="1" applyFill="1" applyBorder="1" applyAlignment="1">
      <alignment horizontal="center" vertical="center"/>
    </xf>
    <xf numFmtId="175" fontId="72" fillId="15" borderId="1" xfId="3" applyNumberFormat="1" applyFont="1" applyFill="1" applyBorder="1" applyAlignment="1">
      <alignment horizontal="center"/>
    </xf>
    <xf numFmtId="175" fontId="75" fillId="12" borderId="1" xfId="5" applyNumberFormat="1" applyFont="1" applyFill="1" applyBorder="1" applyAlignment="1">
      <alignment horizontal="center" vertical="center"/>
    </xf>
    <xf numFmtId="175" fontId="74" fillId="8" borderId="1" xfId="5" applyNumberFormat="1" applyFont="1" applyFill="1" applyBorder="1" applyAlignment="1">
      <alignment horizontal="center" vertical="center"/>
    </xf>
    <xf numFmtId="175" fontId="72" fillId="15" borderId="1" xfId="3" applyNumberFormat="1" applyFont="1" applyFill="1" applyBorder="1" applyAlignment="1">
      <alignment horizontal="center" vertical="center"/>
    </xf>
    <xf numFmtId="175" fontId="72" fillId="8" borderId="1" xfId="3" applyNumberFormat="1" applyFont="1" applyFill="1" applyBorder="1" applyAlignment="1">
      <alignment horizontal="center"/>
    </xf>
    <xf numFmtId="175" fontId="72" fillId="8" borderId="1" xfId="5" applyNumberFormat="1" applyFont="1" applyFill="1" applyBorder="1" applyAlignment="1" applyProtection="1">
      <alignment horizontal="center" vertical="center"/>
    </xf>
    <xf numFmtId="175" fontId="74" fillId="8" borderId="1" xfId="5" applyNumberFormat="1" applyFont="1" applyFill="1" applyBorder="1" applyAlignment="1" applyProtection="1">
      <alignment horizontal="center" vertical="center"/>
    </xf>
    <xf numFmtId="175" fontId="67" fillId="15" borderId="1" xfId="3" applyNumberFormat="1" applyFont="1" applyFill="1" applyBorder="1" applyAlignment="1">
      <alignment horizontal="center"/>
    </xf>
    <xf numFmtId="175" fontId="67" fillId="15" borderId="1" xfId="3" applyNumberFormat="1" applyFont="1" applyFill="1" applyBorder="1" applyAlignment="1"/>
    <xf numFmtId="175" fontId="67" fillId="2" borderId="1" xfId="4" applyNumberFormat="1" applyFont="1" applyFill="1" applyBorder="1" applyAlignment="1"/>
    <xf numFmtId="175" fontId="67" fillId="8" borderId="1" xfId="3" applyNumberFormat="1" applyFont="1" applyFill="1" applyBorder="1" applyAlignment="1">
      <alignment horizontal="center"/>
    </xf>
    <xf numFmtId="175" fontId="67" fillId="0" borderId="1" xfId="3" applyNumberFormat="1" applyFont="1" applyFill="1" applyBorder="1" applyAlignment="1">
      <alignment horizontal="center"/>
    </xf>
    <xf numFmtId="175" fontId="72" fillId="2" borderId="1" xfId="3" applyNumberFormat="1" applyFont="1" applyFill="1" applyBorder="1" applyAlignment="1">
      <alignment horizontal="center"/>
    </xf>
    <xf numFmtId="175" fontId="67" fillId="10" borderId="24" xfId="5" applyNumberFormat="1" applyFont="1" applyFill="1" applyBorder="1" applyAlignment="1">
      <alignment horizontal="center" vertical="center"/>
    </xf>
    <xf numFmtId="175" fontId="72" fillId="0" borderId="1" xfId="0" applyNumberFormat="1" applyFont="1" applyBorder="1" applyAlignment="1">
      <alignment horizontal="center"/>
    </xf>
    <xf numFmtId="175" fontId="72" fillId="0" borderId="1" xfId="0" applyNumberFormat="1" applyFont="1" applyFill="1" applyBorder="1" applyAlignment="1">
      <alignment horizontal="center"/>
    </xf>
    <xf numFmtId="175" fontId="72" fillId="0" borderId="0" xfId="0" applyNumberFormat="1" applyFont="1" applyBorder="1"/>
    <xf numFmtId="175" fontId="67" fillId="15" borderId="1" xfId="5" applyNumberFormat="1" applyFont="1" applyFill="1" applyBorder="1" applyAlignment="1">
      <alignment horizontal="center"/>
    </xf>
    <xf numFmtId="175" fontId="67" fillId="0" borderId="1" xfId="5" applyNumberFormat="1" applyFont="1" applyFill="1" applyBorder="1" applyAlignment="1">
      <alignment horizontal="center" vertical="center"/>
    </xf>
    <xf numFmtId="175" fontId="67" fillId="8" borderId="1" xfId="6" applyNumberFormat="1" applyFont="1" applyFill="1" applyBorder="1" applyAlignment="1">
      <alignment horizontal="center"/>
    </xf>
    <xf numFmtId="175" fontId="67" fillId="8" borderId="7" xfId="6" applyNumberFormat="1" applyFont="1" applyFill="1" applyBorder="1" applyAlignment="1">
      <alignment horizontal="center"/>
    </xf>
    <xf numFmtId="175" fontId="77" fillId="0" borderId="0" xfId="0" applyNumberFormat="1" applyFont="1"/>
    <xf numFmtId="175" fontId="72" fillId="0" borderId="0" xfId="0" applyNumberFormat="1" applyFont="1"/>
    <xf numFmtId="0" fontId="50" fillId="0" borderId="0" xfId="3" applyFont="1" applyFill="1" applyBorder="1" applyAlignment="1">
      <alignment horizontal="center" vertical="center"/>
    </xf>
    <xf numFmtId="0" fontId="61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1" fontId="125" fillId="12" borderId="5" xfId="18" applyNumberFormat="1" applyFont="1" applyFill="1" applyBorder="1" applyAlignment="1">
      <alignment horizontal="center" wrapText="1"/>
    </xf>
    <xf numFmtId="1" fontId="128" fillId="12" borderId="0" xfId="18" applyNumberFormat="1" applyFont="1" applyFill="1" applyAlignment="1">
      <alignment horizontal="center"/>
    </xf>
    <xf numFmtId="0" fontId="3" fillId="12" borderId="0" xfId="18" applyFill="1"/>
    <xf numFmtId="1" fontId="99" fillId="25" borderId="1" xfId="4" applyNumberFormat="1" applyFont="1" applyFill="1" applyBorder="1" applyAlignment="1">
      <alignment horizontal="center"/>
    </xf>
    <xf numFmtId="1" fontId="93" fillId="25" borderId="1" xfId="5" applyNumberFormat="1" applyFont="1" applyFill="1" applyBorder="1" applyAlignment="1">
      <alignment horizontal="center" vertical="center"/>
    </xf>
    <xf numFmtId="1" fontId="92" fillId="0" borderId="1" xfId="0" applyNumberFormat="1" applyFont="1" applyBorder="1"/>
    <xf numFmtId="166" fontId="67" fillId="9" borderId="21" xfId="3" applyNumberFormat="1" applyFont="1" applyFill="1" applyBorder="1" applyAlignment="1">
      <alignment horizontal="left"/>
    </xf>
    <xf numFmtId="0" fontId="67" fillId="7" borderId="1" xfId="4" applyFont="1" applyFill="1" applyBorder="1" applyAlignment="1">
      <alignment horizontal="center"/>
    </xf>
    <xf numFmtId="2" fontId="72" fillId="0" borderId="1" xfId="4" applyNumberFormat="1" applyFont="1" applyBorder="1" applyAlignment="1">
      <alignment horizontal="center"/>
    </xf>
    <xf numFmtId="0" fontId="108" fillId="0" borderId="4" xfId="0" applyFont="1" applyBorder="1" applyAlignment="1">
      <alignment horizontal="center" vertical="top" wrapText="1"/>
    </xf>
    <xf numFmtId="0" fontId="73" fillId="26" borderId="1" xfId="4" applyFont="1" applyFill="1" applyBorder="1" applyAlignment="1">
      <alignment horizontal="center"/>
    </xf>
    <xf numFmtId="0" fontId="67" fillId="26" borderId="1" xfId="4" applyFont="1" applyFill="1" applyBorder="1" applyAlignment="1">
      <alignment horizontal="center"/>
    </xf>
    <xf numFmtId="1" fontId="67" fillId="26" borderId="1" xfId="5" applyNumberFormat="1" applyFont="1" applyFill="1" applyBorder="1" applyAlignment="1">
      <alignment horizontal="center" vertical="center"/>
    </xf>
    <xf numFmtId="0" fontId="61" fillId="0" borderId="1" xfId="3" applyFont="1" applyFill="1" applyBorder="1" applyAlignment="1">
      <alignment horizontal="center" vertical="center"/>
    </xf>
    <xf numFmtId="1" fontId="61" fillId="0" borderId="15" xfId="3" applyNumberFormat="1" applyFont="1" applyFill="1" applyBorder="1" applyAlignment="1">
      <alignment horizontal="center" vertical="center"/>
    </xf>
    <xf numFmtId="10" fontId="61" fillId="0" borderId="1" xfId="3" applyNumberFormat="1" applyFont="1" applyFill="1" applyBorder="1" applyAlignment="1">
      <alignment horizontal="center"/>
    </xf>
    <xf numFmtId="1" fontId="61" fillId="0" borderId="1" xfId="3" applyNumberFormat="1" applyFont="1" applyFill="1" applyBorder="1" applyAlignment="1">
      <alignment horizontal="center"/>
    </xf>
    <xf numFmtId="1" fontId="61" fillId="0" borderId="15" xfId="3" applyNumberFormat="1" applyFont="1" applyFill="1" applyBorder="1" applyAlignment="1">
      <alignment horizontal="center"/>
    </xf>
    <xf numFmtId="2" fontId="61" fillId="0" borderId="1" xfId="3" applyNumberFormat="1" applyFont="1" applyFill="1" applyBorder="1" applyAlignment="1">
      <alignment horizontal="center"/>
    </xf>
    <xf numFmtId="9" fontId="61" fillId="0" borderId="1" xfId="3" applyNumberFormat="1" applyFont="1" applyFill="1" applyBorder="1" applyAlignment="1">
      <alignment horizontal="center"/>
    </xf>
    <xf numFmtId="2" fontId="67" fillId="0" borderId="1" xfId="3" applyNumberFormat="1" applyFont="1" applyFill="1" applyBorder="1" applyAlignment="1">
      <alignment horizontal="center" vertical="center"/>
    </xf>
    <xf numFmtId="164" fontId="67" fillId="0" borderId="1" xfId="3" applyNumberFormat="1" applyFont="1" applyFill="1" applyBorder="1" applyAlignment="1">
      <alignment horizontal="center" wrapText="1" shrinkToFit="1"/>
    </xf>
    <xf numFmtId="164" fontId="67" fillId="0" borderId="15" xfId="3" applyNumberFormat="1" applyFont="1" applyFill="1" applyBorder="1" applyAlignment="1">
      <alignment horizontal="center" wrapText="1" shrinkToFit="1"/>
    </xf>
    <xf numFmtId="0" fontId="67" fillId="0" borderId="1" xfId="3" applyFont="1" applyFill="1" applyBorder="1" applyAlignment="1">
      <alignment horizontal="center" vertical="center"/>
    </xf>
    <xf numFmtId="0" fontId="67" fillId="0" borderId="15" xfId="3" applyFont="1" applyFill="1" applyBorder="1" applyAlignment="1">
      <alignment horizontal="center"/>
    </xf>
    <xf numFmtId="2" fontId="72" fillId="0" borderId="1" xfId="3" applyNumberFormat="1" applyFont="1" applyFill="1" applyBorder="1" applyAlignment="1">
      <alignment horizontal="center"/>
    </xf>
    <xf numFmtId="1" fontId="72" fillId="0" borderId="1" xfId="5" applyNumberFormat="1" applyFont="1" applyFill="1" applyBorder="1" applyAlignment="1">
      <alignment horizontal="center" vertical="center"/>
    </xf>
    <xf numFmtId="0" fontId="72" fillId="0" borderId="1" xfId="3" applyNumberFormat="1" applyFont="1" applyFill="1" applyBorder="1" applyAlignment="1">
      <alignment horizontal="center"/>
    </xf>
    <xf numFmtId="1" fontId="72" fillId="0" borderId="15" xfId="5" applyNumberFormat="1" applyFont="1" applyFill="1" applyBorder="1" applyAlignment="1" applyProtection="1">
      <alignment horizontal="center"/>
    </xf>
    <xf numFmtId="2" fontId="67" fillId="0" borderId="8" xfId="3" applyNumberFormat="1" applyFont="1" applyFill="1" applyBorder="1" applyAlignment="1">
      <alignment horizontal="center"/>
    </xf>
    <xf numFmtId="1" fontId="72" fillId="0" borderId="8" xfId="3" applyNumberFormat="1" applyFont="1" applyFill="1" applyBorder="1" applyAlignment="1">
      <alignment horizontal="center"/>
    </xf>
    <xf numFmtId="1" fontId="72" fillId="0" borderId="8" xfId="5" applyNumberFormat="1" applyFont="1" applyFill="1" applyBorder="1" applyAlignment="1">
      <alignment horizontal="center" vertical="center"/>
    </xf>
    <xf numFmtId="2" fontId="72" fillId="0" borderId="1" xfId="3" applyNumberFormat="1" applyFont="1" applyFill="1" applyBorder="1" applyAlignment="1">
      <alignment horizontal="right"/>
    </xf>
    <xf numFmtId="1" fontId="83" fillId="0" borderId="1" xfId="5" applyNumberFormat="1" applyFont="1" applyFill="1" applyBorder="1" applyAlignment="1">
      <alignment horizontal="center" vertical="center"/>
    </xf>
    <xf numFmtId="0" fontId="67" fillId="0" borderId="1" xfId="3" applyNumberFormat="1" applyFont="1" applyFill="1" applyBorder="1" applyAlignment="1">
      <alignment horizontal="center"/>
    </xf>
    <xf numFmtId="0" fontId="72" fillId="0" borderId="1" xfId="4" applyFont="1" applyFill="1" applyBorder="1"/>
    <xf numFmtId="164" fontId="72" fillId="0" borderId="1" xfId="5" applyNumberFormat="1" applyFont="1" applyFill="1" applyBorder="1" applyAlignment="1">
      <alignment horizontal="center" vertical="center"/>
    </xf>
    <xf numFmtId="1" fontId="72" fillId="0" borderId="1" xfId="5" applyNumberFormat="1" applyFont="1" applyFill="1" applyBorder="1" applyAlignment="1" applyProtection="1">
      <alignment horizontal="center"/>
    </xf>
    <xf numFmtId="0" fontId="74" fillId="0" borderId="1" xfId="4" applyFont="1" applyFill="1" applyBorder="1" applyAlignment="1">
      <alignment horizontal="center"/>
    </xf>
    <xf numFmtId="0" fontId="72" fillId="0" borderId="1" xfId="3" applyFont="1" applyFill="1" applyBorder="1" applyAlignment="1">
      <alignment horizontal="center" vertical="center"/>
    </xf>
    <xf numFmtId="0" fontId="75" fillId="0" borderId="1" xfId="3" applyFont="1" applyFill="1" applyBorder="1" applyAlignment="1">
      <alignment horizontal="center" vertical="center"/>
    </xf>
    <xf numFmtId="1" fontId="67" fillId="0" borderId="15" xfId="3" applyNumberFormat="1" applyFont="1" applyFill="1" applyBorder="1" applyAlignment="1">
      <alignment horizontal="center" vertical="center"/>
    </xf>
    <xf numFmtId="2" fontId="76" fillId="0" borderId="1" xfId="3" applyNumberFormat="1" applyFont="1" applyFill="1" applyBorder="1" applyAlignment="1">
      <alignment horizontal="center"/>
    </xf>
    <xf numFmtId="164" fontId="72" fillId="0" borderId="1" xfId="3" applyNumberFormat="1" applyFont="1" applyFill="1" applyBorder="1" applyAlignment="1">
      <alignment horizontal="center"/>
    </xf>
    <xf numFmtId="1" fontId="75" fillId="0" borderId="1" xfId="3" applyNumberFormat="1" applyFont="1" applyFill="1" applyBorder="1" applyAlignment="1">
      <alignment horizontal="center"/>
    </xf>
    <xf numFmtId="1" fontId="67" fillId="0" borderId="1" xfId="9" applyNumberFormat="1" applyFont="1" applyFill="1" applyBorder="1" applyAlignment="1">
      <alignment horizontal="center"/>
    </xf>
    <xf numFmtId="2" fontId="67" fillId="0" borderId="1" xfId="9" applyNumberFormat="1" applyFont="1" applyFill="1" applyBorder="1" applyAlignment="1">
      <alignment horizontal="center"/>
    </xf>
    <xf numFmtId="168" fontId="72" fillId="0" borderId="1" xfId="5" applyNumberFormat="1" applyFont="1" applyFill="1" applyBorder="1" applyAlignment="1" applyProtection="1">
      <alignment horizontal="center" vertical="center"/>
    </xf>
    <xf numFmtId="164" fontId="75" fillId="0" borderId="1" xfId="5" applyNumberFormat="1" applyFont="1" applyFill="1" applyBorder="1" applyAlignment="1" applyProtection="1">
      <alignment horizontal="center"/>
    </xf>
    <xf numFmtId="2" fontId="75" fillId="0" borderId="1" xfId="3" applyNumberFormat="1" applyFont="1" applyFill="1" applyBorder="1" applyAlignment="1">
      <alignment horizontal="right"/>
    </xf>
    <xf numFmtId="0" fontId="74" fillId="0" borderId="1" xfId="3" applyFont="1" applyFill="1" applyBorder="1" applyAlignment="1">
      <alignment horizontal="center"/>
    </xf>
    <xf numFmtId="169" fontId="74" fillId="0" borderId="1" xfId="5" applyNumberFormat="1" applyFont="1" applyFill="1" applyBorder="1" applyAlignment="1" applyProtection="1">
      <alignment horizontal="center" vertical="center"/>
    </xf>
    <xf numFmtId="1" fontId="74" fillId="0" borderId="1" xfId="3" applyNumberFormat="1" applyFont="1" applyFill="1" applyBorder="1" applyAlignment="1">
      <alignment horizontal="center" vertical="top"/>
    </xf>
    <xf numFmtId="0" fontId="67" fillId="0" borderId="1" xfId="3" applyFont="1" applyFill="1" applyBorder="1" applyAlignment="1">
      <alignment vertical="center"/>
    </xf>
    <xf numFmtId="0" fontId="67" fillId="0" borderId="1" xfId="3" applyFont="1" applyFill="1" applyBorder="1" applyAlignment="1"/>
    <xf numFmtId="0" fontId="67" fillId="0" borderId="15" xfId="3" applyFont="1" applyFill="1" applyBorder="1" applyAlignment="1"/>
    <xf numFmtId="164" fontId="67" fillId="0" borderId="1" xfId="5" applyNumberFormat="1" applyFont="1" applyFill="1" applyBorder="1" applyAlignment="1" applyProtection="1">
      <alignment horizontal="center" vertical="center"/>
    </xf>
    <xf numFmtId="164" fontId="67" fillId="0" borderId="1" xfId="5" applyNumberFormat="1" applyFont="1" applyFill="1" applyBorder="1" applyAlignment="1" applyProtection="1">
      <alignment horizontal="center" vertical="top"/>
    </xf>
    <xf numFmtId="0" fontId="67" fillId="0" borderId="1" xfId="4" applyFont="1" applyFill="1" applyBorder="1" applyAlignment="1"/>
    <xf numFmtId="0" fontId="67" fillId="0" borderId="15" xfId="4" applyFont="1" applyFill="1" applyBorder="1" applyAlignment="1"/>
    <xf numFmtId="43" fontId="67" fillId="0" borderId="1" xfId="7" applyFont="1" applyFill="1" applyBorder="1" applyAlignment="1">
      <alignment horizontal="right" wrapText="1"/>
    </xf>
    <xf numFmtId="0" fontId="67" fillId="0" borderId="24" xfId="4" applyFont="1" applyFill="1" applyBorder="1" applyAlignment="1">
      <alignment horizontal="center" vertical="center"/>
    </xf>
    <xf numFmtId="1" fontId="67" fillId="0" borderId="24" xfId="5" applyNumberFormat="1" applyFont="1" applyFill="1" applyBorder="1" applyAlignment="1">
      <alignment horizontal="center" vertical="center"/>
    </xf>
    <xf numFmtId="1" fontId="67" fillId="0" borderId="24" xfId="3" applyNumberFormat="1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center" vertical="center"/>
    </xf>
    <xf numFmtId="1" fontId="67" fillId="0" borderId="30" xfId="5" applyNumberFormat="1" applyFont="1" applyFill="1" applyBorder="1" applyAlignment="1" applyProtection="1">
      <alignment horizontal="center" vertical="center"/>
    </xf>
    <xf numFmtId="0" fontId="72" fillId="0" borderId="0" xfId="0" applyFont="1" applyFill="1" applyBorder="1"/>
    <xf numFmtId="0" fontId="67" fillId="0" borderId="0" xfId="0" applyFont="1" applyFill="1" applyBorder="1"/>
    <xf numFmtId="1" fontId="72" fillId="0" borderId="0" xfId="0" applyNumberFormat="1" applyFont="1" applyFill="1" applyBorder="1" applyAlignment="1">
      <alignment horizontal="center"/>
    </xf>
    <xf numFmtId="1" fontId="72" fillId="0" borderId="34" xfId="0" applyNumberFormat="1" applyFont="1" applyFill="1" applyBorder="1"/>
    <xf numFmtId="0" fontId="72" fillId="0" borderId="15" xfId="3" applyFont="1" applyFill="1" applyBorder="1" applyAlignment="1">
      <alignment horizontal="center"/>
    </xf>
    <xf numFmtId="1" fontId="67" fillId="0" borderId="1" xfId="5" applyNumberFormat="1" applyFont="1" applyFill="1" applyBorder="1" applyAlignment="1">
      <alignment horizontal="center"/>
    </xf>
    <xf numFmtId="1" fontId="67" fillId="0" borderId="15" xfId="5" applyNumberFormat="1" applyFont="1" applyFill="1" applyBorder="1" applyAlignment="1">
      <alignment horizontal="center"/>
    </xf>
    <xf numFmtId="9" fontId="67" fillId="0" borderId="1" xfId="6" applyNumberFormat="1" applyFont="1" applyFill="1" applyBorder="1" applyAlignment="1">
      <alignment horizontal="center"/>
    </xf>
    <xf numFmtId="1" fontId="67" fillId="0" borderId="1" xfId="5" applyNumberFormat="1" applyFont="1" applyFill="1" applyBorder="1" applyAlignment="1">
      <alignment horizontal="right"/>
    </xf>
    <xf numFmtId="2" fontId="67" fillId="0" borderId="7" xfId="3" applyNumberFormat="1" applyFont="1" applyFill="1" applyBorder="1" applyAlignment="1">
      <alignment horizontal="center"/>
    </xf>
    <xf numFmtId="9" fontId="67" fillId="0" borderId="7" xfId="6" applyNumberFormat="1" applyFont="1" applyFill="1" applyBorder="1" applyAlignment="1">
      <alignment horizontal="center"/>
    </xf>
    <xf numFmtId="2" fontId="67" fillId="0" borderId="7" xfId="3" applyNumberFormat="1" applyFont="1" applyFill="1" applyBorder="1" applyAlignment="1">
      <alignment horizontal="right"/>
    </xf>
    <xf numFmtId="1" fontId="67" fillId="0" borderId="23" xfId="5" applyNumberFormat="1" applyFont="1" applyFill="1" applyBorder="1" applyAlignment="1" applyProtection="1">
      <alignment horizontal="center"/>
    </xf>
    <xf numFmtId="0" fontId="77" fillId="0" borderId="0" xfId="0" applyFont="1" applyFill="1"/>
    <xf numFmtId="0" fontId="82" fillId="0" borderId="0" xfId="0" applyFont="1" applyFill="1"/>
    <xf numFmtId="1" fontId="77" fillId="0" borderId="0" xfId="0" applyNumberFormat="1" applyFont="1" applyFill="1" applyAlignment="1">
      <alignment horizontal="center"/>
    </xf>
    <xf numFmtId="1" fontId="77" fillId="0" borderId="0" xfId="0" applyNumberFormat="1" applyFont="1" applyFill="1"/>
    <xf numFmtId="0" fontId="72" fillId="0" borderId="0" xfId="0" applyFont="1" applyFill="1"/>
    <xf numFmtId="0" fontId="67" fillId="0" borderId="0" xfId="0" applyFont="1" applyFill="1"/>
    <xf numFmtId="1" fontId="72" fillId="0" borderId="0" xfId="0" applyNumberFormat="1" applyFont="1" applyFill="1" applyAlignment="1">
      <alignment horizontal="center"/>
    </xf>
    <xf numFmtId="1" fontId="72" fillId="0" borderId="0" xfId="0" applyNumberFormat="1" applyFont="1" applyFill="1"/>
    <xf numFmtId="1" fontId="131" fillId="2" borderId="21" xfId="1" applyNumberFormat="1" applyFont="1" applyFill="1" applyBorder="1" applyAlignment="1">
      <alignment vertical="center" wrapText="1"/>
    </xf>
    <xf numFmtId="1" fontId="132" fillId="0" borderId="1" xfId="0" applyNumberFormat="1" applyFont="1" applyBorder="1" applyAlignment="1">
      <alignment horizontal="center" wrapText="1"/>
    </xf>
    <xf numFmtId="0" fontId="93" fillId="12" borderId="1" xfId="4" applyFont="1" applyFill="1" applyBorder="1" applyAlignment="1">
      <alignment horizontal="center" vertical="center"/>
    </xf>
    <xf numFmtId="2" fontId="93" fillId="0" borderId="1" xfId="3" applyNumberFormat="1" applyFont="1" applyFill="1" applyBorder="1" applyAlignment="1">
      <alignment horizontal="center"/>
    </xf>
    <xf numFmtId="0" fontId="93" fillId="0" borderId="1" xfId="4" applyFont="1" applyFill="1" applyBorder="1" applyAlignment="1">
      <alignment horizontal="center" vertical="center"/>
    </xf>
    <xf numFmtId="0" fontId="18" fillId="0" borderId="24" xfId="0" applyNumberFormat="1" applyFont="1" applyBorder="1" applyAlignment="1">
      <alignment horizontal="center" wrapText="1"/>
    </xf>
    <xf numFmtId="0" fontId="107" fillId="0" borderId="0" xfId="0" applyNumberFormat="1" applyFont="1"/>
    <xf numFmtId="1" fontId="18" fillId="0" borderId="24" xfId="0" applyNumberFormat="1" applyFont="1" applyBorder="1" applyAlignment="1">
      <alignment horizontal="center" wrapText="1"/>
    </xf>
    <xf numFmtId="1" fontId="56" fillId="2" borderId="21" xfId="1" applyNumberFormat="1" applyFont="1" applyFill="1" applyBorder="1" applyAlignment="1">
      <alignment vertical="center" wrapText="1"/>
    </xf>
    <xf numFmtId="0" fontId="72" fillId="12" borderId="1" xfId="0" applyFont="1" applyFill="1" applyBorder="1" applyAlignment="1">
      <alignment horizontal="center"/>
    </xf>
    <xf numFmtId="1" fontId="67" fillId="21" borderId="1" xfId="3" applyNumberFormat="1" applyFont="1" applyFill="1" applyBorder="1" applyAlignment="1">
      <alignment horizontal="center"/>
    </xf>
    <xf numFmtId="0" fontId="67" fillId="21" borderId="1" xfId="3" applyNumberFormat="1" applyFont="1" applyFill="1" applyBorder="1" applyAlignment="1">
      <alignment horizontal="center"/>
    </xf>
    <xf numFmtId="1" fontId="67" fillId="21" borderId="15" xfId="5" applyNumberFormat="1" applyFont="1" applyFill="1" applyBorder="1" applyAlignment="1" applyProtection="1">
      <alignment horizontal="center"/>
    </xf>
    <xf numFmtId="0" fontId="72" fillId="12" borderId="1" xfId="3" applyFont="1" applyFill="1" applyBorder="1" applyAlignment="1">
      <alignment horizontal="center"/>
    </xf>
    <xf numFmtId="175" fontId="72" fillId="0" borderId="0" xfId="0" applyNumberFormat="1" applyFont="1" applyAlignment="1">
      <alignment horizontal="center"/>
    </xf>
    <xf numFmtId="175" fontId="72" fillId="2" borderId="1" xfId="5" applyNumberFormat="1" applyFont="1" applyFill="1" applyBorder="1" applyAlignment="1">
      <alignment horizontal="center" vertical="center"/>
    </xf>
    <xf numFmtId="175" fontId="72" fillId="0" borderId="1" xfId="5" applyNumberFormat="1" applyFont="1" applyFill="1" applyBorder="1" applyAlignment="1">
      <alignment horizontal="center" vertical="center"/>
    </xf>
    <xf numFmtId="0" fontId="101" fillId="12" borderId="21" xfId="4" applyFont="1" applyFill="1" applyBorder="1"/>
    <xf numFmtId="0" fontId="101" fillId="12" borderId="1" xfId="0" applyFont="1" applyFill="1" applyBorder="1"/>
    <xf numFmtId="0" fontId="93" fillId="12" borderId="1" xfId="4" applyFont="1" applyFill="1" applyBorder="1"/>
    <xf numFmtId="1" fontId="93" fillId="12" borderId="15" xfId="5" applyNumberFormat="1" applyFont="1" applyFill="1" applyBorder="1" applyAlignment="1" applyProtection="1">
      <alignment horizontal="center"/>
    </xf>
    <xf numFmtId="164" fontId="95" fillId="12" borderId="0" xfId="5" applyNumberFormat="1" applyFont="1" applyFill="1" applyBorder="1" applyAlignment="1" applyProtection="1">
      <alignment horizontal="center"/>
    </xf>
    <xf numFmtId="0" fontId="97" fillId="12" borderId="0" xfId="0" applyFont="1" applyFill="1" applyBorder="1"/>
    <xf numFmtId="0" fontId="97" fillId="12" borderId="0" xfId="0" applyFont="1" applyFill="1"/>
    <xf numFmtId="1" fontId="97" fillId="12" borderId="0" xfId="0" applyNumberFormat="1" applyFont="1" applyFill="1"/>
    <xf numFmtId="1" fontId="92" fillId="12" borderId="0" xfId="0" applyNumberFormat="1" applyFont="1" applyFill="1"/>
    <xf numFmtId="0" fontId="93" fillId="0" borderId="1" xfId="3" applyFont="1" applyFill="1" applyBorder="1" applyAlignment="1">
      <alignment horizontal="center" vertical="center"/>
    </xf>
    <xf numFmtId="2" fontId="93" fillId="0" borderId="1" xfId="3" applyNumberFormat="1" applyFont="1" applyFill="1" applyBorder="1" applyAlignment="1">
      <alignment horizontal="center" vertical="center"/>
    </xf>
    <xf numFmtId="2" fontId="93" fillId="0" borderId="8" xfId="3" applyNumberFormat="1" applyFont="1" applyFill="1" applyBorder="1" applyAlignment="1">
      <alignment horizontal="center"/>
    </xf>
    <xf numFmtId="0" fontId="93" fillId="0" borderId="1" xfId="4" applyFont="1" applyFill="1" applyBorder="1" applyAlignment="1">
      <alignment horizontal="center"/>
    </xf>
    <xf numFmtId="0" fontId="100" fillId="0" borderId="1" xfId="3" applyFont="1" applyFill="1" applyBorder="1" applyAlignment="1">
      <alignment horizontal="center"/>
    </xf>
    <xf numFmtId="0" fontId="100" fillId="0" borderId="1" xfId="4" applyFont="1" applyFill="1" applyBorder="1" applyAlignment="1">
      <alignment horizontal="center"/>
    </xf>
    <xf numFmtId="2" fontId="103" fillId="0" borderId="1" xfId="3" applyNumberFormat="1" applyFont="1" applyFill="1" applyBorder="1" applyAlignment="1">
      <alignment horizontal="center"/>
    </xf>
    <xf numFmtId="2" fontId="93" fillId="0" borderId="1" xfId="9" applyNumberFormat="1" applyFont="1" applyFill="1" applyBorder="1" applyAlignment="1">
      <alignment horizontal="center"/>
    </xf>
    <xf numFmtId="0" fontId="93" fillId="0" borderId="1" xfId="3" applyFont="1" applyFill="1" applyBorder="1" applyAlignment="1">
      <alignment vertical="center"/>
    </xf>
    <xf numFmtId="1" fontId="93" fillId="0" borderId="1" xfId="3" applyNumberFormat="1" applyFont="1" applyFill="1" applyBorder="1" applyAlignment="1">
      <alignment horizontal="center" vertical="center"/>
    </xf>
    <xf numFmtId="0" fontId="93" fillId="0" borderId="1" xfId="4" applyFont="1" applyFill="1" applyBorder="1" applyAlignment="1"/>
    <xf numFmtId="0" fontId="99" fillId="0" borderId="24" xfId="4" applyFont="1" applyFill="1" applyBorder="1" applyAlignment="1">
      <alignment horizontal="center" vertical="center"/>
    </xf>
    <xf numFmtId="0" fontId="98" fillId="0" borderId="0" xfId="0" applyFont="1" applyFill="1" applyBorder="1"/>
    <xf numFmtId="2" fontId="93" fillId="0" borderId="7" xfId="3" applyNumberFormat="1" applyFont="1" applyFill="1" applyBorder="1" applyAlignment="1">
      <alignment horizontal="center"/>
    </xf>
    <xf numFmtId="0" fontId="89" fillId="0" borderId="0" xfId="0" applyFont="1" applyFill="1"/>
    <xf numFmtId="1" fontId="93" fillId="0" borderId="1" xfId="0" applyNumberFormat="1" applyFont="1" applyFill="1" applyBorder="1" applyAlignment="1">
      <alignment horizontal="center"/>
    </xf>
    <xf numFmtId="0" fontId="98" fillId="0" borderId="0" xfId="0" applyFont="1" applyFill="1"/>
    <xf numFmtId="1" fontId="1" fillId="0" borderId="0" xfId="17" applyNumberFormat="1" applyFont="1" applyAlignment="1">
      <alignment horizontal="center"/>
    </xf>
    <xf numFmtId="0" fontId="18" fillId="0" borderId="0" xfId="0" applyNumberFormat="1" applyFont="1" applyBorder="1" applyAlignment="1">
      <alignment horizontal="center" wrapText="1"/>
    </xf>
    <xf numFmtId="16" fontId="6" fillId="2" borderId="0" xfId="1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107" fillId="16" borderId="5" xfId="0" applyFont="1" applyFill="1" applyBorder="1" applyAlignment="1">
      <alignment horizontal="center"/>
    </xf>
    <xf numFmtId="0" fontId="107" fillId="17" borderId="5" xfId="0" applyFont="1" applyFill="1" applyBorder="1" applyAlignment="1">
      <alignment horizontal="center"/>
    </xf>
    <xf numFmtId="0" fontId="107" fillId="19" borderId="5" xfId="0" applyFont="1" applyFill="1" applyBorder="1" applyAlignment="1">
      <alignment horizontal="center"/>
    </xf>
    <xf numFmtId="0" fontId="2" fillId="0" borderId="19" xfId="1" applyFont="1" applyFill="1" applyBorder="1" applyAlignment="1">
      <alignment horizontal="center" vertical="center" wrapText="1"/>
    </xf>
    <xf numFmtId="0" fontId="107" fillId="17" borderId="3" xfId="0" applyFont="1" applyFill="1" applyBorder="1" applyAlignment="1">
      <alignment horizontal="center"/>
    </xf>
    <xf numFmtId="0" fontId="107" fillId="16" borderId="3" xfId="0" applyFont="1" applyFill="1" applyBorder="1" applyAlignment="1">
      <alignment horizontal="center"/>
    </xf>
    <xf numFmtId="0" fontId="61" fillId="0" borderId="1" xfId="4" applyFont="1" applyBorder="1" applyAlignment="1">
      <alignment horizontal="left"/>
    </xf>
    <xf numFmtId="0" fontId="65" fillId="0" borderId="16" xfId="4" applyFont="1" applyBorder="1" applyAlignment="1">
      <alignment horizontal="left"/>
    </xf>
    <xf numFmtId="0" fontId="65" fillId="0" borderId="3" xfId="4" applyFont="1" applyBorder="1" applyAlignment="1">
      <alignment horizontal="left"/>
    </xf>
    <xf numFmtId="0" fontId="65" fillId="0" borderId="4" xfId="4" applyFont="1" applyBorder="1" applyAlignment="1">
      <alignment horizontal="left"/>
    </xf>
    <xf numFmtId="0" fontId="61" fillId="0" borderId="16" xfId="4" applyFont="1" applyBorder="1" applyAlignment="1">
      <alignment horizontal="left"/>
    </xf>
    <xf numFmtId="0" fontId="61" fillId="0" borderId="3" xfId="4" applyFont="1" applyBorder="1" applyAlignment="1">
      <alignment horizontal="left"/>
    </xf>
    <xf numFmtId="0" fontId="61" fillId="0" borderId="4" xfId="4" applyFont="1" applyBorder="1" applyAlignment="1">
      <alignment horizontal="left"/>
    </xf>
    <xf numFmtId="0" fontId="54" fillId="15" borderId="16" xfId="4" applyFont="1" applyFill="1" applyBorder="1" applyAlignment="1">
      <alignment horizontal="left"/>
    </xf>
    <xf numFmtId="0" fontId="54" fillId="15" borderId="3" xfId="4" applyFont="1" applyFill="1" applyBorder="1" applyAlignment="1">
      <alignment horizontal="left"/>
    </xf>
    <xf numFmtId="0" fontId="54" fillId="15" borderId="28" xfId="4" applyFont="1" applyFill="1" applyBorder="1" applyAlignment="1">
      <alignment horizontal="left"/>
    </xf>
    <xf numFmtId="0" fontId="61" fillId="2" borderId="16" xfId="4" applyFont="1" applyFill="1" applyBorder="1" applyAlignment="1">
      <alignment horizontal="left"/>
    </xf>
    <xf numFmtId="0" fontId="61" fillId="2" borderId="3" xfId="4" applyFont="1" applyFill="1" applyBorder="1" applyAlignment="1">
      <alignment horizontal="left"/>
    </xf>
    <xf numFmtId="0" fontId="61" fillId="2" borderId="4" xfId="4" applyFont="1" applyFill="1" applyBorder="1" applyAlignment="1">
      <alignment horizontal="left"/>
    </xf>
    <xf numFmtId="0" fontId="66" fillId="0" borderId="16" xfId="0" applyFont="1" applyFill="1" applyBorder="1" applyAlignment="1">
      <alignment horizontal="left"/>
    </xf>
    <xf numFmtId="0" fontId="66" fillId="0" borderId="4" xfId="0" applyFont="1" applyFill="1" applyBorder="1" applyAlignment="1">
      <alignment horizontal="left"/>
    </xf>
    <xf numFmtId="0" fontId="66" fillId="0" borderId="16" xfId="0" applyFont="1" applyBorder="1" applyAlignment="1">
      <alignment horizontal="left"/>
    </xf>
    <xf numFmtId="0" fontId="66" fillId="0" borderId="4" xfId="0" applyFont="1" applyBorder="1" applyAlignment="1">
      <alignment horizontal="left"/>
    </xf>
    <xf numFmtId="0" fontId="69" fillId="0" borderId="16" xfId="0" applyFont="1" applyBorder="1" applyAlignment="1">
      <alignment horizontal="left"/>
    </xf>
    <xf numFmtId="0" fontId="69" fillId="0" borderId="4" xfId="0" applyFont="1" applyBorder="1" applyAlignment="1">
      <alignment horizontal="left"/>
    </xf>
    <xf numFmtId="0" fontId="69" fillId="18" borderId="16" xfId="0" applyFont="1" applyFill="1" applyBorder="1" applyAlignment="1">
      <alignment horizontal="left"/>
    </xf>
    <xf numFmtId="0" fontId="69" fillId="18" borderId="4" xfId="0" applyFont="1" applyFill="1" applyBorder="1" applyAlignment="1">
      <alignment horizontal="left"/>
    </xf>
    <xf numFmtId="0" fontId="66" fillId="18" borderId="16" xfId="0" applyFont="1" applyFill="1" applyBorder="1" applyAlignment="1">
      <alignment horizontal="left"/>
    </xf>
    <xf numFmtId="0" fontId="66" fillId="18" borderId="4" xfId="0" applyFont="1" applyFill="1" applyBorder="1" applyAlignment="1">
      <alignment horizontal="left"/>
    </xf>
    <xf numFmtId="0" fontId="69" fillId="17" borderId="16" xfId="0" applyFont="1" applyFill="1" applyBorder="1" applyAlignment="1">
      <alignment horizontal="left"/>
    </xf>
    <xf numFmtId="0" fontId="69" fillId="17" borderId="4" xfId="0" applyFont="1" applyFill="1" applyBorder="1" applyAlignment="1">
      <alignment horizontal="left"/>
    </xf>
    <xf numFmtId="0" fontId="61" fillId="8" borderId="16" xfId="3" applyFont="1" applyFill="1" applyBorder="1" applyAlignment="1">
      <alignment horizontal="left"/>
    </xf>
    <xf numFmtId="0" fontId="61" fillId="8" borderId="3" xfId="3" applyFont="1" applyFill="1" applyBorder="1" applyAlignment="1">
      <alignment horizontal="left"/>
    </xf>
    <xf numFmtId="0" fontId="61" fillId="8" borderId="4" xfId="3" applyFont="1" applyFill="1" applyBorder="1" applyAlignment="1">
      <alignment horizontal="left"/>
    </xf>
    <xf numFmtId="0" fontId="61" fillId="8" borderId="26" xfId="3" applyFont="1" applyFill="1" applyBorder="1" applyAlignment="1">
      <alignment horizontal="left"/>
    </xf>
    <xf numFmtId="0" fontId="61" fillId="8" borderId="10" xfId="3" applyFont="1" applyFill="1" applyBorder="1" applyAlignment="1">
      <alignment horizontal="left"/>
    </xf>
    <xf numFmtId="0" fontId="61" fillId="8" borderId="11" xfId="3" applyFont="1" applyFill="1" applyBorder="1" applyAlignment="1">
      <alignment horizontal="left"/>
    </xf>
    <xf numFmtId="0" fontId="60" fillId="15" borderId="16" xfId="3" applyFont="1" applyFill="1" applyBorder="1" applyAlignment="1">
      <alignment horizontal="center"/>
    </xf>
    <xf numFmtId="0" fontId="60" fillId="15" borderId="4" xfId="3" applyFont="1" applyFill="1" applyBorder="1" applyAlignment="1">
      <alignment horizontal="center"/>
    </xf>
    <xf numFmtId="0" fontId="80" fillId="8" borderId="19" xfId="3" applyFont="1" applyFill="1" applyBorder="1" applyAlignment="1">
      <alignment horizontal="center"/>
    </xf>
    <xf numFmtId="0" fontId="80" fillId="8" borderId="14" xfId="3" applyFont="1" applyFill="1" applyBorder="1" applyAlignment="1">
      <alignment horizontal="center"/>
    </xf>
    <xf numFmtId="0" fontId="80" fillId="8" borderId="20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78" fillId="15" borderId="16" xfId="3" applyFont="1" applyFill="1" applyBorder="1" applyAlignment="1">
      <alignment horizontal="center"/>
    </xf>
    <xf numFmtId="0" fontId="78" fillId="15" borderId="3" xfId="3" applyFont="1" applyFill="1" applyBorder="1" applyAlignment="1">
      <alignment horizontal="center"/>
    </xf>
    <xf numFmtId="0" fontId="78" fillId="15" borderId="4" xfId="3" applyFont="1" applyFill="1" applyBorder="1" applyAlignment="1">
      <alignment horizontal="center"/>
    </xf>
    <xf numFmtId="0" fontId="61" fillId="9" borderId="2" xfId="3" applyFont="1" applyFill="1" applyBorder="1" applyAlignment="1">
      <alignment horizontal="center"/>
    </xf>
    <xf numFmtId="0" fontId="61" fillId="9" borderId="4" xfId="3" applyFont="1" applyFill="1" applyBorder="1" applyAlignment="1">
      <alignment horizontal="center"/>
    </xf>
    <xf numFmtId="0" fontId="79" fillId="15" borderId="16" xfId="3" applyFont="1" applyFill="1" applyBorder="1" applyAlignment="1">
      <alignment horizontal="center" vertical="center"/>
    </xf>
    <xf numFmtId="0" fontId="79" fillId="15" borderId="3" xfId="3" applyFont="1" applyFill="1" applyBorder="1" applyAlignment="1">
      <alignment horizontal="center" vertical="center"/>
    </xf>
    <xf numFmtId="0" fontId="79" fillId="15" borderId="4" xfId="3" applyFont="1" applyFill="1" applyBorder="1" applyAlignment="1">
      <alignment horizontal="center" vertical="center"/>
    </xf>
    <xf numFmtId="0" fontId="50" fillId="2" borderId="16" xfId="3" applyFont="1" applyFill="1" applyBorder="1" applyAlignment="1">
      <alignment horizontal="center" vertical="justify"/>
    </xf>
    <xf numFmtId="0" fontId="50" fillId="2" borderId="3" xfId="3" applyFont="1" applyFill="1" applyBorder="1" applyAlignment="1">
      <alignment horizontal="center" vertical="justify"/>
    </xf>
    <xf numFmtId="0" fontId="50" fillId="2" borderId="28" xfId="3" applyFont="1" applyFill="1" applyBorder="1" applyAlignment="1">
      <alignment horizontal="center" vertical="justify"/>
    </xf>
    <xf numFmtId="0" fontId="60" fillId="15" borderId="16" xfId="3" applyFont="1" applyFill="1" applyBorder="1" applyAlignment="1">
      <alignment horizontal="left"/>
    </xf>
    <xf numFmtId="0" fontId="60" fillId="15" borderId="3" xfId="3" applyFont="1" applyFill="1" applyBorder="1" applyAlignment="1">
      <alignment horizontal="left"/>
    </xf>
    <xf numFmtId="0" fontId="60" fillId="15" borderId="4" xfId="3" applyFont="1" applyFill="1" applyBorder="1" applyAlignment="1">
      <alignment horizontal="left"/>
    </xf>
    <xf numFmtId="0" fontId="60" fillId="16" borderId="16" xfId="3" applyFont="1" applyFill="1" applyBorder="1" applyAlignment="1">
      <alignment horizontal="left"/>
    </xf>
    <xf numFmtId="0" fontId="60" fillId="16" borderId="3" xfId="3" applyFont="1" applyFill="1" applyBorder="1" applyAlignment="1">
      <alignment horizontal="left"/>
    </xf>
    <xf numFmtId="0" fontId="60" fillId="16" borderId="4" xfId="3" applyFont="1" applyFill="1" applyBorder="1" applyAlignment="1">
      <alignment horizontal="left"/>
    </xf>
    <xf numFmtId="0" fontId="61" fillId="17" borderId="27" xfId="0" applyFont="1" applyFill="1" applyBorder="1" applyAlignment="1">
      <alignment horizontal="center"/>
    </xf>
    <xf numFmtId="0" fontId="61" fillId="17" borderId="5" xfId="0" applyFont="1" applyFill="1" applyBorder="1" applyAlignment="1">
      <alignment horizontal="center"/>
    </xf>
    <xf numFmtId="0" fontId="69" fillId="0" borderId="3" xfId="0" applyFont="1" applyBorder="1" applyAlignment="1">
      <alignment horizontal="left"/>
    </xf>
    <xf numFmtId="0" fontId="106" fillId="0" borderId="2" xfId="0" applyFont="1" applyBorder="1" applyAlignment="1">
      <alignment horizontal="center"/>
    </xf>
    <xf numFmtId="0" fontId="106" fillId="0" borderId="3" xfId="0" applyFont="1" applyBorder="1" applyAlignment="1">
      <alignment horizontal="center"/>
    </xf>
    <xf numFmtId="0" fontId="106" fillId="0" borderId="4" xfId="0" applyFont="1" applyBorder="1" applyAlignment="1">
      <alignment horizontal="center"/>
    </xf>
    <xf numFmtId="0" fontId="66" fillId="17" borderId="16" xfId="0" applyFont="1" applyFill="1" applyBorder="1" applyAlignment="1">
      <alignment horizontal="left"/>
    </xf>
    <xf numFmtId="0" fontId="66" fillId="17" borderId="4" xfId="0" applyFont="1" applyFill="1" applyBorder="1" applyAlignment="1">
      <alignment horizontal="left"/>
    </xf>
    <xf numFmtId="0" fontId="66" fillId="0" borderId="3" xfId="0" applyFont="1" applyBorder="1" applyAlignment="1">
      <alignment horizontal="left"/>
    </xf>
    <xf numFmtId="0" fontId="66" fillId="8" borderId="16" xfId="3" applyFont="1" applyFill="1" applyBorder="1" applyAlignment="1">
      <alignment horizontal="left"/>
    </xf>
    <xf numFmtId="0" fontId="66" fillId="8" borderId="3" xfId="3" applyFont="1" applyFill="1" applyBorder="1" applyAlignment="1">
      <alignment horizontal="left"/>
    </xf>
    <xf numFmtId="0" fontId="66" fillId="8" borderId="4" xfId="3" applyFont="1" applyFill="1" applyBorder="1" applyAlignment="1">
      <alignment horizontal="left"/>
    </xf>
    <xf numFmtId="0" fontId="61" fillId="0" borderId="2" xfId="3" applyFont="1" applyFill="1" applyBorder="1" applyAlignment="1">
      <alignment horizontal="center"/>
    </xf>
    <xf numFmtId="0" fontId="61" fillId="0" borderId="4" xfId="3" applyFont="1" applyFill="1" applyBorder="1" applyAlignment="1">
      <alignment horizontal="center"/>
    </xf>
    <xf numFmtId="0" fontId="61" fillId="2" borderId="1" xfId="4" applyFont="1" applyFill="1" applyBorder="1" applyAlignment="1">
      <alignment horizontal="left"/>
    </xf>
    <xf numFmtId="0" fontId="65" fillId="2" borderId="16" xfId="4" applyFont="1" applyFill="1" applyBorder="1" applyAlignment="1">
      <alignment horizontal="left"/>
    </xf>
    <xf numFmtId="0" fontId="65" fillId="2" borderId="3" xfId="4" applyFont="1" applyFill="1" applyBorder="1" applyAlignment="1">
      <alignment horizontal="left"/>
    </xf>
    <xf numFmtId="0" fontId="65" fillId="2" borderId="4" xfId="4" applyFont="1" applyFill="1" applyBorder="1" applyAlignment="1">
      <alignment horizontal="left"/>
    </xf>
    <xf numFmtId="0" fontId="65" fillId="12" borderId="16" xfId="4" applyFont="1" applyFill="1" applyBorder="1" applyAlignment="1">
      <alignment horizontal="left"/>
    </xf>
    <xf numFmtId="0" fontId="65" fillId="12" borderId="3" xfId="4" applyFont="1" applyFill="1" applyBorder="1" applyAlignment="1">
      <alignment horizontal="left"/>
    </xf>
    <xf numFmtId="0" fontId="65" fillId="12" borderId="4" xfId="4" applyFont="1" applyFill="1" applyBorder="1" applyAlignment="1">
      <alignment horizontal="left"/>
    </xf>
    <xf numFmtId="0" fontId="65" fillId="0" borderId="16" xfId="4" applyFont="1" applyFill="1" applyBorder="1" applyAlignment="1">
      <alignment horizontal="left"/>
    </xf>
    <xf numFmtId="0" fontId="65" fillId="0" borderId="3" xfId="4" applyFont="1" applyFill="1" applyBorder="1" applyAlignment="1">
      <alignment horizontal="left"/>
    </xf>
    <xf numFmtId="0" fontId="65" fillId="0" borderId="4" xfId="4" applyFont="1" applyFill="1" applyBorder="1" applyAlignment="1">
      <alignment horizontal="left"/>
    </xf>
    <xf numFmtId="0" fontId="61" fillId="12" borderId="16" xfId="4" applyFont="1" applyFill="1" applyBorder="1" applyAlignment="1">
      <alignment horizontal="left"/>
    </xf>
    <xf numFmtId="0" fontId="61" fillId="12" borderId="3" xfId="4" applyFont="1" applyFill="1" applyBorder="1" applyAlignment="1">
      <alignment horizontal="left"/>
    </xf>
    <xf numFmtId="0" fontId="61" fillId="12" borderId="4" xfId="4" applyFont="1" applyFill="1" applyBorder="1" applyAlignment="1">
      <alignment horizontal="left"/>
    </xf>
    <xf numFmtId="0" fontId="93" fillId="0" borderId="1" xfId="4" applyFont="1" applyBorder="1" applyAlignment="1">
      <alignment horizontal="left"/>
    </xf>
    <xf numFmtId="0" fontId="98" fillId="0" borderId="16" xfId="0" applyFont="1" applyFill="1" applyBorder="1" applyAlignment="1">
      <alignment horizontal="left"/>
    </xf>
    <xf numFmtId="0" fontId="98" fillId="0" borderId="4" xfId="0" applyFont="1" applyFill="1" applyBorder="1" applyAlignment="1">
      <alignment horizontal="left"/>
    </xf>
    <xf numFmtId="0" fontId="98" fillId="0" borderId="16" xfId="0" applyFont="1" applyBorder="1" applyAlignment="1">
      <alignment horizontal="left"/>
    </xf>
    <xf numFmtId="0" fontId="98" fillId="0" borderId="4" xfId="0" applyFont="1" applyBorder="1" applyAlignment="1">
      <alignment horizontal="left"/>
    </xf>
    <xf numFmtId="0" fontId="89" fillId="17" borderId="16" xfId="0" applyFont="1" applyFill="1" applyBorder="1" applyAlignment="1">
      <alignment horizontal="left"/>
    </xf>
    <xf numFmtId="0" fontId="89" fillId="17" borderId="4" xfId="0" applyFont="1" applyFill="1" applyBorder="1" applyAlignment="1">
      <alignment horizontal="left"/>
    </xf>
    <xf numFmtId="0" fontId="89" fillId="0" borderId="16" xfId="0" applyFont="1" applyBorder="1" applyAlignment="1">
      <alignment horizontal="left"/>
    </xf>
    <xf numFmtId="0" fontId="89" fillId="0" borderId="4" xfId="0" applyFont="1" applyBorder="1" applyAlignment="1">
      <alignment horizontal="left"/>
    </xf>
    <xf numFmtId="0" fontId="89" fillId="18" borderId="16" xfId="0" applyFont="1" applyFill="1" applyBorder="1" applyAlignment="1">
      <alignment horizontal="left"/>
    </xf>
    <xf numFmtId="0" fontId="89" fillId="18" borderId="4" xfId="0" applyFont="1" applyFill="1" applyBorder="1" applyAlignment="1">
      <alignment horizontal="left"/>
    </xf>
    <xf numFmtId="0" fontId="98" fillId="18" borderId="16" xfId="0" applyFont="1" applyFill="1" applyBorder="1" applyAlignment="1">
      <alignment horizontal="left"/>
    </xf>
    <xf numFmtId="0" fontId="98" fillId="18" borderId="4" xfId="0" applyFont="1" applyFill="1" applyBorder="1" applyAlignment="1">
      <alignment horizontal="left"/>
    </xf>
    <xf numFmtId="0" fontId="93" fillId="17" borderId="27" xfId="0" applyFont="1" applyFill="1" applyBorder="1" applyAlignment="1">
      <alignment horizontal="center"/>
    </xf>
    <xf numFmtId="0" fontId="93" fillId="17" borderId="5" xfId="0" applyFont="1" applyFill="1" applyBorder="1" applyAlignment="1">
      <alignment horizontal="center"/>
    </xf>
    <xf numFmtId="0" fontId="89" fillId="0" borderId="3" xfId="0" applyFont="1" applyBorder="1" applyAlignment="1">
      <alignment horizontal="left"/>
    </xf>
    <xf numFmtId="0" fontId="93" fillId="16" borderId="16" xfId="3" applyFont="1" applyFill="1" applyBorder="1" applyAlignment="1">
      <alignment horizontal="left"/>
    </xf>
    <xf numFmtId="0" fontId="93" fillId="16" borderId="3" xfId="3" applyFont="1" applyFill="1" applyBorder="1" applyAlignment="1">
      <alignment horizontal="left"/>
    </xf>
    <xf numFmtId="0" fontId="93" fillId="16" borderId="4" xfId="3" applyFont="1" applyFill="1" applyBorder="1" applyAlignment="1">
      <alignment horizontal="left"/>
    </xf>
    <xf numFmtId="0" fontId="93" fillId="15" borderId="16" xfId="3" applyFont="1" applyFill="1" applyBorder="1" applyAlignment="1">
      <alignment horizontal="left"/>
    </xf>
    <xf numFmtId="0" fontId="93" fillId="15" borderId="3" xfId="3" applyFont="1" applyFill="1" applyBorder="1" applyAlignment="1">
      <alignment horizontal="left"/>
    </xf>
    <xf numFmtId="0" fontId="93" fillId="15" borderId="4" xfId="3" applyFont="1" applyFill="1" applyBorder="1" applyAlignment="1">
      <alignment horizontal="left"/>
    </xf>
    <xf numFmtId="0" fontId="93" fillId="15" borderId="16" xfId="3" applyFont="1" applyFill="1" applyBorder="1" applyAlignment="1">
      <alignment horizontal="center"/>
    </xf>
    <xf numFmtId="0" fontId="93" fillId="15" borderId="4" xfId="3" applyFont="1" applyFill="1" applyBorder="1" applyAlignment="1">
      <alignment horizontal="center"/>
    </xf>
    <xf numFmtId="0" fontId="93" fillId="8" borderId="16" xfId="3" applyFont="1" applyFill="1" applyBorder="1" applyAlignment="1">
      <alignment horizontal="left"/>
    </xf>
    <xf numFmtId="0" fontId="93" fillId="8" borderId="3" xfId="3" applyFont="1" applyFill="1" applyBorder="1" applyAlignment="1">
      <alignment horizontal="left"/>
    </xf>
    <xf numFmtId="0" fontId="93" fillId="8" borderId="4" xfId="3" applyFont="1" applyFill="1" applyBorder="1" applyAlignment="1">
      <alignment horizontal="left"/>
    </xf>
    <xf numFmtId="0" fontId="93" fillId="8" borderId="26" xfId="3" applyFont="1" applyFill="1" applyBorder="1" applyAlignment="1">
      <alignment horizontal="left"/>
    </xf>
    <xf numFmtId="0" fontId="93" fillId="8" borderId="10" xfId="3" applyFont="1" applyFill="1" applyBorder="1" applyAlignment="1">
      <alignment horizontal="left"/>
    </xf>
    <xf numFmtId="0" fontId="93" fillId="8" borderId="11" xfId="3" applyFont="1" applyFill="1" applyBorder="1" applyAlignment="1">
      <alignment horizontal="left"/>
    </xf>
    <xf numFmtId="0" fontId="93" fillId="0" borderId="16" xfId="4" applyFont="1" applyBorder="1" applyAlignment="1">
      <alignment horizontal="left"/>
    </xf>
    <xf numFmtId="0" fontId="93" fillId="0" borderId="3" xfId="4" applyFont="1" applyBorder="1" applyAlignment="1">
      <alignment horizontal="left"/>
    </xf>
    <xf numFmtId="0" fontId="93" fillId="0" borderId="4" xfId="4" applyFont="1" applyBorder="1" applyAlignment="1">
      <alignment horizontal="left"/>
    </xf>
    <xf numFmtId="0" fontId="99" fillId="0" borderId="16" xfId="4" applyFont="1" applyBorder="1" applyAlignment="1">
      <alignment horizontal="left"/>
    </xf>
    <xf numFmtId="0" fontId="99" fillId="0" borderId="3" xfId="4" applyFont="1" applyBorder="1" applyAlignment="1">
      <alignment horizontal="left"/>
    </xf>
    <xf numFmtId="0" fontId="99" fillId="0" borderId="4" xfId="4" applyFont="1" applyBorder="1" applyAlignment="1">
      <alignment horizontal="left"/>
    </xf>
    <xf numFmtId="0" fontId="104" fillId="15" borderId="16" xfId="4" applyFont="1" applyFill="1" applyBorder="1" applyAlignment="1">
      <alignment horizontal="left"/>
    </xf>
    <xf numFmtId="0" fontId="104" fillId="15" borderId="3" xfId="4" applyFont="1" applyFill="1" applyBorder="1" applyAlignment="1">
      <alignment horizontal="left"/>
    </xf>
    <xf numFmtId="0" fontId="104" fillId="15" borderId="28" xfId="4" applyFont="1" applyFill="1" applyBorder="1" applyAlignment="1">
      <alignment horizontal="left"/>
    </xf>
    <xf numFmtId="0" fontId="93" fillId="2" borderId="16" xfId="4" applyFont="1" applyFill="1" applyBorder="1" applyAlignment="1">
      <alignment horizontal="left"/>
    </xf>
    <xf numFmtId="0" fontId="93" fillId="2" borderId="3" xfId="4" applyFont="1" applyFill="1" applyBorder="1" applyAlignment="1">
      <alignment horizontal="left"/>
    </xf>
    <xf numFmtId="0" fontId="93" fillId="2" borderId="4" xfId="4" applyFont="1" applyFill="1" applyBorder="1" applyAlignment="1">
      <alignment horizontal="left"/>
    </xf>
    <xf numFmtId="0" fontId="96" fillId="15" borderId="16" xfId="3" applyFont="1" applyFill="1" applyBorder="1" applyAlignment="1">
      <alignment horizontal="center"/>
    </xf>
    <xf numFmtId="0" fontId="96" fillId="15" borderId="3" xfId="3" applyFont="1" applyFill="1" applyBorder="1" applyAlignment="1">
      <alignment horizontal="center"/>
    </xf>
    <xf numFmtId="0" fontId="96" fillId="15" borderId="4" xfId="3" applyFont="1" applyFill="1" applyBorder="1" applyAlignment="1">
      <alignment horizontal="center"/>
    </xf>
    <xf numFmtId="0" fontId="95" fillId="2" borderId="16" xfId="3" applyFont="1" applyFill="1" applyBorder="1" applyAlignment="1">
      <alignment horizontal="center" vertical="justify"/>
    </xf>
    <xf numFmtId="0" fontId="95" fillId="2" borderId="3" xfId="3" applyFont="1" applyFill="1" applyBorder="1" applyAlignment="1">
      <alignment horizontal="center" vertical="justify"/>
    </xf>
    <xf numFmtId="0" fontId="95" fillId="2" borderId="28" xfId="3" applyFont="1" applyFill="1" applyBorder="1" applyAlignment="1">
      <alignment horizontal="center" vertical="justify"/>
    </xf>
    <xf numFmtId="0" fontId="96" fillId="15" borderId="16" xfId="3" applyFont="1" applyFill="1" applyBorder="1" applyAlignment="1">
      <alignment horizontal="center" vertical="center"/>
    </xf>
    <xf numFmtId="0" fontId="96" fillId="15" borderId="3" xfId="3" applyFont="1" applyFill="1" applyBorder="1" applyAlignment="1">
      <alignment horizontal="center" vertical="center"/>
    </xf>
    <xf numFmtId="0" fontId="96" fillId="15" borderId="4" xfId="3" applyFont="1" applyFill="1" applyBorder="1" applyAlignment="1">
      <alignment horizontal="center" vertical="center"/>
    </xf>
    <xf numFmtId="0" fontId="91" fillId="8" borderId="19" xfId="3" applyFont="1" applyFill="1" applyBorder="1" applyAlignment="1">
      <alignment horizontal="center"/>
    </xf>
    <xf numFmtId="0" fontId="91" fillId="8" borderId="14" xfId="3" applyFont="1" applyFill="1" applyBorder="1" applyAlignment="1">
      <alignment horizontal="center"/>
    </xf>
    <xf numFmtId="0" fontId="91" fillId="8" borderId="20" xfId="3" applyFont="1" applyFill="1" applyBorder="1" applyAlignment="1">
      <alignment horizontal="center"/>
    </xf>
    <xf numFmtId="0" fontId="93" fillId="9" borderId="2" xfId="3" applyFont="1" applyFill="1" applyBorder="1" applyAlignment="1">
      <alignment horizontal="center"/>
    </xf>
    <xf numFmtId="0" fontId="93" fillId="9" borderId="4" xfId="3" applyFont="1" applyFill="1" applyBorder="1" applyAlignment="1">
      <alignment horizontal="center"/>
    </xf>
    <xf numFmtId="0" fontId="69" fillId="18" borderId="21" xfId="0" applyFont="1" applyFill="1" applyBorder="1" applyAlignment="1">
      <alignment horizontal="left"/>
    </xf>
    <xf numFmtId="0" fontId="69" fillId="18" borderId="1" xfId="0" applyFont="1" applyFill="1" applyBorder="1" applyAlignment="1">
      <alignment horizontal="left"/>
    </xf>
    <xf numFmtId="0" fontId="66" fillId="0" borderId="21" xfId="0" applyFont="1" applyFill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21" xfId="0" applyFont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6" fillId="18" borderId="21" xfId="0" applyFont="1" applyFill="1" applyBorder="1" applyAlignment="1">
      <alignment horizontal="left"/>
    </xf>
    <xf numFmtId="0" fontId="66" fillId="18" borderId="1" xfId="0" applyFont="1" applyFill="1" applyBorder="1" applyAlignment="1">
      <alignment horizontal="left"/>
    </xf>
    <xf numFmtId="0" fontId="69" fillId="17" borderId="21" xfId="0" applyFont="1" applyFill="1" applyBorder="1" applyAlignment="1">
      <alignment horizontal="left"/>
    </xf>
    <xf numFmtId="0" fontId="69" fillId="17" borderId="1" xfId="0" applyFont="1" applyFill="1" applyBorder="1" applyAlignment="1">
      <alignment horizontal="left"/>
    </xf>
    <xf numFmtId="0" fontId="69" fillId="0" borderId="2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78" fillId="15" borderId="21" xfId="3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horizontal="center" vertical="center"/>
    </xf>
    <xf numFmtId="0" fontId="78" fillId="15" borderId="21" xfId="3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/>
    </xf>
    <xf numFmtId="0" fontId="54" fillId="15" borderId="21" xfId="4" applyFont="1" applyFill="1" applyBorder="1" applyAlignment="1">
      <alignment horizontal="left"/>
    </xf>
    <xf numFmtId="0" fontId="54" fillId="15" borderId="1" xfId="4" applyFont="1" applyFill="1" applyBorder="1" applyAlignment="1">
      <alignment horizontal="left"/>
    </xf>
    <xf numFmtId="0" fontId="54" fillId="15" borderId="15" xfId="4" applyFont="1" applyFill="1" applyBorder="1" applyAlignment="1">
      <alignment horizontal="left"/>
    </xf>
    <xf numFmtId="0" fontId="50" fillId="2" borderId="21" xfId="3" applyFont="1" applyFill="1" applyBorder="1" applyAlignment="1">
      <alignment horizontal="center" vertical="justify"/>
    </xf>
    <xf numFmtId="0" fontId="50" fillId="2" borderId="1" xfId="3" applyFont="1" applyFill="1" applyBorder="1" applyAlignment="1">
      <alignment horizontal="center" vertical="justify"/>
    </xf>
    <xf numFmtId="0" fontId="50" fillId="2" borderId="15" xfId="3" applyFont="1" applyFill="1" applyBorder="1" applyAlignment="1">
      <alignment horizontal="center" vertical="justify"/>
    </xf>
    <xf numFmtId="0" fontId="61" fillId="0" borderId="21" xfId="4" applyFont="1" applyBorder="1" applyAlignment="1">
      <alignment horizontal="left"/>
    </xf>
    <xf numFmtId="0" fontId="61" fillId="2" borderId="21" xfId="4" applyFont="1" applyFill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5" fillId="0" borderId="1" xfId="4" applyFont="1" applyBorder="1" applyAlignment="1">
      <alignment horizontal="left"/>
    </xf>
    <xf numFmtId="0" fontId="60" fillId="16" borderId="21" xfId="3" applyFont="1" applyFill="1" applyBorder="1" applyAlignment="1">
      <alignment horizontal="left"/>
    </xf>
    <xf numFmtId="0" fontId="60" fillId="16" borderId="1" xfId="3" applyFont="1" applyFill="1" applyBorder="1" applyAlignment="1">
      <alignment horizontal="left"/>
    </xf>
    <xf numFmtId="0" fontId="60" fillId="15" borderId="2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21" xfId="3" applyFont="1" applyFill="1" applyBorder="1" applyAlignment="1">
      <alignment horizontal="center"/>
    </xf>
    <xf numFmtId="0" fontId="60" fillId="15" borderId="1" xfId="3" applyFont="1" applyFill="1" applyBorder="1" applyAlignment="1">
      <alignment horizontal="center"/>
    </xf>
    <xf numFmtId="0" fontId="61" fillId="17" borderId="33" xfId="0" applyFont="1" applyFill="1" applyBorder="1" applyAlignment="1">
      <alignment horizontal="center"/>
    </xf>
    <xf numFmtId="0" fontId="61" fillId="17" borderId="0" xfId="0" applyFont="1" applyFill="1" applyBorder="1" applyAlignment="1">
      <alignment horizontal="center"/>
    </xf>
    <xf numFmtId="0" fontId="61" fillId="8" borderId="22" xfId="3" applyFont="1" applyFill="1" applyBorder="1" applyAlignment="1">
      <alignment horizontal="left"/>
    </xf>
    <xf numFmtId="0" fontId="61" fillId="8" borderId="7" xfId="3" applyFont="1" applyFill="1" applyBorder="1" applyAlignment="1">
      <alignment horizontal="left"/>
    </xf>
    <xf numFmtId="0" fontId="20" fillId="8" borderId="2" xfId="3" applyFont="1" applyFill="1" applyBorder="1" applyAlignment="1">
      <alignment horizontal="left"/>
    </xf>
    <xf numFmtId="0" fontId="20" fillId="8" borderId="3" xfId="3" applyFont="1" applyFill="1" applyBorder="1" applyAlignment="1">
      <alignment horizontal="left"/>
    </xf>
    <xf numFmtId="0" fontId="20" fillId="8" borderId="4" xfId="3" applyFont="1" applyFill="1" applyBorder="1" applyAlignment="1">
      <alignment horizontal="left"/>
    </xf>
    <xf numFmtId="0" fontId="20" fillId="10" borderId="2" xfId="3" applyFont="1" applyFill="1" applyBorder="1" applyAlignment="1">
      <alignment horizontal="left"/>
    </xf>
    <xf numFmtId="0" fontId="20" fillId="10" borderId="3" xfId="3" applyFont="1" applyFill="1" applyBorder="1" applyAlignment="1">
      <alignment horizontal="left"/>
    </xf>
    <xf numFmtId="0" fontId="20" fillId="10" borderId="4" xfId="3" applyFont="1" applyFill="1" applyBorder="1" applyAlignment="1">
      <alignment horizontal="left"/>
    </xf>
    <xf numFmtId="0" fontId="6" fillId="0" borderId="16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20" fillId="0" borderId="2" xfId="4" applyFont="1" applyBorder="1" applyAlignment="1">
      <alignment horizontal="left"/>
    </xf>
    <xf numFmtId="0" fontId="20" fillId="0" borderId="3" xfId="4" applyFont="1" applyBorder="1" applyAlignment="1">
      <alignment horizontal="left"/>
    </xf>
    <xf numFmtId="0" fontId="20" fillId="0" borderId="4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35" fillId="10" borderId="2" xfId="3" applyFont="1" applyFill="1" applyBorder="1" applyAlignment="1">
      <alignment horizontal="center"/>
    </xf>
    <xf numFmtId="0" fontId="35" fillId="10" borderId="3" xfId="3" applyFont="1" applyFill="1" applyBorder="1" applyAlignment="1">
      <alignment horizontal="center"/>
    </xf>
    <xf numFmtId="0" fontId="35" fillId="10" borderId="4" xfId="3" applyFont="1" applyFill="1" applyBorder="1" applyAlignment="1">
      <alignment horizontal="center"/>
    </xf>
    <xf numFmtId="0" fontId="35" fillId="10" borderId="2" xfId="3" applyFont="1" applyFill="1" applyBorder="1" applyAlignment="1">
      <alignment horizontal="center" vertical="center"/>
    </xf>
    <xf numFmtId="0" fontId="35" fillId="10" borderId="3" xfId="3" applyFont="1" applyFill="1" applyBorder="1" applyAlignment="1">
      <alignment horizontal="center" vertical="center"/>
    </xf>
    <xf numFmtId="0" fontId="35" fillId="10" borderId="4" xfId="3" applyFont="1" applyFill="1" applyBorder="1" applyAlignment="1">
      <alignment horizontal="center" vertical="center"/>
    </xf>
    <xf numFmtId="0" fontId="34" fillId="8" borderId="5" xfId="3" applyFont="1" applyFill="1" applyBorder="1" applyAlignment="1">
      <alignment horizontal="center"/>
    </xf>
    <xf numFmtId="166" fontId="21" fillId="9" borderId="2" xfId="3" applyNumberFormat="1" applyFont="1" applyFill="1" applyBorder="1" applyAlignment="1">
      <alignment horizontal="left"/>
    </xf>
    <xf numFmtId="166" fontId="21" fillId="9" borderId="4" xfId="3" applyNumberFormat="1" applyFont="1" applyFill="1" applyBorder="1" applyAlignment="1">
      <alignment horizontal="left"/>
    </xf>
    <xf numFmtId="0" fontId="20" fillId="2" borderId="2" xfId="3" applyFont="1" applyFill="1" applyBorder="1" applyAlignment="1">
      <alignment horizontal="center" vertical="justify"/>
    </xf>
    <xf numFmtId="0" fontId="20" fillId="2" borderId="3" xfId="3" applyFont="1" applyFill="1" applyBorder="1" applyAlignment="1">
      <alignment horizontal="center" vertical="justify"/>
    </xf>
    <xf numFmtId="0" fontId="20" fillId="2" borderId="4" xfId="3" applyFont="1" applyFill="1" applyBorder="1" applyAlignment="1">
      <alignment horizontal="center" vertical="justify"/>
    </xf>
    <xf numFmtId="0" fontId="20" fillId="11" borderId="2" xfId="3" applyFont="1" applyFill="1" applyBorder="1" applyAlignment="1">
      <alignment horizontal="center"/>
    </xf>
    <xf numFmtId="0" fontId="20" fillId="11" borderId="4" xfId="3" applyFont="1" applyFill="1" applyBorder="1" applyAlignment="1">
      <alignment horizontal="center"/>
    </xf>
    <xf numFmtId="0" fontId="35" fillId="10" borderId="17" xfId="3" applyFont="1" applyFill="1" applyBorder="1" applyAlignment="1">
      <alignment horizontal="center" vertical="center"/>
    </xf>
    <xf numFmtId="0" fontId="35" fillId="10" borderId="14" xfId="3" applyFont="1" applyFill="1" applyBorder="1" applyAlignment="1">
      <alignment horizontal="center" vertical="center"/>
    </xf>
    <xf numFmtId="0" fontId="35" fillId="10" borderId="18" xfId="3" applyFont="1" applyFill="1" applyBorder="1" applyAlignment="1">
      <alignment horizontal="center" vertical="center"/>
    </xf>
    <xf numFmtId="0" fontId="37" fillId="8" borderId="2" xfId="3" applyFont="1" applyFill="1" applyBorder="1" applyAlignment="1">
      <alignment horizontal="left"/>
    </xf>
    <xf numFmtId="0" fontId="37" fillId="8" borderId="3" xfId="3" applyFont="1" applyFill="1" applyBorder="1" applyAlignment="1">
      <alignment horizontal="left"/>
    </xf>
    <xf numFmtId="0" fontId="37" fillId="8" borderId="4" xfId="3" applyFont="1" applyFill="1" applyBorder="1" applyAlignment="1">
      <alignment horizontal="left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42" fillId="15" borderId="17" xfId="3" applyFont="1" applyFill="1" applyBorder="1" applyAlignment="1">
      <alignment horizontal="center" vertical="center"/>
    </xf>
    <xf numFmtId="0" fontId="42" fillId="15" borderId="14" xfId="3" applyFont="1" applyFill="1" applyBorder="1" applyAlignment="1">
      <alignment horizontal="center" vertical="center"/>
    </xf>
    <xf numFmtId="0" fontId="42" fillId="15" borderId="18" xfId="3" applyFont="1" applyFill="1" applyBorder="1" applyAlignment="1">
      <alignment horizontal="center" vertical="center"/>
    </xf>
    <xf numFmtId="0" fontId="42" fillId="15" borderId="2" xfId="3" applyFont="1" applyFill="1" applyBorder="1" applyAlignment="1">
      <alignment horizontal="center"/>
    </xf>
    <xf numFmtId="0" fontId="42" fillId="15" borderId="3" xfId="3" applyFont="1" applyFill="1" applyBorder="1" applyAlignment="1">
      <alignment horizontal="center"/>
    </xf>
    <xf numFmtId="0" fontId="42" fillId="15" borderId="4" xfId="3" applyFont="1" applyFill="1" applyBorder="1" applyAlignment="1">
      <alignment horizontal="center"/>
    </xf>
    <xf numFmtId="0" fontId="40" fillId="15" borderId="2" xfId="4" applyFont="1" applyFill="1" applyBorder="1" applyAlignment="1">
      <alignment horizontal="left"/>
    </xf>
    <xf numFmtId="0" fontId="40" fillId="15" borderId="3" xfId="4" applyFont="1" applyFill="1" applyBorder="1" applyAlignment="1">
      <alignment horizontal="left"/>
    </xf>
    <xf numFmtId="0" fontId="40" fillId="15" borderId="4" xfId="4" applyFont="1" applyFill="1" applyBorder="1" applyAlignment="1">
      <alignment horizontal="left"/>
    </xf>
    <xf numFmtId="0" fontId="42" fillId="15" borderId="2" xfId="3" applyFont="1" applyFill="1" applyBorder="1" applyAlignment="1">
      <alignment horizontal="center" vertical="center"/>
    </xf>
    <xf numFmtId="0" fontId="42" fillId="15" borderId="3" xfId="3" applyFont="1" applyFill="1" applyBorder="1" applyAlignment="1">
      <alignment horizontal="center" vertical="center"/>
    </xf>
    <xf numFmtId="0" fontId="42" fillId="15" borderId="4" xfId="3" applyFont="1" applyFill="1" applyBorder="1" applyAlignment="1">
      <alignment horizontal="center" vertical="center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2" borderId="2" xfId="4" applyFont="1" applyFill="1" applyBorder="1" applyAlignment="1">
      <alignment horizontal="left"/>
    </xf>
    <xf numFmtId="0" fontId="37" fillId="2" borderId="3" xfId="4" applyFont="1" applyFill="1" applyBorder="1" applyAlignment="1">
      <alignment horizontal="left"/>
    </xf>
    <xf numFmtId="0" fontId="37" fillId="2" borderId="4" xfId="4" applyFont="1" applyFill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3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7" fillId="16" borderId="2" xfId="3" applyFont="1" applyFill="1" applyBorder="1" applyAlignment="1">
      <alignment horizontal="left"/>
    </xf>
    <xf numFmtId="0" fontId="37" fillId="16" borderId="3" xfId="3" applyFont="1" applyFill="1" applyBorder="1" applyAlignment="1">
      <alignment horizontal="left"/>
    </xf>
    <xf numFmtId="0" fontId="37" fillId="16" borderId="4" xfId="3" applyFont="1" applyFill="1" applyBorder="1" applyAlignment="1">
      <alignment horizontal="left"/>
    </xf>
    <xf numFmtId="0" fontId="37" fillId="15" borderId="2" xfId="3" applyFont="1" applyFill="1" applyBorder="1" applyAlignment="1">
      <alignment horizontal="left"/>
    </xf>
    <xf numFmtId="0" fontId="37" fillId="15" borderId="3" xfId="3" applyFont="1" applyFill="1" applyBorder="1" applyAlignment="1">
      <alignment horizontal="left"/>
    </xf>
    <xf numFmtId="0" fontId="37" fillId="15" borderId="4" xfId="3" applyFont="1" applyFill="1" applyBorder="1" applyAlignment="1">
      <alignment horizontal="left"/>
    </xf>
    <xf numFmtId="0" fontId="37" fillId="15" borderId="2" xfId="3" applyFont="1" applyFill="1" applyBorder="1" applyAlignment="1">
      <alignment horizontal="center"/>
    </xf>
    <xf numFmtId="0" fontId="37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23.849999999998545</c:v>
                </c:pt>
                <c:pt idx="1">
                  <c:v>23.979999999995925</c:v>
                </c:pt>
                <c:pt idx="2">
                  <c:v>24</c:v>
                </c:pt>
                <c:pt idx="3">
                  <c:v>23.690000000002328</c:v>
                </c:pt>
                <c:pt idx="4">
                  <c:v>24</c:v>
                </c:pt>
                <c:pt idx="5">
                  <c:v>23.56000000000131</c:v>
                </c:pt>
                <c:pt idx="6">
                  <c:v>23.599999999998545</c:v>
                </c:pt>
                <c:pt idx="7">
                  <c:v>31.980000000003201</c:v>
                </c:pt>
                <c:pt idx="8">
                  <c:v>23.080000000001746</c:v>
                </c:pt>
                <c:pt idx="9">
                  <c:v>24.029999999998836</c:v>
                </c:pt>
                <c:pt idx="10">
                  <c:v>23.709999999999127</c:v>
                </c:pt>
                <c:pt idx="11">
                  <c:v>24.379999999997381</c:v>
                </c:pt>
                <c:pt idx="12">
                  <c:v>24.470000000001164</c:v>
                </c:pt>
                <c:pt idx="13">
                  <c:v>24.649999999994179</c:v>
                </c:pt>
                <c:pt idx="14">
                  <c:v>26.099999999998545</c:v>
                </c:pt>
                <c:pt idx="15">
                  <c:v>23.590000000003783</c:v>
                </c:pt>
                <c:pt idx="16">
                  <c:v>24.44999999999709</c:v>
                </c:pt>
                <c:pt idx="17">
                  <c:v>23.900000000001455</c:v>
                </c:pt>
                <c:pt idx="18">
                  <c:v>23.93999999999869</c:v>
                </c:pt>
                <c:pt idx="19">
                  <c:v>24</c:v>
                </c:pt>
                <c:pt idx="20">
                  <c:v>24</c:v>
                </c:pt>
                <c:pt idx="21">
                  <c:v>27.590000000003783</c:v>
                </c:pt>
                <c:pt idx="22">
                  <c:v>24.389999999999418</c:v>
                </c:pt>
                <c:pt idx="23">
                  <c:v>24</c:v>
                </c:pt>
                <c:pt idx="24">
                  <c:v>23.910000000003492</c:v>
                </c:pt>
                <c:pt idx="25">
                  <c:v>36.109999999993306</c:v>
                </c:pt>
                <c:pt idx="26">
                  <c:v>24.040000000000873</c:v>
                </c:pt>
                <c:pt idx="27">
                  <c:v>23.680000000003929</c:v>
                </c:pt>
                <c:pt idx="28">
                  <c:v>24.080000000001746</c:v>
                </c:pt>
                <c:pt idx="29">
                  <c:v>24.029999999998836</c:v>
                </c:pt>
                <c:pt idx="30">
                  <c:v>24.029999999998836</c:v>
                </c:pt>
                <c:pt idx="31">
                  <c:v>768.81999999999607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218503424"/>
        <c:axId val="218505216"/>
      </c:lineChart>
      <c:catAx>
        <c:axId val="2185034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505216"/>
        <c:crosses val="autoZero"/>
        <c:auto val="1"/>
        <c:lblAlgn val="ctr"/>
        <c:lblOffset val="100"/>
      </c:catAx>
      <c:valAx>
        <c:axId val="218505216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21850342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2.7099999999991269</c:v>
                </c:pt>
                <c:pt idx="2">
                  <c:v>9.4100000000107684</c:v>
                </c:pt>
                <c:pt idx="3">
                  <c:v>6.8099999999976717</c:v>
                </c:pt>
                <c:pt idx="4">
                  <c:v>0</c:v>
                </c:pt>
                <c:pt idx="5">
                  <c:v>11.379999999990105</c:v>
                </c:pt>
                <c:pt idx="6">
                  <c:v>0</c:v>
                </c:pt>
                <c:pt idx="7">
                  <c:v>7.6900000000023283</c:v>
                </c:pt>
                <c:pt idx="8">
                  <c:v>7.0299999999951979</c:v>
                </c:pt>
                <c:pt idx="9">
                  <c:v>0.13000000000465661</c:v>
                </c:pt>
                <c:pt idx="10">
                  <c:v>0.46300000000337604</c:v>
                </c:pt>
                <c:pt idx="11">
                  <c:v>10.047000000002299</c:v>
                </c:pt>
                <c:pt idx="12">
                  <c:v>7.9199999999982538</c:v>
                </c:pt>
                <c:pt idx="13">
                  <c:v>0</c:v>
                </c:pt>
                <c:pt idx="14">
                  <c:v>9.5299999999988358</c:v>
                </c:pt>
                <c:pt idx="15">
                  <c:v>0</c:v>
                </c:pt>
                <c:pt idx="16">
                  <c:v>6.2800000000024738</c:v>
                </c:pt>
                <c:pt idx="17">
                  <c:v>8.5299999999988358</c:v>
                </c:pt>
                <c:pt idx="18">
                  <c:v>2.0000000004074536E-2</c:v>
                </c:pt>
                <c:pt idx="19">
                  <c:v>0</c:v>
                </c:pt>
                <c:pt idx="20">
                  <c:v>9.3399999999892316</c:v>
                </c:pt>
                <c:pt idx="21">
                  <c:v>7.5400000000008731</c:v>
                </c:pt>
                <c:pt idx="22">
                  <c:v>2.4500000000116415</c:v>
                </c:pt>
                <c:pt idx="23">
                  <c:v>10.25</c:v>
                </c:pt>
                <c:pt idx="24">
                  <c:v>10.25</c:v>
                </c:pt>
                <c:pt idx="25">
                  <c:v>2.8299999999908323</c:v>
                </c:pt>
                <c:pt idx="26">
                  <c:v>9.7800000000133878</c:v>
                </c:pt>
                <c:pt idx="27">
                  <c:v>7.7799999999915599</c:v>
                </c:pt>
                <c:pt idx="28">
                  <c:v>0.18000000000029104</c:v>
                </c:pt>
                <c:pt idx="29">
                  <c:v>9.5600000000049477</c:v>
                </c:pt>
                <c:pt idx="30">
                  <c:v>17.650000000004866</c:v>
                </c:pt>
                <c:pt idx="31">
                  <c:v>175.56000000001563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218534272"/>
        <c:axId val="218535808"/>
      </c:lineChart>
      <c:catAx>
        <c:axId val="21853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535808"/>
        <c:crosses val="autoZero"/>
        <c:auto val="1"/>
        <c:lblAlgn val="ctr"/>
        <c:lblOffset val="100"/>
      </c:catAx>
      <c:valAx>
        <c:axId val="218535808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53427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741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136</c:v>
                </c:pt>
                <c:pt idx="1">
                  <c:v>111</c:v>
                </c:pt>
                <c:pt idx="2">
                  <c:v>116</c:v>
                </c:pt>
                <c:pt idx="3">
                  <c:v>107</c:v>
                </c:pt>
                <c:pt idx="4">
                  <c:v>113</c:v>
                </c:pt>
                <c:pt idx="5">
                  <c:v>56</c:v>
                </c:pt>
                <c:pt idx="6">
                  <c:v>56</c:v>
                </c:pt>
                <c:pt idx="7">
                  <c:v>115</c:v>
                </c:pt>
                <c:pt idx="8">
                  <c:v>95</c:v>
                </c:pt>
                <c:pt idx="9">
                  <c:v>77</c:v>
                </c:pt>
                <c:pt idx="10">
                  <c:v>75</c:v>
                </c:pt>
                <c:pt idx="11">
                  <c:v>52</c:v>
                </c:pt>
                <c:pt idx="12">
                  <c:v>77</c:v>
                </c:pt>
                <c:pt idx="13">
                  <c:v>77</c:v>
                </c:pt>
                <c:pt idx="14">
                  <c:v>116</c:v>
                </c:pt>
                <c:pt idx="15">
                  <c:v>117</c:v>
                </c:pt>
                <c:pt idx="16">
                  <c:v>76</c:v>
                </c:pt>
                <c:pt idx="17">
                  <c:v>105</c:v>
                </c:pt>
                <c:pt idx="18">
                  <c:v>60</c:v>
                </c:pt>
                <c:pt idx="19">
                  <c:v>57</c:v>
                </c:pt>
                <c:pt idx="20">
                  <c:v>96</c:v>
                </c:pt>
                <c:pt idx="21">
                  <c:v>150</c:v>
                </c:pt>
                <c:pt idx="22">
                  <c:v>140</c:v>
                </c:pt>
                <c:pt idx="23">
                  <c:v>110</c:v>
                </c:pt>
                <c:pt idx="24">
                  <c:v>120</c:v>
                </c:pt>
                <c:pt idx="25">
                  <c:v>113</c:v>
                </c:pt>
                <c:pt idx="26">
                  <c:v>121</c:v>
                </c:pt>
                <c:pt idx="27">
                  <c:v>100</c:v>
                </c:pt>
                <c:pt idx="28">
                  <c:v>117</c:v>
                </c:pt>
                <c:pt idx="29">
                  <c:v>138</c:v>
                </c:pt>
                <c:pt idx="30">
                  <c:v>121</c:v>
                </c:pt>
                <c:pt idx="31">
                  <c:v>3120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218557056"/>
        <c:axId val="222630272"/>
      </c:lineChart>
      <c:catAx>
        <c:axId val="21855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630272"/>
        <c:crosses val="autoZero"/>
        <c:auto val="1"/>
        <c:lblAlgn val="ctr"/>
        <c:lblOffset val="100"/>
      </c:catAx>
      <c:valAx>
        <c:axId val="22263027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55705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684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334</c:v>
                </c:pt>
                <c:pt idx="1">
                  <c:v>445</c:v>
                </c:pt>
                <c:pt idx="2">
                  <c:v>438</c:v>
                </c:pt>
                <c:pt idx="3">
                  <c:v>584</c:v>
                </c:pt>
                <c:pt idx="4">
                  <c:v>287</c:v>
                </c:pt>
                <c:pt idx="5">
                  <c:v>477</c:v>
                </c:pt>
                <c:pt idx="6">
                  <c:v>348</c:v>
                </c:pt>
                <c:pt idx="7">
                  <c:v>613.47999999998137</c:v>
                </c:pt>
                <c:pt idx="8">
                  <c:v>523.52000000001863</c:v>
                </c:pt>
                <c:pt idx="9">
                  <c:v>243</c:v>
                </c:pt>
                <c:pt idx="10">
                  <c:v>333.68999999994412</c:v>
                </c:pt>
                <c:pt idx="11">
                  <c:v>436.43000000016764</c:v>
                </c:pt>
                <c:pt idx="12">
                  <c:v>650.87999999988824</c:v>
                </c:pt>
                <c:pt idx="13">
                  <c:v>292.58000000007451</c:v>
                </c:pt>
                <c:pt idx="14">
                  <c:v>437.41999999992549</c:v>
                </c:pt>
                <c:pt idx="15">
                  <c:v>317</c:v>
                </c:pt>
                <c:pt idx="16">
                  <c:v>562</c:v>
                </c:pt>
                <c:pt idx="17">
                  <c:v>400</c:v>
                </c:pt>
                <c:pt idx="18">
                  <c:v>248</c:v>
                </c:pt>
                <c:pt idx="19">
                  <c:v>288</c:v>
                </c:pt>
                <c:pt idx="20">
                  <c:v>534</c:v>
                </c:pt>
                <c:pt idx="21">
                  <c:v>632</c:v>
                </c:pt>
                <c:pt idx="22">
                  <c:v>366.93500000005588</c:v>
                </c:pt>
                <c:pt idx="23">
                  <c:v>510.69499999983236</c:v>
                </c:pt>
                <c:pt idx="24">
                  <c:v>675.28900000010617</c:v>
                </c:pt>
                <c:pt idx="25">
                  <c:v>374.08100000000559</c:v>
                </c:pt>
                <c:pt idx="26">
                  <c:v>615</c:v>
                </c:pt>
                <c:pt idx="27">
                  <c:v>458</c:v>
                </c:pt>
                <c:pt idx="28">
                  <c:v>318</c:v>
                </c:pt>
                <c:pt idx="29">
                  <c:v>484</c:v>
                </c:pt>
                <c:pt idx="30">
                  <c:v>640</c:v>
                </c:pt>
                <c:pt idx="31">
                  <c:v>13867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222654848"/>
        <c:axId val="222656384"/>
      </c:lineChart>
      <c:catAx>
        <c:axId val="22265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656384"/>
        <c:crosses val="autoZero"/>
        <c:auto val="1"/>
        <c:lblAlgn val="ctr"/>
        <c:lblOffset val="100"/>
      </c:catAx>
      <c:valAx>
        <c:axId val="22265638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65484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517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1924</c:v>
                </c:pt>
                <c:pt idx="1">
                  <c:v>1888</c:v>
                </c:pt>
                <c:pt idx="2">
                  <c:v>1807</c:v>
                </c:pt>
                <c:pt idx="3">
                  <c:v>1745</c:v>
                </c:pt>
                <c:pt idx="4">
                  <c:v>1710</c:v>
                </c:pt>
                <c:pt idx="5">
                  <c:v>1647</c:v>
                </c:pt>
                <c:pt idx="6">
                  <c:v>1602</c:v>
                </c:pt>
                <c:pt idx="7">
                  <c:v>1924.75</c:v>
                </c:pt>
                <c:pt idx="8">
                  <c:v>1790.25</c:v>
                </c:pt>
                <c:pt idx="9">
                  <c:v>1650</c:v>
                </c:pt>
                <c:pt idx="10">
                  <c:v>1567.1699999999837</c:v>
                </c:pt>
                <c:pt idx="11">
                  <c:v>1670.2399999999907</c:v>
                </c:pt>
                <c:pt idx="12">
                  <c:v>1649.1800000000512</c:v>
                </c:pt>
                <c:pt idx="13">
                  <c:v>1783.2999999999884</c:v>
                </c:pt>
                <c:pt idx="14">
                  <c:v>2173.109999999986</c:v>
                </c:pt>
                <c:pt idx="15">
                  <c:v>2154</c:v>
                </c:pt>
                <c:pt idx="16">
                  <c:v>2155</c:v>
                </c:pt>
                <c:pt idx="17">
                  <c:v>2101</c:v>
                </c:pt>
                <c:pt idx="18">
                  <c:v>2013</c:v>
                </c:pt>
                <c:pt idx="19">
                  <c:v>1961</c:v>
                </c:pt>
                <c:pt idx="20">
                  <c:v>1537</c:v>
                </c:pt>
                <c:pt idx="21">
                  <c:v>2952</c:v>
                </c:pt>
                <c:pt idx="22">
                  <c:v>2431.5499999999884</c:v>
                </c:pt>
                <c:pt idx="23">
                  <c:v>2245.960000000021</c:v>
                </c:pt>
                <c:pt idx="24">
                  <c:v>2043.7600000000093</c:v>
                </c:pt>
                <c:pt idx="25">
                  <c:v>2149.1999999999534</c:v>
                </c:pt>
                <c:pt idx="26">
                  <c:v>2221.5300000000279</c:v>
                </c:pt>
                <c:pt idx="27">
                  <c:v>2110</c:v>
                </c:pt>
                <c:pt idx="28">
                  <c:v>2330</c:v>
                </c:pt>
                <c:pt idx="29">
                  <c:v>2409</c:v>
                </c:pt>
                <c:pt idx="30">
                  <c:v>2175</c:v>
                </c:pt>
                <c:pt idx="31">
                  <c:v>61520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671</c:v>
                </c:pt>
                <c:pt idx="1">
                  <c:v>553</c:v>
                </c:pt>
                <c:pt idx="2">
                  <c:v>530</c:v>
                </c:pt>
                <c:pt idx="3">
                  <c:v>506</c:v>
                </c:pt>
                <c:pt idx="4">
                  <c:v>529</c:v>
                </c:pt>
                <c:pt idx="5">
                  <c:v>513</c:v>
                </c:pt>
                <c:pt idx="6">
                  <c:v>520</c:v>
                </c:pt>
                <c:pt idx="7">
                  <c:v>521.07000000000698</c:v>
                </c:pt>
                <c:pt idx="8">
                  <c:v>512.92999999999302</c:v>
                </c:pt>
                <c:pt idx="9">
                  <c:v>523</c:v>
                </c:pt>
                <c:pt idx="10">
                  <c:v>486.22999999998137</c:v>
                </c:pt>
                <c:pt idx="11">
                  <c:v>506.48000000003958</c:v>
                </c:pt>
                <c:pt idx="12">
                  <c:v>417.44000000000233</c:v>
                </c:pt>
                <c:pt idx="13">
                  <c:v>424.13999999995576</c:v>
                </c:pt>
                <c:pt idx="14">
                  <c:v>474.71000000002095</c:v>
                </c:pt>
                <c:pt idx="15">
                  <c:v>454</c:v>
                </c:pt>
                <c:pt idx="16">
                  <c:v>491</c:v>
                </c:pt>
                <c:pt idx="17">
                  <c:v>524</c:v>
                </c:pt>
                <c:pt idx="18">
                  <c:v>566</c:v>
                </c:pt>
                <c:pt idx="19">
                  <c:v>0</c:v>
                </c:pt>
                <c:pt idx="20">
                  <c:v>566</c:v>
                </c:pt>
                <c:pt idx="21">
                  <c:v>544</c:v>
                </c:pt>
                <c:pt idx="22">
                  <c:v>511.10999999998603</c:v>
                </c:pt>
                <c:pt idx="23">
                  <c:v>518.92000000004191</c:v>
                </c:pt>
                <c:pt idx="24">
                  <c:v>524.8399999999674</c:v>
                </c:pt>
                <c:pt idx="25">
                  <c:v>541.67999999999302</c:v>
                </c:pt>
                <c:pt idx="26">
                  <c:v>552.45000000001164</c:v>
                </c:pt>
                <c:pt idx="27">
                  <c:v>601</c:v>
                </c:pt>
                <c:pt idx="28">
                  <c:v>588</c:v>
                </c:pt>
                <c:pt idx="29">
                  <c:v>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222804992"/>
        <c:axId val="222819072"/>
      </c:lineChart>
      <c:catAx>
        <c:axId val="22280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819072"/>
        <c:crosses val="autoZero"/>
        <c:auto val="1"/>
        <c:lblAlgn val="ctr"/>
        <c:lblOffset val="100"/>
      </c:catAx>
      <c:valAx>
        <c:axId val="222819072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804992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2168</c:v>
                </c:pt>
                <c:pt idx="1">
                  <c:v>2008</c:v>
                </c:pt>
                <c:pt idx="2">
                  <c:v>2174</c:v>
                </c:pt>
                <c:pt idx="3">
                  <c:v>2161</c:v>
                </c:pt>
                <c:pt idx="4">
                  <c:v>2118</c:v>
                </c:pt>
                <c:pt idx="5">
                  <c:v>2168</c:v>
                </c:pt>
                <c:pt idx="6">
                  <c:v>2063</c:v>
                </c:pt>
                <c:pt idx="7">
                  <c:v>2427.4699999999721</c:v>
                </c:pt>
                <c:pt idx="8">
                  <c:v>2125.5300000000279</c:v>
                </c:pt>
                <c:pt idx="9">
                  <c:v>1851</c:v>
                </c:pt>
                <c:pt idx="10">
                  <c:v>1869.2299999999814</c:v>
                </c:pt>
                <c:pt idx="11">
                  <c:v>1863.4400000000605</c:v>
                </c:pt>
                <c:pt idx="12">
                  <c:v>1794.5599999999395</c:v>
                </c:pt>
                <c:pt idx="13">
                  <c:v>1788.7199999999721</c:v>
                </c:pt>
                <c:pt idx="14">
                  <c:v>2007.0500000000466</c:v>
                </c:pt>
                <c:pt idx="15">
                  <c:v>1926</c:v>
                </c:pt>
                <c:pt idx="16">
                  <c:v>1602</c:v>
                </c:pt>
                <c:pt idx="17">
                  <c:v>1530</c:v>
                </c:pt>
                <c:pt idx="18">
                  <c:v>1651</c:v>
                </c:pt>
                <c:pt idx="19">
                  <c:v>1818</c:v>
                </c:pt>
                <c:pt idx="20">
                  <c:v>1843</c:v>
                </c:pt>
                <c:pt idx="21">
                  <c:v>1920</c:v>
                </c:pt>
                <c:pt idx="22">
                  <c:v>2173.4300000000512</c:v>
                </c:pt>
                <c:pt idx="23">
                  <c:v>2126.4799999999814</c:v>
                </c:pt>
                <c:pt idx="24">
                  <c:v>2110.8800000000047</c:v>
                </c:pt>
                <c:pt idx="25">
                  <c:v>2644.9599999999627</c:v>
                </c:pt>
                <c:pt idx="26">
                  <c:v>2481.25</c:v>
                </c:pt>
                <c:pt idx="27">
                  <c:v>2485</c:v>
                </c:pt>
                <c:pt idx="28">
                  <c:v>2408</c:v>
                </c:pt>
                <c:pt idx="29">
                  <c:v>2377</c:v>
                </c:pt>
                <c:pt idx="30">
                  <c:v>2345</c:v>
                </c:pt>
                <c:pt idx="31">
                  <c:v>64029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222721152"/>
        <c:axId val="222722688"/>
      </c:lineChart>
      <c:catAx>
        <c:axId val="22272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722688"/>
        <c:crosses val="autoZero"/>
        <c:auto val="1"/>
        <c:lblAlgn val="ctr"/>
        <c:lblOffset val="100"/>
      </c:catAx>
      <c:valAx>
        <c:axId val="222722688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7211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0.84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0.11</c:v>
                </c:pt>
                <c:pt idx="5">
                  <c:v>0.1</c:v>
                </c:pt>
                <c:pt idx="6">
                  <c:v>0.16</c:v>
                </c:pt>
                <c:pt idx="7">
                  <c:v>0.24</c:v>
                </c:pt>
                <c:pt idx="8">
                  <c:v>0.6</c:v>
                </c:pt>
                <c:pt idx="9">
                  <c:v>0.52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0.63</c:v>
                </c:pt>
                <c:pt idx="14">
                  <c:v>0.83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0.24</c:v>
                </c:pt>
                <c:pt idx="20">
                  <c:v>0.24</c:v>
                </c:pt>
                <c:pt idx="21">
                  <c:v>0.35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0.7</c:v>
                </c:pt>
                <c:pt idx="27">
                  <c:v>0.71</c:v>
                </c:pt>
                <c:pt idx="28">
                  <c:v>0.98</c:v>
                </c:pt>
                <c:pt idx="29">
                  <c:v>0.62</c:v>
                </c:pt>
                <c:pt idx="30">
                  <c:v>29</c:v>
                </c:pt>
                <c:pt idx="31">
                  <c:v>1.4074193548387097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222771840"/>
        <c:axId val="222822784"/>
      </c:lineChart>
      <c:catAx>
        <c:axId val="22277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822784"/>
        <c:crosses val="autoZero"/>
        <c:auto val="1"/>
        <c:lblAlgn val="ctr"/>
        <c:lblOffset val="100"/>
      </c:catAx>
      <c:valAx>
        <c:axId val="2228227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2227718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38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38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38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15988</c:v>
                </c:pt>
                <c:pt idx="1">
                  <c:v>15961</c:v>
                </c:pt>
                <c:pt idx="2">
                  <c:v>16029</c:v>
                </c:pt>
                <c:pt idx="3">
                  <c:v>16163</c:v>
                </c:pt>
                <c:pt idx="4">
                  <c:v>15754</c:v>
                </c:pt>
                <c:pt idx="5">
                  <c:v>15577</c:v>
                </c:pt>
                <c:pt idx="6">
                  <c:v>14931</c:v>
                </c:pt>
                <c:pt idx="7">
                  <c:v>19453</c:v>
                </c:pt>
                <c:pt idx="8">
                  <c:v>15329</c:v>
                </c:pt>
                <c:pt idx="9">
                  <c:v>15144</c:v>
                </c:pt>
                <c:pt idx="10">
                  <c:v>14482.59</c:v>
                </c:pt>
                <c:pt idx="11">
                  <c:v>15169.280000000002</c:v>
                </c:pt>
                <c:pt idx="12">
                  <c:v>14565.96</c:v>
                </c:pt>
                <c:pt idx="13">
                  <c:v>14303.68</c:v>
                </c:pt>
                <c:pt idx="14">
                  <c:v>17032.489999999998</c:v>
                </c:pt>
                <c:pt idx="15">
                  <c:v>15022</c:v>
                </c:pt>
                <c:pt idx="16">
                  <c:v>14872</c:v>
                </c:pt>
                <c:pt idx="17">
                  <c:v>15342</c:v>
                </c:pt>
                <c:pt idx="18">
                  <c:v>14419</c:v>
                </c:pt>
                <c:pt idx="19">
                  <c:v>15123</c:v>
                </c:pt>
                <c:pt idx="20">
                  <c:v>16012</c:v>
                </c:pt>
                <c:pt idx="21">
                  <c:v>17759</c:v>
                </c:pt>
                <c:pt idx="22">
                  <c:v>16907.049999999988</c:v>
                </c:pt>
                <c:pt idx="23">
                  <c:v>16547.620000000024</c:v>
                </c:pt>
                <c:pt idx="24">
                  <c:v>16235.399999999994</c:v>
                </c:pt>
                <c:pt idx="25">
                  <c:v>19224.559999999998</c:v>
                </c:pt>
                <c:pt idx="26">
                  <c:v>16772.369999999995</c:v>
                </c:pt>
                <c:pt idx="27">
                  <c:v>16848</c:v>
                </c:pt>
                <c:pt idx="28">
                  <c:v>16913</c:v>
                </c:pt>
                <c:pt idx="29">
                  <c:v>17872</c:v>
                </c:pt>
                <c:pt idx="30">
                  <c:v>17744</c:v>
                </c:pt>
                <c:pt idx="31">
                  <c:v>499496.00000000006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222872320"/>
        <c:axId val="222873856"/>
      </c:lineChart>
      <c:catAx>
        <c:axId val="22287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873856"/>
        <c:crosses val="autoZero"/>
        <c:auto val="1"/>
        <c:lblAlgn val="ctr"/>
        <c:lblOffset val="100"/>
      </c:catAx>
      <c:valAx>
        <c:axId val="222873856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87232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8.8800000000001091</c:v>
                </c:pt>
                <c:pt idx="1">
                  <c:v>7.8099999999999454</c:v>
                </c:pt>
                <c:pt idx="2">
                  <c:v>7.4000000000000909</c:v>
                </c:pt>
                <c:pt idx="3">
                  <c:v>7.1299999999998818</c:v>
                </c:pt>
                <c:pt idx="4">
                  <c:v>7.7400000000000091</c:v>
                </c:pt>
                <c:pt idx="5">
                  <c:v>7.6600000000000819</c:v>
                </c:pt>
                <c:pt idx="6">
                  <c:v>7.7699999999999818</c:v>
                </c:pt>
                <c:pt idx="7">
                  <c:v>7.8700000000001182</c:v>
                </c:pt>
                <c:pt idx="8">
                  <c:v>6.7400000000000091</c:v>
                </c:pt>
                <c:pt idx="9">
                  <c:v>7.5799999999999272</c:v>
                </c:pt>
                <c:pt idx="10">
                  <c:v>7.6700000000000728</c:v>
                </c:pt>
                <c:pt idx="11">
                  <c:v>7.5199999999999818</c:v>
                </c:pt>
                <c:pt idx="12">
                  <c:v>7.5599999999999454</c:v>
                </c:pt>
                <c:pt idx="13">
                  <c:v>7.5800000000001546</c:v>
                </c:pt>
                <c:pt idx="14">
                  <c:v>7.6199999999998909</c:v>
                </c:pt>
                <c:pt idx="15">
                  <c:v>7.9700000000000273</c:v>
                </c:pt>
                <c:pt idx="16">
                  <c:v>8.0499999999999545</c:v>
                </c:pt>
                <c:pt idx="17">
                  <c:v>7.7400000000000091</c:v>
                </c:pt>
                <c:pt idx="18">
                  <c:v>7.2999999999999545</c:v>
                </c:pt>
                <c:pt idx="19">
                  <c:v>8.1900000000000546</c:v>
                </c:pt>
                <c:pt idx="20">
                  <c:v>7.0199999999999818</c:v>
                </c:pt>
                <c:pt idx="21">
                  <c:v>7.3600000000001273</c:v>
                </c:pt>
                <c:pt idx="22">
                  <c:v>8.0499999999999545</c:v>
                </c:pt>
                <c:pt idx="23">
                  <c:v>8.2199999999997999</c:v>
                </c:pt>
                <c:pt idx="24">
                  <c:v>7.7499999999997726</c:v>
                </c:pt>
                <c:pt idx="25">
                  <c:v>7.7799999999999727</c:v>
                </c:pt>
                <c:pt idx="26">
                  <c:v>7.6299999999998818</c:v>
                </c:pt>
                <c:pt idx="27">
                  <c:v>7.1900000000000546</c:v>
                </c:pt>
                <c:pt idx="28">
                  <c:v>7.5599999999999454</c:v>
                </c:pt>
                <c:pt idx="29">
                  <c:v>8.0899999999999181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222918528"/>
        <c:axId val="222920064"/>
      </c:lineChart>
      <c:catAx>
        <c:axId val="22291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920064"/>
        <c:crosses val="autoZero"/>
        <c:auto val="1"/>
        <c:lblAlgn val="ctr"/>
        <c:lblOffset val="100"/>
      </c:catAx>
      <c:valAx>
        <c:axId val="22292006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91852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0896E-2"/>
          <c:w val="0.8448995409385972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189</c:v>
                </c:pt>
                <c:pt idx="1">
                  <c:v>202</c:v>
                </c:pt>
                <c:pt idx="2">
                  <c:v>206</c:v>
                </c:pt>
                <c:pt idx="3">
                  <c:v>204</c:v>
                </c:pt>
                <c:pt idx="4">
                  <c:v>209.8399999999674</c:v>
                </c:pt>
                <c:pt idx="5">
                  <c:v>186.1600000000326</c:v>
                </c:pt>
                <c:pt idx="6">
                  <c:v>200</c:v>
                </c:pt>
                <c:pt idx="7">
                  <c:v>203</c:v>
                </c:pt>
                <c:pt idx="8">
                  <c:v>200.90000000002328</c:v>
                </c:pt>
                <c:pt idx="9">
                  <c:v>204.88000000000466</c:v>
                </c:pt>
                <c:pt idx="10">
                  <c:v>201.30999999993946</c:v>
                </c:pt>
                <c:pt idx="11">
                  <c:v>200.9100000000326</c:v>
                </c:pt>
                <c:pt idx="12">
                  <c:v>209</c:v>
                </c:pt>
                <c:pt idx="13">
                  <c:v>214</c:v>
                </c:pt>
                <c:pt idx="14">
                  <c:v>195</c:v>
                </c:pt>
                <c:pt idx="15">
                  <c:v>173</c:v>
                </c:pt>
                <c:pt idx="16">
                  <c:v>204</c:v>
                </c:pt>
                <c:pt idx="17">
                  <c:v>194</c:v>
                </c:pt>
                <c:pt idx="18">
                  <c:v>194</c:v>
                </c:pt>
                <c:pt idx="19">
                  <c:v>214.8399999999674</c:v>
                </c:pt>
                <c:pt idx="20">
                  <c:v>230.1600000000326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350</c:v>
                </c:pt>
                <c:pt idx="1">
                  <c:v>34</c:v>
                </c:pt>
                <c:pt idx="2">
                  <c:v>214</c:v>
                </c:pt>
                <c:pt idx="3">
                  <c:v>73</c:v>
                </c:pt>
                <c:pt idx="4">
                  <c:v>324.9400000000187</c:v>
                </c:pt>
                <c:pt idx="5">
                  <c:v>274.45999999998639</c:v>
                </c:pt>
                <c:pt idx="6">
                  <c:v>8</c:v>
                </c:pt>
                <c:pt idx="7">
                  <c:v>69.889999999955762</c:v>
                </c:pt>
                <c:pt idx="8">
                  <c:v>184.27000000013504</c:v>
                </c:pt>
                <c:pt idx="9">
                  <c:v>393.56999999987966</c:v>
                </c:pt>
                <c:pt idx="10">
                  <c:v>42.360000000131549</c:v>
                </c:pt>
                <c:pt idx="11">
                  <c:v>191.10999999989872</c:v>
                </c:pt>
                <c:pt idx="12">
                  <c:v>51</c:v>
                </c:pt>
                <c:pt idx="13">
                  <c:v>302</c:v>
                </c:pt>
                <c:pt idx="14">
                  <c:v>160</c:v>
                </c:pt>
                <c:pt idx="15">
                  <c:v>33</c:v>
                </c:pt>
                <c:pt idx="16">
                  <c:v>36</c:v>
                </c:pt>
                <c:pt idx="17">
                  <c:v>273</c:v>
                </c:pt>
                <c:pt idx="18">
                  <c:v>374</c:v>
                </c:pt>
                <c:pt idx="19">
                  <c:v>91.455000000090877</c:v>
                </c:pt>
                <c:pt idx="20">
                  <c:v>208.74499999979162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45</c:v>
                </c:pt>
                <c:pt idx="1">
                  <c:v>51</c:v>
                </c:pt>
                <c:pt idx="2">
                  <c:v>57</c:v>
                </c:pt>
                <c:pt idx="3">
                  <c:v>71</c:v>
                </c:pt>
                <c:pt idx="4">
                  <c:v>77.5</c:v>
                </c:pt>
                <c:pt idx="5">
                  <c:v>62.5</c:v>
                </c:pt>
                <c:pt idx="6">
                  <c:v>35</c:v>
                </c:pt>
                <c:pt idx="7">
                  <c:v>60.799999999988358</c:v>
                </c:pt>
                <c:pt idx="8">
                  <c:v>51.660000000003492</c:v>
                </c:pt>
                <c:pt idx="9">
                  <c:v>52.630000000004657</c:v>
                </c:pt>
                <c:pt idx="10">
                  <c:v>48.910000000003492</c:v>
                </c:pt>
                <c:pt idx="11">
                  <c:v>45</c:v>
                </c:pt>
                <c:pt idx="12">
                  <c:v>57</c:v>
                </c:pt>
                <c:pt idx="13">
                  <c:v>46</c:v>
                </c:pt>
                <c:pt idx="14">
                  <c:v>45</c:v>
                </c:pt>
                <c:pt idx="15">
                  <c:v>42</c:v>
                </c:pt>
                <c:pt idx="16">
                  <c:v>48</c:v>
                </c:pt>
                <c:pt idx="17">
                  <c:v>67</c:v>
                </c:pt>
                <c:pt idx="18">
                  <c:v>64</c:v>
                </c:pt>
                <c:pt idx="19">
                  <c:v>60.839999999996508</c:v>
                </c:pt>
                <c:pt idx="20">
                  <c:v>71.790000000008149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223376512"/>
        <c:axId val="223378048"/>
      </c:lineChart>
      <c:catAx>
        <c:axId val="22337651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223378048"/>
        <c:crosses val="autoZero"/>
        <c:auto val="1"/>
        <c:lblAlgn val="ctr"/>
        <c:lblOffset val="100"/>
      </c:catAx>
      <c:valAx>
        <c:axId val="22337804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2233765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698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12</c:v>
                </c:pt>
                <c:pt idx="1">
                  <c:v>42</c:v>
                </c:pt>
                <c:pt idx="2">
                  <c:v>61</c:v>
                </c:pt>
                <c:pt idx="3">
                  <c:v>62</c:v>
                </c:pt>
                <c:pt idx="4">
                  <c:v>0</c:v>
                </c:pt>
                <c:pt idx="5">
                  <c:v>39</c:v>
                </c:pt>
                <c:pt idx="6">
                  <c:v>31</c:v>
                </c:pt>
                <c:pt idx="7">
                  <c:v>78</c:v>
                </c:pt>
                <c:pt idx="8">
                  <c:v>40</c:v>
                </c:pt>
                <c:pt idx="9">
                  <c:v>24</c:v>
                </c:pt>
                <c:pt idx="10">
                  <c:v>26</c:v>
                </c:pt>
                <c:pt idx="11">
                  <c:v>35</c:v>
                </c:pt>
                <c:pt idx="12">
                  <c:v>52</c:v>
                </c:pt>
                <c:pt idx="13">
                  <c:v>46</c:v>
                </c:pt>
                <c:pt idx="14">
                  <c:v>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227418880"/>
        <c:axId val="22742041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227438592"/>
        <c:axId val="227440128"/>
      </c:lineChart>
      <c:catAx>
        <c:axId val="22741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420416"/>
        <c:crosses val="autoZero"/>
        <c:auto val="1"/>
        <c:lblAlgn val="ctr"/>
        <c:lblOffset val="100"/>
      </c:catAx>
      <c:valAx>
        <c:axId val="22742041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418880"/>
        <c:crosses val="autoZero"/>
        <c:crossBetween val="between"/>
        <c:minorUnit val="50"/>
      </c:valAx>
      <c:catAx>
        <c:axId val="227438592"/>
        <c:scaling>
          <c:orientation val="minMax"/>
        </c:scaling>
        <c:delete val="1"/>
        <c:axPos val="b"/>
        <c:tickLblPos val="none"/>
        <c:crossAx val="227440128"/>
        <c:crosses val="autoZero"/>
        <c:auto val="1"/>
        <c:lblAlgn val="ctr"/>
        <c:lblOffset val="100"/>
      </c:catAx>
      <c:valAx>
        <c:axId val="22744012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438592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227468800"/>
        <c:axId val="227470336"/>
      </c:lineChart>
      <c:catAx>
        <c:axId val="22746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470336"/>
        <c:crosses val="autoZero"/>
        <c:auto val="1"/>
        <c:lblAlgn val="ctr"/>
        <c:lblOffset val="100"/>
      </c:catAx>
      <c:valAx>
        <c:axId val="22747033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4688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227523968"/>
        <c:axId val="227529856"/>
      </c:lineChart>
      <c:catAx>
        <c:axId val="22752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529856"/>
        <c:crosses val="autoZero"/>
        <c:auto val="1"/>
        <c:lblAlgn val="ctr"/>
        <c:lblOffset val="100"/>
      </c:catAx>
      <c:valAx>
        <c:axId val="227529856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52396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2456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15</c:v>
                </c:pt>
                <c:pt idx="4">
                  <c:v>0</c:v>
                </c:pt>
                <c:pt idx="5">
                  <c:v>31</c:v>
                </c:pt>
                <c:pt idx="6">
                  <c:v>2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14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227699328"/>
        <c:axId val="227709312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227710848"/>
        <c:axId val="227712384"/>
      </c:lineChart>
      <c:catAx>
        <c:axId val="22769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709312"/>
        <c:crosses val="autoZero"/>
        <c:auto val="1"/>
        <c:lblAlgn val="ctr"/>
        <c:lblOffset val="100"/>
      </c:catAx>
      <c:valAx>
        <c:axId val="227709312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699328"/>
        <c:crosses val="autoZero"/>
        <c:crossBetween val="between"/>
      </c:valAx>
      <c:catAx>
        <c:axId val="227710848"/>
        <c:scaling>
          <c:orientation val="minMax"/>
        </c:scaling>
        <c:delete val="1"/>
        <c:axPos val="b"/>
        <c:tickLblPos val="none"/>
        <c:crossAx val="227712384"/>
        <c:crosses val="autoZero"/>
        <c:auto val="1"/>
        <c:lblAlgn val="ctr"/>
        <c:lblOffset val="100"/>
      </c:catAx>
      <c:valAx>
        <c:axId val="22771238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7108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82</c:v>
                </c:pt>
                <c:pt idx="1">
                  <c:v>93</c:v>
                </c:pt>
                <c:pt idx="2">
                  <c:v>78</c:v>
                </c:pt>
                <c:pt idx="3">
                  <c:v>85</c:v>
                </c:pt>
                <c:pt idx="4">
                  <c:v>0</c:v>
                </c:pt>
                <c:pt idx="5">
                  <c:v>41</c:v>
                </c:pt>
                <c:pt idx="6">
                  <c:v>34</c:v>
                </c:pt>
                <c:pt idx="7">
                  <c:v>141.39999999999418</c:v>
                </c:pt>
                <c:pt idx="8">
                  <c:v>112.60000000000582</c:v>
                </c:pt>
                <c:pt idx="9">
                  <c:v>100</c:v>
                </c:pt>
                <c:pt idx="10">
                  <c:v>39.610000000000582</c:v>
                </c:pt>
                <c:pt idx="11">
                  <c:v>43.210000000006403</c:v>
                </c:pt>
                <c:pt idx="12">
                  <c:v>43.44999999999709</c:v>
                </c:pt>
                <c:pt idx="13">
                  <c:v>42.80000000000291</c:v>
                </c:pt>
                <c:pt idx="14">
                  <c:v>89.929999999993015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240592384"/>
        <c:axId val="240593920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240608000"/>
        <c:axId val="240609536"/>
      </c:lineChart>
      <c:catAx>
        <c:axId val="24059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0593920"/>
        <c:crosses val="autoZero"/>
        <c:auto val="1"/>
        <c:lblAlgn val="ctr"/>
        <c:lblOffset val="100"/>
      </c:catAx>
      <c:valAx>
        <c:axId val="240593920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0592384"/>
        <c:crosses val="autoZero"/>
        <c:crossBetween val="between"/>
        <c:majorUnit val="2"/>
      </c:valAx>
      <c:catAx>
        <c:axId val="240608000"/>
        <c:scaling>
          <c:orientation val="minMax"/>
        </c:scaling>
        <c:delete val="1"/>
        <c:axPos val="b"/>
        <c:tickLblPos val="none"/>
        <c:crossAx val="240609536"/>
        <c:crosses val="autoZero"/>
        <c:auto val="1"/>
        <c:lblAlgn val="ctr"/>
        <c:lblOffset val="100"/>
      </c:catAx>
      <c:valAx>
        <c:axId val="24060953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060800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44</xdr:row>
      <xdr:rowOff>67235</xdr:rowOff>
    </xdr:from>
    <xdr:to>
      <xdr:col>42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2" workbookViewId="0">
      <selection activeCell="L31" sqref="L31"/>
    </sheetView>
  </sheetViews>
  <sheetFormatPr defaultColWidth="9" defaultRowHeight="15"/>
  <cols>
    <col min="1" max="1" width="9.6640625" style="1167" customWidth="1"/>
    <col min="2" max="3" width="9" style="1161"/>
    <col min="4" max="4" width="10.44140625" style="1162" customWidth="1"/>
    <col min="5" max="5" width="9.77734375" style="1163" customWidth="1"/>
    <col min="6" max="6" width="9.77734375" style="1167" customWidth="1"/>
    <col min="7" max="10" width="9" style="1167"/>
    <col min="11" max="12" width="9" style="1163"/>
    <col min="13" max="13" width="0" style="1166" hidden="1" customWidth="1"/>
    <col min="14" max="256" width="9" style="1166"/>
    <col min="257" max="257" width="9.6640625" style="1166" customWidth="1"/>
    <col min="258" max="259" width="9" style="1166"/>
    <col min="260" max="260" width="10.44140625" style="1166" customWidth="1"/>
    <col min="261" max="262" width="9.77734375" style="1166" customWidth="1"/>
    <col min="263" max="268" width="9" style="1166"/>
    <col min="269" max="269" width="0" style="1166" hidden="1" customWidth="1"/>
    <col min="270" max="512" width="9" style="1166"/>
    <col min="513" max="513" width="9.6640625" style="1166" customWidth="1"/>
    <col min="514" max="515" width="9" style="1166"/>
    <col min="516" max="516" width="10.44140625" style="1166" customWidth="1"/>
    <col min="517" max="518" width="9.77734375" style="1166" customWidth="1"/>
    <col min="519" max="524" width="9" style="1166"/>
    <col min="525" max="525" width="0" style="1166" hidden="1" customWidth="1"/>
    <col min="526" max="768" width="9" style="1166"/>
    <col min="769" max="769" width="9.6640625" style="1166" customWidth="1"/>
    <col min="770" max="771" width="9" style="1166"/>
    <col min="772" max="772" width="10.44140625" style="1166" customWidth="1"/>
    <col min="773" max="774" width="9.77734375" style="1166" customWidth="1"/>
    <col min="775" max="780" width="9" style="1166"/>
    <col min="781" max="781" width="0" style="1166" hidden="1" customWidth="1"/>
    <col min="782" max="1024" width="9" style="1166"/>
    <col min="1025" max="1025" width="9.6640625" style="1166" customWidth="1"/>
    <col min="1026" max="1027" width="9" style="1166"/>
    <col min="1028" max="1028" width="10.44140625" style="1166" customWidth="1"/>
    <col min="1029" max="1030" width="9.77734375" style="1166" customWidth="1"/>
    <col min="1031" max="1036" width="9" style="1166"/>
    <col min="1037" max="1037" width="0" style="1166" hidden="1" customWidth="1"/>
    <col min="1038" max="1280" width="9" style="1166"/>
    <col min="1281" max="1281" width="9.6640625" style="1166" customWidth="1"/>
    <col min="1282" max="1283" width="9" style="1166"/>
    <col min="1284" max="1284" width="10.44140625" style="1166" customWidth="1"/>
    <col min="1285" max="1286" width="9.77734375" style="1166" customWidth="1"/>
    <col min="1287" max="1292" width="9" style="1166"/>
    <col min="1293" max="1293" width="0" style="1166" hidden="1" customWidth="1"/>
    <col min="1294" max="1536" width="9" style="1166"/>
    <col min="1537" max="1537" width="9.6640625" style="1166" customWidth="1"/>
    <col min="1538" max="1539" width="9" style="1166"/>
    <col min="1540" max="1540" width="10.44140625" style="1166" customWidth="1"/>
    <col min="1541" max="1542" width="9.77734375" style="1166" customWidth="1"/>
    <col min="1543" max="1548" width="9" style="1166"/>
    <col min="1549" max="1549" width="0" style="1166" hidden="1" customWidth="1"/>
    <col min="1550" max="1792" width="9" style="1166"/>
    <col min="1793" max="1793" width="9.6640625" style="1166" customWidth="1"/>
    <col min="1794" max="1795" width="9" style="1166"/>
    <col min="1796" max="1796" width="10.44140625" style="1166" customWidth="1"/>
    <col min="1797" max="1798" width="9.77734375" style="1166" customWidth="1"/>
    <col min="1799" max="1804" width="9" style="1166"/>
    <col min="1805" max="1805" width="0" style="1166" hidden="1" customWidth="1"/>
    <col min="1806" max="2048" width="9" style="1166"/>
    <col min="2049" max="2049" width="9.6640625" style="1166" customWidth="1"/>
    <col min="2050" max="2051" width="9" style="1166"/>
    <col min="2052" max="2052" width="10.44140625" style="1166" customWidth="1"/>
    <col min="2053" max="2054" width="9.77734375" style="1166" customWidth="1"/>
    <col min="2055" max="2060" width="9" style="1166"/>
    <col min="2061" max="2061" width="0" style="1166" hidden="1" customWidth="1"/>
    <col min="2062" max="2304" width="9" style="1166"/>
    <col min="2305" max="2305" width="9.6640625" style="1166" customWidth="1"/>
    <col min="2306" max="2307" width="9" style="1166"/>
    <col min="2308" max="2308" width="10.44140625" style="1166" customWidth="1"/>
    <col min="2309" max="2310" width="9.77734375" style="1166" customWidth="1"/>
    <col min="2311" max="2316" width="9" style="1166"/>
    <col min="2317" max="2317" width="0" style="1166" hidden="1" customWidth="1"/>
    <col min="2318" max="2560" width="9" style="1166"/>
    <col min="2561" max="2561" width="9.6640625" style="1166" customWidth="1"/>
    <col min="2562" max="2563" width="9" style="1166"/>
    <col min="2564" max="2564" width="10.44140625" style="1166" customWidth="1"/>
    <col min="2565" max="2566" width="9.77734375" style="1166" customWidth="1"/>
    <col min="2567" max="2572" width="9" style="1166"/>
    <col min="2573" max="2573" width="0" style="1166" hidden="1" customWidth="1"/>
    <col min="2574" max="2816" width="9" style="1166"/>
    <col min="2817" max="2817" width="9.6640625" style="1166" customWidth="1"/>
    <col min="2818" max="2819" width="9" style="1166"/>
    <col min="2820" max="2820" width="10.44140625" style="1166" customWidth="1"/>
    <col min="2821" max="2822" width="9.77734375" style="1166" customWidth="1"/>
    <col min="2823" max="2828" width="9" style="1166"/>
    <col min="2829" max="2829" width="0" style="1166" hidden="1" customWidth="1"/>
    <col min="2830" max="3072" width="9" style="1166"/>
    <col min="3073" max="3073" width="9.6640625" style="1166" customWidth="1"/>
    <col min="3074" max="3075" width="9" style="1166"/>
    <col min="3076" max="3076" width="10.44140625" style="1166" customWidth="1"/>
    <col min="3077" max="3078" width="9.77734375" style="1166" customWidth="1"/>
    <col min="3079" max="3084" width="9" style="1166"/>
    <col min="3085" max="3085" width="0" style="1166" hidden="1" customWidth="1"/>
    <col min="3086" max="3328" width="9" style="1166"/>
    <col min="3329" max="3329" width="9.6640625" style="1166" customWidth="1"/>
    <col min="3330" max="3331" width="9" style="1166"/>
    <col min="3332" max="3332" width="10.44140625" style="1166" customWidth="1"/>
    <col min="3333" max="3334" width="9.77734375" style="1166" customWidth="1"/>
    <col min="3335" max="3340" width="9" style="1166"/>
    <col min="3341" max="3341" width="0" style="1166" hidden="1" customWidth="1"/>
    <col min="3342" max="3584" width="9" style="1166"/>
    <col min="3585" max="3585" width="9.6640625" style="1166" customWidth="1"/>
    <col min="3586" max="3587" width="9" style="1166"/>
    <col min="3588" max="3588" width="10.44140625" style="1166" customWidth="1"/>
    <col min="3589" max="3590" width="9.77734375" style="1166" customWidth="1"/>
    <col min="3591" max="3596" width="9" style="1166"/>
    <col min="3597" max="3597" width="0" style="1166" hidden="1" customWidth="1"/>
    <col min="3598" max="3840" width="9" style="1166"/>
    <col min="3841" max="3841" width="9.6640625" style="1166" customWidth="1"/>
    <col min="3842" max="3843" width="9" style="1166"/>
    <col min="3844" max="3844" width="10.44140625" style="1166" customWidth="1"/>
    <col min="3845" max="3846" width="9.77734375" style="1166" customWidth="1"/>
    <col min="3847" max="3852" width="9" style="1166"/>
    <col min="3853" max="3853" width="0" style="1166" hidden="1" customWidth="1"/>
    <col min="3854" max="4096" width="9" style="1166"/>
    <col min="4097" max="4097" width="9.6640625" style="1166" customWidth="1"/>
    <col min="4098" max="4099" width="9" style="1166"/>
    <col min="4100" max="4100" width="10.44140625" style="1166" customWidth="1"/>
    <col min="4101" max="4102" width="9.77734375" style="1166" customWidth="1"/>
    <col min="4103" max="4108" width="9" style="1166"/>
    <col min="4109" max="4109" width="0" style="1166" hidden="1" customWidth="1"/>
    <col min="4110" max="4352" width="9" style="1166"/>
    <col min="4353" max="4353" width="9.6640625" style="1166" customWidth="1"/>
    <col min="4354" max="4355" width="9" style="1166"/>
    <col min="4356" max="4356" width="10.44140625" style="1166" customWidth="1"/>
    <col min="4357" max="4358" width="9.77734375" style="1166" customWidth="1"/>
    <col min="4359" max="4364" width="9" style="1166"/>
    <col min="4365" max="4365" width="0" style="1166" hidden="1" customWidth="1"/>
    <col min="4366" max="4608" width="9" style="1166"/>
    <col min="4609" max="4609" width="9.6640625" style="1166" customWidth="1"/>
    <col min="4610" max="4611" width="9" style="1166"/>
    <col min="4612" max="4612" width="10.44140625" style="1166" customWidth="1"/>
    <col min="4613" max="4614" width="9.77734375" style="1166" customWidth="1"/>
    <col min="4615" max="4620" width="9" style="1166"/>
    <col min="4621" max="4621" width="0" style="1166" hidden="1" customWidth="1"/>
    <col min="4622" max="4864" width="9" style="1166"/>
    <col min="4865" max="4865" width="9.6640625" style="1166" customWidth="1"/>
    <col min="4866" max="4867" width="9" style="1166"/>
    <col min="4868" max="4868" width="10.44140625" style="1166" customWidth="1"/>
    <col min="4869" max="4870" width="9.77734375" style="1166" customWidth="1"/>
    <col min="4871" max="4876" width="9" style="1166"/>
    <col min="4877" max="4877" width="0" style="1166" hidden="1" customWidth="1"/>
    <col min="4878" max="5120" width="9" style="1166"/>
    <col min="5121" max="5121" width="9.6640625" style="1166" customWidth="1"/>
    <col min="5122" max="5123" width="9" style="1166"/>
    <col min="5124" max="5124" width="10.44140625" style="1166" customWidth="1"/>
    <col min="5125" max="5126" width="9.77734375" style="1166" customWidth="1"/>
    <col min="5127" max="5132" width="9" style="1166"/>
    <col min="5133" max="5133" width="0" style="1166" hidden="1" customWidth="1"/>
    <col min="5134" max="5376" width="9" style="1166"/>
    <col min="5377" max="5377" width="9.6640625" style="1166" customWidth="1"/>
    <col min="5378" max="5379" width="9" style="1166"/>
    <col min="5380" max="5380" width="10.44140625" style="1166" customWidth="1"/>
    <col min="5381" max="5382" width="9.77734375" style="1166" customWidth="1"/>
    <col min="5383" max="5388" width="9" style="1166"/>
    <col min="5389" max="5389" width="0" style="1166" hidden="1" customWidth="1"/>
    <col min="5390" max="5632" width="9" style="1166"/>
    <col min="5633" max="5633" width="9.6640625" style="1166" customWidth="1"/>
    <col min="5634" max="5635" width="9" style="1166"/>
    <col min="5636" max="5636" width="10.44140625" style="1166" customWidth="1"/>
    <col min="5637" max="5638" width="9.77734375" style="1166" customWidth="1"/>
    <col min="5639" max="5644" width="9" style="1166"/>
    <col min="5645" max="5645" width="0" style="1166" hidden="1" customWidth="1"/>
    <col min="5646" max="5888" width="9" style="1166"/>
    <col min="5889" max="5889" width="9.6640625" style="1166" customWidth="1"/>
    <col min="5890" max="5891" width="9" style="1166"/>
    <col min="5892" max="5892" width="10.44140625" style="1166" customWidth="1"/>
    <col min="5893" max="5894" width="9.77734375" style="1166" customWidth="1"/>
    <col min="5895" max="5900" width="9" style="1166"/>
    <col min="5901" max="5901" width="0" style="1166" hidden="1" customWidth="1"/>
    <col min="5902" max="6144" width="9" style="1166"/>
    <col min="6145" max="6145" width="9.6640625" style="1166" customWidth="1"/>
    <col min="6146" max="6147" width="9" style="1166"/>
    <col min="6148" max="6148" width="10.44140625" style="1166" customWidth="1"/>
    <col min="6149" max="6150" width="9.77734375" style="1166" customWidth="1"/>
    <col min="6151" max="6156" width="9" style="1166"/>
    <col min="6157" max="6157" width="0" style="1166" hidden="1" customWidth="1"/>
    <col min="6158" max="6400" width="9" style="1166"/>
    <col min="6401" max="6401" width="9.6640625" style="1166" customWidth="1"/>
    <col min="6402" max="6403" width="9" style="1166"/>
    <col min="6404" max="6404" width="10.44140625" style="1166" customWidth="1"/>
    <col min="6405" max="6406" width="9.77734375" style="1166" customWidth="1"/>
    <col min="6407" max="6412" width="9" style="1166"/>
    <col min="6413" max="6413" width="0" style="1166" hidden="1" customWidth="1"/>
    <col min="6414" max="6656" width="9" style="1166"/>
    <col min="6657" max="6657" width="9.6640625" style="1166" customWidth="1"/>
    <col min="6658" max="6659" width="9" style="1166"/>
    <col min="6660" max="6660" width="10.44140625" style="1166" customWidth="1"/>
    <col min="6661" max="6662" width="9.77734375" style="1166" customWidth="1"/>
    <col min="6663" max="6668" width="9" style="1166"/>
    <col min="6669" max="6669" width="0" style="1166" hidden="1" customWidth="1"/>
    <col min="6670" max="6912" width="9" style="1166"/>
    <col min="6913" max="6913" width="9.6640625" style="1166" customWidth="1"/>
    <col min="6914" max="6915" width="9" style="1166"/>
    <col min="6916" max="6916" width="10.44140625" style="1166" customWidth="1"/>
    <col min="6917" max="6918" width="9.77734375" style="1166" customWidth="1"/>
    <col min="6919" max="6924" width="9" style="1166"/>
    <col min="6925" max="6925" width="0" style="1166" hidden="1" customWidth="1"/>
    <col min="6926" max="7168" width="9" style="1166"/>
    <col min="7169" max="7169" width="9.6640625" style="1166" customWidth="1"/>
    <col min="7170" max="7171" width="9" style="1166"/>
    <col min="7172" max="7172" width="10.44140625" style="1166" customWidth="1"/>
    <col min="7173" max="7174" width="9.77734375" style="1166" customWidth="1"/>
    <col min="7175" max="7180" width="9" style="1166"/>
    <col min="7181" max="7181" width="0" style="1166" hidden="1" customWidth="1"/>
    <col min="7182" max="7424" width="9" style="1166"/>
    <col min="7425" max="7425" width="9.6640625" style="1166" customWidth="1"/>
    <col min="7426" max="7427" width="9" style="1166"/>
    <col min="7428" max="7428" width="10.44140625" style="1166" customWidth="1"/>
    <col min="7429" max="7430" width="9.77734375" style="1166" customWidth="1"/>
    <col min="7431" max="7436" width="9" style="1166"/>
    <col min="7437" max="7437" width="0" style="1166" hidden="1" customWidth="1"/>
    <col min="7438" max="7680" width="9" style="1166"/>
    <col min="7681" max="7681" width="9.6640625" style="1166" customWidth="1"/>
    <col min="7682" max="7683" width="9" style="1166"/>
    <col min="7684" max="7684" width="10.44140625" style="1166" customWidth="1"/>
    <col min="7685" max="7686" width="9.77734375" style="1166" customWidth="1"/>
    <col min="7687" max="7692" width="9" style="1166"/>
    <col min="7693" max="7693" width="0" style="1166" hidden="1" customWidth="1"/>
    <col min="7694" max="7936" width="9" style="1166"/>
    <col min="7937" max="7937" width="9.6640625" style="1166" customWidth="1"/>
    <col min="7938" max="7939" width="9" style="1166"/>
    <col min="7940" max="7940" width="10.44140625" style="1166" customWidth="1"/>
    <col min="7941" max="7942" width="9.77734375" style="1166" customWidth="1"/>
    <col min="7943" max="7948" width="9" style="1166"/>
    <col min="7949" max="7949" width="0" style="1166" hidden="1" customWidth="1"/>
    <col min="7950" max="8192" width="9" style="1166"/>
    <col min="8193" max="8193" width="9.6640625" style="1166" customWidth="1"/>
    <col min="8194" max="8195" width="9" style="1166"/>
    <col min="8196" max="8196" width="10.44140625" style="1166" customWidth="1"/>
    <col min="8197" max="8198" width="9.77734375" style="1166" customWidth="1"/>
    <col min="8199" max="8204" width="9" style="1166"/>
    <col min="8205" max="8205" width="0" style="1166" hidden="1" customWidth="1"/>
    <col min="8206" max="8448" width="9" style="1166"/>
    <col min="8449" max="8449" width="9.6640625" style="1166" customWidth="1"/>
    <col min="8450" max="8451" width="9" style="1166"/>
    <col min="8452" max="8452" width="10.44140625" style="1166" customWidth="1"/>
    <col min="8453" max="8454" width="9.77734375" style="1166" customWidth="1"/>
    <col min="8455" max="8460" width="9" style="1166"/>
    <col min="8461" max="8461" width="0" style="1166" hidden="1" customWidth="1"/>
    <col min="8462" max="8704" width="9" style="1166"/>
    <col min="8705" max="8705" width="9.6640625" style="1166" customWidth="1"/>
    <col min="8706" max="8707" width="9" style="1166"/>
    <col min="8708" max="8708" width="10.44140625" style="1166" customWidth="1"/>
    <col min="8709" max="8710" width="9.77734375" style="1166" customWidth="1"/>
    <col min="8711" max="8716" width="9" style="1166"/>
    <col min="8717" max="8717" width="0" style="1166" hidden="1" customWidth="1"/>
    <col min="8718" max="8960" width="9" style="1166"/>
    <col min="8961" max="8961" width="9.6640625" style="1166" customWidth="1"/>
    <col min="8962" max="8963" width="9" style="1166"/>
    <col min="8964" max="8964" width="10.44140625" style="1166" customWidth="1"/>
    <col min="8965" max="8966" width="9.77734375" style="1166" customWidth="1"/>
    <col min="8967" max="8972" width="9" style="1166"/>
    <col min="8973" max="8973" width="0" style="1166" hidden="1" customWidth="1"/>
    <col min="8974" max="9216" width="9" style="1166"/>
    <col min="9217" max="9217" width="9.6640625" style="1166" customWidth="1"/>
    <col min="9218" max="9219" width="9" style="1166"/>
    <col min="9220" max="9220" width="10.44140625" style="1166" customWidth="1"/>
    <col min="9221" max="9222" width="9.77734375" style="1166" customWidth="1"/>
    <col min="9223" max="9228" width="9" style="1166"/>
    <col min="9229" max="9229" width="0" style="1166" hidden="1" customWidth="1"/>
    <col min="9230" max="9472" width="9" style="1166"/>
    <col min="9473" max="9473" width="9.6640625" style="1166" customWidth="1"/>
    <col min="9474" max="9475" width="9" style="1166"/>
    <col min="9476" max="9476" width="10.44140625" style="1166" customWidth="1"/>
    <col min="9477" max="9478" width="9.77734375" style="1166" customWidth="1"/>
    <col min="9479" max="9484" width="9" style="1166"/>
    <col min="9485" max="9485" width="0" style="1166" hidden="1" customWidth="1"/>
    <col min="9486" max="9728" width="9" style="1166"/>
    <col min="9729" max="9729" width="9.6640625" style="1166" customWidth="1"/>
    <col min="9730" max="9731" width="9" style="1166"/>
    <col min="9732" max="9732" width="10.44140625" style="1166" customWidth="1"/>
    <col min="9733" max="9734" width="9.77734375" style="1166" customWidth="1"/>
    <col min="9735" max="9740" width="9" style="1166"/>
    <col min="9741" max="9741" width="0" style="1166" hidden="1" customWidth="1"/>
    <col min="9742" max="9984" width="9" style="1166"/>
    <col min="9985" max="9985" width="9.6640625" style="1166" customWidth="1"/>
    <col min="9986" max="9987" width="9" style="1166"/>
    <col min="9988" max="9988" width="10.44140625" style="1166" customWidth="1"/>
    <col min="9989" max="9990" width="9.77734375" style="1166" customWidth="1"/>
    <col min="9991" max="9996" width="9" style="1166"/>
    <col min="9997" max="9997" width="0" style="1166" hidden="1" customWidth="1"/>
    <col min="9998" max="10240" width="9" style="1166"/>
    <col min="10241" max="10241" width="9.6640625" style="1166" customWidth="1"/>
    <col min="10242" max="10243" width="9" style="1166"/>
    <col min="10244" max="10244" width="10.44140625" style="1166" customWidth="1"/>
    <col min="10245" max="10246" width="9.77734375" style="1166" customWidth="1"/>
    <col min="10247" max="10252" width="9" style="1166"/>
    <col min="10253" max="10253" width="0" style="1166" hidden="1" customWidth="1"/>
    <col min="10254" max="10496" width="9" style="1166"/>
    <col min="10497" max="10497" width="9.6640625" style="1166" customWidth="1"/>
    <col min="10498" max="10499" width="9" style="1166"/>
    <col min="10500" max="10500" width="10.44140625" style="1166" customWidth="1"/>
    <col min="10501" max="10502" width="9.77734375" style="1166" customWidth="1"/>
    <col min="10503" max="10508" width="9" style="1166"/>
    <col min="10509" max="10509" width="0" style="1166" hidden="1" customWidth="1"/>
    <col min="10510" max="10752" width="9" style="1166"/>
    <col min="10753" max="10753" width="9.6640625" style="1166" customWidth="1"/>
    <col min="10754" max="10755" width="9" style="1166"/>
    <col min="10756" max="10756" width="10.44140625" style="1166" customWidth="1"/>
    <col min="10757" max="10758" width="9.77734375" style="1166" customWidth="1"/>
    <col min="10759" max="10764" width="9" style="1166"/>
    <col min="10765" max="10765" width="0" style="1166" hidden="1" customWidth="1"/>
    <col min="10766" max="11008" width="9" style="1166"/>
    <col min="11009" max="11009" width="9.6640625" style="1166" customWidth="1"/>
    <col min="11010" max="11011" width="9" style="1166"/>
    <col min="11012" max="11012" width="10.44140625" style="1166" customWidth="1"/>
    <col min="11013" max="11014" width="9.77734375" style="1166" customWidth="1"/>
    <col min="11015" max="11020" width="9" style="1166"/>
    <col min="11021" max="11021" width="0" style="1166" hidden="1" customWidth="1"/>
    <col min="11022" max="11264" width="9" style="1166"/>
    <col min="11265" max="11265" width="9.6640625" style="1166" customWidth="1"/>
    <col min="11266" max="11267" width="9" style="1166"/>
    <col min="11268" max="11268" width="10.44140625" style="1166" customWidth="1"/>
    <col min="11269" max="11270" width="9.77734375" style="1166" customWidth="1"/>
    <col min="11271" max="11276" width="9" style="1166"/>
    <col min="11277" max="11277" width="0" style="1166" hidden="1" customWidth="1"/>
    <col min="11278" max="11520" width="9" style="1166"/>
    <col min="11521" max="11521" width="9.6640625" style="1166" customWidth="1"/>
    <col min="11522" max="11523" width="9" style="1166"/>
    <col min="11524" max="11524" width="10.44140625" style="1166" customWidth="1"/>
    <col min="11525" max="11526" width="9.77734375" style="1166" customWidth="1"/>
    <col min="11527" max="11532" width="9" style="1166"/>
    <col min="11533" max="11533" width="0" style="1166" hidden="1" customWidth="1"/>
    <col min="11534" max="11776" width="9" style="1166"/>
    <col min="11777" max="11777" width="9.6640625" style="1166" customWidth="1"/>
    <col min="11778" max="11779" width="9" style="1166"/>
    <col min="11780" max="11780" width="10.44140625" style="1166" customWidth="1"/>
    <col min="11781" max="11782" width="9.77734375" style="1166" customWidth="1"/>
    <col min="11783" max="11788" width="9" style="1166"/>
    <col min="11789" max="11789" width="0" style="1166" hidden="1" customWidth="1"/>
    <col min="11790" max="12032" width="9" style="1166"/>
    <col min="12033" max="12033" width="9.6640625" style="1166" customWidth="1"/>
    <col min="12034" max="12035" width="9" style="1166"/>
    <col min="12036" max="12036" width="10.44140625" style="1166" customWidth="1"/>
    <col min="12037" max="12038" width="9.77734375" style="1166" customWidth="1"/>
    <col min="12039" max="12044" width="9" style="1166"/>
    <col min="12045" max="12045" width="0" style="1166" hidden="1" customWidth="1"/>
    <col min="12046" max="12288" width="9" style="1166"/>
    <col min="12289" max="12289" width="9.6640625" style="1166" customWidth="1"/>
    <col min="12290" max="12291" width="9" style="1166"/>
    <col min="12292" max="12292" width="10.44140625" style="1166" customWidth="1"/>
    <col min="12293" max="12294" width="9.77734375" style="1166" customWidth="1"/>
    <col min="12295" max="12300" width="9" style="1166"/>
    <col min="12301" max="12301" width="0" style="1166" hidden="1" customWidth="1"/>
    <col min="12302" max="12544" width="9" style="1166"/>
    <col min="12545" max="12545" width="9.6640625" style="1166" customWidth="1"/>
    <col min="12546" max="12547" width="9" style="1166"/>
    <col min="12548" max="12548" width="10.44140625" style="1166" customWidth="1"/>
    <col min="12549" max="12550" width="9.77734375" style="1166" customWidth="1"/>
    <col min="12551" max="12556" width="9" style="1166"/>
    <col min="12557" max="12557" width="0" style="1166" hidden="1" customWidth="1"/>
    <col min="12558" max="12800" width="9" style="1166"/>
    <col min="12801" max="12801" width="9.6640625" style="1166" customWidth="1"/>
    <col min="12802" max="12803" width="9" style="1166"/>
    <col min="12804" max="12804" width="10.44140625" style="1166" customWidth="1"/>
    <col min="12805" max="12806" width="9.77734375" style="1166" customWidth="1"/>
    <col min="12807" max="12812" width="9" style="1166"/>
    <col min="12813" max="12813" width="0" style="1166" hidden="1" customWidth="1"/>
    <col min="12814" max="13056" width="9" style="1166"/>
    <col min="13057" max="13057" width="9.6640625" style="1166" customWidth="1"/>
    <col min="13058" max="13059" width="9" style="1166"/>
    <col min="13060" max="13060" width="10.44140625" style="1166" customWidth="1"/>
    <col min="13061" max="13062" width="9.77734375" style="1166" customWidth="1"/>
    <col min="13063" max="13068" width="9" style="1166"/>
    <col min="13069" max="13069" width="0" style="1166" hidden="1" customWidth="1"/>
    <col min="13070" max="13312" width="9" style="1166"/>
    <col min="13313" max="13313" width="9.6640625" style="1166" customWidth="1"/>
    <col min="13314" max="13315" width="9" style="1166"/>
    <col min="13316" max="13316" width="10.44140625" style="1166" customWidth="1"/>
    <col min="13317" max="13318" width="9.77734375" style="1166" customWidth="1"/>
    <col min="13319" max="13324" width="9" style="1166"/>
    <col min="13325" max="13325" width="0" style="1166" hidden="1" customWidth="1"/>
    <col min="13326" max="13568" width="9" style="1166"/>
    <col min="13569" max="13569" width="9.6640625" style="1166" customWidth="1"/>
    <col min="13570" max="13571" width="9" style="1166"/>
    <col min="13572" max="13572" width="10.44140625" style="1166" customWidth="1"/>
    <col min="13573" max="13574" width="9.77734375" style="1166" customWidth="1"/>
    <col min="13575" max="13580" width="9" style="1166"/>
    <col min="13581" max="13581" width="0" style="1166" hidden="1" customWidth="1"/>
    <col min="13582" max="13824" width="9" style="1166"/>
    <col min="13825" max="13825" width="9.6640625" style="1166" customWidth="1"/>
    <col min="13826" max="13827" width="9" style="1166"/>
    <col min="13828" max="13828" width="10.44140625" style="1166" customWidth="1"/>
    <col min="13829" max="13830" width="9.77734375" style="1166" customWidth="1"/>
    <col min="13831" max="13836" width="9" style="1166"/>
    <col min="13837" max="13837" width="0" style="1166" hidden="1" customWidth="1"/>
    <col min="13838" max="14080" width="9" style="1166"/>
    <col min="14081" max="14081" width="9.6640625" style="1166" customWidth="1"/>
    <col min="14082" max="14083" width="9" style="1166"/>
    <col min="14084" max="14084" width="10.44140625" style="1166" customWidth="1"/>
    <col min="14085" max="14086" width="9.77734375" style="1166" customWidth="1"/>
    <col min="14087" max="14092" width="9" style="1166"/>
    <col min="14093" max="14093" width="0" style="1166" hidden="1" customWidth="1"/>
    <col min="14094" max="14336" width="9" style="1166"/>
    <col min="14337" max="14337" width="9.6640625" style="1166" customWidth="1"/>
    <col min="14338" max="14339" width="9" style="1166"/>
    <col min="14340" max="14340" width="10.44140625" style="1166" customWidth="1"/>
    <col min="14341" max="14342" width="9.77734375" style="1166" customWidth="1"/>
    <col min="14343" max="14348" width="9" style="1166"/>
    <col min="14349" max="14349" width="0" style="1166" hidden="1" customWidth="1"/>
    <col min="14350" max="14592" width="9" style="1166"/>
    <col min="14593" max="14593" width="9.6640625" style="1166" customWidth="1"/>
    <col min="14594" max="14595" width="9" style="1166"/>
    <col min="14596" max="14596" width="10.44140625" style="1166" customWidth="1"/>
    <col min="14597" max="14598" width="9.77734375" style="1166" customWidth="1"/>
    <col min="14599" max="14604" width="9" style="1166"/>
    <col min="14605" max="14605" width="0" style="1166" hidden="1" customWidth="1"/>
    <col min="14606" max="14848" width="9" style="1166"/>
    <col min="14849" max="14849" width="9.6640625" style="1166" customWidth="1"/>
    <col min="14850" max="14851" width="9" style="1166"/>
    <col min="14852" max="14852" width="10.44140625" style="1166" customWidth="1"/>
    <col min="14853" max="14854" width="9.77734375" style="1166" customWidth="1"/>
    <col min="14855" max="14860" width="9" style="1166"/>
    <col min="14861" max="14861" width="0" style="1166" hidden="1" customWidth="1"/>
    <col min="14862" max="15104" width="9" style="1166"/>
    <col min="15105" max="15105" width="9.6640625" style="1166" customWidth="1"/>
    <col min="15106" max="15107" width="9" style="1166"/>
    <col min="15108" max="15108" width="10.44140625" style="1166" customWidth="1"/>
    <col min="15109" max="15110" width="9.77734375" style="1166" customWidth="1"/>
    <col min="15111" max="15116" width="9" style="1166"/>
    <col min="15117" max="15117" width="0" style="1166" hidden="1" customWidth="1"/>
    <col min="15118" max="15360" width="9" style="1166"/>
    <col min="15361" max="15361" width="9.6640625" style="1166" customWidth="1"/>
    <col min="15362" max="15363" width="9" style="1166"/>
    <col min="15364" max="15364" width="10.44140625" style="1166" customWidth="1"/>
    <col min="15365" max="15366" width="9.77734375" style="1166" customWidth="1"/>
    <col min="15367" max="15372" width="9" style="1166"/>
    <col min="15373" max="15373" width="0" style="1166" hidden="1" customWidth="1"/>
    <col min="15374" max="15616" width="9" style="1166"/>
    <col min="15617" max="15617" width="9.6640625" style="1166" customWidth="1"/>
    <col min="15618" max="15619" width="9" style="1166"/>
    <col min="15620" max="15620" width="10.44140625" style="1166" customWidth="1"/>
    <col min="15621" max="15622" width="9.77734375" style="1166" customWidth="1"/>
    <col min="15623" max="15628" width="9" style="1166"/>
    <col min="15629" max="15629" width="0" style="1166" hidden="1" customWidth="1"/>
    <col min="15630" max="15872" width="9" style="1166"/>
    <col min="15873" max="15873" width="9.6640625" style="1166" customWidth="1"/>
    <col min="15874" max="15875" width="9" style="1166"/>
    <col min="15876" max="15876" width="10.44140625" style="1166" customWidth="1"/>
    <col min="15877" max="15878" width="9.77734375" style="1166" customWidth="1"/>
    <col min="15879" max="15884" width="9" style="1166"/>
    <col min="15885" max="15885" width="0" style="1166" hidden="1" customWidth="1"/>
    <col min="15886" max="16128" width="9" style="1166"/>
    <col min="16129" max="16129" width="9.6640625" style="1166" customWidth="1"/>
    <col min="16130" max="16131" width="9" style="1166"/>
    <col min="16132" max="16132" width="10.44140625" style="1166" customWidth="1"/>
    <col min="16133" max="16134" width="9.77734375" style="1166" customWidth="1"/>
    <col min="16135" max="16140" width="9" style="1166"/>
    <col min="16141" max="16141" width="0" style="1166" hidden="1" customWidth="1"/>
    <col min="16142" max="16384" width="9" style="1166"/>
  </cols>
  <sheetData>
    <row r="1" spans="1:13" s="1159" customFormat="1" ht="60.75" thickBot="1">
      <c r="A1" s="1153" t="s">
        <v>289</v>
      </c>
      <c r="B1" s="1154" t="s">
        <v>290</v>
      </c>
      <c r="C1" s="1154" t="s">
        <v>291</v>
      </c>
      <c r="D1" s="1155" t="s">
        <v>292</v>
      </c>
      <c r="E1" s="1156" t="s">
        <v>293</v>
      </c>
      <c r="F1" s="1157" t="s">
        <v>294</v>
      </c>
      <c r="G1" s="1156" t="s">
        <v>301</v>
      </c>
      <c r="H1" s="1157" t="s">
        <v>302</v>
      </c>
      <c r="I1" s="1157" t="s">
        <v>295</v>
      </c>
      <c r="J1" s="1157" t="s">
        <v>296</v>
      </c>
      <c r="K1" s="1156" t="s">
        <v>297</v>
      </c>
      <c r="L1" s="1156" t="s">
        <v>298</v>
      </c>
      <c r="M1" s="1158" t="s">
        <v>299</v>
      </c>
    </row>
    <row r="2" spans="1:13">
      <c r="A2" s="1160" t="s">
        <v>300</v>
      </c>
      <c r="B2" s="1161">
        <v>1</v>
      </c>
      <c r="C2" s="1161">
        <v>5</v>
      </c>
      <c r="D2" s="1162">
        <v>2021</v>
      </c>
      <c r="E2" s="1163">
        <f>(IF('Daily HLP'!I4&gt;0,'Daily HLP'!I4,0))</f>
        <v>15988</v>
      </c>
      <c r="F2" s="1164">
        <v>9</v>
      </c>
      <c r="G2" s="1164">
        <f>(IF('Daily HLP'!M4&gt;0,'Daily HLP'!M4,0))</f>
        <v>334</v>
      </c>
      <c r="H2" s="1164">
        <v>50</v>
      </c>
      <c r="I2" s="1164">
        <f>(IF('Daily HLP'!P4&gt;0,'Daily HLP'!P4,0))</f>
        <v>136</v>
      </c>
      <c r="J2" s="1164">
        <v>100</v>
      </c>
      <c r="K2" s="1239">
        <f>Occupancy!G2</f>
        <v>86</v>
      </c>
      <c r="L2" s="1163">
        <f>Occupancy!F2</f>
        <v>140</v>
      </c>
      <c r="M2" s="1165" t="e">
        <f>E2*F2+G2*H2+#REF!*#REF!+I2*J2</f>
        <v>#REF!</v>
      </c>
    </row>
    <row r="3" spans="1:13">
      <c r="A3" s="1160" t="s">
        <v>300</v>
      </c>
      <c r="B3" s="1161">
        <f>B2+1</f>
        <v>2</v>
      </c>
      <c r="C3" s="1161">
        <v>5</v>
      </c>
      <c r="D3" s="1162">
        <v>2021</v>
      </c>
      <c r="E3" s="1163">
        <f>(IF('Daily HLP'!I5&gt;0,'Daily HLP'!I5,0))</f>
        <v>15961</v>
      </c>
      <c r="F3" s="1164">
        <v>9</v>
      </c>
      <c r="G3" s="1164">
        <f>(IF('Daily HLP'!M5&gt;0,'Daily HLP'!M5,0))</f>
        <v>445</v>
      </c>
      <c r="H3" s="1164">
        <v>50</v>
      </c>
      <c r="I3" s="1164">
        <f>(IF('Daily HLP'!P5&gt;0,'Daily HLP'!P5,0))</f>
        <v>111</v>
      </c>
      <c r="J3" s="1164">
        <v>100</v>
      </c>
      <c r="K3" s="1239">
        <f>Occupancy!G3</f>
        <v>59</v>
      </c>
      <c r="L3" s="1163">
        <f>Occupancy!F3</f>
        <v>83</v>
      </c>
      <c r="M3" s="1165" t="e">
        <f>E3*F3+G3*H3+#REF!*#REF!+I3*J3</f>
        <v>#REF!</v>
      </c>
    </row>
    <row r="4" spans="1:13">
      <c r="A4" s="1160" t="s">
        <v>300</v>
      </c>
      <c r="B4" s="1161">
        <f t="shared" ref="B4:B32" si="0">B3+1</f>
        <v>3</v>
      </c>
      <c r="C4" s="1161">
        <v>5</v>
      </c>
      <c r="D4" s="1162">
        <v>2021</v>
      </c>
      <c r="E4" s="1163">
        <f>(IF('Daily HLP'!I6&gt;0,'Daily HLP'!I6,0))</f>
        <v>16029</v>
      </c>
      <c r="F4" s="1164">
        <v>9</v>
      </c>
      <c r="G4" s="1164">
        <f>(IF('Daily HLP'!M6&gt;0,'Daily HLP'!M6,0))</f>
        <v>438</v>
      </c>
      <c r="H4" s="1164">
        <v>50</v>
      </c>
      <c r="I4" s="1164">
        <f>(IF('Daily HLP'!P6&gt;0,'Daily HLP'!P6,0))</f>
        <v>116</v>
      </c>
      <c r="J4" s="1164">
        <v>100</v>
      </c>
      <c r="K4" s="1239">
        <f>Occupancy!G4</f>
        <v>53</v>
      </c>
      <c r="L4" s="1163">
        <f>Occupancy!F4</f>
        <v>49</v>
      </c>
      <c r="M4" s="1165" t="e">
        <f>E4*F4+G4*H4+#REF!*#REF!+I4*J4</f>
        <v>#REF!</v>
      </c>
    </row>
    <row r="5" spans="1:13">
      <c r="A5" s="1160" t="s">
        <v>300</v>
      </c>
      <c r="B5" s="1161">
        <f t="shared" si="0"/>
        <v>4</v>
      </c>
      <c r="C5" s="1161">
        <v>5</v>
      </c>
      <c r="D5" s="1162">
        <v>2021</v>
      </c>
      <c r="E5" s="1163">
        <f>(IF('Daily HLP'!I7&gt;0,'Daily HLP'!I7,0))</f>
        <v>16163</v>
      </c>
      <c r="F5" s="1164">
        <v>9</v>
      </c>
      <c r="G5" s="1164">
        <f>(IF('Daily HLP'!M7&gt;0,'Daily HLP'!M7,0))</f>
        <v>584</v>
      </c>
      <c r="H5" s="1164">
        <v>50</v>
      </c>
      <c r="I5" s="1164">
        <f>(IF('Daily HLP'!P7&gt;0,'Daily HLP'!P7,0))</f>
        <v>107</v>
      </c>
      <c r="J5" s="1164">
        <v>100</v>
      </c>
      <c r="K5" s="1239">
        <f>Occupancy!G5</f>
        <v>62</v>
      </c>
      <c r="L5" s="1163">
        <f>Occupancy!F5</f>
        <v>81</v>
      </c>
      <c r="M5" s="1165" t="e">
        <f>E5*F5+G5*H5+#REF!*#REF!+I5*J5</f>
        <v>#REF!</v>
      </c>
    </row>
    <row r="6" spans="1:13">
      <c r="A6" s="1160" t="s">
        <v>300</v>
      </c>
      <c r="B6" s="1161">
        <f t="shared" si="0"/>
        <v>5</v>
      </c>
      <c r="C6" s="1161">
        <v>5</v>
      </c>
      <c r="D6" s="1162">
        <v>2021</v>
      </c>
      <c r="E6" s="1163">
        <f>(IF('Daily HLP'!I8&gt;0,'Daily HLP'!I8,0))</f>
        <v>15754</v>
      </c>
      <c r="F6" s="1164">
        <v>9</v>
      </c>
      <c r="G6" s="1164">
        <f>(IF('Daily HLP'!M8&gt;0,'Daily HLP'!M8,0))</f>
        <v>287</v>
      </c>
      <c r="H6" s="1164">
        <v>50</v>
      </c>
      <c r="I6" s="1164">
        <f>(IF('Daily HLP'!P8&gt;0,'Daily HLP'!P8,0))</f>
        <v>113</v>
      </c>
      <c r="J6" s="1164">
        <v>100</v>
      </c>
      <c r="K6" s="1239">
        <f>Occupancy!G6</f>
        <v>48</v>
      </c>
      <c r="L6" s="1163">
        <f>Occupancy!F6</f>
        <v>64</v>
      </c>
      <c r="M6" s="1165" t="e">
        <f>E6*F6+G6*H6+#REF!*#REF!+I6*J6</f>
        <v>#REF!</v>
      </c>
    </row>
    <row r="7" spans="1:13">
      <c r="A7" s="1160" t="s">
        <v>300</v>
      </c>
      <c r="B7" s="1161">
        <f t="shared" si="0"/>
        <v>6</v>
      </c>
      <c r="C7" s="1161">
        <v>5</v>
      </c>
      <c r="D7" s="1162">
        <v>2021</v>
      </c>
      <c r="E7" s="1163">
        <f>(IF('Daily HLP'!I9&gt;0,'Daily HLP'!I9,0))</f>
        <v>15577</v>
      </c>
      <c r="F7" s="1164">
        <v>9</v>
      </c>
      <c r="G7" s="1164">
        <f>(IF('Daily HLP'!M9&gt;0,'Daily HLP'!M9,0))</f>
        <v>477</v>
      </c>
      <c r="H7" s="1164">
        <v>50</v>
      </c>
      <c r="I7" s="1164">
        <f>(IF('Daily HLP'!P9&gt;0,'Daily HLP'!P9,0))</f>
        <v>56</v>
      </c>
      <c r="J7" s="1164">
        <v>100</v>
      </c>
      <c r="K7" s="1239">
        <f>Occupancy!G7</f>
        <v>47</v>
      </c>
      <c r="L7" s="1163">
        <f>Occupancy!F7</f>
        <v>41</v>
      </c>
      <c r="M7" s="1165" t="e">
        <f>E7*F7+G7*H7+#REF!*#REF!+I7*J7</f>
        <v>#REF!</v>
      </c>
    </row>
    <row r="8" spans="1:13">
      <c r="A8" s="1160" t="s">
        <v>300</v>
      </c>
      <c r="B8" s="1161">
        <f t="shared" si="0"/>
        <v>7</v>
      </c>
      <c r="C8" s="1161">
        <v>5</v>
      </c>
      <c r="D8" s="1162">
        <v>2021</v>
      </c>
      <c r="E8" s="1163">
        <f>(IF('Daily HLP'!I10&gt;0,'Daily HLP'!I10,0))</f>
        <v>14931</v>
      </c>
      <c r="F8" s="1164">
        <v>9</v>
      </c>
      <c r="G8" s="1164">
        <f>(IF('Daily HLP'!M10&gt;0,'Daily HLP'!M10,0))</f>
        <v>348</v>
      </c>
      <c r="H8" s="1164">
        <v>50</v>
      </c>
      <c r="I8" s="1164">
        <f>(IF('Daily HLP'!P10&gt;0,'Daily HLP'!P10,0))</f>
        <v>56</v>
      </c>
      <c r="J8" s="1164">
        <v>100</v>
      </c>
      <c r="K8" s="1239">
        <f>Occupancy!G8</f>
        <v>57</v>
      </c>
      <c r="L8" s="1163">
        <f>Occupancy!F8</f>
        <v>71</v>
      </c>
      <c r="M8" s="1165" t="e">
        <f>E8*F8+G8*H8+#REF!*#REF!+I8*J8</f>
        <v>#REF!</v>
      </c>
    </row>
    <row r="9" spans="1:13">
      <c r="A9" s="1160" t="s">
        <v>300</v>
      </c>
      <c r="B9" s="1161">
        <f t="shared" si="0"/>
        <v>8</v>
      </c>
      <c r="C9" s="1161">
        <v>5</v>
      </c>
      <c r="D9" s="1162">
        <v>2021</v>
      </c>
      <c r="E9" s="1163">
        <f>(IF('Daily HLP'!I11&gt;0,'Daily HLP'!I11,0))</f>
        <v>19453</v>
      </c>
      <c r="F9" s="1164">
        <v>9</v>
      </c>
      <c r="G9" s="1164">
        <f>(IF('Daily HLP'!M11&gt;0,'Daily HLP'!M11,0))</f>
        <v>613.47999999998137</v>
      </c>
      <c r="H9" s="1164">
        <v>50</v>
      </c>
      <c r="I9" s="1164">
        <f>(IF('Daily HLP'!P11&gt;0,'Daily HLP'!P11,0))</f>
        <v>115</v>
      </c>
      <c r="J9" s="1164">
        <v>100</v>
      </c>
      <c r="K9" s="1239">
        <f>Occupancy!G9</f>
        <v>83</v>
      </c>
      <c r="L9" s="1163">
        <f>Occupancy!F9</f>
        <v>282</v>
      </c>
      <c r="M9" s="1165" t="e">
        <f>E9*F9+G9*H9+#REF!*#REF!+I9*J9</f>
        <v>#REF!</v>
      </c>
    </row>
    <row r="10" spans="1:13">
      <c r="A10" s="1160" t="s">
        <v>300</v>
      </c>
      <c r="B10" s="1161">
        <f t="shared" si="0"/>
        <v>9</v>
      </c>
      <c r="C10" s="1161">
        <v>5</v>
      </c>
      <c r="D10" s="1162">
        <v>2021</v>
      </c>
      <c r="E10" s="1163">
        <f>(IF('Daily HLP'!I12&gt;0,'Daily HLP'!I12,0))</f>
        <v>15329</v>
      </c>
      <c r="F10" s="1164">
        <v>9</v>
      </c>
      <c r="G10" s="1164">
        <f>(IF('Daily HLP'!M12&gt;0,'Daily HLP'!M12,0))</f>
        <v>523.52000000001863</v>
      </c>
      <c r="H10" s="1164">
        <v>50</v>
      </c>
      <c r="I10" s="1164">
        <f>(IF('Daily HLP'!P12&gt;0,'Daily HLP'!P12,0))</f>
        <v>95</v>
      </c>
      <c r="J10" s="1164">
        <v>100</v>
      </c>
      <c r="K10" s="1239">
        <f>Occupancy!G10</f>
        <v>56</v>
      </c>
      <c r="L10" s="1163">
        <f>Occupancy!F10</f>
        <v>189</v>
      </c>
      <c r="M10" s="1165" t="e">
        <f>E10*F10+G10*H10+#REF!*#REF!+I10*J10</f>
        <v>#REF!</v>
      </c>
    </row>
    <row r="11" spans="1:13">
      <c r="A11" s="1160" t="s">
        <v>300</v>
      </c>
      <c r="B11" s="1161">
        <f t="shared" si="0"/>
        <v>10</v>
      </c>
      <c r="C11" s="1161">
        <v>5</v>
      </c>
      <c r="D11" s="1162">
        <v>2021</v>
      </c>
      <c r="E11" s="1163">
        <f>(IF('Daily HLP'!I13&gt;0,'Daily HLP'!I13,0))</f>
        <v>15144</v>
      </c>
      <c r="F11" s="1164">
        <v>9</v>
      </c>
      <c r="G11" s="1164">
        <f>(IF('Daily HLP'!M13&gt;0,'Daily HLP'!M13,0))</f>
        <v>243</v>
      </c>
      <c r="H11" s="1164">
        <v>50</v>
      </c>
      <c r="I11" s="1164">
        <f>(IF('Daily HLP'!P13&gt;0,'Daily HLP'!P13,0))</f>
        <v>77</v>
      </c>
      <c r="J11" s="1164">
        <v>100</v>
      </c>
      <c r="K11" s="1239">
        <f>Occupancy!G11</f>
        <v>50</v>
      </c>
      <c r="L11" s="1163">
        <f>Occupancy!F11</f>
        <v>72</v>
      </c>
      <c r="M11" s="1165" t="e">
        <f>E11*F11+G11*H11+#REF!*#REF!+I11*J11</f>
        <v>#REF!</v>
      </c>
    </row>
    <row r="12" spans="1:13">
      <c r="A12" s="1160" t="s">
        <v>300</v>
      </c>
      <c r="B12" s="1161">
        <f t="shared" si="0"/>
        <v>11</v>
      </c>
      <c r="C12" s="1161">
        <v>5</v>
      </c>
      <c r="D12" s="1162">
        <v>2021</v>
      </c>
      <c r="E12" s="1163">
        <f>(IF('Daily HLP'!I14&gt;0,'Daily HLP'!I14,0))</f>
        <v>14482.59</v>
      </c>
      <c r="F12" s="1164">
        <v>9</v>
      </c>
      <c r="G12" s="1164">
        <f>(IF('Daily HLP'!M14&gt;0,'Daily HLP'!M14,0))</f>
        <v>333.68999999994412</v>
      </c>
      <c r="H12" s="1164">
        <v>50</v>
      </c>
      <c r="I12" s="1164">
        <f>(IF('Daily HLP'!P14&gt;0,'Daily HLP'!P14,0))</f>
        <v>75</v>
      </c>
      <c r="J12" s="1164">
        <v>100</v>
      </c>
      <c r="K12" s="1239">
        <f>Occupancy!G12</f>
        <v>52</v>
      </c>
      <c r="L12" s="1163">
        <f>Occupancy!F12</f>
        <v>52</v>
      </c>
      <c r="M12" s="1165" t="e">
        <f>E12*F12+G12*H12+#REF!*#REF!+I12*J12</f>
        <v>#REF!</v>
      </c>
    </row>
    <row r="13" spans="1:13">
      <c r="A13" s="1160" t="s">
        <v>300</v>
      </c>
      <c r="B13" s="1161">
        <f t="shared" si="0"/>
        <v>12</v>
      </c>
      <c r="C13" s="1161">
        <v>5</v>
      </c>
      <c r="D13" s="1162">
        <v>2021</v>
      </c>
      <c r="E13" s="1163">
        <f>(IF('Daily HLP'!I15&gt;0,'Daily HLP'!I15,0))</f>
        <v>15169.280000000002</v>
      </c>
      <c r="F13" s="1164">
        <v>9</v>
      </c>
      <c r="G13" s="1164">
        <f>(IF('Daily HLP'!M15&gt;0,'Daily HLP'!M15,0))</f>
        <v>436.43000000016764</v>
      </c>
      <c r="H13" s="1164">
        <v>50</v>
      </c>
      <c r="I13" s="1164">
        <f>(IF('Daily HLP'!P15&gt;0,'Daily HLP'!P15,0))</f>
        <v>52</v>
      </c>
      <c r="J13" s="1164">
        <v>100</v>
      </c>
      <c r="K13" s="1239">
        <f>Occupancy!G13</f>
        <v>54</v>
      </c>
      <c r="L13" s="1163">
        <f>Occupancy!F13</f>
        <v>45</v>
      </c>
      <c r="M13" s="1165" t="e">
        <f>E13*F13+G13*H13+#REF!*#REF!+I13*J13</f>
        <v>#REF!</v>
      </c>
    </row>
    <row r="14" spans="1:13">
      <c r="A14" s="1160" t="s">
        <v>300</v>
      </c>
      <c r="B14" s="1161">
        <f t="shared" si="0"/>
        <v>13</v>
      </c>
      <c r="C14" s="1161">
        <v>5</v>
      </c>
      <c r="D14" s="1162">
        <v>2021</v>
      </c>
      <c r="E14" s="1163">
        <f>(IF('Daily HLP'!I16&gt;0,'Daily HLP'!I16,0))</f>
        <v>14565.96</v>
      </c>
      <c r="F14" s="1164">
        <v>9</v>
      </c>
      <c r="G14" s="1164">
        <f>(IF('Daily HLP'!M16&gt;0,'Daily HLP'!M16,0))</f>
        <v>650.87999999988824</v>
      </c>
      <c r="H14" s="1164">
        <v>50</v>
      </c>
      <c r="I14" s="1164">
        <f>(IF('Daily HLP'!P16&gt;0,'Daily HLP'!P16,0))</f>
        <v>77</v>
      </c>
      <c r="J14" s="1164">
        <v>100</v>
      </c>
      <c r="K14" s="1239">
        <f>Occupancy!G14</f>
        <v>49</v>
      </c>
      <c r="L14" s="1163">
        <f>Occupancy!F14</f>
        <v>60</v>
      </c>
      <c r="M14" s="1165" t="e">
        <f>E14*F14+G14*H14+#REF!*#REF!+I14*J14</f>
        <v>#REF!</v>
      </c>
    </row>
    <row r="15" spans="1:13">
      <c r="A15" s="1160" t="s">
        <v>300</v>
      </c>
      <c r="B15" s="1161">
        <f t="shared" si="0"/>
        <v>14</v>
      </c>
      <c r="C15" s="1161">
        <v>5</v>
      </c>
      <c r="D15" s="1162">
        <v>2021</v>
      </c>
      <c r="E15" s="1163">
        <f>(IF('Daily HLP'!I17&gt;0,'Daily HLP'!I17,0))</f>
        <v>14303.68</v>
      </c>
      <c r="F15" s="1164">
        <v>9</v>
      </c>
      <c r="G15" s="1164">
        <f>(IF('Daily HLP'!M17&gt;0,'Daily HLP'!M17,0))</f>
        <v>292.58000000007451</v>
      </c>
      <c r="H15" s="1164">
        <v>50</v>
      </c>
      <c r="I15" s="1164">
        <f>(IF('Daily HLP'!P17&gt;0,'Daily HLP'!P17,0))</f>
        <v>77</v>
      </c>
      <c r="J15" s="1164">
        <v>100</v>
      </c>
      <c r="K15" s="1239">
        <f>Occupancy!G15</f>
        <v>66</v>
      </c>
      <c r="L15" s="1163">
        <f>Occupancy!F15</f>
        <v>77</v>
      </c>
      <c r="M15" s="1165" t="e">
        <f>E15*F15+G15*H15+#REF!*#REF!+I15*J15</f>
        <v>#REF!</v>
      </c>
    </row>
    <row r="16" spans="1:13">
      <c r="A16" s="1160" t="s">
        <v>300</v>
      </c>
      <c r="B16" s="1161">
        <f t="shared" si="0"/>
        <v>15</v>
      </c>
      <c r="C16" s="1161">
        <v>5</v>
      </c>
      <c r="D16" s="1162">
        <v>2021</v>
      </c>
      <c r="E16" s="1163">
        <f>(IF('Daily HLP'!I18&gt;0,'Daily HLP'!I18,0))</f>
        <v>17032.489999999998</v>
      </c>
      <c r="F16" s="1164">
        <v>9</v>
      </c>
      <c r="G16" s="1164">
        <f>(IF('Daily HLP'!M18&gt;0,'Daily HLP'!M18,0))</f>
        <v>437.41999999992549</v>
      </c>
      <c r="H16" s="1164">
        <v>50</v>
      </c>
      <c r="I16" s="1164">
        <f>(IF('Daily HLP'!P18&gt;0,'Daily HLP'!P18,0))</f>
        <v>116</v>
      </c>
      <c r="J16" s="1164">
        <v>100</v>
      </c>
      <c r="K16" s="1239">
        <f>Occupancy!G16</f>
        <v>107</v>
      </c>
      <c r="L16" s="1163">
        <f>Occupancy!F16</f>
        <v>173</v>
      </c>
      <c r="M16" s="1165" t="e">
        <f>E16*F16+G16*H16+#REF!*#REF!+I16*J16</f>
        <v>#REF!</v>
      </c>
    </row>
    <row r="17" spans="1:13">
      <c r="A17" s="1160" t="s">
        <v>300</v>
      </c>
      <c r="B17" s="1161">
        <f t="shared" si="0"/>
        <v>16</v>
      </c>
      <c r="C17" s="1161">
        <v>5</v>
      </c>
      <c r="D17" s="1162">
        <v>2021</v>
      </c>
      <c r="E17" s="1163">
        <f>(IF('Daily HLP'!I19&gt;0,'Daily HLP'!I19,0))</f>
        <v>15022</v>
      </c>
      <c r="F17" s="1164">
        <v>9</v>
      </c>
      <c r="G17" s="1164">
        <f>(IF('Daily HLP'!M19&gt;0,'Daily HLP'!M19,0))</f>
        <v>317</v>
      </c>
      <c r="H17" s="1164">
        <v>50</v>
      </c>
      <c r="I17" s="1164">
        <f>(IF('Daily HLP'!P19&gt;0,'Daily HLP'!P19,0))</f>
        <v>117</v>
      </c>
      <c r="J17" s="1164">
        <v>100</v>
      </c>
      <c r="K17" s="1239">
        <f>Occupancy!G17</f>
        <v>74</v>
      </c>
      <c r="L17" s="1163">
        <f>Occupancy!F17</f>
        <v>115</v>
      </c>
      <c r="M17" s="1165" t="e">
        <f>E17*F17+G17*H17+#REF!*#REF!+I17*J17</f>
        <v>#REF!</v>
      </c>
    </row>
    <row r="18" spans="1:13">
      <c r="A18" s="1160" t="s">
        <v>300</v>
      </c>
      <c r="B18" s="1161">
        <f t="shared" si="0"/>
        <v>17</v>
      </c>
      <c r="C18" s="1161">
        <v>5</v>
      </c>
      <c r="D18" s="1162">
        <v>2021</v>
      </c>
      <c r="E18" s="1163">
        <f>(IF('Daily HLP'!I20&gt;0,'Daily HLP'!I20,0))</f>
        <v>14872</v>
      </c>
      <c r="F18" s="1164">
        <v>9</v>
      </c>
      <c r="G18" s="1164">
        <f>(IF('Daily HLP'!M20&gt;0,'Daily HLP'!M20,0))</f>
        <v>562</v>
      </c>
      <c r="H18" s="1164">
        <v>50</v>
      </c>
      <c r="I18" s="1164">
        <f>(IF('Daily HLP'!P20&gt;0,'Daily HLP'!P20,0))</f>
        <v>76</v>
      </c>
      <c r="J18" s="1164">
        <v>100</v>
      </c>
      <c r="K18" s="1239">
        <f>Occupancy!G18</f>
        <v>67</v>
      </c>
      <c r="L18" s="1163">
        <f>Occupancy!F18</f>
        <v>75</v>
      </c>
      <c r="M18" s="1165" t="e">
        <f>E18*F18+G18*H18+#REF!*#REF!+I18*J18</f>
        <v>#REF!</v>
      </c>
    </row>
    <row r="19" spans="1:13">
      <c r="A19" s="1160" t="s">
        <v>300</v>
      </c>
      <c r="B19" s="1161">
        <f t="shared" si="0"/>
        <v>18</v>
      </c>
      <c r="C19" s="1161">
        <v>5</v>
      </c>
      <c r="D19" s="1162">
        <v>2021</v>
      </c>
      <c r="E19" s="1163">
        <f>(IF('Daily HLP'!I21&gt;0,'Daily HLP'!I21,0))</f>
        <v>15342</v>
      </c>
      <c r="F19" s="1164">
        <v>9</v>
      </c>
      <c r="G19" s="1164">
        <f>(IF('Daily HLP'!M21&gt;0,'Daily HLP'!M21,0))</f>
        <v>400</v>
      </c>
      <c r="H19" s="1164">
        <v>50</v>
      </c>
      <c r="I19" s="1164">
        <f>(IF('Daily HLP'!P21&gt;0,'Daily HLP'!P21,0))</f>
        <v>105</v>
      </c>
      <c r="J19" s="1164">
        <v>100</v>
      </c>
      <c r="K19" s="1239">
        <f>Occupancy!G19</f>
        <v>53</v>
      </c>
      <c r="L19" s="1163">
        <f>Occupancy!F19</f>
        <v>64</v>
      </c>
      <c r="M19" s="1165" t="e">
        <f>E19*F19+G19*H19+#REF!*#REF!+I19*J19</f>
        <v>#REF!</v>
      </c>
    </row>
    <row r="20" spans="1:13">
      <c r="A20" s="1160" t="s">
        <v>300</v>
      </c>
      <c r="B20" s="1161">
        <f t="shared" si="0"/>
        <v>19</v>
      </c>
      <c r="C20" s="1161">
        <v>5</v>
      </c>
      <c r="D20" s="1162">
        <v>2021</v>
      </c>
      <c r="E20" s="1163">
        <f>(IF('Daily HLP'!I22&gt;0,'Daily HLP'!I22,0))</f>
        <v>14419</v>
      </c>
      <c r="F20" s="1164">
        <v>9</v>
      </c>
      <c r="G20" s="1164">
        <f>(IF('Daily HLP'!M22&gt;0,'Daily HLP'!M22,0))</f>
        <v>248</v>
      </c>
      <c r="H20" s="1164">
        <v>50</v>
      </c>
      <c r="I20" s="1164">
        <f>(IF('Daily HLP'!P22&gt;0,'Daily HLP'!P22,0))</f>
        <v>60</v>
      </c>
      <c r="J20" s="1164">
        <v>100</v>
      </c>
      <c r="K20" s="1239">
        <f>Occupancy!G20</f>
        <v>56</v>
      </c>
      <c r="L20" s="1163">
        <f>Occupancy!F20</f>
        <v>77</v>
      </c>
      <c r="M20" s="1165" t="e">
        <f>E20*F20+G20*H20+#REF!*#REF!+I20*J20</f>
        <v>#REF!</v>
      </c>
    </row>
    <row r="21" spans="1:13">
      <c r="A21" s="1160" t="s">
        <v>300</v>
      </c>
      <c r="B21" s="1161">
        <f t="shared" si="0"/>
        <v>20</v>
      </c>
      <c r="C21" s="1161">
        <v>5</v>
      </c>
      <c r="D21" s="1162">
        <v>2021</v>
      </c>
      <c r="E21" s="1163">
        <f>(IF('Daily HLP'!I23&gt;0,'Daily HLP'!I23,0))</f>
        <v>15123</v>
      </c>
      <c r="F21" s="1164">
        <v>9</v>
      </c>
      <c r="G21" s="1164">
        <f>(IF('Daily HLP'!M23&gt;0,'Daily HLP'!M23,0))</f>
        <v>288</v>
      </c>
      <c r="H21" s="1164">
        <v>50</v>
      </c>
      <c r="I21" s="1164">
        <f>(IF('Daily HLP'!P23&gt;0,'Daily HLP'!P23,0))</f>
        <v>57</v>
      </c>
      <c r="J21" s="1164">
        <v>100</v>
      </c>
      <c r="K21" s="1239">
        <f>Occupancy!G21</f>
        <v>73</v>
      </c>
      <c r="L21" s="1163">
        <f>Occupancy!F21</f>
        <v>102</v>
      </c>
      <c r="M21" s="1165" t="e">
        <f>E21*F21+G21*H21+#REF!*#REF!+I21*J21</f>
        <v>#REF!</v>
      </c>
    </row>
    <row r="22" spans="1:13">
      <c r="A22" s="1160" t="s">
        <v>300</v>
      </c>
      <c r="B22" s="1161">
        <f t="shared" si="0"/>
        <v>21</v>
      </c>
      <c r="C22" s="1161">
        <v>5</v>
      </c>
      <c r="D22" s="1162">
        <v>2021</v>
      </c>
      <c r="E22" s="1163">
        <f>(IF('Daily HLP'!I24&gt;0,'Daily HLP'!I24,0))</f>
        <v>16012</v>
      </c>
      <c r="F22" s="1164">
        <v>9</v>
      </c>
      <c r="G22" s="1164">
        <f>(IF('Daily HLP'!M24&gt;0,'Daily HLP'!M24,0))</f>
        <v>534</v>
      </c>
      <c r="H22" s="1164">
        <v>50</v>
      </c>
      <c r="I22" s="1164">
        <f>(IF('Daily HLP'!P24&gt;0,'Daily HLP'!P24,0))</f>
        <v>96</v>
      </c>
      <c r="J22" s="1164">
        <v>100</v>
      </c>
      <c r="K22" s="1239">
        <f>Occupancy!G22</f>
        <v>87</v>
      </c>
      <c r="L22" s="1163">
        <f>Occupancy!F22</f>
        <v>127</v>
      </c>
      <c r="M22" s="1165" t="e">
        <f>E22*F22+G22*H22+#REF!*#REF!+I22*J22</f>
        <v>#REF!</v>
      </c>
    </row>
    <row r="23" spans="1:13">
      <c r="A23" s="1160" t="s">
        <v>300</v>
      </c>
      <c r="B23" s="1161">
        <f t="shared" si="0"/>
        <v>22</v>
      </c>
      <c r="C23" s="1161">
        <v>5</v>
      </c>
      <c r="D23" s="1162">
        <v>2021</v>
      </c>
      <c r="E23" s="1163">
        <f>(IF('Daily HLP'!I25&gt;0,'Daily HLP'!I25,0))</f>
        <v>17759</v>
      </c>
      <c r="F23" s="1164">
        <v>9</v>
      </c>
      <c r="G23" s="1164">
        <f>(IF('Daily HLP'!M25&gt;0,'Daily HLP'!M25,0))</f>
        <v>632</v>
      </c>
      <c r="H23" s="1164">
        <v>50</v>
      </c>
      <c r="I23" s="1164">
        <f>(IF('Daily HLP'!P25&gt;0,'Daily HLP'!P25,0))</f>
        <v>150</v>
      </c>
      <c r="J23" s="1164">
        <v>100</v>
      </c>
      <c r="K23" s="1239">
        <f>Occupancy!G23</f>
        <v>124</v>
      </c>
      <c r="L23" s="1163">
        <f>Occupancy!F23</f>
        <v>272</v>
      </c>
      <c r="M23" s="1165" t="e">
        <f>E23*F23+G23*H23+#REF!*#REF!+I23*J23</f>
        <v>#REF!</v>
      </c>
    </row>
    <row r="24" spans="1:13">
      <c r="A24" s="1160" t="s">
        <v>300</v>
      </c>
      <c r="B24" s="1161">
        <f t="shared" si="0"/>
        <v>23</v>
      </c>
      <c r="C24" s="1161">
        <v>5</v>
      </c>
      <c r="D24" s="1162">
        <v>2021</v>
      </c>
      <c r="E24" s="1163">
        <f>(IF('Daily HLP'!I26&gt;0,'Daily HLP'!I26,0))</f>
        <v>16907.049999999988</v>
      </c>
      <c r="F24" s="1164">
        <v>9</v>
      </c>
      <c r="G24" s="1164">
        <f>(IF('Daily HLP'!M26&gt;0,'Daily HLP'!M26,0))</f>
        <v>366.93500000005588</v>
      </c>
      <c r="H24" s="1164">
        <v>50</v>
      </c>
      <c r="I24" s="1164">
        <f>(IF('Daily HLP'!P26&gt;0,'Daily HLP'!P26,0))</f>
        <v>140</v>
      </c>
      <c r="J24" s="1164">
        <v>100</v>
      </c>
      <c r="K24" s="1239">
        <f>Occupancy!G24</f>
        <v>87</v>
      </c>
      <c r="L24" s="1163">
        <f>Occupancy!F24</f>
        <v>217</v>
      </c>
      <c r="M24" s="1165" t="e">
        <f>E24*F24+G24*H24+#REF!*#REF!+I24*J24</f>
        <v>#REF!</v>
      </c>
    </row>
    <row r="25" spans="1:13">
      <c r="A25" s="1160" t="s">
        <v>300</v>
      </c>
      <c r="B25" s="1161">
        <f t="shared" si="0"/>
        <v>24</v>
      </c>
      <c r="C25" s="1161">
        <v>5</v>
      </c>
      <c r="D25" s="1162">
        <v>2021</v>
      </c>
      <c r="E25" s="1163">
        <f>(IF('Daily HLP'!I27&gt;0,'Daily HLP'!I27,0))</f>
        <v>16547.620000000024</v>
      </c>
      <c r="F25" s="1164">
        <v>9</v>
      </c>
      <c r="G25" s="1164">
        <f>(IF('Daily HLP'!M27&gt;0,'Daily HLP'!M27,0))</f>
        <v>510.69499999983236</v>
      </c>
      <c r="H25" s="1164">
        <v>50</v>
      </c>
      <c r="I25" s="1164">
        <f>(IF('Daily HLP'!P27&gt;0,'Daily HLP'!P27,0))</f>
        <v>110</v>
      </c>
      <c r="J25" s="1164">
        <v>100</v>
      </c>
      <c r="K25" s="1239">
        <f>Occupancy!G25</f>
        <v>59</v>
      </c>
      <c r="L25" s="1163">
        <f>Occupancy!F25</f>
        <v>90</v>
      </c>
      <c r="M25" s="1165" t="e">
        <f>E25*F25+G25*H25+#REF!*#REF!+I25*J25</f>
        <v>#REF!</v>
      </c>
    </row>
    <row r="26" spans="1:13">
      <c r="A26" s="1160" t="s">
        <v>300</v>
      </c>
      <c r="B26" s="1161">
        <f>B25+1</f>
        <v>25</v>
      </c>
      <c r="C26" s="1161">
        <v>5</v>
      </c>
      <c r="D26" s="1162">
        <v>2021</v>
      </c>
      <c r="E26" s="1163">
        <f>(IF('Daily HLP'!I28&gt;0,'Daily HLP'!I28,0))</f>
        <v>16235.399999999994</v>
      </c>
      <c r="F26" s="1164">
        <v>9</v>
      </c>
      <c r="G26" s="1164">
        <f>(IF('Daily HLP'!M28&gt;0,'Daily HLP'!M28,0))</f>
        <v>675.28900000010617</v>
      </c>
      <c r="H26" s="1164">
        <v>50</v>
      </c>
      <c r="I26" s="1164">
        <f>(IF('Daily HLP'!P28&gt;0,'Daily HLP'!P28,0))</f>
        <v>120</v>
      </c>
      <c r="J26" s="1164">
        <v>100</v>
      </c>
      <c r="K26" s="1239">
        <f>Occupancy!G26</f>
        <v>62</v>
      </c>
      <c r="L26" s="1163">
        <f>Occupancy!F26</f>
        <v>84</v>
      </c>
      <c r="M26" s="1165" t="e">
        <f>E26*F26+G26*H26+#REF!*#REF!+I26*J26</f>
        <v>#REF!</v>
      </c>
    </row>
    <row r="27" spans="1:13">
      <c r="A27" s="1160" t="s">
        <v>300</v>
      </c>
      <c r="B27" s="1161">
        <f t="shared" si="0"/>
        <v>26</v>
      </c>
      <c r="C27" s="1161">
        <v>5</v>
      </c>
      <c r="D27" s="1162">
        <v>2021</v>
      </c>
      <c r="E27" s="1163">
        <f>(IF('Daily HLP'!I29&gt;0,'Daily HLP'!I29,0))</f>
        <v>19224.559999999998</v>
      </c>
      <c r="F27" s="1164">
        <v>9</v>
      </c>
      <c r="G27" s="1164">
        <f>(IF('Daily HLP'!M29&gt;0,'Daily HLP'!M29,0))</f>
        <v>374.08100000000559</v>
      </c>
      <c r="H27" s="1164">
        <v>50</v>
      </c>
      <c r="I27" s="1164">
        <f>(IF('Daily HLP'!P29&gt;0,'Daily HLP'!P29,0))</f>
        <v>113</v>
      </c>
      <c r="J27" s="1164">
        <v>100</v>
      </c>
      <c r="K27" s="1239">
        <f>Occupancy!G27</f>
        <v>88</v>
      </c>
      <c r="L27" s="1163">
        <f>Occupancy!F27</f>
        <v>419</v>
      </c>
      <c r="M27" s="1165" t="e">
        <f>E27*F27+G27*H27+#REF!*#REF!+I27*J27</f>
        <v>#REF!</v>
      </c>
    </row>
    <row r="28" spans="1:13">
      <c r="A28" s="1160" t="s">
        <v>300</v>
      </c>
      <c r="B28" s="1161">
        <f t="shared" si="0"/>
        <v>27</v>
      </c>
      <c r="C28" s="1161">
        <v>5</v>
      </c>
      <c r="D28" s="1162">
        <v>2021</v>
      </c>
      <c r="E28" s="1163">
        <f>(IF('Daily HLP'!I30&gt;0,'Daily HLP'!I30,0))</f>
        <v>16772.369999999995</v>
      </c>
      <c r="F28" s="1164">
        <v>9</v>
      </c>
      <c r="G28" s="1164">
        <f>(IF('Daily HLP'!M30&gt;0,'Daily HLP'!M30,0))</f>
        <v>615</v>
      </c>
      <c r="H28" s="1164">
        <v>50</v>
      </c>
      <c r="I28" s="1164">
        <f>(IF('Daily HLP'!P30&gt;0,'Daily HLP'!P30,0))</f>
        <v>121</v>
      </c>
      <c r="J28" s="1164">
        <v>100</v>
      </c>
      <c r="K28" s="1239">
        <f>Occupancy!G28</f>
        <v>72</v>
      </c>
      <c r="L28" s="1163">
        <f>Occupancy!F28</f>
        <v>106</v>
      </c>
      <c r="M28" s="1165" t="e">
        <f>E28*F28+G28*H28+#REF!*#REF!+I28*J28</f>
        <v>#REF!</v>
      </c>
    </row>
    <row r="29" spans="1:13">
      <c r="A29" s="1160" t="s">
        <v>300</v>
      </c>
      <c r="B29" s="1161">
        <f t="shared" si="0"/>
        <v>28</v>
      </c>
      <c r="C29" s="1161">
        <v>5</v>
      </c>
      <c r="D29" s="1162">
        <v>2021</v>
      </c>
      <c r="E29" s="1163">
        <f>(IF('Daily HLP'!I31&gt;0,'Daily HLP'!I31,0))</f>
        <v>16848</v>
      </c>
      <c r="F29" s="1164">
        <v>9</v>
      </c>
      <c r="G29" s="1164">
        <f>(IF('Daily HLP'!M31&gt;0,'Daily HLP'!M31,0))</f>
        <v>458</v>
      </c>
      <c r="H29" s="1164">
        <v>50</v>
      </c>
      <c r="I29" s="1164">
        <f>(IF('Daily HLP'!P31&gt;0,'Daily HLP'!P31,0))</f>
        <v>100</v>
      </c>
      <c r="J29" s="1164">
        <v>100</v>
      </c>
      <c r="K29" s="1239">
        <f>Occupancy!G29</f>
        <v>91</v>
      </c>
      <c r="L29" s="1163">
        <f>Occupancy!F29</f>
        <v>163</v>
      </c>
      <c r="M29" s="1165" t="e">
        <f>E29*F29+G29*H29+#REF!*#REF!+I29*J29</f>
        <v>#REF!</v>
      </c>
    </row>
    <row r="30" spans="1:13">
      <c r="A30" s="1160" t="s">
        <v>300</v>
      </c>
      <c r="B30" s="1161">
        <f t="shared" si="0"/>
        <v>29</v>
      </c>
      <c r="C30" s="1161">
        <v>5</v>
      </c>
      <c r="D30" s="1162">
        <v>2021</v>
      </c>
      <c r="E30" s="1163">
        <f>(IF('Daily HLP'!I32&gt;0,'Daily HLP'!I32,0))</f>
        <v>16913</v>
      </c>
      <c r="F30" s="1164">
        <v>9</v>
      </c>
      <c r="G30" s="1164">
        <f>(IF('Daily HLP'!M32&gt;0,'Daily HLP'!M32,0))</f>
        <v>318</v>
      </c>
      <c r="H30" s="1164">
        <v>50</v>
      </c>
      <c r="I30" s="1164">
        <f>(IF('Daily HLP'!P32&gt;0,'Daily HLP'!P32,0))</f>
        <v>117</v>
      </c>
      <c r="J30" s="1164">
        <v>100</v>
      </c>
      <c r="K30" s="1239">
        <f>Occupancy!G30</f>
        <v>137</v>
      </c>
      <c r="L30" s="1163">
        <f>Occupancy!F30</f>
        <v>245</v>
      </c>
      <c r="M30" s="1165" t="e">
        <f>E30*F30+G30*H30+#REF!*#REF!+I30*J30</f>
        <v>#REF!</v>
      </c>
    </row>
    <row r="31" spans="1:13">
      <c r="A31" s="1160" t="s">
        <v>300</v>
      </c>
      <c r="B31" s="1161">
        <f t="shared" si="0"/>
        <v>30</v>
      </c>
      <c r="C31" s="1161">
        <v>5</v>
      </c>
      <c r="D31" s="1162">
        <v>2021</v>
      </c>
      <c r="E31" s="1163">
        <f>(IF('Daily HLP'!I33&gt;0,'Daily HLP'!I33,0))</f>
        <v>17872</v>
      </c>
      <c r="F31" s="1164">
        <v>9</v>
      </c>
      <c r="G31" s="1164">
        <f>(IF('Daily HLP'!M33&gt;0,'Daily HLP'!M33,0))</f>
        <v>484</v>
      </c>
      <c r="H31" s="1164">
        <v>50</v>
      </c>
      <c r="I31" s="1164">
        <f>(IF('Daily HLP'!P33&gt;0,'Daily HLP'!P33,0))</f>
        <v>138</v>
      </c>
      <c r="J31" s="1164">
        <v>100</v>
      </c>
      <c r="K31" s="1239">
        <f>Occupancy!G31</f>
        <v>76</v>
      </c>
      <c r="L31" s="1163">
        <f>Occupancy!F31</f>
        <v>180</v>
      </c>
      <c r="M31" s="1165" t="e">
        <f>E31*F31+G31*H31+#REF!*#REF!+I31*J31</f>
        <v>#REF!</v>
      </c>
    </row>
    <row r="32" spans="1:13" s="1163" customFormat="1">
      <c r="A32" s="1160" t="s">
        <v>300</v>
      </c>
      <c r="B32" s="1161">
        <f t="shared" si="0"/>
        <v>31</v>
      </c>
      <c r="C32" s="1161">
        <v>5</v>
      </c>
      <c r="D32" s="1162">
        <v>2021</v>
      </c>
      <c r="E32" s="1163">
        <f>(IF('Daily HLP'!I34&gt;0,'Daily HLP'!I34,0))</f>
        <v>17744</v>
      </c>
      <c r="F32" s="1164">
        <v>10</v>
      </c>
      <c r="G32" s="1164">
        <f>(IF('Daily HLP'!M34&gt;0,'Daily HLP'!M34,0))</f>
        <v>640</v>
      </c>
      <c r="H32" s="1164">
        <v>50</v>
      </c>
      <c r="I32" s="1164">
        <f>(IF('Daily HLP'!P34&gt;0,'Daily HLP'!P34,0))</f>
        <v>121</v>
      </c>
      <c r="J32" s="1164">
        <v>100</v>
      </c>
      <c r="K32" s="1239">
        <f>Occupancy!G32</f>
        <v>69</v>
      </c>
      <c r="L32" s="1163">
        <f>Occupancy!F32</f>
        <v>95</v>
      </c>
      <c r="M32" s="1166"/>
    </row>
    <row r="33" spans="1:13" s="1163" customFormat="1">
      <c r="A33" s="1167"/>
      <c r="B33" s="1161"/>
      <c r="C33" s="1161"/>
      <c r="D33" s="1162"/>
      <c r="F33" s="1164"/>
      <c r="G33" s="1164"/>
      <c r="H33" s="1164"/>
      <c r="I33" s="1164"/>
      <c r="J33" s="1164"/>
      <c r="M33" s="1166"/>
    </row>
    <row r="34" spans="1:13" s="1163" customFormat="1">
      <c r="A34" s="1167"/>
      <c r="B34" s="1161"/>
      <c r="C34" s="1161"/>
      <c r="D34" s="1162"/>
      <c r="F34" s="1164"/>
      <c r="G34" s="1164"/>
      <c r="H34" s="1164"/>
      <c r="I34" s="1164"/>
      <c r="J34" s="1164"/>
      <c r="M34" s="1166"/>
    </row>
    <row r="35" spans="1:13" s="1163" customFormat="1">
      <c r="A35" s="1167"/>
      <c r="B35" s="1161"/>
      <c r="C35" s="1161"/>
      <c r="D35" s="1162"/>
      <c r="F35" s="1164"/>
      <c r="G35" s="1164"/>
      <c r="H35" s="1164"/>
      <c r="I35" s="1164"/>
      <c r="J35" s="1164"/>
      <c r="M35" s="1166"/>
    </row>
    <row r="36" spans="1:13" s="1163" customFormat="1">
      <c r="A36" s="1167"/>
      <c r="B36" s="1161"/>
      <c r="C36" s="1161"/>
      <c r="D36" s="1162"/>
      <c r="F36" s="1164"/>
      <c r="G36" s="1164"/>
      <c r="H36" s="1164"/>
      <c r="I36" s="1164"/>
      <c r="J36" s="1164"/>
      <c r="M36" s="1166"/>
    </row>
    <row r="37" spans="1:13" s="1163" customFormat="1">
      <c r="A37" s="1167"/>
      <c r="B37" s="1161"/>
      <c r="C37" s="1161"/>
      <c r="D37" s="1162"/>
      <c r="F37" s="1164"/>
      <c r="G37" s="1164"/>
      <c r="H37" s="1164"/>
      <c r="I37" s="1164"/>
      <c r="J37" s="1164"/>
      <c r="M37" s="1166"/>
    </row>
    <row r="38" spans="1:13" s="1163" customFormat="1">
      <c r="A38" s="1167"/>
      <c r="B38" s="1161"/>
      <c r="C38" s="1161"/>
      <c r="D38" s="1162"/>
      <c r="F38" s="1164"/>
      <c r="G38" s="1164"/>
      <c r="H38" s="1164"/>
      <c r="I38" s="1164"/>
      <c r="J38" s="1164"/>
      <c r="M38" s="1166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20.109375" style="1281" customWidth="1"/>
    <col min="2" max="3" width="9" style="1285" customWidth="1"/>
    <col min="4" max="4" width="10.44140625" style="1285" customWidth="1"/>
    <col min="5" max="29" width="9.77734375" style="1301" customWidth="1"/>
    <col min="30" max="30" width="9" style="1301"/>
    <col min="31" max="31" width="9" style="1302"/>
    <col min="32" max="32" width="9" style="1301"/>
    <col min="33" max="39" width="9" style="1303"/>
    <col min="40" max="40" width="9" style="1377"/>
    <col min="41" max="49" width="9" style="1303"/>
    <col min="50" max="58" width="9" style="1377"/>
    <col min="59" max="65" width="9" style="1303"/>
    <col min="66" max="16384" width="9" style="1284"/>
  </cols>
  <sheetData>
    <row r="1" spans="1:65" s="1281" customFormat="1" ht="60" customHeight="1">
      <c r="A1" s="1279" t="s">
        <v>289</v>
      </c>
      <c r="B1" s="1280" t="s">
        <v>290</v>
      </c>
      <c r="C1" s="1280" t="s">
        <v>291</v>
      </c>
      <c r="D1" s="1280" t="s">
        <v>292</v>
      </c>
      <c r="E1" s="1295" t="str">
        <f>'Section Load'!F4</f>
        <v>HVAC</v>
      </c>
      <c r="F1" s="1295" t="str">
        <f>'Section Load'!G4</f>
        <v>Fire &amp; Emergency PP</v>
      </c>
      <c r="G1" s="1295" t="str">
        <f>'Section Load'!H4</f>
        <v>Main PP</v>
      </c>
      <c r="H1" s="1295" t="str">
        <f>'Section Load'!I4</f>
        <v>Lighting PP</v>
      </c>
      <c r="I1" s="1295" t="str">
        <f>'Section Load'!J4</f>
        <v>CH-1+ CH2+CH3+CH4</v>
      </c>
      <c r="J1" s="1295" t="str">
        <f>'Section Load'!K4</f>
        <v>Chilled water Pump</v>
      </c>
      <c r="K1" s="1295" t="str">
        <f>'Section Load'!L4</f>
        <v>Ball Room-1</v>
      </c>
      <c r="L1" s="1295" t="str">
        <f>'Section Load'!M4</f>
        <v>Ball Room-2</v>
      </c>
      <c r="M1" s="1295" t="str">
        <f>'Section Load'!N4</f>
        <v>MK-1</v>
      </c>
      <c r="N1" s="1295" t="str">
        <f>'Section Load'!O4</f>
        <v>MK-2</v>
      </c>
      <c r="O1" s="1295" t="str">
        <f>'Section Load'!P4</f>
        <v>Prato</v>
      </c>
      <c r="P1" s="1295" t="str">
        <f>'Section Load'!Q4</f>
        <v>San- Qi Indian</v>
      </c>
      <c r="Q1" s="1295" t="str">
        <f>'Section Load'!R4</f>
        <v>San- Qi Japanese</v>
      </c>
      <c r="R1" s="1295" t="str">
        <f>'Section Load'!S4</f>
        <v>The club</v>
      </c>
      <c r="S1" s="1295" t="str">
        <f>'Section Load'!T4</f>
        <v>AER</v>
      </c>
      <c r="T1" s="1295" t="str">
        <f>'Section Load'!U4</f>
        <v>COLD ROOM'S</v>
      </c>
      <c r="U1" s="1295" t="str">
        <f>'Section Load'!V4</f>
        <v>Ball Room 1</v>
      </c>
      <c r="V1" s="1295" t="str">
        <f>'Section Load'!W4</f>
        <v>Ball Room 2</v>
      </c>
      <c r="W1" s="1295" t="str">
        <f>'Section Load'!X4</f>
        <v>B1 Laundry</v>
      </c>
      <c r="X1" s="1295" t="str">
        <f>'Section Load'!Y4</f>
        <v>B2 Laundry</v>
      </c>
      <c r="Y1" s="1295" t="str">
        <f>'Section Load'!Z4</f>
        <v>STP</v>
      </c>
      <c r="Z1" s="1295" t="str">
        <f>'Section Load'!AA4</f>
        <v>MOCK Up Room</v>
      </c>
      <c r="AA1" s="1295" t="str">
        <f>'Section Load'!AB4</f>
        <v>27th Floor</v>
      </c>
      <c r="AB1" s="1295" t="str">
        <f>'Section Load'!AC4</f>
        <v>Physic57</v>
      </c>
      <c r="AC1" s="1295" t="str">
        <f>'Section Load'!AD4</f>
        <v>Pinoor Legal- Power+lighting</v>
      </c>
      <c r="AD1" s="1295" t="str">
        <f>'Section Load'!AE4</f>
        <v>2nd floor plant room</v>
      </c>
      <c r="AE1" s="1295" t="str">
        <f>'Section Load'!AF4</f>
        <v>5th Floor</v>
      </c>
      <c r="AF1" s="1295" t="str">
        <f>'Section Load'!AG4</f>
        <v>5th Floor</v>
      </c>
      <c r="AG1" s="1295" t="str">
        <f>'Section Load'!AH4</f>
        <v>12th Floor</v>
      </c>
      <c r="AH1" s="1295" t="str">
        <f>'Section Load'!AI4</f>
        <v>20th Floor</v>
      </c>
      <c r="AI1" s="1295" t="str">
        <f>'Section Load'!AJ4</f>
        <v>27th Floor</v>
      </c>
      <c r="AJ1" s="1295" t="str">
        <f>'Section Load'!AK4</f>
        <v>34th Floor</v>
      </c>
      <c r="AK1" s="1295" t="str">
        <f>'Section Load'!AL4</f>
        <v>Sanqi</v>
      </c>
      <c r="AL1" s="1295" t="str">
        <f>'Section Load'!AM4</f>
        <v>Cooling Tower</v>
      </c>
      <c r="AM1" s="1296" t="s">
        <v>314</v>
      </c>
      <c r="AN1" s="1375" t="s">
        <v>206</v>
      </c>
      <c r="AO1" s="1296" t="s">
        <v>208</v>
      </c>
      <c r="AP1" s="1296" t="s">
        <v>209</v>
      </c>
      <c r="AQ1" s="1296" t="s">
        <v>210</v>
      </c>
      <c r="AR1" s="1296" t="s">
        <v>211</v>
      </c>
      <c r="AS1" s="1296" t="s">
        <v>212</v>
      </c>
      <c r="AT1" s="1296" t="s">
        <v>213</v>
      </c>
      <c r="AU1" s="1296" t="s">
        <v>218</v>
      </c>
      <c r="AV1" s="1296" t="s">
        <v>77</v>
      </c>
      <c r="AW1" s="1296" t="s">
        <v>78</v>
      </c>
      <c r="AX1" s="1375" t="s">
        <v>219</v>
      </c>
      <c r="AY1" s="1375" t="s">
        <v>220</v>
      </c>
      <c r="AZ1" s="1375" t="s">
        <v>221</v>
      </c>
      <c r="BA1" s="1375" t="s">
        <v>223</v>
      </c>
      <c r="BB1" s="1375" t="s">
        <v>224</v>
      </c>
      <c r="BC1" s="1375" t="s">
        <v>339</v>
      </c>
      <c r="BD1" s="1375" t="s">
        <v>337</v>
      </c>
      <c r="BE1" s="1375" t="s">
        <v>315</v>
      </c>
      <c r="BF1" s="1375" t="s">
        <v>316</v>
      </c>
      <c r="BG1" s="1297" t="str">
        <f>'Section Load'!AN4</f>
        <v>MGL</v>
      </c>
      <c r="BH1" s="1297" t="str">
        <f>'Section Load'!AO4</f>
        <v>HWG</v>
      </c>
      <c r="BI1" s="1297" t="str">
        <f>'Section Load'!AP4</f>
        <v>Prato</v>
      </c>
      <c r="BJ1" s="1297" t="str">
        <f>'Section Load'!AQ4</f>
        <v>BR-1</v>
      </c>
      <c r="BK1" s="1297" t="str">
        <f>'Section Load'!AR4</f>
        <v>SanQi IND</v>
      </c>
      <c r="BL1" s="1297" t="str">
        <f>'Section Load'!AS4</f>
        <v>SanQi JPN</v>
      </c>
      <c r="BM1" s="1297" t="str">
        <f>'Section Load'!AT4</f>
        <v>Boiler</v>
      </c>
    </row>
    <row r="2" spans="1:65" ht="15" customHeight="1">
      <c r="A2" s="1282" t="s">
        <v>300</v>
      </c>
      <c r="B2" s="1283">
        <v>1</v>
      </c>
      <c r="C2" s="1283">
        <v>5</v>
      </c>
      <c r="D2" s="1283">
        <v>2021</v>
      </c>
      <c r="E2" s="1298">
        <f>(IF('Section Load'!F5&gt;0,'Section Load'!F5,0))</f>
        <v>2167.8699999999953</v>
      </c>
      <c r="F2" s="1298">
        <f>(IF('Section Load'!G5&gt;0,'Section Load'!G5,0))</f>
        <v>1282</v>
      </c>
      <c r="G2" s="1298">
        <f>(IF('Section Load'!H5&gt;0,'Section Load'!H5,0))</f>
        <v>1352</v>
      </c>
      <c r="H2" s="1298">
        <f>(IF('Section Load'!I5&gt;0,'Section Load'!I5,0))</f>
        <v>2595</v>
      </c>
      <c r="I2" s="1298">
        <f>(IF('Section Load'!J5&gt;0,'Section Load'!J5,0))</f>
        <v>4654.5300000000279</v>
      </c>
      <c r="J2" s="1298">
        <f>(IF('Section Load'!K5&gt;0,'Section Load'!K5,0))</f>
        <v>2319</v>
      </c>
      <c r="K2" s="1298">
        <f>(IF('Section Load'!L5&gt;0,'Section Load'!L5,0))</f>
        <v>949</v>
      </c>
      <c r="L2" s="1298">
        <f>(IF('Section Load'!M5&gt;0,'Section Load'!M5,0))</f>
        <v>634.79999999998836</v>
      </c>
      <c r="M2" s="1298">
        <f>(IF('Section Load'!N5&gt;0,'Section Load'!N5,0))</f>
        <v>17</v>
      </c>
      <c r="N2" s="1298">
        <f>(IF('Section Load'!O5&gt;0,'Section Load'!O5,0))</f>
        <v>2</v>
      </c>
      <c r="O2" s="1298">
        <f>(IF('Section Load'!P5&gt;0,'Section Load'!P5,0))</f>
        <v>30</v>
      </c>
      <c r="P2" s="1298">
        <f>(IF('Section Load'!Q5&gt;0,'Section Load'!Q5,0))</f>
        <v>54</v>
      </c>
      <c r="Q2" s="1298">
        <f>(IF('Section Load'!R5&gt;0,'Section Load'!R5,0))</f>
        <v>57</v>
      </c>
      <c r="R2" s="1298">
        <f>(IF('Section Load'!S5&gt;0,'Section Load'!S5,0))</f>
        <v>50</v>
      </c>
      <c r="S2" s="1298">
        <f>(IF('Section Load'!T5&gt;0,'Section Load'!T5,0))</f>
        <v>124</v>
      </c>
      <c r="T2" s="1298">
        <f>(IF('Section Load'!U5&gt;0,'Section Load'!U5,0))</f>
        <v>189</v>
      </c>
      <c r="U2" s="1298">
        <f>(IF('Section Load'!V5&gt;0,'Section Load'!V5,0))</f>
        <v>394</v>
      </c>
      <c r="V2" s="1298">
        <f>(IF('Section Load'!W5&gt;0,'Section Load'!W5,0))</f>
        <v>81</v>
      </c>
      <c r="W2" s="1298">
        <f>(IF('Section Load'!X5&gt;0,'Section Load'!X5,0))</f>
        <v>12</v>
      </c>
      <c r="X2" s="1298">
        <f>(IF('Section Load'!Y5&gt;0,'Section Load'!Y5,0))</f>
        <v>0</v>
      </c>
      <c r="Y2" s="1298">
        <f>(IF('Section Load'!Z5&gt;0,'Section Load'!Z5,0))</f>
        <v>255</v>
      </c>
      <c r="Z2" s="1298">
        <f>(IF('Section Load'!AA5&gt;0,'Section Load'!AA5,0))</f>
        <v>51</v>
      </c>
      <c r="AA2" s="1298">
        <f>(IF('Section Load'!AB5&gt;0,'Section Load'!AB5,0))</f>
        <v>10</v>
      </c>
      <c r="AB2" s="1298">
        <f>(IF('Section Load'!AC5&gt;0,'Section Load'!AC5,0))</f>
        <v>28</v>
      </c>
      <c r="AC2" s="1298">
        <f>(IF('Section Load'!AD5&gt;0,'Section Load'!AD5,0))</f>
        <v>7</v>
      </c>
      <c r="AD2" s="1298">
        <f>(IF('Section Load'!AE5&gt;0,'Section Load'!AE5,0))</f>
        <v>0</v>
      </c>
      <c r="AE2" s="1298">
        <f>(IF('Section Load'!AF5&gt;0,'Section Load'!AF5,0))</f>
        <v>4</v>
      </c>
      <c r="AF2" s="1298">
        <f>(IF('Section Load'!AG5&gt;0,'Section Load'!AG5,0))</f>
        <v>211</v>
      </c>
      <c r="AG2" s="1298">
        <f>(IF('Section Load'!AH5&gt;0,'Section Load'!AH5,0))</f>
        <v>208</v>
      </c>
      <c r="AH2" s="1298">
        <f>(IF('Section Load'!AI5&gt;0,'Section Load'!AI5,0))</f>
        <v>271</v>
      </c>
      <c r="AI2" s="1298">
        <f>(IF('Section Load'!AJ5&gt;0,'Section Load'!AJ5,0))</f>
        <v>222</v>
      </c>
      <c r="AJ2" s="1298">
        <f>(IF('Section Load'!AK5&gt;0,'Section Load'!AK5,0))</f>
        <v>0</v>
      </c>
      <c r="AK2" s="1298">
        <f>(IF('Section Load'!AL5&gt;0,'Section Load'!AL5,0))</f>
        <v>82</v>
      </c>
      <c r="AL2" s="1298">
        <f>(IF('Section Load'!AM5&gt;0,'Section Load'!AM5,0))</f>
        <v>715</v>
      </c>
      <c r="AM2" s="1299">
        <f>(IF('Water Report'!$D$7&gt;0,'Water Report'!$D$7,0))</f>
        <v>52</v>
      </c>
      <c r="AN2" s="1299">
        <f>(IF('Water Report'!$D$8&gt;0,'Water Report'!$D$8,0))</f>
        <v>95</v>
      </c>
      <c r="AO2" s="1299">
        <f>(IF('Water Report'!$D$9&gt;0,'Water Report'!$D$9,0))</f>
        <v>72</v>
      </c>
      <c r="AP2" s="1299">
        <f>(IF('Water Report'!$D$10&gt;0,'Water Report'!$D$10,0))</f>
        <v>12</v>
      </c>
      <c r="AQ2" s="1299">
        <f>(IF('Water Report'!$D$11&gt;0,'Water Report'!$D$11,0))</f>
        <v>17</v>
      </c>
      <c r="AR2" s="1299">
        <f>(IF('Water Report'!$D$13&gt;0,'Water Report'!$D$13,0))</f>
        <v>5</v>
      </c>
      <c r="AS2" s="1299">
        <f>(IF('Water Report'!$D$14&gt;0,'Water Report'!$D$14,0))</f>
        <v>9</v>
      </c>
      <c r="AT2" s="1299">
        <f>(IF('Water Report'!$D$15&gt;0,'Water Report'!$D$15,0))</f>
        <v>5</v>
      </c>
      <c r="AU2" s="1299">
        <f>(IF('Water Report'!$D$17&gt;0,'Water Report'!$D$17,0))</f>
        <v>0</v>
      </c>
      <c r="AV2" s="1299">
        <f>(IF('Water Report'!$D$18&gt;0,'Water Report'!$D$18,0))</f>
        <v>0</v>
      </c>
      <c r="AW2" s="1299">
        <f>(IF('Water Report'!$D$19&gt;0,'Water Report'!$D$19,0))</f>
        <v>0</v>
      </c>
      <c r="AX2" s="1376">
        <f>(IF('Water Report'!$D$21&gt;0,'Water Report'!$D$21,0))</f>
        <v>85</v>
      </c>
      <c r="AY2" s="1376">
        <f>(IF('Water Report'!$D$22&gt;0,'Water Report'!$D$22,0))</f>
        <v>0</v>
      </c>
      <c r="AZ2" s="1376">
        <f>(IF('Water Report'!$D$23&gt;0,'Water Report'!$D$23,0))</f>
        <v>27</v>
      </c>
      <c r="BA2" s="1376">
        <f>(IF('Water Report'!$D$14&gt;0,'Water Report'!$D$14,0))</f>
        <v>9</v>
      </c>
      <c r="BB2" s="1376">
        <f>(IF('Water Report'!$D$15&gt;0,'Water Report'!$D$15,0))</f>
        <v>5</v>
      </c>
      <c r="BC2" s="1376">
        <f>(IF('Water Report'!$D$13&gt;0,'Water Report'!$D$13,0))</f>
        <v>5</v>
      </c>
      <c r="BD2" s="1376">
        <f>(IF('Water Report'!$D$24&gt;0,'Water Report'!$D$24,0))</f>
        <v>136</v>
      </c>
      <c r="BE2" s="1376">
        <f>(IF('Water Report'!$D$25&gt;0,'Water Report'!$D$25,0))</f>
        <v>115</v>
      </c>
      <c r="BF2" s="1376">
        <f>(IF('Water Report'!$D$27&gt;0,'Water Report'!$D$27,0))</f>
        <v>117</v>
      </c>
      <c r="BG2" s="1300">
        <f>(IF('Section Load'!AN5&gt;0,'Section Load'!AN5,0))</f>
        <v>334</v>
      </c>
      <c r="BH2" s="1300">
        <f>(IF('Section Load'!AO5&gt;0,'Section Load'!AO5,0))</f>
        <v>232.54000000003725</v>
      </c>
      <c r="BI2" s="1300">
        <f>(IF('Section Load'!AP5&gt;0,'Section Load'!AP5,0))</f>
        <v>0</v>
      </c>
      <c r="BJ2" s="1300">
        <f>(IF('Section Load'!AQ5&gt;0,'Section Load'!AQ5,0))</f>
        <v>59.559999999997672</v>
      </c>
      <c r="BK2" s="1300">
        <f>(IF('Section Load'!AR5&gt;0,'Section Load'!AR5,0))</f>
        <v>0</v>
      </c>
      <c r="BL2" s="1300">
        <f>(IF('Section Load'!AS5&gt;0,'Section Load'!AS5,0))</f>
        <v>0.2999999999992724</v>
      </c>
      <c r="BM2" s="1300">
        <f>(IF('Section Load'!AT5&gt;0,'Section Load'!AT5,0))</f>
        <v>41.599999999965803</v>
      </c>
    </row>
    <row r="3" spans="1:65">
      <c r="A3" s="1282" t="s">
        <v>300</v>
      </c>
      <c r="B3" s="1283">
        <f>B2+1</f>
        <v>2</v>
      </c>
      <c r="C3" s="1283">
        <v>5</v>
      </c>
      <c r="D3" s="1283">
        <v>2021</v>
      </c>
      <c r="E3" s="1298">
        <f>(IF('Section Load'!F6&gt;0,'Section Load'!F6,0))</f>
        <v>2008.1300000000047</v>
      </c>
      <c r="F3" s="1298">
        <f>(IF('Section Load'!G6&gt;0,'Section Load'!G6,0))</f>
        <v>1264</v>
      </c>
      <c r="G3" s="1298">
        <f>(IF('Section Load'!H6&gt;0,'Section Load'!H6,0))</f>
        <v>1301</v>
      </c>
      <c r="H3" s="1298">
        <f>(IF('Section Load'!I6&gt;0,'Section Load'!I6,0))</f>
        <v>2441</v>
      </c>
      <c r="I3" s="1298">
        <f>(IF('Section Load'!J6&gt;0,'Section Load'!J6,0))</f>
        <v>5001</v>
      </c>
      <c r="J3" s="1298">
        <f>(IF('Section Load'!K6&gt;0,'Section Load'!K6,0))</f>
        <v>2231</v>
      </c>
      <c r="K3" s="1298">
        <f>(IF('Section Load'!L6&gt;0,'Section Load'!L6,0))</f>
        <v>884</v>
      </c>
      <c r="L3" s="1298">
        <f>(IF('Section Load'!M6&gt;0,'Section Load'!M6,0))</f>
        <v>644.26000000000931</v>
      </c>
      <c r="M3" s="1298">
        <f>(IF('Section Load'!N6&gt;0,'Section Load'!N6,0))</f>
        <v>15</v>
      </c>
      <c r="N3" s="1298">
        <f>(IF('Section Load'!O6&gt;0,'Section Load'!O6,0))</f>
        <v>1</v>
      </c>
      <c r="O3" s="1298">
        <f>(IF('Section Load'!P6&gt;0,'Section Load'!P6,0))</f>
        <v>16</v>
      </c>
      <c r="P3" s="1298">
        <f>(IF('Section Load'!Q6&gt;0,'Section Load'!Q6,0))</f>
        <v>52</v>
      </c>
      <c r="Q3" s="1298">
        <f>(IF('Section Load'!R6&gt;0,'Section Load'!R6,0))</f>
        <v>56</v>
      </c>
      <c r="R3" s="1298">
        <f>(IF('Section Load'!S6&gt;0,'Section Load'!S6,0))</f>
        <v>47</v>
      </c>
      <c r="S3" s="1298">
        <f>(IF('Section Load'!T6&gt;0,'Section Load'!T6,0))</f>
        <v>95</v>
      </c>
      <c r="T3" s="1298">
        <f>(IF('Section Load'!U6&gt;0,'Section Load'!U6,0))</f>
        <v>177</v>
      </c>
      <c r="U3" s="1298">
        <f>(IF('Section Load'!V6&gt;0,'Section Load'!V6,0))</f>
        <v>380</v>
      </c>
      <c r="V3" s="1298">
        <f>(IF('Section Load'!W6&gt;0,'Section Load'!W6,0))</f>
        <v>66</v>
      </c>
      <c r="W3" s="1298">
        <f>(IF('Section Load'!X6&gt;0,'Section Load'!X6,0))</f>
        <v>14</v>
      </c>
      <c r="X3" s="1298">
        <f>(IF('Section Load'!Y6&gt;0,'Section Load'!Y6,0))</f>
        <v>113</v>
      </c>
      <c r="Y3" s="1298">
        <f>(IF('Section Load'!Z6&gt;0,'Section Load'!Z6,0))</f>
        <v>241</v>
      </c>
      <c r="Z3" s="1298">
        <f>(IF('Section Load'!AA6&gt;0,'Section Load'!AA6,0))</f>
        <v>21</v>
      </c>
      <c r="AA3" s="1298">
        <f>(IF('Section Load'!AB6&gt;0,'Section Load'!AB6,0))</f>
        <v>6</v>
      </c>
      <c r="AB3" s="1298">
        <f>(IF('Section Load'!AC6&gt;0,'Section Load'!AC6,0))</f>
        <v>24</v>
      </c>
      <c r="AC3" s="1298">
        <f>(IF('Section Load'!AD6&gt;0,'Section Load'!AD6,0))</f>
        <v>6</v>
      </c>
      <c r="AD3" s="1298">
        <f>(IF('Section Load'!AE6&gt;0,'Section Load'!AE6,0))</f>
        <v>0</v>
      </c>
      <c r="AE3" s="1298">
        <f>(IF('Section Load'!AF6&gt;0,'Section Load'!AF6,0))</f>
        <v>4</v>
      </c>
      <c r="AF3" s="1298">
        <f>(IF('Section Load'!AG6&gt;0,'Section Load'!AG6,0))</f>
        <v>208</v>
      </c>
      <c r="AG3" s="1298">
        <f>(IF('Section Load'!AH6&gt;0,'Section Load'!AH6,0))</f>
        <v>199</v>
      </c>
      <c r="AH3" s="1298">
        <f>(IF('Section Load'!AI6&gt;0,'Section Load'!AI6,0))</f>
        <v>272</v>
      </c>
      <c r="AI3" s="1298">
        <f>(IF('Section Load'!AJ6&gt;0,'Section Load'!AJ6,0))</f>
        <v>214</v>
      </c>
      <c r="AJ3" s="1298">
        <f>(IF('Section Load'!AK6&gt;0,'Section Load'!AK6,0))</f>
        <v>0</v>
      </c>
      <c r="AK3" s="1298">
        <f>(IF('Section Load'!AL6&gt;0,'Section Load'!AL6,0))</f>
        <v>93</v>
      </c>
      <c r="AL3" s="1298">
        <f>(IF('Section Load'!AM6&gt;0,'Section Load'!AM6,0))</f>
        <v>712</v>
      </c>
      <c r="AM3" s="1299">
        <f>(IF('Water Report'!$E$7&gt;0,'Water Report'!$E$7,0))</f>
        <v>36</v>
      </c>
      <c r="AN3" s="1299">
        <f>(IF('Water Report'!$E$8&gt;0,'Water Report'!$E$8,0))</f>
        <v>101</v>
      </c>
      <c r="AO3" s="1299">
        <f>(IF('Water Report'!$E$9&gt;0,'Water Report'!$E$9,0))</f>
        <v>42</v>
      </c>
      <c r="AP3" s="1299">
        <f>(IF('Water Report'!$E$10&gt;0,'Water Report'!$E$10,0))</f>
        <v>12</v>
      </c>
      <c r="AQ3" s="1299">
        <f>(IF('Water Report'!$E$11&gt;0,'Water Report'!$E$11,0))</f>
        <v>18</v>
      </c>
      <c r="AR3" s="1299">
        <f>(IF('Water Report'!$E$13&gt;0,'Water Report'!$E$13,0))</f>
        <v>5</v>
      </c>
      <c r="AS3" s="1299">
        <f>(IF('Water Report'!$E$14&gt;0,'Water Report'!$E$14,0))</f>
        <v>4</v>
      </c>
      <c r="AT3" s="1299">
        <f>(IF('Water Report'!$E$15&gt;0,'Water Report'!$E$15,0))</f>
        <v>4</v>
      </c>
      <c r="AU3" s="1299">
        <f>(IF('Water Report'!$E$17&gt;0,'Water Report'!$E$17,0))</f>
        <v>0</v>
      </c>
      <c r="AV3" s="1299">
        <f>(IF('Water Report'!$E$18&gt;0,'Water Report'!$E$18,0))</f>
        <v>8</v>
      </c>
      <c r="AW3" s="1299">
        <f>(IF('Water Report'!$E$19&gt;0,'Water Report'!$E$19,0))</f>
        <v>3</v>
      </c>
      <c r="AX3" s="1376">
        <f>(IF('Water Report'!$E$21&gt;0,'Water Report'!$E$21,0))</f>
        <v>40</v>
      </c>
      <c r="AY3" s="1376">
        <f>(IF('Water Report'!$E$22&gt;0,'Water Report'!$E$22,0))</f>
        <v>0</v>
      </c>
      <c r="AZ3" s="1376">
        <f>(IF('Water Report'!$E$23&gt;0,'Water Report'!$E$23,0))</f>
        <v>0</v>
      </c>
      <c r="BA3" s="1376">
        <f>(IF('Water Report'!$E$14&gt;0,'Water Report'!$E$14,0))</f>
        <v>4</v>
      </c>
      <c r="BB3" s="1376">
        <f>(IF('Water Report'!$E$15&gt;0,'Water Report'!$E$15,0))</f>
        <v>4</v>
      </c>
      <c r="BC3" s="1376">
        <f>(IF('Water Report'!$E$13&gt;0,'Water Report'!$E$13,0))</f>
        <v>5</v>
      </c>
      <c r="BD3" s="1376">
        <f>(IF('Water Report'!$E$24&gt;0,'Water Report'!$E$24,0))</f>
        <v>111</v>
      </c>
      <c r="BE3" s="1376">
        <f>(IF('Water Report'!$E$25&gt;0,'Water Report'!$E$25,0))</f>
        <v>80</v>
      </c>
      <c r="BF3" s="1376">
        <f>(IF('Water Report'!$E$27&gt;0,'Water Report'!$E$27,0))</f>
        <v>45</v>
      </c>
      <c r="BG3" s="1300">
        <f>(IF('Section Load'!AN6&gt;0,'Section Load'!AN6,0))</f>
        <v>445</v>
      </c>
      <c r="BH3" s="1300">
        <f>(IF('Section Load'!AO6&gt;0,'Section Load'!AO6,0))</f>
        <v>203</v>
      </c>
      <c r="BI3" s="1300">
        <f>(IF('Section Load'!AP6&gt;0,'Section Load'!AP6,0))</f>
        <v>0</v>
      </c>
      <c r="BJ3" s="1300">
        <f>(IF('Section Load'!AQ6&gt;0,'Section Load'!AQ6,0))</f>
        <v>73</v>
      </c>
      <c r="BK3" s="1300">
        <f>(IF('Section Load'!AR6&gt;0,'Section Load'!AR6,0))</f>
        <v>0</v>
      </c>
      <c r="BL3" s="1300">
        <f>(IF('Section Load'!AS6&gt;0,'Section Load'!AS6,0))</f>
        <v>0</v>
      </c>
      <c r="BM3" s="1300">
        <f>(IF('Section Load'!AT6&gt;0,'Section Load'!AT6,0))</f>
        <v>169</v>
      </c>
    </row>
    <row r="4" spans="1:65">
      <c r="A4" s="1282" t="s">
        <v>300</v>
      </c>
      <c r="B4" s="1283">
        <f t="shared" ref="B4:B32" si="0">B3+1</f>
        <v>3</v>
      </c>
      <c r="C4" s="1283">
        <v>5</v>
      </c>
      <c r="D4" s="1283">
        <v>2021</v>
      </c>
      <c r="E4" s="1298">
        <f>(IF('Section Load'!F7&gt;0,'Section Load'!F7,0))</f>
        <v>2173.8699999999953</v>
      </c>
      <c r="F4" s="1298">
        <f>(IF('Section Load'!G7&gt;0,'Section Load'!G7,0))</f>
        <v>1224</v>
      </c>
      <c r="G4" s="1298">
        <f>(IF('Section Load'!H7&gt;0,'Section Load'!H7,0))</f>
        <v>1342</v>
      </c>
      <c r="H4" s="1298">
        <f>(IF('Section Load'!I7&gt;0,'Section Load'!I7,0))</f>
        <v>2337</v>
      </c>
      <c r="I4" s="1298">
        <f>(IF('Section Load'!J7&gt;0,'Section Load'!J7,0))</f>
        <v>4821</v>
      </c>
      <c r="J4" s="1298">
        <f>(IF('Section Load'!K7&gt;0,'Section Load'!K7,0))</f>
        <v>2220</v>
      </c>
      <c r="K4" s="1298">
        <f>(IF('Section Load'!L7&gt;0,'Section Load'!L7,0))</f>
        <v>1056</v>
      </c>
      <c r="L4" s="1298">
        <f>(IF('Section Load'!M7&gt;0,'Section Load'!M7,0))</f>
        <v>662.69000000000233</v>
      </c>
      <c r="M4" s="1298">
        <f>(IF('Section Load'!N7&gt;0,'Section Load'!N7,0))</f>
        <v>15</v>
      </c>
      <c r="N4" s="1298">
        <f>(IF('Section Load'!O7&gt;0,'Section Load'!O7,0))</f>
        <v>1</v>
      </c>
      <c r="O4" s="1298">
        <f>(IF('Section Load'!P7&gt;0,'Section Load'!P7,0))</f>
        <v>15</v>
      </c>
      <c r="P4" s="1298">
        <f>(IF('Section Load'!Q7&gt;0,'Section Load'!Q7,0))</f>
        <v>54</v>
      </c>
      <c r="Q4" s="1298">
        <f>(IF('Section Load'!R7&gt;0,'Section Load'!R7,0))</f>
        <v>54</v>
      </c>
      <c r="R4" s="1298">
        <f>(IF('Section Load'!S7&gt;0,'Section Load'!S7,0))</f>
        <v>50</v>
      </c>
      <c r="S4" s="1298">
        <f>(IF('Section Load'!T7&gt;0,'Section Load'!T7,0))</f>
        <v>101</v>
      </c>
      <c r="T4" s="1298">
        <f>(IF('Section Load'!U7&gt;0,'Section Load'!U7,0))</f>
        <v>174</v>
      </c>
      <c r="U4" s="1298">
        <f>(IF('Section Load'!V7&gt;0,'Section Load'!V7,0))</f>
        <v>359</v>
      </c>
      <c r="V4" s="1298">
        <f>(IF('Section Load'!W7&gt;0,'Section Load'!W7,0))</f>
        <v>68</v>
      </c>
      <c r="W4" s="1298">
        <f>(IF('Section Load'!X7&gt;0,'Section Load'!X7,0))</f>
        <v>25</v>
      </c>
      <c r="X4" s="1298">
        <f>(IF('Section Load'!Y7&gt;0,'Section Load'!Y7,0))</f>
        <v>91</v>
      </c>
      <c r="Y4" s="1298">
        <f>(IF('Section Load'!Z7&gt;0,'Section Load'!Z7,0))</f>
        <v>249</v>
      </c>
      <c r="Z4" s="1298">
        <f>(IF('Section Load'!AA7&gt;0,'Section Load'!AA7,0))</f>
        <v>184</v>
      </c>
      <c r="AA4" s="1298">
        <f>(IF('Section Load'!AB7&gt;0,'Section Load'!AB7,0))</f>
        <v>10</v>
      </c>
      <c r="AB4" s="1298">
        <f>(IF('Section Load'!AC7&gt;0,'Section Load'!AC7,0))</f>
        <v>146</v>
      </c>
      <c r="AC4" s="1298">
        <f>(IF('Section Load'!AD7&gt;0,'Section Load'!AD7,0))</f>
        <v>6</v>
      </c>
      <c r="AD4" s="1298">
        <f>(IF('Section Load'!AE7&gt;0,'Section Load'!AE7,0))</f>
        <v>0</v>
      </c>
      <c r="AE4" s="1298">
        <f>(IF('Section Load'!AF7&gt;0,'Section Load'!AF7,0))</f>
        <v>3</v>
      </c>
      <c r="AF4" s="1298">
        <f>(IF('Section Load'!AG7&gt;0,'Section Load'!AG7,0))</f>
        <v>213</v>
      </c>
      <c r="AG4" s="1298">
        <f>(IF('Section Load'!AH7&gt;0,'Section Load'!AH7,0))</f>
        <v>198</v>
      </c>
      <c r="AH4" s="1298">
        <f>(IF('Section Load'!AI7&gt;0,'Section Load'!AI7,0))</f>
        <v>265</v>
      </c>
      <c r="AI4" s="1298">
        <f>(IF('Section Load'!AJ7&gt;0,'Section Load'!AJ7,0))</f>
        <v>185</v>
      </c>
      <c r="AJ4" s="1298">
        <f>(IF('Section Load'!AK7&gt;0,'Section Load'!AK7,0))</f>
        <v>0</v>
      </c>
      <c r="AK4" s="1298">
        <f>(IF('Section Load'!AL7&gt;0,'Section Load'!AL7,0))</f>
        <v>85</v>
      </c>
      <c r="AL4" s="1298">
        <f>(IF('Section Load'!AM7&gt;0,'Section Load'!AM7,0))</f>
        <v>818</v>
      </c>
      <c r="AM4" s="1299">
        <f>(IF('Water Report'!$F$7&gt;0,'Water Report'!$F$7,0))</f>
        <v>52</v>
      </c>
      <c r="AN4" s="1299">
        <f>(IF('Water Report'!$F$8&gt;0,'Water Report'!$F$8,0))</f>
        <v>111</v>
      </c>
      <c r="AO4" s="1299">
        <f>(IF('Water Report'!$F$9&gt;0,'Water Report'!$G$9,0))</f>
        <v>62</v>
      </c>
      <c r="AP4" s="1299">
        <f>(IF('Water Report'!$F$10&gt;0,'Water Report'!$F$10,0))</f>
        <v>17</v>
      </c>
      <c r="AQ4" s="1299">
        <f>(IF('Water Report'!$F$11&gt;0,'Water Report'!$F$11,0))</f>
        <v>15</v>
      </c>
      <c r="AR4" s="1299">
        <f>(IF('Water Report'!$F$13&gt;0,'Water Report'!$F$13,0))</f>
        <v>4</v>
      </c>
      <c r="AS4" s="1299">
        <f>(IF('Water Report'!$F$14&gt;0,'Water Report'!$F$14,0))</f>
        <v>6</v>
      </c>
      <c r="AT4" s="1299">
        <f>(IF('Water Report'!$F$15&gt;0,'Water Report'!$F$15,0))</f>
        <v>4</v>
      </c>
      <c r="AU4" s="1299">
        <f>(IF('Water Report'!$F$17&gt;0,'Water Report'!$F$17,0))</f>
        <v>0</v>
      </c>
      <c r="AV4" s="1299">
        <f>(IF('Water Report'!$F$18&gt;0,'Water Report'!$F$18,0))</f>
        <v>0</v>
      </c>
      <c r="AW4" s="1299">
        <f>(IF('Water Report'!$F$19&gt;0,'Water Report'!$F$19,0))</f>
        <v>3</v>
      </c>
      <c r="AX4" s="1376">
        <f>(IF('Water Report'!$F$21&gt;0,'Water Report'!$F$21,0))</f>
        <v>41</v>
      </c>
      <c r="AY4" s="1376">
        <f>(IF('Water Report'!$F$22&gt;0,'Water Report'!$F$22,0))</f>
        <v>0</v>
      </c>
      <c r="AZ4" s="1376">
        <f>(IF('Water Report'!$F$23&gt;0,'Water Report'!$F$23,0))</f>
        <v>22</v>
      </c>
      <c r="BA4" s="1376">
        <f>(IF('Water Report'!$F$14&gt;0,'Water Report'!$F$14,0))</f>
        <v>6</v>
      </c>
      <c r="BB4" s="1376">
        <f>(IF('Water Report'!$F$15&gt;0,'Water Report'!$F$15,0))</f>
        <v>4</v>
      </c>
      <c r="BC4" s="1376">
        <f>(IF('Water Report'!$F$13&gt;0,'Water Report'!$F$13,0))</f>
        <v>4</v>
      </c>
      <c r="BD4" s="1376">
        <f>(IF('Water Report'!$F$24&gt;0,'Water Report'!$F$24,0))</f>
        <v>116</v>
      </c>
      <c r="BE4" s="1376">
        <f>(IF('Water Report'!$F$25&gt;0,'Water Report'!$F$25,0))</f>
        <v>103</v>
      </c>
      <c r="BF4" s="1376">
        <f>(IF('Water Report'!$F$27&gt;0,'Water Report'!$F$27,0))</f>
        <v>67</v>
      </c>
      <c r="BG4" s="1300">
        <f>(IF('Section Load'!AN7&gt;0,'Section Load'!AN7,0))</f>
        <v>438</v>
      </c>
      <c r="BH4" s="1300">
        <f>(IF('Section Load'!AO7&gt;0,'Section Load'!AO7,0))</f>
        <v>197</v>
      </c>
      <c r="BI4" s="1300">
        <f>(IF('Section Load'!AP7&gt;0,'Section Load'!AP7,0))</f>
        <v>0</v>
      </c>
      <c r="BJ4" s="1300">
        <f>(IF('Section Load'!AQ7&gt;0,'Section Load'!AQ7,0))</f>
        <v>58</v>
      </c>
      <c r="BK4" s="1300">
        <f>(IF('Section Load'!AR7&gt;0,'Section Load'!AR7,0))</f>
        <v>0</v>
      </c>
      <c r="BL4" s="1300">
        <f>(IF('Section Load'!AS7&gt;0,'Section Load'!AS7,0))</f>
        <v>0</v>
      </c>
      <c r="BM4" s="1300">
        <f>(IF('Section Load'!AT7&gt;0,'Section Load'!AT7,0))</f>
        <v>183.39999999999418</v>
      </c>
    </row>
    <row r="5" spans="1:65">
      <c r="A5" s="1282" t="s">
        <v>300</v>
      </c>
      <c r="B5" s="1283">
        <f t="shared" si="0"/>
        <v>4</v>
      </c>
      <c r="C5" s="1283">
        <v>5</v>
      </c>
      <c r="D5" s="1283">
        <v>2021</v>
      </c>
      <c r="E5" s="1298">
        <f>(IF('Section Load'!F8&gt;0,'Section Load'!F8,0))</f>
        <v>2161</v>
      </c>
      <c r="F5" s="1298">
        <f>(IF('Section Load'!G8&gt;0,'Section Load'!G8,0))</f>
        <v>1213</v>
      </c>
      <c r="G5" s="1298">
        <f>(IF('Section Load'!H8&gt;0,'Section Load'!H8,0))</f>
        <v>1255</v>
      </c>
      <c r="H5" s="1298">
        <f>(IF('Section Load'!I8&gt;0,'Section Load'!I8,0))</f>
        <v>2251</v>
      </c>
      <c r="I5" s="1298">
        <f>(IF('Section Load'!J8&gt;0,'Section Load'!J8,0))</f>
        <v>5147</v>
      </c>
      <c r="J5" s="1298">
        <f>(IF('Section Load'!K8&gt;0,'Section Load'!K8,0))</f>
        <v>2199</v>
      </c>
      <c r="K5" s="1298">
        <f>(IF('Section Load'!L8&gt;0,'Section Load'!L8,0))</f>
        <v>1029</v>
      </c>
      <c r="L5" s="1298">
        <f>(IF('Section Load'!M8&gt;0,'Section Load'!M8,0))</f>
        <v>860.89000000001397</v>
      </c>
      <c r="M5" s="1298">
        <f>(IF('Section Load'!N8&gt;0,'Section Load'!N8,0))</f>
        <v>17</v>
      </c>
      <c r="N5" s="1298">
        <f>(IF('Section Load'!O8&gt;0,'Section Load'!O8,0))</f>
        <v>1</v>
      </c>
      <c r="O5" s="1298">
        <f>(IF('Section Load'!P8&gt;0,'Section Load'!P8,0))</f>
        <v>11</v>
      </c>
      <c r="P5" s="1298">
        <f>(IF('Section Load'!Q8&gt;0,'Section Load'!Q8,0))</f>
        <v>11</v>
      </c>
      <c r="Q5" s="1298">
        <f>(IF('Section Load'!R8&gt;0,'Section Load'!R8,0))</f>
        <v>54</v>
      </c>
      <c r="R5" s="1298">
        <f>(IF('Section Load'!S8&gt;0,'Section Load'!S8,0))</f>
        <v>51</v>
      </c>
      <c r="S5" s="1298">
        <f>(IF('Section Load'!T8&gt;0,'Section Load'!T8,0))</f>
        <v>55</v>
      </c>
      <c r="T5" s="1298">
        <f>(IF('Section Load'!U8&gt;0,'Section Load'!U8,0))</f>
        <v>188</v>
      </c>
      <c r="U5" s="1298">
        <f>(IF('Section Load'!V8&gt;0,'Section Load'!V8,0))</f>
        <v>362</v>
      </c>
      <c r="V5" s="1298">
        <f>(IF('Section Load'!W8&gt;0,'Section Load'!W8,0))</f>
        <v>75</v>
      </c>
      <c r="W5" s="1298">
        <f>(IF('Section Load'!X8&gt;0,'Section Load'!X8,0))</f>
        <v>12</v>
      </c>
      <c r="X5" s="1298">
        <f>(IF('Section Load'!Y8&gt;0,'Section Load'!Y8,0))</f>
        <v>218</v>
      </c>
      <c r="Y5" s="1298">
        <f>(IF('Section Load'!Z8&gt;0,'Section Load'!Z8,0))</f>
        <v>179</v>
      </c>
      <c r="Z5" s="1298">
        <f>(IF('Section Load'!AA8&gt;0,'Section Load'!AA8,0))</f>
        <v>243</v>
      </c>
      <c r="AA5" s="1298">
        <f>(IF('Section Load'!AB8&gt;0,'Section Load'!AB8,0))</f>
        <v>12</v>
      </c>
      <c r="AB5" s="1298">
        <f>(IF('Section Load'!AC8&gt;0,'Section Load'!AC8,0))</f>
        <v>30</v>
      </c>
      <c r="AC5" s="1298">
        <f>(IF('Section Load'!AD8&gt;0,'Section Load'!AD8,0))</f>
        <v>7</v>
      </c>
      <c r="AD5" s="1298">
        <f>(IF('Section Load'!AE8&gt;0,'Section Load'!AE8,0))</f>
        <v>0</v>
      </c>
      <c r="AE5" s="1298">
        <f>(IF('Section Load'!AF8&gt;0,'Section Load'!AF8,0))</f>
        <v>4</v>
      </c>
      <c r="AF5" s="1298">
        <f>(IF('Section Load'!AG8&gt;0,'Section Load'!AG8,0))</f>
        <v>206</v>
      </c>
      <c r="AG5" s="1298">
        <f>(IF('Section Load'!AH8&gt;0,'Section Load'!AH8,0))</f>
        <v>202</v>
      </c>
      <c r="AH5" s="1298">
        <f>(IF('Section Load'!AI8&gt;0,'Section Load'!AI8,0))</f>
        <v>266</v>
      </c>
      <c r="AI5" s="1298">
        <f>(IF('Section Load'!AJ8&gt;0,'Section Load'!AJ8,0))</f>
        <v>151</v>
      </c>
      <c r="AJ5" s="1298">
        <f>(IF('Section Load'!AK8&gt;0,'Section Load'!AK8,0))</f>
        <v>0</v>
      </c>
      <c r="AK5" s="1298">
        <f>(IF('Section Load'!AL8&gt;0,'Section Load'!AL8,0))</f>
        <v>78</v>
      </c>
      <c r="AL5" s="1298">
        <f>(IF('Section Load'!AM8&gt;0,'Section Load'!AM8,0))</f>
        <v>816</v>
      </c>
      <c r="AM5" s="1299">
        <f>(IF('Water Report'!$G$7&gt;0,'Water Report'!$F$7,0))</f>
        <v>52</v>
      </c>
      <c r="AN5" s="1299">
        <f>(IF('Water Report'!$G$8&gt;0,'Water Report'!$F$8,0))</f>
        <v>111</v>
      </c>
      <c r="AO5" s="1299">
        <f>(IF('Water Report'!$G$9&gt;0,'Water Report'!$H$9,0))</f>
        <v>31</v>
      </c>
      <c r="AP5" s="1299">
        <f>(IF('Water Report'!$G$10&gt;0,'Water Report'!$G$10,0))</f>
        <v>9</v>
      </c>
      <c r="AQ5" s="1299">
        <f>(IF('Water Report'!$G$11&gt;0,'Water Report'!$G$11,0))</f>
        <v>18</v>
      </c>
      <c r="AR5" s="1299">
        <f>(IF('Water Report'!$G$13&gt;0,'Water Report'!$G$13,0))</f>
        <v>6</v>
      </c>
      <c r="AS5" s="1299">
        <f>(IF('Water Report'!$G$14&gt;0,'Water Report'!$G$14,0))</f>
        <v>5</v>
      </c>
      <c r="AT5" s="1299">
        <f>(IF('Water Report'!$G$15&gt;0,'Water Report'!$G$15,0))</f>
        <v>4</v>
      </c>
      <c r="AU5" s="1299">
        <f>(IF('Water Report'!$G$17&gt;0,'Water Report'!$G$17,0))</f>
        <v>0</v>
      </c>
      <c r="AV5" s="1299">
        <f>(IF('Water Report'!$G$18&gt;0,'Water Report'!$G$18,0))</f>
        <v>11</v>
      </c>
      <c r="AW5" s="1299">
        <f>(IF('Water Report'!$G$19&gt;0,'Water Report'!$G$19,0))</f>
        <v>9</v>
      </c>
      <c r="AX5" s="1376">
        <f>(IF('Water Report'!$G$21&gt;0,'Water Report'!$G$21,0))</f>
        <v>60</v>
      </c>
      <c r="AY5" s="1376">
        <f>(IF('Water Report'!$G$22&gt;0,'Water Report'!$G$22,0))</f>
        <v>10</v>
      </c>
      <c r="AZ5" s="1376">
        <f>(IF('Water Report'!$G$23&gt;0,'Water Report'!$G$23,0))</f>
        <v>0</v>
      </c>
      <c r="BA5" s="1376">
        <f>(IF('Water Report'!$G$14&gt;0,'Water Report'!$G$14,0))</f>
        <v>5</v>
      </c>
      <c r="BB5" s="1376">
        <f>(IF('Water Report'!$G$15&gt;0,'Water Report'!$G$15,0))</f>
        <v>4</v>
      </c>
      <c r="BC5" s="1376">
        <f>(IF('Water Report'!$G$13&gt;0,'Water Report'!$G$13,0))</f>
        <v>6</v>
      </c>
      <c r="BD5" s="1376">
        <f>(IF('Water Report'!$G$24&gt;0,'Water Report'!$G$24,0))</f>
        <v>107</v>
      </c>
      <c r="BE5" s="1376">
        <f>(IF('Water Report'!$G$25&gt;0,'Water Report'!$G$25,0))</f>
        <v>98</v>
      </c>
      <c r="BF5" s="1376">
        <f>(IF('Water Report'!$G$27&gt;0,'Water Report'!$G$27,0))</f>
        <v>66</v>
      </c>
      <c r="BG5" s="1300">
        <f>(IF('Section Load'!AN8&gt;0,'Section Load'!AN8,0))</f>
        <v>584</v>
      </c>
      <c r="BH5" s="1300">
        <f>(IF('Section Load'!AO8&gt;0,'Section Load'!AO8,0))</f>
        <v>189</v>
      </c>
      <c r="BI5" s="1300">
        <f>(IF('Section Load'!AP8&gt;0,'Section Load'!AP8,0))</f>
        <v>0</v>
      </c>
      <c r="BJ5" s="1300">
        <f>(IF('Section Load'!AQ8&gt;0,'Section Load'!AQ8,0))</f>
        <v>45</v>
      </c>
      <c r="BK5" s="1300">
        <f>(IF('Section Load'!AR8&gt;0,'Section Load'!AR8,0))</f>
        <v>0</v>
      </c>
      <c r="BL5" s="1300">
        <f>(IF('Section Load'!AS8&gt;0,'Section Load'!AS8,0))</f>
        <v>0</v>
      </c>
      <c r="BM5" s="1300">
        <f>(IF('Section Load'!AT8&gt;0,'Section Load'!AT8,0))</f>
        <v>350</v>
      </c>
    </row>
    <row r="6" spans="1:65">
      <c r="A6" s="1282" t="s">
        <v>300</v>
      </c>
      <c r="B6" s="1283">
        <f t="shared" si="0"/>
        <v>5</v>
      </c>
      <c r="C6" s="1283">
        <v>5</v>
      </c>
      <c r="D6" s="1283">
        <v>2021</v>
      </c>
      <c r="E6" s="1298">
        <f>(IF('Section Load'!F9&gt;0,'Section Load'!F9,0))</f>
        <v>2118</v>
      </c>
      <c r="F6" s="1298">
        <f>(IF('Section Load'!G9&gt;0,'Section Load'!G9,0))</f>
        <v>1190</v>
      </c>
      <c r="G6" s="1298">
        <f>(IF('Section Load'!H9&gt;0,'Section Load'!H9,0))</f>
        <v>1208</v>
      </c>
      <c r="H6" s="1298">
        <f>(IF('Section Load'!I9&gt;0,'Section Load'!I9,0))</f>
        <v>2239</v>
      </c>
      <c r="I6" s="1298">
        <f>(IF('Section Load'!J9&gt;0,'Section Load'!J9,0))</f>
        <v>4970</v>
      </c>
      <c r="J6" s="1298">
        <f>(IF('Section Load'!K9&gt;0,'Section Load'!K9,0))</f>
        <v>2244</v>
      </c>
      <c r="K6" s="1298">
        <f>(IF('Section Load'!L9&gt;0,'Section Load'!L9,0))</f>
        <v>990</v>
      </c>
      <c r="L6" s="1298">
        <f>(IF('Section Load'!M9&gt;0,'Section Load'!M9,0))</f>
        <v>693.10999999998603</v>
      </c>
      <c r="M6" s="1298">
        <f>(IF('Section Load'!N9&gt;0,'Section Load'!N9,0))</f>
        <v>15</v>
      </c>
      <c r="N6" s="1298">
        <f>(IF('Section Load'!O9&gt;0,'Section Load'!O9,0))</f>
        <v>1</v>
      </c>
      <c r="O6" s="1298">
        <f>(IF('Section Load'!P9&gt;0,'Section Load'!P9,0))</f>
        <v>22</v>
      </c>
      <c r="P6" s="1298">
        <f>(IF('Section Load'!Q9&gt;0,'Section Load'!Q9,0))</f>
        <v>50</v>
      </c>
      <c r="Q6" s="1298">
        <f>(IF('Section Load'!R9&gt;0,'Section Load'!R9,0))</f>
        <v>49</v>
      </c>
      <c r="R6" s="1298">
        <f>(IF('Section Load'!S9&gt;0,'Section Load'!S9,0))</f>
        <v>47</v>
      </c>
      <c r="S6" s="1298">
        <f>(IF('Section Load'!T9&gt;0,'Section Load'!T9,0))</f>
        <v>46</v>
      </c>
      <c r="T6" s="1298">
        <f>(IF('Section Load'!U9&gt;0,'Section Load'!U9,0))</f>
        <v>177</v>
      </c>
      <c r="U6" s="1298">
        <f>(IF('Section Load'!V9&gt;0,'Section Load'!V9,0))</f>
        <v>339</v>
      </c>
      <c r="V6" s="1298">
        <f>(IF('Section Load'!W9&gt;0,'Section Load'!W9,0))</f>
        <v>70</v>
      </c>
      <c r="W6" s="1298">
        <f>(IF('Section Load'!X9&gt;0,'Section Load'!X9,0))</f>
        <v>10</v>
      </c>
      <c r="X6" s="1298">
        <f>(IF('Section Load'!Y9&gt;0,'Section Load'!Y9,0))</f>
        <v>43</v>
      </c>
      <c r="Y6" s="1298">
        <f>(IF('Section Load'!Z9&gt;0,'Section Load'!Z9,0))</f>
        <v>189</v>
      </c>
      <c r="Z6" s="1298">
        <f>(IF('Section Load'!AA9&gt;0,'Section Load'!AA9,0))</f>
        <v>198</v>
      </c>
      <c r="AA6" s="1298">
        <f>(IF('Section Load'!AB9&gt;0,'Section Load'!AB9,0))</f>
        <v>18</v>
      </c>
      <c r="AB6" s="1298">
        <f>(IF('Section Load'!AC9&gt;0,'Section Load'!AC9,0))</f>
        <v>23</v>
      </c>
      <c r="AC6" s="1298">
        <f>(IF('Section Load'!AD9&gt;0,'Section Load'!AD9,0))</f>
        <v>6</v>
      </c>
      <c r="AD6" s="1298">
        <f>(IF('Section Load'!AE9&gt;0,'Section Load'!AE9,0))</f>
        <v>0</v>
      </c>
      <c r="AE6" s="1298">
        <f>(IF('Section Load'!AF9&gt;0,'Section Load'!AF9,0))</f>
        <v>4</v>
      </c>
      <c r="AF6" s="1298">
        <f>(IF('Section Load'!AG9&gt;0,'Section Load'!AG9,0))</f>
        <v>205</v>
      </c>
      <c r="AG6" s="1298">
        <f>(IF('Section Load'!AH9&gt;0,'Section Load'!AH9,0))</f>
        <v>200</v>
      </c>
      <c r="AH6" s="1298">
        <f>(IF('Section Load'!AI9&gt;0,'Section Load'!AI9,0))</f>
        <v>250</v>
      </c>
      <c r="AI6" s="1298">
        <f>(IF('Section Load'!AJ9&gt;0,'Section Load'!AJ9,0))</f>
        <v>147</v>
      </c>
      <c r="AJ6" s="1298">
        <f>(IF('Section Load'!AK9&gt;0,'Section Load'!AK9,0))</f>
        <v>0</v>
      </c>
      <c r="AK6" s="1298">
        <f>(IF('Section Load'!AL9&gt;0,'Section Load'!AL9,0))</f>
        <v>70</v>
      </c>
      <c r="AL6" s="1298">
        <f>(IF('Section Load'!AM9&gt;0,'Section Load'!AM9,0))</f>
        <v>782</v>
      </c>
      <c r="AM6" s="1299">
        <f>(IF('Water Report'!$H$7&gt;0,'Water Report'!$H$7,0))</f>
        <v>26</v>
      </c>
      <c r="AN6" s="1299">
        <f>(IF('Water Report'!$H$8&gt;0,'Water Report'!$H$8,0))</f>
        <v>69</v>
      </c>
      <c r="AO6" s="1299">
        <f>(IF('Water Report'!$H$9&gt;0,'Water Report'!$H$9,0))</f>
        <v>31</v>
      </c>
      <c r="AP6" s="1299">
        <f>(IF('Water Report'!$H$10&gt;0,'Water Report'!$H$10,0))</f>
        <v>6</v>
      </c>
      <c r="AQ6" s="1299">
        <f>(IF('Water Report'!$H$11&gt;0,'Water Report'!$H$11,0))</f>
        <v>11</v>
      </c>
      <c r="AR6" s="1299">
        <f>(IF('Water Report'!$H$13&gt;0,'Water Report'!$H$13,0))</f>
        <v>7</v>
      </c>
      <c r="AS6" s="1299">
        <f>(IF('Water Report'!$H$14&gt;0,'Water Report'!$H$14,0))</f>
        <v>3</v>
      </c>
      <c r="AT6" s="1299">
        <f>(IF('Water Report'!$H$15&gt;0,'Water Report'!$H$15,0))</f>
        <v>20</v>
      </c>
      <c r="AU6" s="1299">
        <f>(IF('Water Report'!$H$17&gt;0,'Water Report'!$H$17,0))</f>
        <v>4</v>
      </c>
      <c r="AV6" s="1299">
        <f>(IF('Water Report'!$H$18&gt;0,'Water Report'!$H$18,0))</f>
        <v>0</v>
      </c>
      <c r="AW6" s="1299">
        <f>(IF('Water Report'!$H$19&gt;0,'Water Report'!$H$19,0))</f>
        <v>3</v>
      </c>
      <c r="AX6" s="1376">
        <f>(IF('Water Report'!$H$21&gt;0,'Water Report'!$H$21,0))</f>
        <v>39</v>
      </c>
      <c r="AY6" s="1376">
        <f>(IF('Water Report'!$H$22&gt;0,'Water Report'!$H$22,0))</f>
        <v>22</v>
      </c>
      <c r="AZ6" s="1376">
        <f>(IF('Water Report'!$H$23&gt;0,'Water Report'!$H$23,0))</f>
        <v>24</v>
      </c>
      <c r="BA6" s="1376">
        <f>(IF('Water Report'!$H$14&gt;0,'Water Report'!$H$14,0))</f>
        <v>3</v>
      </c>
      <c r="BB6" s="1376">
        <f>(IF('Water Report'!$H$15&gt;0,'Water Report'!$H$15,0))</f>
        <v>20</v>
      </c>
      <c r="BC6" s="1376">
        <f>(IF('Water Report'!$H$13&gt;0,'Water Report'!$H$13,0))</f>
        <v>7</v>
      </c>
      <c r="BD6" s="1376">
        <f>(IF('Water Report'!$H$24&gt;0,'Water Report'!$H$24,0))</f>
        <v>113</v>
      </c>
      <c r="BE6" s="1376">
        <f>(IF('Water Report'!$H$25&gt;0,'Water Report'!$H$25,0))</f>
        <v>71</v>
      </c>
      <c r="BF6" s="1376">
        <f>(IF('Water Report'!$H$27&gt;0,'Water Report'!$H$27,0))</f>
        <v>70</v>
      </c>
      <c r="BG6" s="1300">
        <f>(IF('Section Load'!AN9&gt;0,'Section Load'!AN9,0))</f>
        <v>287</v>
      </c>
      <c r="BH6" s="1300">
        <f>(IF('Section Load'!AO9&gt;0,'Section Load'!AO9,0))</f>
        <v>202</v>
      </c>
      <c r="BI6" s="1300">
        <f>(IF('Section Load'!AP9&gt;0,'Section Load'!AP9,0))</f>
        <v>0</v>
      </c>
      <c r="BJ6" s="1300">
        <f>(IF('Section Load'!AQ9&gt;0,'Section Load'!AQ9,0))</f>
        <v>51</v>
      </c>
      <c r="BK6" s="1300">
        <f>(IF('Section Load'!AR9&gt;0,'Section Load'!AR9,0))</f>
        <v>0</v>
      </c>
      <c r="BL6" s="1300">
        <f>(IF('Section Load'!AS9&gt;0,'Section Load'!AS9,0))</f>
        <v>0</v>
      </c>
      <c r="BM6" s="1300">
        <f>(IF('Section Load'!AT9&gt;0,'Section Load'!AT9,0))</f>
        <v>34</v>
      </c>
    </row>
    <row r="7" spans="1:65">
      <c r="A7" s="1282" t="s">
        <v>300</v>
      </c>
      <c r="B7" s="1283">
        <f t="shared" si="0"/>
        <v>6</v>
      </c>
      <c r="C7" s="1283">
        <v>5</v>
      </c>
      <c r="D7" s="1283">
        <v>2021</v>
      </c>
      <c r="E7" s="1298">
        <f>(IF('Section Load'!F10&gt;0,'Section Load'!F10,0))</f>
        <v>2168</v>
      </c>
      <c r="F7" s="1298">
        <f>(IF('Section Load'!G10&gt;0,'Section Load'!G10,0))</f>
        <v>1189</v>
      </c>
      <c r="G7" s="1298">
        <f>(IF('Section Load'!H10&gt;0,'Section Load'!H10,0))</f>
        <v>1199</v>
      </c>
      <c r="H7" s="1298">
        <f>(IF('Section Load'!I10&gt;0,'Section Load'!I10,0))</f>
        <v>2160</v>
      </c>
      <c r="I7" s="1298">
        <f>(IF('Section Load'!J10&gt;0,'Section Load'!J10,0))</f>
        <v>4851</v>
      </c>
      <c r="J7" s="1298">
        <f>(IF('Section Load'!K10&gt;0,'Section Load'!K10,0))</f>
        <v>2297</v>
      </c>
      <c r="K7" s="1298">
        <f>(IF('Section Load'!L10&gt;0,'Section Load'!L10,0))</f>
        <v>848</v>
      </c>
      <c r="L7" s="1298">
        <f>(IF('Section Load'!M10&gt;0,'Section Load'!M10,0))</f>
        <v>613.85000000000582</v>
      </c>
      <c r="M7" s="1298">
        <f>(IF('Section Load'!N10&gt;0,'Section Load'!N10,0))</f>
        <v>31</v>
      </c>
      <c r="N7" s="1298">
        <f>(IF('Section Load'!O10&gt;0,'Section Load'!O10,0))</f>
        <v>1</v>
      </c>
      <c r="O7" s="1298">
        <f>(IF('Section Load'!P10&gt;0,'Section Load'!P10,0))</f>
        <v>15</v>
      </c>
      <c r="P7" s="1298">
        <f>(IF('Section Load'!Q10&gt;0,'Section Load'!Q10,0))</f>
        <v>54</v>
      </c>
      <c r="Q7" s="1298">
        <f>(IF('Section Load'!R10&gt;0,'Section Load'!R10,0))</f>
        <v>52</v>
      </c>
      <c r="R7" s="1298">
        <f>(IF('Section Load'!S10&gt;0,'Section Load'!S10,0))</f>
        <v>50</v>
      </c>
      <c r="S7" s="1298">
        <f>(IF('Section Load'!T10&gt;0,'Section Load'!T10,0))</f>
        <v>49</v>
      </c>
      <c r="T7" s="1298">
        <f>(IF('Section Load'!U10&gt;0,'Section Load'!U10,0))</f>
        <v>157</v>
      </c>
      <c r="U7" s="1298">
        <f>(IF('Section Load'!V10&gt;0,'Section Load'!V10,0))</f>
        <v>351</v>
      </c>
      <c r="V7" s="1298">
        <f>(IF('Section Load'!W10&gt;0,'Section Load'!W10,0))</f>
        <v>123</v>
      </c>
      <c r="W7" s="1298">
        <f>(IF('Section Load'!X10&gt;0,'Section Load'!X10,0))</f>
        <v>41</v>
      </c>
      <c r="X7" s="1298">
        <f>(IF('Section Load'!Y10&gt;0,'Section Load'!Y10,0))</f>
        <v>123</v>
      </c>
      <c r="Y7" s="1298">
        <f>(IF('Section Load'!Z10&gt;0,'Section Load'!Z10,0))</f>
        <v>214</v>
      </c>
      <c r="Z7" s="1298">
        <f>(IF('Section Load'!AA10&gt;0,'Section Load'!AA10,0))</f>
        <v>29</v>
      </c>
      <c r="AA7" s="1298">
        <f>(IF('Section Load'!AB10&gt;0,'Section Load'!AB10,0))</f>
        <v>18</v>
      </c>
      <c r="AB7" s="1298">
        <f>(IF('Section Load'!AC10&gt;0,'Section Load'!AC10,0))</f>
        <v>23</v>
      </c>
      <c r="AC7" s="1298">
        <f>(IF('Section Load'!AD10&gt;0,'Section Load'!AD10,0))</f>
        <v>6</v>
      </c>
      <c r="AD7" s="1298">
        <f>(IF('Section Load'!AE10&gt;0,'Section Load'!AE10,0))</f>
        <v>0</v>
      </c>
      <c r="AE7" s="1298">
        <f>(IF('Section Load'!AF10&gt;0,'Section Load'!AF10,0))</f>
        <v>4</v>
      </c>
      <c r="AF7" s="1298">
        <f>(IF('Section Load'!AG10&gt;0,'Section Load'!AG10,0))</f>
        <v>204</v>
      </c>
      <c r="AG7" s="1298">
        <f>(IF('Section Load'!AH10&gt;0,'Section Load'!AH10,0))</f>
        <v>175</v>
      </c>
      <c r="AH7" s="1298">
        <f>(IF('Section Load'!AI10&gt;0,'Section Load'!AI10,0))</f>
        <v>252</v>
      </c>
      <c r="AI7" s="1298">
        <f>(IF('Section Load'!AJ10&gt;0,'Section Load'!AJ10,0))</f>
        <v>145</v>
      </c>
      <c r="AJ7" s="1298">
        <f>(IF('Section Load'!AK10&gt;0,'Section Load'!AK10,0))</f>
        <v>0</v>
      </c>
      <c r="AK7" s="1298">
        <f>(IF('Section Load'!AL10&gt;0,'Section Load'!AL10,0))</f>
        <v>41</v>
      </c>
      <c r="AL7" s="1298">
        <f>(IF('Section Load'!AM10&gt;0,'Section Load'!AM10,0))</f>
        <v>830</v>
      </c>
      <c r="AM7" s="1299">
        <f>(IF('Water Report'!$I$7&gt;0,'Water Report'!$I$7,0))</f>
        <v>0</v>
      </c>
      <c r="AN7" s="1299">
        <f>(IF('Water Report'!$I$8&gt;0,'Water Report'!$I$8,0))</f>
        <v>100</v>
      </c>
      <c r="AO7" s="1299">
        <f>(IF('Water Report'!$I$9&gt;0,'Water Report'!$I$9,0))</f>
        <v>39</v>
      </c>
      <c r="AP7" s="1299">
        <f>(IF('Water Report'!$I$10&gt;0,'Water Report'!$I$10,0))</f>
        <v>9</v>
      </c>
      <c r="AQ7" s="1299">
        <f>(IF('Water Report'!$I$11&gt;0,'Water Report'!$I$11,0))</f>
        <v>9</v>
      </c>
      <c r="AR7" s="1299">
        <f>(IF('Water Report'!$I$13&gt;0,'Water Report'!$I$13,0))</f>
        <v>8</v>
      </c>
      <c r="AS7" s="1299">
        <f>(IF('Water Report'!$I$14&gt;0,'Water Report'!$I$14,0))</f>
        <v>3</v>
      </c>
      <c r="AT7" s="1299">
        <f>(IF('Water Report'!$I$15&gt;0,'Water Report'!$I$15,0))</f>
        <v>3</v>
      </c>
      <c r="AU7" s="1299">
        <f>(IF('Water Report'!$I$17&gt;0,'Water Report'!$I$17,0))</f>
        <v>4</v>
      </c>
      <c r="AV7" s="1299">
        <f>(IF('Water Report'!$I$18&gt;0,'Water Report'!$I$18,0))</f>
        <v>0</v>
      </c>
      <c r="AW7" s="1299">
        <f>(IF('Water Report'!$I$19&gt;0,'Water Report'!$I$19,0))</f>
        <v>3</v>
      </c>
      <c r="AX7" s="1376">
        <f>(IF('Water Report'!$I$21&gt;0,'Water Report'!$I$21,0))</f>
        <v>40</v>
      </c>
      <c r="AY7" s="1376">
        <f>(IF('Water Report'!$I$22&gt;0,'Water Report'!$I$22,0))</f>
        <v>0</v>
      </c>
      <c r="AZ7" s="1376">
        <f>(IF('Water Report'!$I$23&gt;0,'Water Report'!$I$23,0))</f>
        <v>0</v>
      </c>
      <c r="BA7" s="1376">
        <f>(IF('Water Report'!$I$14&gt;0,'Water Report'!$I$14,0))</f>
        <v>3</v>
      </c>
      <c r="BB7" s="1376">
        <f>(IF('Water Report'!$I$15&gt;0,'Water Report'!$I$15,0))</f>
        <v>3</v>
      </c>
      <c r="BC7" s="1376">
        <f>(IF('Water Report'!$I$13&gt;0,'Water Report'!$I$13,0))</f>
        <v>8</v>
      </c>
      <c r="BD7" s="1376">
        <f>(IF('Water Report'!$I$24&gt;0,'Water Report'!$I$24,0))</f>
        <v>56</v>
      </c>
      <c r="BE7" s="1376">
        <f>(IF('Water Report'!$I$25&gt;0,'Water Report'!$I$25,0))</f>
        <v>63</v>
      </c>
      <c r="BF7" s="1376">
        <f>(IF('Water Report'!$I$27&gt;0,'Water Report'!$I$27,0))</f>
        <v>48</v>
      </c>
      <c r="BG7" s="1300">
        <f>(IF('Section Load'!AN10&gt;0,'Section Load'!AN10,0))</f>
        <v>477</v>
      </c>
      <c r="BH7" s="1300">
        <f>(IF('Section Load'!AO10&gt;0,'Section Load'!AO10,0))</f>
        <v>206</v>
      </c>
      <c r="BI7" s="1300">
        <f>(IF('Section Load'!AP10&gt;0,'Section Load'!AP10,0))</f>
        <v>0</v>
      </c>
      <c r="BJ7" s="1300">
        <f>(IF('Section Load'!AQ10&gt;0,'Section Load'!AQ10,0))</f>
        <v>57</v>
      </c>
      <c r="BK7" s="1300">
        <f>(IF('Section Load'!AR10&gt;0,'Section Load'!AR10,0))</f>
        <v>0</v>
      </c>
      <c r="BL7" s="1300">
        <f>(IF('Section Load'!AS10&gt;0,'Section Load'!AS10,0))</f>
        <v>0</v>
      </c>
      <c r="BM7" s="1300">
        <f>(IF('Section Load'!AT10&gt;0,'Section Load'!AT10,0))</f>
        <v>214</v>
      </c>
    </row>
    <row r="8" spans="1:65">
      <c r="A8" s="1282" t="s">
        <v>300</v>
      </c>
      <c r="B8" s="1283">
        <f t="shared" si="0"/>
        <v>7</v>
      </c>
      <c r="C8" s="1283">
        <v>5</v>
      </c>
      <c r="D8" s="1283">
        <v>2021</v>
      </c>
      <c r="E8" s="1298">
        <f>(IF('Section Load'!F11&gt;0,'Section Load'!F11,0))</f>
        <v>2063</v>
      </c>
      <c r="F8" s="1298">
        <f>(IF('Section Load'!G11&gt;0,'Section Load'!G11,0))</f>
        <v>1225</v>
      </c>
      <c r="G8" s="1298">
        <f>(IF('Section Load'!H11&gt;0,'Section Load'!H11,0))</f>
        <v>1112</v>
      </c>
      <c r="H8" s="1298">
        <f>(IF('Section Load'!I11&gt;0,'Section Load'!I11,0))</f>
        <v>2122</v>
      </c>
      <c r="I8" s="1298">
        <f>(IF('Section Load'!J11&gt;0,'Section Load'!J11,0))</f>
        <v>4616</v>
      </c>
      <c r="J8" s="1298">
        <f>(IF('Section Load'!K11&gt;0,'Section Load'!K11,0))</f>
        <v>2190</v>
      </c>
      <c r="K8" s="1298">
        <f>(IF('Section Load'!L11&gt;0,'Section Load'!L11,0))</f>
        <v>857</v>
      </c>
      <c r="L8" s="1298">
        <f>(IF('Section Load'!M11&gt;0,'Section Load'!M11,0))</f>
        <v>538.95999999999185</v>
      </c>
      <c r="M8" s="1298">
        <f>(IF('Section Load'!N11&gt;0,'Section Load'!N11,0))</f>
        <v>2</v>
      </c>
      <c r="N8" s="1298">
        <f>(IF('Section Load'!O11&gt;0,'Section Load'!O11,0))</f>
        <v>1</v>
      </c>
      <c r="O8" s="1298">
        <f>(IF('Section Load'!P11&gt;0,'Section Load'!P11,0))</f>
        <v>12</v>
      </c>
      <c r="P8" s="1298">
        <f>(IF('Section Load'!Q11&gt;0,'Section Load'!Q11,0))</f>
        <v>55</v>
      </c>
      <c r="Q8" s="1298">
        <f>(IF('Section Load'!R11&gt;0,'Section Load'!R11,0))</f>
        <v>55</v>
      </c>
      <c r="R8" s="1298">
        <f>(IF('Section Load'!S11&gt;0,'Section Load'!S11,0))</f>
        <v>50</v>
      </c>
      <c r="S8" s="1298">
        <f>(IF('Section Load'!T11&gt;0,'Section Load'!T11,0))</f>
        <v>72</v>
      </c>
      <c r="T8" s="1298">
        <f>(IF('Section Load'!U11&gt;0,'Section Load'!U11,0))</f>
        <v>144</v>
      </c>
      <c r="U8" s="1298">
        <f>(IF('Section Load'!V11&gt;0,'Section Load'!V11,0))</f>
        <v>367</v>
      </c>
      <c r="V8" s="1298">
        <f>(IF('Section Load'!W11&gt;0,'Section Load'!W11,0))</f>
        <v>31</v>
      </c>
      <c r="W8" s="1298">
        <f>(IF('Section Load'!X11&gt;0,'Section Load'!X11,0))</f>
        <v>19</v>
      </c>
      <c r="X8" s="1298">
        <f>(IF('Section Load'!Y11&gt;0,'Section Load'!Y11,0))</f>
        <v>0</v>
      </c>
      <c r="Y8" s="1298">
        <f>(IF('Section Load'!Z11&gt;0,'Section Load'!Z11,0))</f>
        <v>197</v>
      </c>
      <c r="Z8" s="1298">
        <f>(IF('Section Load'!AA11&gt;0,'Section Load'!AA11,0))</f>
        <v>32</v>
      </c>
      <c r="AA8" s="1298">
        <f>(IF('Section Load'!AB11&gt;0,'Section Load'!AB11,0))</f>
        <v>28</v>
      </c>
      <c r="AB8" s="1298">
        <f>(IF('Section Load'!AC11&gt;0,'Section Load'!AC11,0))</f>
        <v>24</v>
      </c>
      <c r="AC8" s="1298">
        <f>(IF('Section Load'!AD11&gt;0,'Section Load'!AD11,0))</f>
        <v>7</v>
      </c>
      <c r="AD8" s="1298">
        <f>(IF('Section Load'!AE11&gt;0,'Section Load'!AE11,0))</f>
        <v>0</v>
      </c>
      <c r="AE8" s="1298">
        <f>(IF('Section Load'!AF11&gt;0,'Section Load'!AF11,0))</f>
        <v>4</v>
      </c>
      <c r="AF8" s="1298">
        <f>(IF('Section Load'!AG11&gt;0,'Section Load'!AG11,0))</f>
        <v>207</v>
      </c>
      <c r="AG8" s="1298">
        <f>(IF('Section Load'!AH11&gt;0,'Section Load'!AH11,0))</f>
        <v>170</v>
      </c>
      <c r="AH8" s="1298">
        <f>(IF('Section Load'!AI11&gt;0,'Section Load'!AI11,0))</f>
        <v>249</v>
      </c>
      <c r="AI8" s="1298">
        <f>(IF('Section Load'!AJ11&gt;0,'Section Load'!AJ11,0))</f>
        <v>125</v>
      </c>
      <c r="AJ8" s="1298">
        <f>(IF('Section Load'!AK11&gt;0,'Section Load'!AK11,0))</f>
        <v>0</v>
      </c>
      <c r="AK8" s="1298">
        <f>(IF('Section Load'!AL11&gt;0,'Section Load'!AL11,0))</f>
        <v>34</v>
      </c>
      <c r="AL8" s="1298">
        <f>(IF('Section Load'!AM11&gt;0,'Section Load'!AM11,0))</f>
        <v>846</v>
      </c>
      <c r="AM8" s="1299">
        <f>(IF('Water Report'!$J$7&gt;0,'Water Report'!$J$7,0))</f>
        <v>0</v>
      </c>
      <c r="AN8" s="1299">
        <f>(IF('Water Report'!$J$8&gt;0,'Water Report'!$J$8,0))</f>
        <v>71</v>
      </c>
      <c r="AO8" s="1299">
        <f>(IF('Water Report'!$J$9&gt;0,'Water Report'!$J$9,0))</f>
        <v>31</v>
      </c>
      <c r="AP8" s="1299">
        <f>(IF('Water Report'!$J$10&gt;0,'Water Report'!$J$10,0))</f>
        <v>8</v>
      </c>
      <c r="AQ8" s="1299">
        <f>(IF('Water Report'!$J$11&gt;0,'Water Report'!$J$11,0))</f>
        <v>10</v>
      </c>
      <c r="AR8" s="1299">
        <f>(IF('Water Report'!$J$13&gt;0,'Water Report'!$J$13,0))</f>
        <v>5</v>
      </c>
      <c r="AS8" s="1299">
        <f>(IF('Water Report'!$J$14&gt;0,'Water Report'!$J$14,0))</f>
        <v>5</v>
      </c>
      <c r="AT8" s="1299">
        <f>(IF('Water Report'!$J$15&gt;0,'Water Report'!$J$15,0))</f>
        <v>9</v>
      </c>
      <c r="AU8" s="1299">
        <f>(IF('Water Report'!$J$17&gt;0,'Water Report'!$J$17,0))</f>
        <v>5</v>
      </c>
      <c r="AV8" s="1299">
        <f>(IF('Water Report'!$J$18&gt;0,'Water Report'!$J$18,0))</f>
        <v>6</v>
      </c>
      <c r="AW8" s="1299">
        <f>(IF('Water Report'!$J$19&gt;0,'Water Report'!$J$19,0))</f>
        <v>1</v>
      </c>
      <c r="AX8" s="1376">
        <f>(IF('Water Report'!$J$21&gt;0,'Water Report'!$J$21,0))</f>
        <v>59</v>
      </c>
      <c r="AY8" s="1376">
        <f>(IF('Water Report'!$J$22&gt;0,'Water Report'!$J$22,0))</f>
        <v>0</v>
      </c>
      <c r="AZ8" s="1376">
        <f>(IF('Water Report'!$J$23&gt;0,'Water Report'!$J$23,0))</f>
        <v>19</v>
      </c>
      <c r="BA8" s="1376">
        <f>(IF('Water Report'!$J$14&gt;0,'Water Report'!$J$14,0))</f>
        <v>5</v>
      </c>
      <c r="BB8" s="1376">
        <f>(IF('Water Report'!$J$15&gt;0,'Water Report'!$J$15,0))</f>
        <v>9</v>
      </c>
      <c r="BC8" s="1376">
        <f>(IF('Water Report'!$J$13&gt;0,'Water Report'!$J$13,0))</f>
        <v>5</v>
      </c>
      <c r="BD8" s="1376">
        <f>(IF('Water Report'!$J$24&gt;0,'Water Report'!$J$24,0))</f>
        <v>56</v>
      </c>
      <c r="BE8" s="1376">
        <f>(IF('Water Report'!$J$25&gt;0,'Water Report'!$J$25,0))</f>
        <v>63</v>
      </c>
      <c r="BF8" s="1376">
        <f>(IF('Water Report'!$J$27&gt;0,'Water Report'!$J$27,0))</f>
        <v>83</v>
      </c>
      <c r="BG8" s="1300">
        <f>(IF('Section Load'!AN11&gt;0,'Section Load'!AN11,0))</f>
        <v>348</v>
      </c>
      <c r="BH8" s="1300">
        <f>(IF('Section Load'!AO11&gt;0,'Section Load'!AO11,0))</f>
        <v>204</v>
      </c>
      <c r="BI8" s="1300">
        <f>(IF('Section Load'!AP11&gt;0,'Section Load'!AP11,0))</f>
        <v>0</v>
      </c>
      <c r="BJ8" s="1300">
        <f>(IF('Section Load'!AQ11&gt;0,'Section Load'!AQ11,0))</f>
        <v>71</v>
      </c>
      <c r="BK8" s="1300">
        <f>(IF('Section Load'!AR11&gt;0,'Section Load'!AR11,0))</f>
        <v>0</v>
      </c>
      <c r="BL8" s="1300">
        <f>(IF('Section Load'!AS11&gt;0,'Section Load'!AS11,0))</f>
        <v>0</v>
      </c>
      <c r="BM8" s="1300">
        <f>(IF('Section Load'!AT11&gt;0,'Section Load'!AT11,0))</f>
        <v>73</v>
      </c>
    </row>
    <row r="9" spans="1:65">
      <c r="A9" s="1282" t="s">
        <v>300</v>
      </c>
      <c r="B9" s="1283">
        <f t="shared" si="0"/>
        <v>8</v>
      </c>
      <c r="C9" s="1283">
        <v>5</v>
      </c>
      <c r="D9" s="1283">
        <v>2021</v>
      </c>
      <c r="E9" s="1298">
        <f>(IF('Section Load'!F12&gt;0,'Section Load'!F12,0))</f>
        <v>2427.5999999999767</v>
      </c>
      <c r="F9" s="1298">
        <f>(IF('Section Load'!G12&gt;0,'Section Load'!G12,0))</f>
        <v>1346.8899999999994</v>
      </c>
      <c r="G9" s="1298">
        <f>(IF('Section Load'!H12&gt;0,'Section Load'!H12,0))</f>
        <v>1203.3399999999529</v>
      </c>
      <c r="H9" s="1298">
        <f>(IF('Section Load'!I12&gt;0,'Section Load'!I12,0))</f>
        <v>2445.820000000007</v>
      </c>
      <c r="I9" s="1298">
        <f>(IF('Section Load'!J12&gt;0,'Section Load'!J12,0))</f>
        <v>4895.3799999999901</v>
      </c>
      <c r="J9" s="1298">
        <f>(IF('Section Load'!K12&gt;0,'Section Load'!K12,0))</f>
        <v>2425.2700000000186</v>
      </c>
      <c r="K9" s="1298">
        <f>(IF('Section Load'!L12&gt;0,'Section Load'!L12,0))</f>
        <v>1386.3099999999977</v>
      </c>
      <c r="L9" s="1298">
        <f>(IF('Section Load'!M12&gt;0,'Section Load'!M12,0))</f>
        <v>599.72000000000116</v>
      </c>
      <c r="M9" s="1298">
        <f>(IF('Section Load'!N12&gt;0,'Section Load'!N12,0))</f>
        <v>15</v>
      </c>
      <c r="N9" s="1298">
        <f>(IF('Section Load'!O12&gt;0,'Section Load'!O12,0))</f>
        <v>1</v>
      </c>
      <c r="O9" s="1298">
        <f>(IF('Section Load'!P12&gt;0,'Section Load'!P12,0))</f>
        <v>11.699999999999818</v>
      </c>
      <c r="P9" s="1298">
        <f>(IF('Section Load'!Q12&gt;0,'Section Load'!Q12,0))</f>
        <v>66.6299999999992</v>
      </c>
      <c r="Q9" s="1298">
        <f>(IF('Section Load'!R12&gt;0,'Section Load'!R12,0))</f>
        <v>54.920000000000073</v>
      </c>
      <c r="R9" s="1298">
        <f>(IF('Section Load'!S12&gt;0,'Section Load'!S12,0))</f>
        <v>48</v>
      </c>
      <c r="S9" s="1298">
        <f>(IF('Section Load'!T12&gt;0,'Section Load'!T12,0))</f>
        <v>69</v>
      </c>
      <c r="T9" s="1298">
        <f>(IF('Section Load'!U12&gt;0,'Section Load'!U12,0))</f>
        <v>104</v>
      </c>
      <c r="U9" s="1298">
        <f>(IF('Section Load'!V12&gt;0,'Section Load'!V12,0))</f>
        <v>373.71999999997206</v>
      </c>
      <c r="V9" s="1298">
        <f>(IF('Section Load'!W12&gt;0,'Section Load'!W12,0))</f>
        <v>71.800000000046566</v>
      </c>
      <c r="W9" s="1298">
        <f>(IF('Section Load'!X12&gt;0,'Section Load'!X12,0))</f>
        <v>11.660000000003492</v>
      </c>
      <c r="X9" s="1298">
        <f>(IF('Section Load'!Y12&gt;0,'Section Load'!Y12,0))</f>
        <v>205.12999999999738</v>
      </c>
      <c r="Y9" s="1298">
        <f>(IF('Section Load'!Z12&gt;0,'Section Load'!Z12,0))</f>
        <v>156</v>
      </c>
      <c r="Z9" s="1298">
        <f>(IF('Section Load'!AA12&gt;0,'Section Load'!AA12,0))</f>
        <v>28.71999999997206</v>
      </c>
      <c r="AA9" s="1298">
        <f>(IF('Section Load'!AB12&gt;0,'Section Load'!AB12,0))</f>
        <v>1.6999999999970896</v>
      </c>
      <c r="AB9" s="1298">
        <f>(IF('Section Load'!AC12&gt;0,'Section Load'!AC12,0))</f>
        <v>20.950000000011642</v>
      </c>
      <c r="AC9" s="1298">
        <f>(IF('Section Load'!AD12&gt;0,'Section Load'!AD12,0))</f>
        <v>7.3000000000015461</v>
      </c>
      <c r="AD9" s="1298">
        <f>(IF('Section Load'!AE12&gt;0,'Section Load'!AE12,0))</f>
        <v>0</v>
      </c>
      <c r="AE9" s="1298">
        <f>(IF('Section Load'!AF12&gt;0,'Section Load'!AF12,0))</f>
        <v>3.5399999999999636</v>
      </c>
      <c r="AF9" s="1298">
        <f>(IF('Section Load'!AG12&gt;0,'Section Load'!AG12,0))</f>
        <v>207.58999999999651</v>
      </c>
      <c r="AG9" s="1298">
        <f>(IF('Section Load'!AH12&gt;0,'Section Load'!AH12,0))</f>
        <v>208.20000000001164</v>
      </c>
      <c r="AH9" s="1298">
        <f>(IF('Section Load'!AI12&gt;0,'Section Load'!AI12,0))</f>
        <v>277.48999999999796</v>
      </c>
      <c r="AI9" s="1298">
        <f>(IF('Section Load'!AJ12&gt;0,'Section Load'!AJ12,0))</f>
        <v>166.26999999998952</v>
      </c>
      <c r="AJ9" s="1298">
        <f>(IF('Section Load'!AK12&gt;0,'Section Load'!AK12,0))</f>
        <v>0</v>
      </c>
      <c r="AK9" s="1298">
        <f>(IF('Section Load'!AL12&gt;0,'Section Load'!AL12,0))</f>
        <v>141.39999999999418</v>
      </c>
      <c r="AL9" s="1298">
        <f>(IF('Section Load'!AM12&gt;0,'Section Load'!AM12,0))</f>
        <v>794</v>
      </c>
      <c r="AM9" s="1299">
        <f>(IF('Water Report'!$K$7&gt;0,'Water Report'!$K$7,0))</f>
        <v>53</v>
      </c>
      <c r="AN9" s="1299">
        <f>(IF('Water Report'!$K$8&gt;0,'Water Report'!$K$8,0))</f>
        <v>49</v>
      </c>
      <c r="AO9" s="1299">
        <f>(IF('Water Report'!$K$9&gt;0,'Water Report'!$K$9,0))</f>
        <v>78</v>
      </c>
      <c r="AP9" s="1299">
        <f>(IF('Water Report'!$K$10&gt;0,'Water Report'!$K$10,0))</f>
        <v>9</v>
      </c>
      <c r="AQ9" s="1299">
        <f>(IF('Water Report'!$K$11&gt;0,'Water Report'!$K$11,0))</f>
        <v>13</v>
      </c>
      <c r="AR9" s="1299">
        <f>(IF('Water Report'!$K$13&gt;0,'Water Report'!$K$13,0))</f>
        <v>14</v>
      </c>
      <c r="AS9" s="1299">
        <f>(IF('Water Report'!$K$14&gt;0,'Water Report'!$K$14,0))</f>
        <v>4</v>
      </c>
      <c r="AT9" s="1299">
        <f>(IF('Water Report'!$K$15&gt;0,'Water Report'!$K$15,0))</f>
        <v>4</v>
      </c>
      <c r="AU9" s="1299">
        <f>(IF('Water Report'!$K$17&gt;0,'Water Report'!$K$17,0))</f>
        <v>0</v>
      </c>
      <c r="AV9" s="1299">
        <f>(IF('Water Report'!$K$18&gt;0,'Water Report'!$K$18,0))</f>
        <v>6</v>
      </c>
      <c r="AW9" s="1299">
        <f>(IF('Water Report'!$K$19&gt;0,'Water Report'!$K$19,0))</f>
        <v>8</v>
      </c>
      <c r="AX9" s="1376">
        <f>(IF('Water Report'!$K$21&gt;0,'Water Report'!$K$21,0))</f>
        <v>41</v>
      </c>
      <c r="AY9" s="1376">
        <f>(IF('Water Report'!$K$22&gt;0,'Water Report'!$K$22,0))</f>
        <v>12</v>
      </c>
      <c r="AZ9" s="1376">
        <f>(IF('Water Report'!$K$23&gt;0,'Water Report'!$K$23,0))</f>
        <v>0</v>
      </c>
      <c r="BA9" s="1376">
        <f>(IF('Water Report'!$K$14&gt;0,'Water Report'!$K$14,0))</f>
        <v>4</v>
      </c>
      <c r="BB9" s="1376">
        <f>(IF('Water Report'!$K$15&gt;0,'Water Report'!$K$15,0))</f>
        <v>4</v>
      </c>
      <c r="BC9" s="1376">
        <f>(IF('Water Report'!$K$13&gt;0,'Water Report'!$K$13,0))</f>
        <v>14</v>
      </c>
      <c r="BD9" s="1376">
        <f>(IF('Water Report'!$K$24&gt;0,'Water Report'!$K$24,0))</f>
        <v>115</v>
      </c>
      <c r="BE9" s="1376">
        <f>(IF('Water Report'!$K$25&gt;0,'Water Report'!$K$25,0))</f>
        <v>108</v>
      </c>
      <c r="BF9" s="1376">
        <f>(IF('Water Report'!$K$27&gt;0,'Water Report'!$K$27,0))</f>
        <v>55</v>
      </c>
      <c r="BG9" s="1300">
        <f>(IF('Section Load'!AN12&gt;0,'Section Load'!AN12,0))</f>
        <v>613.47999999998137</v>
      </c>
      <c r="BH9" s="1300">
        <f>(IF('Section Load'!AO12&gt;0,'Section Load'!AO12,0))</f>
        <v>209.8399999999674</v>
      </c>
      <c r="BI9" s="1300">
        <f>(IF('Section Load'!AP12&gt;0,'Section Load'!AP12,0))</f>
        <v>0.39999999999417923</v>
      </c>
      <c r="BJ9" s="1300">
        <f>(IF('Section Load'!AQ12&gt;0,'Section Load'!AQ12,0))</f>
        <v>77.5</v>
      </c>
      <c r="BK9" s="1300">
        <f>(IF('Section Load'!AR12&gt;0,'Section Load'!AR12,0))</f>
        <v>0.2000000000007276</v>
      </c>
      <c r="BL9" s="1300">
        <f>(IF('Section Load'!AS12&gt;0,'Section Load'!AS12,0))</f>
        <v>0.6000000000003638</v>
      </c>
      <c r="BM9" s="1300">
        <f>(IF('Section Load'!AT12&gt;0,'Section Load'!AT12,0))</f>
        <v>324.9400000000187</v>
      </c>
    </row>
    <row r="10" spans="1:65">
      <c r="A10" s="1282" t="s">
        <v>300</v>
      </c>
      <c r="B10" s="1283">
        <f t="shared" si="0"/>
        <v>9</v>
      </c>
      <c r="C10" s="1283">
        <v>5</v>
      </c>
      <c r="D10" s="1283">
        <v>2021</v>
      </c>
      <c r="E10" s="1298">
        <f>(IF('Section Load'!F13&gt;0,'Section Load'!F13,0))</f>
        <v>2125.5300000000279</v>
      </c>
      <c r="F10" s="1298">
        <f>(IF('Section Load'!G13&gt;0,'Section Load'!G13,0))</f>
        <v>1183.9799999999959</v>
      </c>
      <c r="G10" s="1298">
        <f>(IF('Section Load'!H13&gt;0,'Section Load'!H13,0))</f>
        <v>1229.7299999999959</v>
      </c>
      <c r="H10" s="1298">
        <f>(IF('Section Load'!I13&gt;0,'Section Load'!I13,0))</f>
        <v>2303.179999999993</v>
      </c>
      <c r="I10" s="1298">
        <f>(IF('Section Load'!J13&gt;0,'Section Load'!J13,0))</f>
        <v>4766.7299999999959</v>
      </c>
      <c r="J10" s="1298">
        <f>(IF('Section Load'!K13&gt;0,'Section Load'!K13,0))</f>
        <v>2140.7299999999814</v>
      </c>
      <c r="K10" s="1298">
        <f>(IF('Section Load'!L13&gt;0,'Section Load'!L13,0))</f>
        <v>861.69000000000233</v>
      </c>
      <c r="L10" s="1298">
        <f>(IF('Section Load'!M13&gt;0,'Section Load'!M13,0))</f>
        <v>726.73999999999069</v>
      </c>
      <c r="M10" s="1298">
        <f>(IF('Section Load'!N13&gt;0,'Section Load'!N13,0))</f>
        <v>16</v>
      </c>
      <c r="N10" s="1298">
        <f>(IF('Section Load'!O13&gt;0,'Section Load'!O13,0))</f>
        <v>1</v>
      </c>
      <c r="O10" s="1298">
        <f>(IF('Section Load'!P13&gt;0,'Section Load'!P13,0))</f>
        <v>10.300000000000182</v>
      </c>
      <c r="P10" s="1298">
        <f>(IF('Section Load'!Q13&gt;0,'Section Load'!Q13,0))</f>
        <v>51.3700000000008</v>
      </c>
      <c r="Q10" s="1298">
        <f>(IF('Section Load'!R13&gt;0,'Section Load'!R13,0))</f>
        <v>55.079999999999927</v>
      </c>
      <c r="R10" s="1298">
        <f>(IF('Section Load'!S13&gt;0,'Section Load'!S13,0))</f>
        <v>48</v>
      </c>
      <c r="S10" s="1298">
        <f>(IF('Section Load'!T13&gt;0,'Section Load'!T13,0))</f>
        <v>66</v>
      </c>
      <c r="T10" s="1298">
        <f>(IF('Section Load'!U13&gt;0,'Section Load'!U13,0))</f>
        <v>106</v>
      </c>
      <c r="U10" s="1298">
        <f>(IF('Section Load'!V13&gt;0,'Section Load'!V13,0))</f>
        <v>389.28000000002794</v>
      </c>
      <c r="V10" s="1298">
        <f>(IF('Section Load'!W13&gt;0,'Section Load'!W13,0))</f>
        <v>76.199999999953434</v>
      </c>
      <c r="W10" s="1298">
        <f>(IF('Section Load'!X13&gt;0,'Section Load'!X13,0))</f>
        <v>33.339999999996508</v>
      </c>
      <c r="X10" s="1298">
        <f>(IF('Section Load'!Y13&gt;0,'Section Load'!Y13,0))</f>
        <v>11.870000000002619</v>
      </c>
      <c r="Y10" s="1298">
        <f>(IF('Section Load'!Z13&gt;0,'Section Load'!Z13,0))</f>
        <v>232</v>
      </c>
      <c r="Z10" s="1298">
        <f>(IF('Section Load'!AA13&gt;0,'Section Load'!AA13,0))</f>
        <v>30.28000000002794</v>
      </c>
      <c r="AA10" s="1298">
        <f>(IF('Section Load'!AB13&gt;0,'Section Load'!AB13,0))</f>
        <v>10.30000000000291</v>
      </c>
      <c r="AB10" s="1298">
        <f>(IF('Section Load'!AC13&gt;0,'Section Load'!AC13,0))</f>
        <v>22.049999999988358</v>
      </c>
      <c r="AC10" s="1298">
        <f>(IF('Section Load'!AD13&gt;0,'Section Load'!AD13,0))</f>
        <v>6.0999999999985448</v>
      </c>
      <c r="AD10" s="1298">
        <f>(IF('Section Load'!AE13&gt;0,'Section Load'!AE13,0))</f>
        <v>0</v>
      </c>
      <c r="AE10" s="1298">
        <f>(IF('Section Load'!AF13&gt;0,'Section Load'!AF13,0))</f>
        <v>3.4600000000000364</v>
      </c>
      <c r="AF10" s="1298">
        <f>(IF('Section Load'!AG13&gt;0,'Section Load'!AG13,0))</f>
        <v>195.41000000000349</v>
      </c>
      <c r="AG10" s="1298">
        <f>(IF('Section Load'!AH13&gt;0,'Section Load'!AH13,0))</f>
        <v>186.79999999998836</v>
      </c>
      <c r="AH10" s="1298">
        <f>(IF('Section Load'!AI13&gt;0,'Section Load'!AI13,0))</f>
        <v>253.51000000000204</v>
      </c>
      <c r="AI10" s="1298">
        <f>(IF('Section Load'!AJ13&gt;0,'Section Load'!AJ13,0))</f>
        <v>170.73000000001048</v>
      </c>
      <c r="AJ10" s="1298">
        <f>(IF('Section Load'!AK13&gt;0,'Section Load'!AK13,0))</f>
        <v>0</v>
      </c>
      <c r="AK10" s="1298">
        <f>(IF('Section Load'!AL13&gt;0,'Section Load'!AL13,0))</f>
        <v>112.60000000000582</v>
      </c>
      <c r="AL10" s="1298">
        <f>(IF('Section Load'!AM13&gt;0,'Section Load'!AM13,0))</f>
        <v>798</v>
      </c>
      <c r="AM10" s="1299">
        <f>(IF('Water Report'!$L$7&gt;0,'Water Report'!$L$7,0))</f>
        <v>32</v>
      </c>
      <c r="AN10" s="1299">
        <f>(IF('Water Report'!$L$8&gt;0,'Water Report'!$L$8,0))</f>
        <v>106</v>
      </c>
      <c r="AO10" s="1299">
        <f>(IF('Water Report'!$L$9&gt;0,'Water Report'!$L$9,0))</f>
        <v>40</v>
      </c>
      <c r="AP10" s="1299">
        <f>(IF('Water Report'!$L$10&gt;0,'Water Report'!$L$10,0))</f>
        <v>11</v>
      </c>
      <c r="AQ10" s="1299">
        <f>(IF('Water Report'!$L$11&gt;0,'Water Report'!$L$11,0))</f>
        <v>15</v>
      </c>
      <c r="AR10" s="1299">
        <f>(IF('Water Report'!$L$13&gt;0,'Water Report'!$L$13,0))</f>
        <v>10</v>
      </c>
      <c r="AS10" s="1299">
        <f>(IF('Water Report'!$L$14&gt;0,'Water Report'!$L$14,0))</f>
        <v>5</v>
      </c>
      <c r="AT10" s="1299">
        <f>(IF('Water Report'!$L$15&gt;0,'Water Report'!$L$15,0))</f>
        <v>4</v>
      </c>
      <c r="AU10" s="1299">
        <f>(IF('Water Report'!$L$17&gt;0,'Water Report'!$L$17,0))</f>
        <v>0</v>
      </c>
      <c r="AV10" s="1299">
        <f>(IF('Water Report'!$L$18&gt;0,'Water Report'!$L$18,0))</f>
        <v>157</v>
      </c>
      <c r="AW10" s="1299">
        <f>(IF('Water Report'!$L$19&gt;0,'Water Report'!$L$19,0))</f>
        <v>184</v>
      </c>
      <c r="AX10" s="1376">
        <f>(IF('Water Report'!$L$21&gt;0,'Water Report'!$L$21,0))</f>
        <v>50</v>
      </c>
      <c r="AY10" s="1376">
        <f>(IF('Water Report'!$L$22&gt;0,'Water Report'!$L$22,0))</f>
        <v>9</v>
      </c>
      <c r="AZ10" s="1376">
        <f>(IF('Water Report'!$L$23&gt;0,'Water Report'!$L$23,0))</f>
        <v>0</v>
      </c>
      <c r="BA10" s="1376">
        <f>(IF('Water Report'!$L$14&gt;0,'Water Report'!$L$14,0))</f>
        <v>5</v>
      </c>
      <c r="BB10" s="1376">
        <f>(IF('Water Report'!$L$15&gt;0,'Water Report'!$L$15,0))</f>
        <v>4</v>
      </c>
      <c r="BC10" s="1376">
        <f>(IF('Water Report'!$L$13&gt;0,'Water Report'!$L$13,0))</f>
        <v>10</v>
      </c>
      <c r="BD10" s="1376">
        <f>(IF('Water Report'!$L$24&gt;0,'Water Report'!$L$24,0))</f>
        <v>95</v>
      </c>
      <c r="BE10" s="1376">
        <f>(IF('Water Report'!$L$25&gt;0,'Water Report'!$L$25,0))</f>
        <v>75</v>
      </c>
      <c r="BF10" s="1376">
        <f>(IF('Water Report'!$L$27&gt;0,'Water Report'!$L$27,0))</f>
        <v>60</v>
      </c>
      <c r="BG10" s="1300">
        <f>(IF('Section Load'!AN13&gt;0,'Section Load'!AN13,0))</f>
        <v>523.52000000001863</v>
      </c>
      <c r="BH10" s="1300">
        <f>(IF('Section Load'!AO13&gt;0,'Section Load'!AO13,0))</f>
        <v>186.1600000000326</v>
      </c>
      <c r="BI10" s="1300">
        <f>(IF('Section Load'!AP13&gt;0,'Section Load'!AP13,0))</f>
        <v>0</v>
      </c>
      <c r="BJ10" s="1300">
        <f>(IF('Section Load'!AQ13&gt;0,'Section Load'!AQ13,0))</f>
        <v>62.5</v>
      </c>
      <c r="BK10" s="1300">
        <f>(IF('Section Load'!AR13&gt;0,'Section Load'!AR13,0))</f>
        <v>0</v>
      </c>
      <c r="BL10" s="1300">
        <f>(IF('Section Load'!AS13&gt;0,'Section Load'!AS13,0))</f>
        <v>0.3999999999996362</v>
      </c>
      <c r="BM10" s="1300">
        <f>(IF('Section Load'!AT13&gt;0,'Section Load'!AT13,0))</f>
        <v>274.45999999998639</v>
      </c>
    </row>
    <row r="11" spans="1:65">
      <c r="A11" s="1282" t="s">
        <v>300</v>
      </c>
      <c r="B11" s="1283">
        <f t="shared" si="0"/>
        <v>10</v>
      </c>
      <c r="C11" s="1283">
        <v>5</v>
      </c>
      <c r="D11" s="1283">
        <v>2021</v>
      </c>
      <c r="E11" s="1298">
        <f>(IF('Section Load'!F14&gt;0,'Section Load'!F14,0))</f>
        <v>1851</v>
      </c>
      <c r="F11" s="1298">
        <f>(IF('Section Load'!G14&gt;0,'Section Load'!G14,0))</f>
        <v>1187</v>
      </c>
      <c r="G11" s="1298">
        <f>(IF('Section Load'!H14&gt;0,'Section Load'!H14,0))</f>
        <v>1067</v>
      </c>
      <c r="H11" s="1298">
        <f>(IF('Section Load'!I14&gt;0,'Section Load'!I14,0))</f>
        <v>2173</v>
      </c>
      <c r="I11" s="1298">
        <f>(IF('Section Load'!J14&gt;0,'Section Load'!J14,0))</f>
        <v>4860.890000000014</v>
      </c>
      <c r="J11" s="1298">
        <f>(IF('Section Load'!K14&gt;0,'Section Load'!K14,0))</f>
        <v>2128</v>
      </c>
      <c r="K11" s="1298">
        <f>(IF('Section Load'!L14&gt;0,'Section Load'!L14,0))</f>
        <v>939</v>
      </c>
      <c r="L11" s="1298">
        <f>(IF('Section Load'!M14&gt;0,'Section Load'!M14,0))</f>
        <v>558.20000000001164</v>
      </c>
      <c r="M11" s="1298">
        <f>(IF('Section Load'!N14&gt;0,'Section Load'!N14,0))</f>
        <v>17</v>
      </c>
      <c r="N11" s="1298">
        <f>(IF('Section Load'!O14&gt;0,'Section Load'!O14,0))</f>
        <v>1</v>
      </c>
      <c r="O11" s="1298">
        <f>(IF('Section Load'!P14&gt;0,'Section Load'!P14,0))</f>
        <v>12</v>
      </c>
      <c r="P11" s="1298">
        <f>(IF('Section Load'!Q14&gt;0,'Section Load'!Q14,0))</f>
        <v>53</v>
      </c>
      <c r="Q11" s="1298">
        <f>(IF('Section Load'!R14&gt;0,'Section Load'!R14,0))</f>
        <v>57</v>
      </c>
      <c r="R11" s="1298">
        <f>(IF('Section Load'!S14&gt;0,'Section Load'!S14,0))</f>
        <v>52</v>
      </c>
      <c r="S11" s="1298">
        <f>(IF('Section Load'!T14&gt;0,'Section Load'!T14,0))</f>
        <v>70</v>
      </c>
      <c r="T11" s="1298">
        <f>(IF('Section Load'!U14&gt;0,'Section Load'!U14,0))</f>
        <v>109</v>
      </c>
      <c r="U11" s="1298">
        <f>(IF('Section Load'!V14&gt;0,'Section Load'!V14,0))</f>
        <v>343</v>
      </c>
      <c r="V11" s="1298">
        <f>(IF('Section Load'!W14&gt;0,'Section Load'!W14,0))</f>
        <v>77</v>
      </c>
      <c r="W11" s="1298">
        <f>(IF('Section Load'!X14&gt;0,'Section Load'!X14,0))</f>
        <v>11</v>
      </c>
      <c r="X11" s="1298">
        <f>(IF('Section Load'!Y14&gt;0,'Section Load'!Y14,0))</f>
        <v>49</v>
      </c>
      <c r="Y11" s="1298">
        <f>(IF('Section Load'!Z14&gt;0,'Section Load'!Z14,0))</f>
        <v>162</v>
      </c>
      <c r="Z11" s="1298">
        <f>(IF('Section Load'!AA14&gt;0,'Section Load'!AA14,0))</f>
        <v>93</v>
      </c>
      <c r="AA11" s="1298">
        <f>(IF('Section Load'!AB14&gt;0,'Section Load'!AB14,0))</f>
        <v>17</v>
      </c>
      <c r="AB11" s="1298">
        <f>(IF('Section Load'!AC14&gt;0,'Section Load'!AC14,0))</f>
        <v>119</v>
      </c>
      <c r="AC11" s="1298">
        <f>(IF('Section Load'!AD14&gt;0,'Section Load'!AD14,0))</f>
        <v>17</v>
      </c>
      <c r="AD11" s="1298">
        <f>(IF('Section Load'!AE14&gt;0,'Section Load'!AE14,0))</f>
        <v>0</v>
      </c>
      <c r="AE11" s="1298">
        <f>(IF('Section Load'!AF14&gt;0,'Section Load'!AF14,0))</f>
        <v>4</v>
      </c>
      <c r="AF11" s="1298">
        <f>(IF('Section Load'!AG14&gt;0,'Section Load'!AG14,0))</f>
        <v>203</v>
      </c>
      <c r="AG11" s="1298">
        <f>(IF('Section Load'!AH14&gt;0,'Section Load'!AH14,0))</f>
        <v>134</v>
      </c>
      <c r="AH11" s="1298">
        <f>(IF('Section Load'!AI14&gt;0,'Section Load'!AI14,0))</f>
        <v>259</v>
      </c>
      <c r="AI11" s="1298">
        <f>(IF('Section Load'!AJ14&gt;0,'Section Load'!AJ14,0))</f>
        <v>126</v>
      </c>
      <c r="AJ11" s="1298">
        <f>(IF('Section Load'!AK14&gt;0,'Section Load'!AK14,0))</f>
        <v>0</v>
      </c>
      <c r="AK11" s="1298">
        <f>(IF('Section Load'!AL14&gt;0,'Section Load'!AL14,0))</f>
        <v>100</v>
      </c>
      <c r="AL11" s="1298">
        <f>(IF('Section Load'!AM14&gt;0,'Section Load'!AM14,0))</f>
        <v>636</v>
      </c>
      <c r="AM11" s="1299">
        <f>(IF('Water Report'!$M$7&gt;0,'Water Report'!$M$7,0))</f>
        <v>0</v>
      </c>
      <c r="AN11" s="1299">
        <f>(IF('Water Report'!$M$8&gt;0,'Water Report'!$M$8,0))</f>
        <v>45</v>
      </c>
      <c r="AO11" s="1299">
        <f>(IF('Water Report'!$M$9&gt;0,'Water Report'!$M$9,0))</f>
        <v>24</v>
      </c>
      <c r="AP11" s="1299">
        <f>(IF('Water Report'!$M$10&gt;0,'Water Report'!$M$10,0))</f>
        <v>7</v>
      </c>
      <c r="AQ11" s="1299">
        <f>(IF('Water Report'!$M$11&gt;0,'Water Report'!$M$11,0))</f>
        <v>9</v>
      </c>
      <c r="AR11" s="1299">
        <f>(IF('Water Report'!$M$13&gt;0,'Water Report'!$M$13,0))</f>
        <v>12</v>
      </c>
      <c r="AS11" s="1299">
        <f>(IF('Water Report'!$M$14&gt;0,'Water Report'!$M$14,0))</f>
        <v>6</v>
      </c>
      <c r="AT11" s="1299">
        <f>(IF('Water Report'!$M$15&gt;0,'Water Report'!$M$15,0))</f>
        <v>2</v>
      </c>
      <c r="AU11" s="1299">
        <f>(IF('Water Report'!$M$17&gt;0,'Water Report'!$M$17,0))</f>
        <v>8</v>
      </c>
      <c r="AV11" s="1299">
        <f>(IF('Water Report'!$M$18&gt;0,'Water Report'!$M$18,0))</f>
        <v>0</v>
      </c>
      <c r="AW11" s="1299">
        <f>(IF('Water Report'!$M$19&gt;0,'Water Report'!$M$19,0))</f>
        <v>1</v>
      </c>
      <c r="AX11" s="1376">
        <f>(IF('Water Report'!$M$21&gt;0,'Water Report'!$M$21,0))</f>
        <v>40</v>
      </c>
      <c r="AY11" s="1376">
        <f>(IF('Water Report'!$M$22&gt;0,'Water Report'!$M$22,0))</f>
        <v>11</v>
      </c>
      <c r="AZ11" s="1376">
        <f>(IF('Water Report'!$M$23&gt;0,'Water Report'!$M$23,0))</f>
        <v>6</v>
      </c>
      <c r="BA11" s="1376">
        <f>(IF('Water Report'!$M$14&gt;0,'Water Report'!$M$14,0))</f>
        <v>6</v>
      </c>
      <c r="BB11" s="1376">
        <f>(IF('Water Report'!$M$15&gt;0,'Water Report'!$M$15,0))</f>
        <v>2</v>
      </c>
      <c r="BC11" s="1376">
        <f>(IF('Water Report'!$M$13&gt;0,'Water Report'!$M$13,0))</f>
        <v>12</v>
      </c>
      <c r="BD11" s="1376">
        <f>(IF('Water Report'!$M$24&gt;0,'Water Report'!$M$24,0))</f>
        <v>77</v>
      </c>
      <c r="BE11" s="1376">
        <f>(IF('Water Report'!$M$25&gt;0,'Water Report'!$M$25,0))</f>
        <v>48</v>
      </c>
      <c r="BF11" s="1376">
        <f>(IF('Water Report'!$M$27&gt;0,'Water Report'!$M$27,0))</f>
        <v>58</v>
      </c>
      <c r="BG11" s="1300">
        <f>(IF('Section Load'!AN14&gt;0,'Section Load'!AN14,0))</f>
        <v>243</v>
      </c>
      <c r="BH11" s="1300">
        <f>(IF('Section Load'!AO14&gt;0,'Section Load'!AO14,0))</f>
        <v>200</v>
      </c>
      <c r="BI11" s="1300">
        <f>(IF('Section Load'!AP14&gt;0,'Section Load'!AP14,0))</f>
        <v>0</v>
      </c>
      <c r="BJ11" s="1300">
        <f>(IF('Section Load'!AQ14&gt;0,'Section Load'!AQ14,0))</f>
        <v>35</v>
      </c>
      <c r="BK11" s="1300">
        <f>(IF('Section Load'!AR14&gt;0,'Section Load'!AR14,0))</f>
        <v>0</v>
      </c>
      <c r="BL11" s="1300">
        <f>(IF('Section Load'!AS14&gt;0,'Section Load'!AS14,0))</f>
        <v>0</v>
      </c>
      <c r="BM11" s="1300">
        <f>(IF('Section Load'!AT14&gt;0,'Section Load'!AT14,0))</f>
        <v>8</v>
      </c>
    </row>
    <row r="12" spans="1:65">
      <c r="A12" s="1282" t="s">
        <v>300</v>
      </c>
      <c r="B12" s="1283">
        <f t="shared" si="0"/>
        <v>11</v>
      </c>
      <c r="C12" s="1283">
        <v>5</v>
      </c>
      <c r="D12" s="1283">
        <v>2021</v>
      </c>
      <c r="E12" s="1298">
        <f>(IF('Section Load'!F15&gt;0,'Section Load'!F15,0))</f>
        <v>1869.2299999999814</v>
      </c>
      <c r="F12" s="1298">
        <f>(IF('Section Load'!G15&gt;0,'Section Load'!G15,0))</f>
        <v>1191.5</v>
      </c>
      <c r="G12" s="1298">
        <f>(IF('Section Load'!H15&gt;0,'Section Load'!H15,0))</f>
        <v>998.36999999999534</v>
      </c>
      <c r="H12" s="1298">
        <f>(IF('Section Load'!I15&gt;0,'Section Load'!I15,0))</f>
        <v>2053.3999999999651</v>
      </c>
      <c r="I12" s="1298">
        <f>(IF('Section Load'!J15&gt;0,'Section Load'!J15,0))</f>
        <v>4824.339999999982</v>
      </c>
      <c r="J12" s="1298">
        <f>(IF('Section Load'!K15&gt;0,'Section Load'!K15,0))</f>
        <v>2093.1899999999441</v>
      </c>
      <c r="K12" s="1298">
        <f>(IF('Section Load'!L15&gt;0,'Section Load'!L15,0))</f>
        <v>771.95000000001164</v>
      </c>
      <c r="L12" s="1298">
        <f>(IF('Section Load'!M15&gt;0,'Section Load'!M15,0))</f>
        <v>528.52999999999884</v>
      </c>
      <c r="M12" s="1298">
        <f>(IF('Section Load'!N15&gt;0,'Section Load'!N15,0))</f>
        <v>14</v>
      </c>
      <c r="N12" s="1298">
        <f>(IF('Section Load'!O15&gt;0,'Section Load'!O15,0))</f>
        <v>1</v>
      </c>
      <c r="O12" s="1298">
        <f>(IF('Section Load'!P15&gt;0,'Section Load'!P15,0))</f>
        <v>11.75</v>
      </c>
      <c r="P12" s="1298">
        <f>(IF('Section Load'!Q15&gt;0,'Section Load'!Q15,0))</f>
        <v>50.739999999999782</v>
      </c>
      <c r="Q12" s="1298">
        <f>(IF('Section Load'!R15&gt;0,'Section Load'!R15,0))</f>
        <v>55.050000000000182</v>
      </c>
      <c r="R12" s="1298">
        <f>(IF('Section Load'!S15&gt;0,'Section Load'!S15,0))</f>
        <v>46</v>
      </c>
      <c r="S12" s="1298">
        <f>(IF('Section Load'!T15&gt;0,'Section Load'!T15,0))</f>
        <v>64</v>
      </c>
      <c r="T12" s="1298">
        <f>(IF('Section Load'!U15&gt;0,'Section Load'!U15,0))</f>
        <v>142</v>
      </c>
      <c r="U12" s="1298">
        <f>(IF('Section Load'!V15&gt;0,'Section Load'!V15,0))</f>
        <v>328.9199999999837</v>
      </c>
      <c r="V12" s="1298">
        <f>(IF('Section Load'!W15&gt;0,'Section Load'!W15,0))</f>
        <v>76</v>
      </c>
      <c r="W12" s="1298">
        <f>(IF('Section Load'!X15&gt;0,'Section Load'!X15,0))</f>
        <v>10</v>
      </c>
      <c r="X12" s="1298">
        <f>(IF('Section Load'!Y15&gt;0,'Section Load'!Y15,0))</f>
        <v>0.25</v>
      </c>
      <c r="Y12" s="1298">
        <f>(IF('Section Load'!Z15&gt;0,'Section Load'!Z15,0))</f>
        <v>124</v>
      </c>
      <c r="Z12" s="1298">
        <f>(IF('Section Load'!AA15&gt;0,'Section Load'!AA15,0))</f>
        <v>31</v>
      </c>
      <c r="AA12" s="1298">
        <f>(IF('Section Load'!AB15&gt;0,'Section Load'!AB15,0))</f>
        <v>15</v>
      </c>
      <c r="AB12" s="1298">
        <f>(IF('Section Load'!AC15&gt;0,'Section Load'!AC15,0))</f>
        <v>22</v>
      </c>
      <c r="AC12" s="1298">
        <f>(IF('Section Load'!AD15&gt;0,'Section Load'!AD15,0))</f>
        <v>15</v>
      </c>
      <c r="AD12" s="1298">
        <f>(IF('Section Load'!AE15&gt;0,'Section Load'!AE15,0))</f>
        <v>0</v>
      </c>
      <c r="AE12" s="1298">
        <f>(IF('Section Load'!AF15&gt;0,'Section Load'!AF15,0))</f>
        <v>3.8000000000001819</v>
      </c>
      <c r="AF12" s="1298">
        <f>(IF('Section Load'!AG15&gt;0,'Section Load'!AG15,0))</f>
        <v>207.76999999998952</v>
      </c>
      <c r="AG12" s="1298">
        <f>(IF('Section Load'!AH15&gt;0,'Section Load'!AH15,0))</f>
        <v>129.13000000000466</v>
      </c>
      <c r="AH12" s="1298">
        <f>(IF('Section Load'!AI15&gt;0,'Section Load'!AI15,0))</f>
        <v>244.79000000000087</v>
      </c>
      <c r="AI12" s="1298">
        <f>(IF('Section Load'!AJ15&gt;0,'Section Load'!AJ15,0))</f>
        <v>117.95000000001164</v>
      </c>
      <c r="AJ12" s="1298">
        <f>(IF('Section Load'!AK15&gt;0,'Section Load'!AK15,0))</f>
        <v>0</v>
      </c>
      <c r="AK12" s="1298">
        <f>(IF('Section Load'!AL15&gt;0,'Section Load'!AL15,0))</f>
        <v>39.610000000000582</v>
      </c>
      <c r="AL12" s="1298">
        <f>(IF('Section Load'!AM15&gt;0,'Section Load'!AM15,0))</f>
        <v>552</v>
      </c>
      <c r="AM12" s="1299">
        <f>(IF('Water Report'!$N$7&gt;0,'Water Report'!$N$7,0))</f>
        <v>0</v>
      </c>
      <c r="AN12" s="1299">
        <f>(IF('Water Report'!$N$8&gt;0,'Water Report'!$N$8,0))</f>
        <v>44</v>
      </c>
      <c r="AO12" s="1299">
        <f>(IF('Water Report'!$N$9&gt;0,'Water Report'!$N$9,0))</f>
        <v>26</v>
      </c>
      <c r="AP12" s="1299">
        <f>(IF('Water Report'!$N$10&gt;0,'Water Report'!$N$10,0))</f>
        <v>8</v>
      </c>
      <c r="AQ12" s="1299">
        <f>(IF('Water Report'!$N$11&gt;0,'Water Report'!$N$11,0))</f>
        <v>10</v>
      </c>
      <c r="AR12" s="1299">
        <f>(IF('Water Report'!$N$13&gt;0,'Water Report'!$N$13,0))</f>
        <v>6</v>
      </c>
      <c r="AS12" s="1299">
        <f>(IF('Water Report'!$N$14&gt;0,'Water Report'!$N$14,0))</f>
        <v>3</v>
      </c>
      <c r="AT12" s="1299">
        <f>(IF('Water Report'!$N$15&gt;0,'Water Report'!$N$15,0))</f>
        <v>1</v>
      </c>
      <c r="AU12" s="1299">
        <f>(IF('Water Report'!$N$17&gt;0,'Water Report'!$N$17,0))</f>
        <v>0</v>
      </c>
      <c r="AV12" s="1299">
        <f>(IF('Water Report'!$N$18&gt;0,'Water Report'!$N$18,0))</f>
        <v>0</v>
      </c>
      <c r="AW12" s="1299">
        <f>(IF('Water Report'!$N$19&gt;0,'Water Report'!$N$19,0))</f>
        <v>0</v>
      </c>
      <c r="AX12" s="1376">
        <f>(IF('Water Report'!$N$21&gt;0,'Water Report'!$N$21,0))</f>
        <v>53</v>
      </c>
      <c r="AY12" s="1376">
        <f>(IF('Water Report'!$N$22&gt;0,'Water Report'!$N$22,0))</f>
        <v>0</v>
      </c>
      <c r="AZ12" s="1376">
        <f>(IF('Water Report'!$N$23&gt;0,'Water Report'!$N$23,0))</f>
        <v>12</v>
      </c>
      <c r="BA12" s="1376">
        <f>(IF('Water Report'!$N$14&gt;0,'Water Report'!$N$14,0))</f>
        <v>3</v>
      </c>
      <c r="BB12" s="1376">
        <f>(IF('Water Report'!$N$15&gt;0,'Water Report'!$N$15,0))</f>
        <v>1</v>
      </c>
      <c r="BC12" s="1376">
        <f>(IF('Water Report'!$N$13&gt;0,'Water Report'!$N$13,0))</f>
        <v>6</v>
      </c>
      <c r="BD12" s="1376">
        <f>(IF('Water Report'!$N$24&gt;0,'Water Report'!$N$24,0))</f>
        <v>75</v>
      </c>
      <c r="BE12" s="1376">
        <f>(IF('Water Report'!$N$25&gt;0,'Water Report'!$N$25,0))</f>
        <v>48</v>
      </c>
      <c r="BF12" s="1376">
        <f>(IF('Water Report'!$N$27&gt;0,'Water Report'!$N$27,0))</f>
        <v>71</v>
      </c>
      <c r="BG12" s="1300">
        <f>(IF('Section Load'!AN15&gt;0,'Section Load'!AN15,0))</f>
        <v>333.68999999994412</v>
      </c>
      <c r="BH12" s="1300">
        <f>(IF('Section Load'!AO15&gt;0,'Section Load'!AO15,0))</f>
        <v>203</v>
      </c>
      <c r="BI12" s="1300">
        <f>(IF('Section Load'!AP15&gt;0,'Section Load'!AP15,0))</f>
        <v>0</v>
      </c>
      <c r="BJ12" s="1300">
        <f>(IF('Section Load'!AQ15&gt;0,'Section Load'!AQ15,0))</f>
        <v>60.799999999988358</v>
      </c>
      <c r="BK12" s="1300">
        <f>(IF('Section Load'!AR15&gt;0,'Section Load'!AR15,0))</f>
        <v>0</v>
      </c>
      <c r="BL12" s="1300">
        <f>(IF('Section Load'!AS15&gt;0,'Section Load'!AS15,0))</f>
        <v>0</v>
      </c>
      <c r="BM12" s="1300">
        <f>(IF('Section Load'!AT15&gt;0,'Section Load'!AT15,0))</f>
        <v>69.889999999955762</v>
      </c>
    </row>
    <row r="13" spans="1:65">
      <c r="A13" s="1282" t="s">
        <v>300</v>
      </c>
      <c r="B13" s="1283">
        <f t="shared" si="0"/>
        <v>12</v>
      </c>
      <c r="C13" s="1283">
        <v>5</v>
      </c>
      <c r="D13" s="1283">
        <v>2021</v>
      </c>
      <c r="E13" s="1298">
        <f>(IF('Section Load'!F16&gt;0,'Section Load'!F16,0))</f>
        <v>1863.4400000000605</v>
      </c>
      <c r="F13" s="1298">
        <f>(IF('Section Load'!G16&gt;0,'Section Load'!G16,0))</f>
        <v>1184.3600000000006</v>
      </c>
      <c r="G13" s="1298">
        <f>(IF('Section Load'!H16&gt;0,'Section Load'!H16,0))</f>
        <v>1220.2700000000186</v>
      </c>
      <c r="H13" s="1298">
        <f>(IF('Section Load'!I16&gt;0,'Section Load'!I16,0))</f>
        <v>2176.7200000000303</v>
      </c>
      <c r="I13" s="1298">
        <f>(IF('Section Load'!J16&gt;0,'Section Load'!J16,0))</f>
        <v>5003.0000000000082</v>
      </c>
      <c r="J13" s="1298">
        <f>(IF('Section Load'!K16&gt;0,'Section Load'!K16,0))</f>
        <v>2094.1100000001024</v>
      </c>
      <c r="K13" s="1298">
        <f>(IF('Section Load'!L16&gt;0,'Section Load'!L16,0))</f>
        <v>814.39999999996508</v>
      </c>
      <c r="L13" s="1298">
        <f>(IF('Section Load'!M16&gt;0,'Section Load'!M16,0))</f>
        <v>549</v>
      </c>
      <c r="M13" s="1298">
        <f>(IF('Section Load'!N16&gt;0,'Section Load'!N16,0))</f>
        <v>9</v>
      </c>
      <c r="N13" s="1298">
        <f>(IF('Section Load'!O16&gt;0,'Section Load'!O16,0))</f>
        <v>1</v>
      </c>
      <c r="O13" s="1298">
        <f>(IF('Section Load'!P16&gt;0,'Section Load'!P16,0))</f>
        <v>9.9800000000000182</v>
      </c>
      <c r="P13" s="1298">
        <f>(IF('Section Load'!Q16&gt;0,'Section Load'!Q16,0))</f>
        <v>50.729999999999563</v>
      </c>
      <c r="Q13" s="1298">
        <f>(IF('Section Load'!R16&gt;0,'Section Load'!R16,0))</f>
        <v>51.409999999999854</v>
      </c>
      <c r="R13" s="1298">
        <f>(IF('Section Load'!S16&gt;0,'Section Load'!S16,0))</f>
        <v>49</v>
      </c>
      <c r="S13" s="1298">
        <f>(IF('Section Load'!T16&gt;0,'Section Load'!T16,0))</f>
        <v>65</v>
      </c>
      <c r="T13" s="1298">
        <f>(IF('Section Load'!U16&gt;0,'Section Load'!U16,0))</f>
        <v>112</v>
      </c>
      <c r="U13" s="1298">
        <f>(IF('Section Load'!V16&gt;0,'Section Load'!V16,0))</f>
        <v>315.11999999999534</v>
      </c>
      <c r="V13" s="1298">
        <f>(IF('Section Load'!W16&gt;0,'Section Load'!W16,0))</f>
        <v>74.959999999962747</v>
      </c>
      <c r="W13" s="1298">
        <f>(IF('Section Load'!X16&gt;0,'Section Load'!X16,0))</f>
        <v>37.520000000004075</v>
      </c>
      <c r="X13" s="1298">
        <f>(IF('Section Load'!Y16&gt;0,'Section Load'!Y16,0))</f>
        <v>97.709999999999127</v>
      </c>
      <c r="Y13" s="1298">
        <f>(IF('Section Load'!Z16&gt;0,'Section Load'!Z16,0))</f>
        <v>222</v>
      </c>
      <c r="Z13" s="1298">
        <f>(IF('Section Load'!AA16&gt;0,'Section Load'!AA16,0))</f>
        <v>30.840000000025611</v>
      </c>
      <c r="AA13" s="1298">
        <f>(IF('Section Load'!AB16&gt;0,'Section Load'!AB16,0))</f>
        <v>11</v>
      </c>
      <c r="AB13" s="1298">
        <f>(IF('Section Load'!AC16&gt;0,'Section Load'!AC16,0))</f>
        <v>81.910000000003492</v>
      </c>
      <c r="AC13" s="1298">
        <f>(IF('Section Load'!AD16&gt;0,'Section Load'!AD16,0))</f>
        <v>11.5</v>
      </c>
      <c r="AD13" s="1298">
        <f>(IF('Section Load'!AE16&gt;0,'Section Load'!AE16,0))</f>
        <v>0</v>
      </c>
      <c r="AE13" s="1298">
        <f>(IF('Section Load'!AF16&gt;0,'Section Load'!AF16,0))</f>
        <v>3.7799999999997453</v>
      </c>
      <c r="AF13" s="1298">
        <f>(IF('Section Load'!AG16&gt;0,'Section Load'!AG16,0))</f>
        <v>221.5800000000163</v>
      </c>
      <c r="AG13" s="1298">
        <f>(IF('Section Load'!AH16&gt;0,'Section Load'!AH16,0))</f>
        <v>176.35000000000582</v>
      </c>
      <c r="AH13" s="1298">
        <f>(IF('Section Load'!AI16&gt;0,'Section Load'!AI16,0))</f>
        <v>247.69000000000233</v>
      </c>
      <c r="AI13" s="1298">
        <f>(IF('Section Load'!AJ16&gt;0,'Section Load'!AJ16,0))</f>
        <v>118.59999999997672</v>
      </c>
      <c r="AJ13" s="1298">
        <f>(IF('Section Load'!AK16&gt;0,'Section Load'!AK16,0))</f>
        <v>0</v>
      </c>
      <c r="AK13" s="1298">
        <f>(IF('Section Load'!AL16&gt;0,'Section Load'!AL16,0))</f>
        <v>43.210000000006403</v>
      </c>
      <c r="AL13" s="1298">
        <f>(IF('Section Load'!AM16&gt;0,'Section Load'!AM16,0))</f>
        <v>552</v>
      </c>
      <c r="AM13" s="1299">
        <f>(IF('Water Report'!$O$7&gt;0,'Water Report'!$O$7,0))</f>
        <v>20</v>
      </c>
      <c r="AN13" s="1299">
        <f>(IF('Water Report'!$O$8&gt;0,'Water Report'!$O$8,0))</f>
        <v>119</v>
      </c>
      <c r="AO13" s="1299">
        <f>(IF('Water Report'!$O$9&gt;0,'Water Report'!$O$9,0))</f>
        <v>35</v>
      </c>
      <c r="AP13" s="1299">
        <f>(IF('Water Report'!$O$10&gt;0,'Water Report'!$O$10,0))</f>
        <v>6</v>
      </c>
      <c r="AQ13" s="1299">
        <f>(IF('Water Report'!$O$11&gt;0,'Water Report'!$O$11,0))</f>
        <v>9</v>
      </c>
      <c r="AR13" s="1299">
        <f>(IF('Water Report'!$O$13&gt;0,'Water Report'!$O$13,0))</f>
        <v>27</v>
      </c>
      <c r="AS13" s="1299">
        <f>(IF('Water Report'!$O$14&gt;0,'Water Report'!$O$14,0))</f>
        <v>6</v>
      </c>
      <c r="AT13" s="1299">
        <f>(IF('Water Report'!$O$15&gt;0,'Water Report'!$O$15,0))</f>
        <v>4</v>
      </c>
      <c r="AU13" s="1299">
        <f>(IF('Water Report'!$O$17&gt;0,'Water Report'!$O$17,0))</f>
        <v>0</v>
      </c>
      <c r="AV13" s="1299">
        <f>(IF('Water Report'!$O$18&gt;0,'Water Report'!$O$18,0))</f>
        <v>0</v>
      </c>
      <c r="AW13" s="1299">
        <f>(IF('Water Report'!$O$19&gt;0,'Water Report'!$O$19,0))</f>
        <v>5</v>
      </c>
      <c r="AX13" s="1376">
        <f>(IF('Water Report'!$O$21&gt;0,'Water Report'!$O$21,0))</f>
        <v>48</v>
      </c>
      <c r="AY13" s="1376">
        <f>(IF('Water Report'!$O$22&gt;0,'Water Report'!$O$22,0))</f>
        <v>25</v>
      </c>
      <c r="AZ13" s="1376">
        <f>(IF('Water Report'!$O$23&gt;0,'Water Report'!$O$23,0))</f>
        <v>0</v>
      </c>
      <c r="BA13" s="1376">
        <f>(IF('Water Report'!$O$14&gt;0,'Water Report'!$O$14,0))</f>
        <v>6</v>
      </c>
      <c r="BB13" s="1376">
        <f>(IF('Water Report'!$O$15&gt;0,'Water Report'!$O$15,0))</f>
        <v>4</v>
      </c>
      <c r="BC13" s="1376">
        <f>(IF('Water Report'!$O$13&gt;0,'Water Report'!$O$13,0))</f>
        <v>27</v>
      </c>
      <c r="BD13" s="1376">
        <f>(IF('Water Report'!$O$24&gt;0,'Water Report'!$O$24,0))</f>
        <v>52</v>
      </c>
      <c r="BE13" s="1376">
        <f>(IF('Water Report'!$O$25&gt;0,'Water Report'!$O$25,0))</f>
        <v>60</v>
      </c>
      <c r="BF13" s="1376">
        <f>(IF('Water Report'!$O$27&gt;0,'Water Report'!$O$27,0))</f>
        <v>75</v>
      </c>
      <c r="BG13" s="1300">
        <f>(IF('Section Load'!AN16&gt;0,'Section Load'!AN16,0))</f>
        <v>436.43000000016764</v>
      </c>
      <c r="BH13" s="1300">
        <f>(IF('Section Load'!AO16&gt;0,'Section Load'!AO16,0))</f>
        <v>200.90000000002328</v>
      </c>
      <c r="BI13" s="1300">
        <f>(IF('Section Load'!AP16&gt;0,'Section Load'!AP16,0))</f>
        <v>0</v>
      </c>
      <c r="BJ13" s="1300">
        <f>(IF('Section Load'!AQ16&gt;0,'Section Load'!AQ16,0))</f>
        <v>51.660000000003492</v>
      </c>
      <c r="BK13" s="1300">
        <f>(IF('Section Load'!AR16&gt;0,'Section Load'!AR16,0))</f>
        <v>0</v>
      </c>
      <c r="BL13" s="1300">
        <f>(IF('Section Load'!AS16&gt;0,'Section Load'!AS16,0))</f>
        <v>0</v>
      </c>
      <c r="BM13" s="1300">
        <f>(IF('Section Load'!AT16&gt;0,'Section Load'!AT16,0))</f>
        <v>184.27000000013504</v>
      </c>
    </row>
    <row r="14" spans="1:65">
      <c r="A14" s="1282" t="s">
        <v>300</v>
      </c>
      <c r="B14" s="1283">
        <f t="shared" si="0"/>
        <v>13</v>
      </c>
      <c r="C14" s="1283">
        <v>5</v>
      </c>
      <c r="D14" s="1283">
        <v>2021</v>
      </c>
      <c r="E14" s="1298">
        <f>(IF('Section Load'!F17&gt;0,'Section Load'!F17,0))</f>
        <v>1794.5599999999395</v>
      </c>
      <c r="F14" s="1298">
        <f>(IF('Section Load'!G17&gt;0,'Section Load'!G17,0))</f>
        <v>1166.1399999999994</v>
      </c>
      <c r="G14" s="1298">
        <f>(IF('Section Load'!H17&gt;0,'Section Load'!H17,0))</f>
        <v>1148.2199999999721</v>
      </c>
      <c r="H14" s="1298">
        <f>(IF('Section Load'!I17&gt;0,'Section Load'!I17,0))</f>
        <v>2066.6200000000536</v>
      </c>
      <c r="I14" s="1298">
        <f>(IF('Section Load'!J17&gt;0,'Section Load'!J17,0))</f>
        <v>4621.0999999999631</v>
      </c>
      <c r="J14" s="1298">
        <f>(IF('Section Load'!K17&gt;0,'Section Load'!K17,0))</f>
        <v>2011.33</v>
      </c>
      <c r="K14" s="1298">
        <f>(IF('Section Load'!L17&gt;0,'Section Load'!L17,0))</f>
        <v>820.80000000004657</v>
      </c>
      <c r="L14" s="1298">
        <f>(IF('Section Load'!M17&gt;0,'Section Load'!M17,0))</f>
        <v>592</v>
      </c>
      <c r="M14" s="1298">
        <f>(IF('Section Load'!N17&gt;0,'Section Load'!N17,0))</f>
        <v>11</v>
      </c>
      <c r="N14" s="1298">
        <f>(IF('Section Load'!O17&gt;0,'Section Load'!O17,0))</f>
        <v>1</v>
      </c>
      <c r="O14" s="1298">
        <f>(IF('Section Load'!P17&gt;0,'Section Load'!P17,0))</f>
        <v>8.8099999999999454</v>
      </c>
      <c r="P14" s="1298">
        <f>(IF('Section Load'!Q17&gt;0,'Section Load'!Q17,0))</f>
        <v>51.159999999999854</v>
      </c>
      <c r="Q14" s="1298">
        <f>(IF('Section Load'!R17&gt;0,'Section Load'!R17,0))</f>
        <v>51.119999999999891</v>
      </c>
      <c r="R14" s="1298">
        <f>(IF('Section Load'!S17&gt;0,'Section Load'!S17,0))</f>
        <v>38</v>
      </c>
      <c r="S14" s="1298">
        <f>(IF('Section Load'!T17&gt;0,'Section Load'!T17,0))</f>
        <v>76</v>
      </c>
      <c r="T14" s="1298">
        <f>(IF('Section Load'!U17&gt;0,'Section Load'!U17,0))</f>
        <v>120</v>
      </c>
      <c r="U14" s="1298">
        <f>(IF('Section Load'!V17&gt;0,'Section Load'!V17,0))</f>
        <v>319.96000000002095</v>
      </c>
      <c r="V14" s="1298">
        <f>(IF('Section Load'!W17&gt;0,'Section Load'!W17,0))</f>
        <v>70.040000000037253</v>
      </c>
      <c r="W14" s="1298">
        <f>(IF('Section Load'!X17&gt;0,'Section Load'!X17,0))</f>
        <v>10.479999999995925</v>
      </c>
      <c r="X14" s="1298">
        <f>(IF('Section Load'!Y17&gt;0,'Section Load'!Y17,0))</f>
        <v>248.16000000000349</v>
      </c>
      <c r="Y14" s="1298">
        <f>(IF('Section Load'!Z17&gt;0,'Section Load'!Z17,0))</f>
        <v>169</v>
      </c>
      <c r="Z14" s="1298">
        <f>(IF('Section Load'!AA17&gt;0,'Section Load'!AA17,0))</f>
        <v>71.159999999974389</v>
      </c>
      <c r="AA14" s="1298">
        <f>(IF('Section Load'!AB17&gt;0,'Section Load'!AB17,0))</f>
        <v>10</v>
      </c>
      <c r="AB14" s="1298">
        <f>(IF('Section Load'!AC17&gt;0,'Section Load'!AC17,0))</f>
        <v>20.720000000001164</v>
      </c>
      <c r="AC14" s="1298">
        <f>(IF('Section Load'!AD17&gt;0,'Section Load'!AD17,0))</f>
        <v>10</v>
      </c>
      <c r="AD14" s="1298">
        <f>(IF('Section Load'!AE17&gt;0,'Section Load'!AE17,0))</f>
        <v>0.18000000000029104</v>
      </c>
      <c r="AE14" s="1298">
        <f>(IF('Section Load'!AF17&gt;0,'Section Load'!AF17,0))</f>
        <v>3.7800000000002001</v>
      </c>
      <c r="AF14" s="1298">
        <f>(IF('Section Load'!AG17&gt;0,'Section Load'!AG17,0))</f>
        <v>205.94000000000233</v>
      </c>
      <c r="AG14" s="1298">
        <f>(IF('Section Load'!AH17&gt;0,'Section Load'!AH17,0))</f>
        <v>150.03999999997905</v>
      </c>
      <c r="AH14" s="1298">
        <f>(IF('Section Load'!AI17&gt;0,'Section Load'!AI17,0))</f>
        <v>244.44999999999709</v>
      </c>
      <c r="AI14" s="1298">
        <f>(IF('Section Load'!AJ17&gt;0,'Section Load'!AJ17,0))</f>
        <v>125.05999999999767</v>
      </c>
      <c r="AJ14" s="1298">
        <f>(IF('Section Load'!AK17&gt;0,'Section Load'!AK17,0))</f>
        <v>0</v>
      </c>
      <c r="AK14" s="1298">
        <f>(IF('Section Load'!AL17&gt;0,'Section Load'!AL17,0))</f>
        <v>43.44999999999709</v>
      </c>
      <c r="AL14" s="1298">
        <f>(IF('Section Load'!AM17&gt;0,'Section Load'!AM17,0))</f>
        <v>551</v>
      </c>
      <c r="AM14" s="1299">
        <f>(IF('Water Report'!$P$7&gt;0,'Water Report'!$P$7,0))</f>
        <v>30</v>
      </c>
      <c r="AN14" s="1299">
        <f>(IF('Water Report'!$P$8&gt;0,'Water Report'!$P$8,0))</f>
        <v>67</v>
      </c>
      <c r="AO14" s="1299">
        <f>(IF('Water Report'!$P$9&gt;0,'Water Report'!$P$9,0))</f>
        <v>52</v>
      </c>
      <c r="AP14" s="1299">
        <f>(IF('Water Report'!$P$10&gt;0,'Water Report'!$P$10,0))</f>
        <v>6</v>
      </c>
      <c r="AQ14" s="1299">
        <f>(IF('Water Report'!$P$11&gt;0,'Water Report'!$P$11,0))</f>
        <v>12</v>
      </c>
      <c r="AR14" s="1299">
        <f>(IF('Water Report'!$P$13&gt;0,'Water Report'!$P$13,0))</f>
        <v>27</v>
      </c>
      <c r="AS14" s="1299">
        <f>(IF('Water Report'!$P$14&gt;0,'Water Report'!$P$14,0))</f>
        <v>8</v>
      </c>
      <c r="AT14" s="1299">
        <f>(IF('Water Report'!$P$15&gt;0,'Water Report'!$P$15,0))</f>
        <v>4</v>
      </c>
      <c r="AU14" s="1299">
        <f>(IF('Water Report'!$P$17&gt;0,'Water Report'!$P$17,0))</f>
        <v>0</v>
      </c>
      <c r="AV14" s="1299">
        <f>(IF('Water Report'!$P$18&gt;0,'Water Report'!$P$18,0))</f>
        <v>15</v>
      </c>
      <c r="AW14" s="1299">
        <f>(IF('Water Report'!$P$19&gt;0,'Water Report'!$P$19,0))</f>
        <v>5</v>
      </c>
      <c r="AX14" s="1376">
        <f>(IF('Water Report'!$P$21&gt;0,'Water Report'!$P$21,0))</f>
        <v>60</v>
      </c>
      <c r="AY14" s="1376">
        <f>(IF('Water Report'!$P$22&gt;0,'Water Report'!$P$22,0))</f>
        <v>30</v>
      </c>
      <c r="AZ14" s="1376">
        <f>(IF('Water Report'!$P$23&gt;0,'Water Report'!$P$23,0))</f>
        <v>14</v>
      </c>
      <c r="BA14" s="1376">
        <f>(IF('Water Report'!$P$14&gt;0,'Water Report'!$P$14,0))</f>
        <v>8</v>
      </c>
      <c r="BB14" s="1376">
        <f>(IF('Water Report'!$P$15&gt;0,'Water Report'!$P$15,0))</f>
        <v>4</v>
      </c>
      <c r="BC14" s="1376">
        <f>(IF('Water Report'!$P$13&gt;0,'Water Report'!$P$13,0))</f>
        <v>27</v>
      </c>
      <c r="BD14" s="1376">
        <f>(IF('Water Report'!$P$24&gt;0,'Water Report'!$P$24,0))</f>
        <v>77</v>
      </c>
      <c r="BE14" s="1376">
        <f>(IF('Water Report'!$P$25&gt;0,'Water Report'!$P$25,0))</f>
        <v>82</v>
      </c>
      <c r="BF14" s="1376">
        <f>(IF('Water Report'!$P$27&gt;0,'Water Report'!$P$27,0))</f>
        <v>101</v>
      </c>
      <c r="BG14" s="1300">
        <f>(IF('Section Load'!AN17&gt;0,'Section Load'!AN17,0))</f>
        <v>650.87999999988824</v>
      </c>
      <c r="BH14" s="1300">
        <f>(IF('Section Load'!AO17&gt;0,'Section Load'!AO17,0))</f>
        <v>204.88000000000466</v>
      </c>
      <c r="BI14" s="1300">
        <f>(IF('Section Load'!AP17&gt;0,'Section Load'!AP17,0))</f>
        <v>0</v>
      </c>
      <c r="BJ14" s="1300">
        <f>(IF('Section Load'!AQ17&gt;0,'Section Load'!AQ17,0))</f>
        <v>52.630000000004657</v>
      </c>
      <c r="BK14" s="1300">
        <f>(IF('Section Load'!AR17&gt;0,'Section Load'!AR17,0))</f>
        <v>0</v>
      </c>
      <c r="BL14" s="1300">
        <f>(IF('Section Load'!AS17&gt;0,'Section Load'!AS17,0))</f>
        <v>0</v>
      </c>
      <c r="BM14" s="1300">
        <f>(IF('Section Load'!AT17&gt;0,'Section Load'!AT17,0))</f>
        <v>393.56999999987966</v>
      </c>
    </row>
    <row r="15" spans="1:65">
      <c r="A15" s="1282" t="s">
        <v>300</v>
      </c>
      <c r="B15" s="1283">
        <f t="shared" si="0"/>
        <v>14</v>
      </c>
      <c r="C15" s="1283">
        <v>5</v>
      </c>
      <c r="D15" s="1283">
        <v>2021</v>
      </c>
      <c r="E15" s="1298">
        <f>(IF('Section Load'!F18&gt;0,'Section Load'!F18,0))</f>
        <v>1788.7199999999721</v>
      </c>
      <c r="F15" s="1298">
        <f>(IF('Section Load'!G18&gt;0,'Section Load'!G18,0))</f>
        <v>1194.9100000000035</v>
      </c>
      <c r="G15" s="1298">
        <f>(IF('Section Load'!H18&gt;0,'Section Load'!H18,0))</f>
        <v>1089.1100000000151</v>
      </c>
      <c r="H15" s="1298">
        <f>(IF('Section Load'!I18&gt;0,'Section Load'!I18,0))</f>
        <v>2207.4399999999441</v>
      </c>
      <c r="I15" s="1298">
        <f>(IF('Section Load'!J18&gt;0,'Section Load'!J18,0))</f>
        <v>4497.8899999999994</v>
      </c>
      <c r="J15" s="1298">
        <f>(IF('Section Load'!K18&gt;0,'Section Load'!K18,0))</f>
        <v>2007.8999999999069</v>
      </c>
      <c r="K15" s="1298">
        <f>(IF('Section Load'!L18&gt;0,'Section Load'!L18,0))</f>
        <v>785.8399999999674</v>
      </c>
      <c r="L15" s="1298">
        <f>(IF('Section Load'!M18&gt;0,'Section Load'!M18,0))</f>
        <v>573</v>
      </c>
      <c r="M15" s="1298">
        <f>(IF('Section Load'!N18&gt;0,'Section Load'!N18,0))</f>
        <v>10</v>
      </c>
      <c r="N15" s="1298">
        <f>(IF('Section Load'!O18&gt;0,'Section Load'!O18,0))</f>
        <v>1</v>
      </c>
      <c r="O15" s="1298">
        <f>(IF('Section Load'!P18&gt;0,'Section Load'!P18,0))</f>
        <v>8.6199999999998909</v>
      </c>
      <c r="P15" s="1298">
        <f>(IF('Section Load'!Q18&gt;0,'Section Load'!Q18,0))</f>
        <v>50.960000000000946</v>
      </c>
      <c r="Q15" s="1298">
        <f>(IF('Section Load'!R18&gt;0,'Section Load'!R18,0))</f>
        <v>53.989999999999782</v>
      </c>
      <c r="R15" s="1298">
        <f>(IF('Section Load'!S18&gt;0,'Section Load'!S18,0))</f>
        <v>23</v>
      </c>
      <c r="S15" s="1298">
        <f>(IF('Section Load'!T18&gt;0,'Section Load'!T18,0))</f>
        <v>146</v>
      </c>
      <c r="T15" s="1298">
        <f>(IF('Section Load'!U18&gt;0,'Section Load'!U18,0))</f>
        <v>122</v>
      </c>
      <c r="U15" s="1298">
        <f>(IF('Section Load'!V18&gt;0,'Section Load'!V18,0))</f>
        <v>353.32000000000698</v>
      </c>
      <c r="V15" s="1298">
        <f>(IF('Section Load'!W18&gt;0,'Section Load'!W18,0))</f>
        <v>80.839999999967404</v>
      </c>
      <c r="W15" s="1298">
        <f>(IF('Section Load'!X18&gt;0,'Section Load'!X18,0))</f>
        <v>12.05000000000291</v>
      </c>
      <c r="X15" s="1298">
        <f>(IF('Section Load'!Y18&gt;0,'Section Load'!Y18,0))</f>
        <v>0.14999999999417923</v>
      </c>
      <c r="Y15" s="1298">
        <f>(IF('Section Load'!Z18&gt;0,'Section Load'!Z18,0))</f>
        <v>176</v>
      </c>
      <c r="Z15" s="1298">
        <f>(IF('Section Load'!AA18&gt;0,'Section Load'!AA18,0))</f>
        <v>23.400000000023283</v>
      </c>
      <c r="AA15" s="1298">
        <f>(IF('Section Load'!AB18&gt;0,'Section Load'!AB18,0))</f>
        <v>7.8000000000029104</v>
      </c>
      <c r="AB15" s="1298">
        <f>(IF('Section Load'!AC18&gt;0,'Section Load'!AC18,0))</f>
        <v>51.369999999995343</v>
      </c>
      <c r="AC15" s="1298">
        <f>(IF('Section Load'!AD18&gt;0,'Section Load'!AD18,0))</f>
        <v>7.8000000000029104</v>
      </c>
      <c r="AD15" s="1298">
        <f>(IF('Section Load'!AE18&gt;0,'Section Load'!AE18,0))</f>
        <v>0</v>
      </c>
      <c r="AE15" s="1298">
        <f>(IF('Section Load'!AF18&gt;0,'Section Load'!AF18,0))</f>
        <v>3.7899999999999636</v>
      </c>
      <c r="AF15" s="1298">
        <f>(IF('Section Load'!AG18&gt;0,'Section Load'!AG18,0))</f>
        <v>206.75999999998021</v>
      </c>
      <c r="AG15" s="1298">
        <f>(IF('Section Load'!AH18&gt;0,'Section Load'!AH18,0))</f>
        <v>165.65000000002328</v>
      </c>
      <c r="AH15" s="1298">
        <f>(IF('Section Load'!AI18&gt;0,'Section Load'!AI18,0))</f>
        <v>252.61000000000058</v>
      </c>
      <c r="AI15" s="1298">
        <f>(IF('Section Load'!AJ18&gt;0,'Section Load'!AJ18,0))</f>
        <v>213.98000000001048</v>
      </c>
      <c r="AJ15" s="1298">
        <f>(IF('Section Load'!AK18&gt;0,'Section Load'!AK18,0))</f>
        <v>0</v>
      </c>
      <c r="AK15" s="1298">
        <f>(IF('Section Load'!AL18&gt;0,'Section Load'!AL18,0))</f>
        <v>42.80000000000291</v>
      </c>
      <c r="AL15" s="1298">
        <f>(IF('Section Load'!AM18&gt;0,'Section Load'!AM18,0))</f>
        <v>562</v>
      </c>
      <c r="AM15" s="1299">
        <f>(IF('Water Report'!$Q$7&gt;0,'Water Report'!$Q$7,0))</f>
        <v>15</v>
      </c>
      <c r="AN15" s="1299">
        <f>(IF('Water Report'!$Q$8&gt;0,'Water Report'!$Q$8,0))</f>
        <v>83</v>
      </c>
      <c r="AO15" s="1299">
        <f>(IF('Water Report'!$Q$9&gt;0,'Water Report'!$Q$9,0))</f>
        <v>46</v>
      </c>
      <c r="AP15" s="1299">
        <f>(IF('Water Report'!$Q$10&gt;0,'Water Report'!$Q$10,0))</f>
        <v>10</v>
      </c>
      <c r="AQ15" s="1299">
        <f>(IF('Water Report'!$Q$11&gt;0,'Water Report'!$Q$11,0))</f>
        <v>17</v>
      </c>
      <c r="AR15" s="1299">
        <f>(IF('Water Report'!$Q$13&gt;0,'Water Report'!$Q$13,0))</f>
        <v>26</v>
      </c>
      <c r="AS15" s="1299">
        <f>(IF('Water Report'!$Q$14&gt;0,'Water Report'!$Q$14,0))</f>
        <v>6</v>
      </c>
      <c r="AT15" s="1299">
        <f>(IF('Water Report'!$Q$15&gt;0,'Water Report'!$Q$15,0))</f>
        <v>4</v>
      </c>
      <c r="AU15" s="1299">
        <f>(IF('Water Report'!$Q$17&gt;0,'Water Report'!$Q$17,0))</f>
        <v>0</v>
      </c>
      <c r="AV15" s="1299">
        <f>(IF('Water Report'!$Q$18&gt;0,'Water Report'!$Q$18,0))</f>
        <v>0</v>
      </c>
      <c r="AW15" s="1299">
        <f>(IF('Water Report'!$Q$19&gt;0,'Water Report'!$Q$19,0))</f>
        <v>0</v>
      </c>
      <c r="AX15" s="1376">
        <f>(IF('Water Report'!$Q$21&gt;0,'Water Report'!$Q$21,0))</f>
        <v>40</v>
      </c>
      <c r="AY15" s="1376">
        <f>(IF('Water Report'!$Q$22&gt;0,'Water Report'!$Q$22,0))</f>
        <v>17</v>
      </c>
      <c r="AZ15" s="1376">
        <f>(IF('Water Report'!$Q$23&gt;0,'Water Report'!$Q$23,0))</f>
        <v>0</v>
      </c>
      <c r="BA15" s="1376">
        <f>(IF('Water Report'!$Q$14&gt;0,'Water Report'!$Q$14,0))</f>
        <v>6</v>
      </c>
      <c r="BB15" s="1376">
        <f>(IF('Water Report'!$Q$15&gt;0,'Water Report'!$Q$15,0))</f>
        <v>4</v>
      </c>
      <c r="BC15" s="1376">
        <f>(IF('Water Report'!$Q$13&gt;0,'Water Report'!$Q$13,0))</f>
        <v>26</v>
      </c>
      <c r="BD15" s="1376">
        <f>(IF('Water Report'!$Q$24&gt;0,'Water Report'!$Q$24,0))</f>
        <v>77</v>
      </c>
      <c r="BE15" s="1376">
        <f>(IF('Water Report'!$Q$25&gt;0,'Water Report'!$Q$25,0))</f>
        <v>83</v>
      </c>
      <c r="BF15" s="1376">
        <f>(IF('Water Report'!$Q$27&gt;0,'Water Report'!$Q$27,0))</f>
        <v>66</v>
      </c>
      <c r="BG15" s="1300">
        <f>(IF('Section Load'!AN18&gt;0,'Section Load'!AN18,0))</f>
        <v>292.58000000007451</v>
      </c>
      <c r="BH15" s="1300">
        <f>(IF('Section Load'!AO18&gt;0,'Section Load'!AO18,0))</f>
        <v>201.30999999993946</v>
      </c>
      <c r="BI15" s="1300">
        <f>(IF('Section Load'!AP18&gt;0,'Section Load'!AP18,0))</f>
        <v>0</v>
      </c>
      <c r="BJ15" s="1300">
        <f>(IF('Section Load'!AQ18&gt;0,'Section Load'!AQ18,0))</f>
        <v>48.910000000003492</v>
      </c>
      <c r="BK15" s="1300">
        <f>(IF('Section Load'!AR18&gt;0,'Section Load'!AR18,0))</f>
        <v>0</v>
      </c>
      <c r="BL15" s="1300">
        <f>(IF('Section Load'!AS18&gt;0,'Section Load'!AS18,0))</f>
        <v>0</v>
      </c>
      <c r="BM15" s="1300">
        <f>(IF('Section Load'!AT18&gt;0,'Section Load'!AT18,0))</f>
        <v>42.360000000131549</v>
      </c>
    </row>
    <row r="16" spans="1:65">
      <c r="A16" s="1282" t="s">
        <v>300</v>
      </c>
      <c r="B16" s="1283">
        <f t="shared" si="0"/>
        <v>15</v>
      </c>
      <c r="C16" s="1283">
        <v>5</v>
      </c>
      <c r="D16" s="1283">
        <v>2021</v>
      </c>
      <c r="E16" s="1298">
        <f>(IF('Section Load'!F19&gt;0,'Section Load'!F19,0))</f>
        <v>2006.9200000000419</v>
      </c>
      <c r="F16" s="1298">
        <f>(IF('Section Load'!G19&gt;0,'Section Load'!G19,0))</f>
        <v>1297.0899999999965</v>
      </c>
      <c r="G16" s="1298">
        <f>(IF('Section Load'!H19&gt;0,'Section Load'!H19,0))</f>
        <v>1315.9600000000501</v>
      </c>
      <c r="H16" s="1298">
        <f>(IF('Section Load'!I19&gt;0,'Section Load'!I19,0))</f>
        <v>2647.820000000007</v>
      </c>
      <c r="I16" s="1298">
        <f>(IF('Section Load'!J19&gt;0,'Section Load'!J19,0))</f>
        <v>5855.1400000000194</v>
      </c>
      <c r="J16" s="1298">
        <f>(IF('Section Load'!K19&gt;0,'Section Load'!K19,0))</f>
        <v>2074.8000000000466</v>
      </c>
      <c r="K16" s="1298">
        <f>(IF('Section Load'!L19&gt;0,'Section Load'!L19,0))</f>
        <v>895.01000000000931</v>
      </c>
      <c r="L16" s="1298">
        <f>(IF('Section Load'!M19&gt;0,'Section Load'!M19,0))</f>
        <v>595</v>
      </c>
      <c r="M16" s="1298">
        <f>(IF('Section Load'!N19&gt;0,'Section Load'!N19,0))</f>
        <v>10</v>
      </c>
      <c r="N16" s="1298">
        <f>(IF('Section Load'!O19&gt;0,'Section Load'!O19,0))</f>
        <v>1</v>
      </c>
      <c r="O16" s="1298">
        <f>(IF('Section Load'!P19&gt;0,'Section Load'!P19,0))</f>
        <v>6.8400000000001455</v>
      </c>
      <c r="P16" s="1298">
        <f>(IF('Section Load'!Q19&gt;0,'Section Load'!Q19,0))</f>
        <v>52.409999999999854</v>
      </c>
      <c r="Q16" s="1298">
        <f>(IF('Section Load'!R19&gt;0,'Section Load'!R19,0))</f>
        <v>57.430000000000291</v>
      </c>
      <c r="R16" s="1298">
        <f>(IF('Section Load'!S19&gt;0,'Section Load'!S19,0))</f>
        <v>25</v>
      </c>
      <c r="S16" s="1298">
        <f>(IF('Section Load'!T19&gt;0,'Section Load'!T19,0))</f>
        <v>144</v>
      </c>
      <c r="T16" s="1298">
        <f>(IF('Section Load'!U19&gt;0,'Section Load'!U19,0))</f>
        <v>125</v>
      </c>
      <c r="U16" s="1298">
        <f>(IF('Section Load'!V19&gt;0,'Section Load'!V19,0))</f>
        <v>373.67999999999302</v>
      </c>
      <c r="V16" s="1298">
        <f>(IF('Section Load'!W19&gt;0,'Section Load'!W19,0))</f>
        <v>75.160000000032596</v>
      </c>
      <c r="W16" s="1298">
        <f>(IF('Section Load'!X19&gt;0,'Section Load'!X19,0))</f>
        <v>37.94999999999709</v>
      </c>
      <c r="X16" s="1298">
        <f>(IF('Section Load'!Y19&gt;0,'Section Load'!Y19,0))</f>
        <v>36.730000000003201</v>
      </c>
      <c r="Y16" s="1298">
        <f>(IF('Section Load'!Z19&gt;0,'Section Load'!Z19,0))</f>
        <v>252</v>
      </c>
      <c r="Z16" s="1298">
        <f>(IF('Section Load'!AA19&gt;0,'Section Load'!AA19,0))</f>
        <v>80.599999999976717</v>
      </c>
      <c r="AA16" s="1298">
        <f>(IF('Section Load'!AB19&gt;0,'Section Load'!AB19,0))</f>
        <v>7.1999999999970896</v>
      </c>
      <c r="AB16" s="1298">
        <f>(IF('Section Load'!AC19&gt;0,'Section Load'!AC19,0))</f>
        <v>4</v>
      </c>
      <c r="AC16" s="1298">
        <f>(IF('Section Load'!AD19&gt;0,'Section Load'!AD19,0))</f>
        <v>7.1999999999970896</v>
      </c>
      <c r="AD16" s="1298">
        <f>(IF('Section Load'!AE19&gt;0,'Section Load'!AE19,0))</f>
        <v>0.18000000000029104</v>
      </c>
      <c r="AE16" s="1298">
        <f>(IF('Section Load'!AF19&gt;0,'Section Load'!AF19,0))</f>
        <v>2.8499999999999091</v>
      </c>
      <c r="AF16" s="1298">
        <f>(IF('Section Load'!AG19&gt;0,'Section Load'!AG19,0))</f>
        <v>201.95000000001164</v>
      </c>
      <c r="AG16" s="1298">
        <f>(IF('Section Load'!AH19&gt;0,'Section Load'!AH19,0))</f>
        <v>270.82999999998719</v>
      </c>
      <c r="AH16" s="1298">
        <f>(IF('Section Load'!AI19&gt;0,'Section Load'!AI19,0))</f>
        <v>271.45999999999913</v>
      </c>
      <c r="AI16" s="1298">
        <f>(IF('Section Load'!AJ19&gt;0,'Section Load'!AJ19,0))</f>
        <v>339.41000000000349</v>
      </c>
      <c r="AJ16" s="1298">
        <f>(IF('Section Load'!AK19&gt;0,'Section Load'!AK19,0))</f>
        <v>0</v>
      </c>
      <c r="AK16" s="1298">
        <f>(IF('Section Load'!AL19&gt;0,'Section Load'!AL19,0))</f>
        <v>89.929999999993015</v>
      </c>
      <c r="AL16" s="1298">
        <f>(IF('Section Load'!AM19&gt;0,'Section Load'!AM19,0))</f>
        <v>599</v>
      </c>
      <c r="AM16" s="1299">
        <f>(IF('Water Report'!$R$7&gt;0,'Water Report'!$R$7,0))</f>
        <v>153</v>
      </c>
      <c r="AN16" s="1299">
        <f>(IF('Water Report'!$R$8&gt;0,'Water Report'!$R$8,0))</f>
        <v>131</v>
      </c>
      <c r="AO16" s="1299">
        <f>(IF('Water Report'!$R$9&gt;0,'Water Report'!$R$9,0))</f>
        <v>42</v>
      </c>
      <c r="AP16" s="1299">
        <f>(IF('Water Report'!$R$10&gt;0,'Water Report'!$R$10,0))</f>
        <v>10</v>
      </c>
      <c r="AQ16" s="1299">
        <f>(IF('Water Report'!$R$11&gt;0,'Water Report'!$R$11,0))</f>
        <v>33</v>
      </c>
      <c r="AR16" s="1299">
        <f>(IF('Water Report'!$R$13&gt;0,'Water Report'!$R$13,0))</f>
        <v>23</v>
      </c>
      <c r="AS16" s="1299">
        <f>(IF('Water Report'!$R$14&gt;0,'Water Report'!$R$14,0))</f>
        <v>7</v>
      </c>
      <c r="AT16" s="1299">
        <f>(IF('Water Report'!$R$15&gt;0,'Water Report'!$R$15,0))</f>
        <v>1</v>
      </c>
      <c r="AU16" s="1299">
        <f>(IF('Water Report'!$R$17&gt;0,'Water Report'!$R$17,0))</f>
        <v>0</v>
      </c>
      <c r="AV16" s="1299">
        <f>(IF('Water Report'!$R$18&gt;0,'Water Report'!$R$18,0))</f>
        <v>0</v>
      </c>
      <c r="AW16" s="1299">
        <f>(IF('Water Report'!$R$19&gt;0,'Water Report'!$R$19,0))</f>
        <v>3</v>
      </c>
      <c r="AX16" s="1376">
        <f>(IF('Water Report'!$R$21&gt;0,'Water Report'!$R$21,0))</f>
        <v>42</v>
      </c>
      <c r="AY16" s="1376">
        <f>(IF('Water Report'!$R$22&gt;0,'Water Report'!$R$22,0))</f>
        <v>30</v>
      </c>
      <c r="AZ16" s="1376">
        <f>(IF('Water Report'!$R$23&gt;0,'Water Report'!$R$23,0))</f>
        <v>17</v>
      </c>
      <c r="BA16" s="1376">
        <f>(IF('Water Report'!$R$14&gt;0,'Water Report'!$R$14,0))</f>
        <v>7</v>
      </c>
      <c r="BB16" s="1376">
        <f>(IF('Water Report'!$R$15&gt;0,'Water Report'!$R$15,0))</f>
        <v>1</v>
      </c>
      <c r="BC16" s="1376">
        <f>(IF('Water Report'!$R$13&gt;0,'Water Report'!$R$13,0))</f>
        <v>23</v>
      </c>
      <c r="BD16" s="1376">
        <f>(IF('Water Report'!$R$24&gt;0,'Water Report'!$R$24,0))</f>
        <v>116</v>
      </c>
      <c r="BE16" s="1376">
        <f>(IF('Water Report'!$R$25&gt;0,'Water Report'!$R$25,0))</f>
        <v>93</v>
      </c>
      <c r="BF16" s="1376">
        <f>(IF('Water Report'!$R$27&gt;0,'Water Report'!$R$27,0))</f>
        <v>82</v>
      </c>
      <c r="BG16" s="1300">
        <f>(IF('Section Load'!AN19&gt;0,'Section Load'!AN19,0))</f>
        <v>437.41999999992549</v>
      </c>
      <c r="BH16" s="1300">
        <f>(IF('Section Load'!AO19&gt;0,'Section Load'!AO19,0))</f>
        <v>200.9100000000326</v>
      </c>
      <c r="BI16" s="1300">
        <f>(IF('Section Load'!AP19&gt;0,'Section Load'!AP19,0))</f>
        <v>0.39999999999417923</v>
      </c>
      <c r="BJ16" s="1300">
        <f>(IF('Section Load'!AQ19&gt;0,'Section Load'!AQ19,0))</f>
        <v>45</v>
      </c>
      <c r="BK16" s="1300">
        <f>(IF('Section Load'!AR19&gt;0,'Section Load'!AR19,0))</f>
        <v>0</v>
      </c>
      <c r="BL16" s="1300">
        <f>(IF('Section Load'!AS19&gt;0,'Section Load'!AS19,0))</f>
        <v>0</v>
      </c>
      <c r="BM16" s="1300">
        <f>(IF('Section Load'!AT19&gt;0,'Section Load'!AT19,0))</f>
        <v>191.10999999989872</v>
      </c>
    </row>
    <row r="17" spans="1:65">
      <c r="A17" s="1282" t="s">
        <v>300</v>
      </c>
      <c r="B17" s="1283">
        <f t="shared" si="0"/>
        <v>16</v>
      </c>
      <c r="C17" s="1283">
        <v>5</v>
      </c>
      <c r="D17" s="1283">
        <v>2021</v>
      </c>
      <c r="E17" s="1298">
        <f>(IF('Section Load'!F20&gt;0,'Section Load'!F20,0))</f>
        <v>1926.1300000000047</v>
      </c>
      <c r="F17" s="1298">
        <f>(IF('Section Load'!G20&gt;0,'Section Load'!G20,0))</f>
        <v>1239</v>
      </c>
      <c r="G17" s="1298">
        <f>(IF('Section Load'!H20&gt;0,'Section Load'!H20,0))</f>
        <v>1097</v>
      </c>
      <c r="H17" s="1298">
        <f>(IF('Section Load'!I20&gt;0,'Section Load'!I20,0))</f>
        <v>2608</v>
      </c>
      <c r="I17" s="1298">
        <f>(IF('Section Load'!J20&gt;0,'Section Load'!J20,0))</f>
        <v>4448</v>
      </c>
      <c r="J17" s="1298">
        <f>(IF('Section Load'!K20&gt;0,'Section Load'!K20,0))</f>
        <v>2126</v>
      </c>
      <c r="K17" s="1298">
        <f>(IF('Section Load'!L20&gt;0,'Section Load'!L20,0))</f>
        <v>821</v>
      </c>
      <c r="L17" s="1298">
        <f>(IF('Section Load'!M20&gt;0,'Section Load'!M20,0))</f>
        <v>668.82000000000698</v>
      </c>
      <c r="M17" s="1298">
        <f>(IF('Section Load'!N20&gt;0,'Section Load'!N20,0))</f>
        <v>7</v>
      </c>
      <c r="N17" s="1298">
        <f>(IF('Section Load'!O20&gt;0,'Section Load'!O20,0))</f>
        <v>0</v>
      </c>
      <c r="O17" s="1298">
        <f>(IF('Section Load'!P20&gt;0,'Section Load'!P20,0))</f>
        <v>9</v>
      </c>
      <c r="P17" s="1298">
        <f>(IF('Section Load'!Q20&gt;0,'Section Load'!Q20,0))</f>
        <v>54</v>
      </c>
      <c r="Q17" s="1298">
        <f>(IF('Section Load'!R20&gt;0,'Section Load'!R20,0))</f>
        <v>56</v>
      </c>
      <c r="R17" s="1298">
        <f>(IF('Section Load'!S20&gt;0,'Section Load'!S20,0))</f>
        <v>29</v>
      </c>
      <c r="S17" s="1298">
        <f>(IF('Section Load'!T20&gt;0,'Section Load'!T20,0))</f>
        <v>118</v>
      </c>
      <c r="T17" s="1298">
        <f>(IF('Section Load'!U20&gt;0,'Section Load'!U20,0))</f>
        <v>120</v>
      </c>
      <c r="U17" s="1298">
        <f>(IF('Section Load'!V20&gt;0,'Section Load'!V20,0))</f>
        <v>333</v>
      </c>
      <c r="V17" s="1298">
        <f>(IF('Section Load'!W20&gt;0,'Section Load'!W20,0))</f>
        <v>82</v>
      </c>
      <c r="W17" s="1298">
        <f>(IF('Section Load'!X20&gt;0,'Section Load'!X20,0))</f>
        <v>10</v>
      </c>
      <c r="X17" s="1298">
        <f>(IF('Section Load'!Y20&gt;0,'Section Load'!Y20,0))</f>
        <v>0</v>
      </c>
      <c r="Y17" s="1298">
        <f>(IF('Section Load'!Z20&gt;0,'Section Load'!Z20,0))</f>
        <v>116</v>
      </c>
      <c r="Z17" s="1298">
        <f>(IF('Section Load'!AA20&gt;0,'Section Load'!AA20,0))</f>
        <v>28</v>
      </c>
      <c r="AA17" s="1298">
        <f>(IF('Section Load'!AB20&gt;0,'Section Load'!AB20,0))</f>
        <v>4</v>
      </c>
      <c r="AB17" s="1298">
        <f>(IF('Section Load'!AC20&gt;0,'Section Load'!AC20,0))</f>
        <v>9</v>
      </c>
      <c r="AC17" s="1298">
        <f>(IF('Section Load'!AD20&gt;0,'Section Load'!AD20,0))</f>
        <v>4</v>
      </c>
      <c r="AD17" s="1298">
        <f>(IF('Section Load'!AE20&gt;0,'Section Load'!AE20,0))</f>
        <v>0</v>
      </c>
      <c r="AE17" s="1298">
        <f>(IF('Section Load'!AF20&gt;0,'Section Load'!AF20,0))</f>
        <v>4</v>
      </c>
      <c r="AF17" s="1298">
        <f>(IF('Section Load'!AG20&gt;0,'Section Load'!AG20,0))</f>
        <v>201</v>
      </c>
      <c r="AG17" s="1298">
        <f>(IF('Section Load'!AH20&gt;0,'Section Load'!AH20,0))</f>
        <v>295</v>
      </c>
      <c r="AH17" s="1298">
        <f>(IF('Section Load'!AI20&gt;0,'Section Load'!AI20,0))</f>
        <v>260</v>
      </c>
      <c r="AI17" s="1298">
        <f>(IF('Section Load'!AJ20&gt;0,'Section Load'!AJ20,0))</f>
        <v>332</v>
      </c>
      <c r="AJ17" s="1298">
        <f>(IF('Section Load'!AK20&gt;0,'Section Load'!AK20,0))</f>
        <v>0</v>
      </c>
      <c r="AK17" s="1298">
        <f>(IF('Section Load'!AL20&gt;0,'Section Load'!AL20,0))</f>
        <v>95</v>
      </c>
      <c r="AL17" s="1298">
        <f>(IF('Section Load'!AM20&gt;0,'Section Load'!AM20,0))</f>
        <v>511</v>
      </c>
      <c r="AM17" s="1299">
        <f>(IF('Water Report'!$S$7&gt;0,'Water Report'!$S$7,0))</f>
        <v>45</v>
      </c>
      <c r="AN17" s="1299">
        <f>(IF('Water Report'!$S$8&gt;0,'Water Report'!$S$8,0))</f>
        <v>29</v>
      </c>
      <c r="AO17" s="1299">
        <f>(IF('Water Report'!$S$9&gt;0,'Water Report'!$S$9,0))</f>
        <v>27</v>
      </c>
      <c r="AP17" s="1299">
        <f>(IF('Water Report'!$S$10&gt;0,'Water Report'!$D$10,0))</f>
        <v>12</v>
      </c>
      <c r="AQ17" s="1299">
        <f>(IF('Water Report'!$S$11&gt;0,'Water Report'!$D$11,0))</f>
        <v>17</v>
      </c>
      <c r="AR17" s="1299">
        <f>(IF('Water Report'!$S$13&gt;0,'Water Report'!$D$13,0))</f>
        <v>5</v>
      </c>
      <c r="AS17" s="1299">
        <f>(IF('Water Report'!$S$14&gt;0,'Water Report'!$D$14,0))</f>
        <v>9</v>
      </c>
      <c r="AT17" s="1299">
        <f>(IF('Water Report'!$S$15&gt;0,'Water Report'!$D$15,0))</f>
        <v>5</v>
      </c>
      <c r="AU17" s="1299">
        <f>(IF('Water Report'!$S$17&gt;0,'Water Report'!$D$17,0))</f>
        <v>0</v>
      </c>
      <c r="AV17" s="1299">
        <f>(IF('Water Report'!$S$18&gt;0,'Water Report'!$D$18,0))</f>
        <v>0</v>
      </c>
      <c r="AW17" s="1299">
        <f>(IF('Water Report'!$S$19&gt;0,'Water Report'!$D$19,0))</f>
        <v>0</v>
      </c>
      <c r="AX17" s="1376">
        <f>(IF('Water Report'!$S$21&gt;0,'Water Report'!$D$21,0))</f>
        <v>85</v>
      </c>
      <c r="AY17" s="1376">
        <f>(IF('Water Report'!$S$22&gt;0,'Water Report'!$D$22,0))</f>
        <v>0</v>
      </c>
      <c r="AZ17" s="1376">
        <f>(IF('Water Report'!$S$23&gt;0,'Water Report'!$D$23,0))</f>
        <v>0</v>
      </c>
      <c r="BA17" s="1376">
        <f>(IF('Water Report'!$S$14&gt;0,'Water Report'!$D$14,0))</f>
        <v>9</v>
      </c>
      <c r="BB17" s="1376">
        <f>(IF('Water Report'!$S$15&gt;0,'Water Report'!$D$15,0))</f>
        <v>5</v>
      </c>
      <c r="BC17" s="1376">
        <f>(IF('Water Report'!$S$13&gt;0,'Water Report'!$D$13,0))</f>
        <v>5</v>
      </c>
      <c r="BD17" s="1376">
        <f>(IF('Water Report'!$S$24&gt;0,'Water Report'!$D$24,0))</f>
        <v>136</v>
      </c>
      <c r="BE17" s="1376">
        <f>(IF('Water Report'!$S$25&gt;0,'Water Report'!$D$25,0))</f>
        <v>115</v>
      </c>
      <c r="BF17" s="1376">
        <f>(IF('Water Report'!$S$27&gt;0,'Water Report'!$D$27,0))</f>
        <v>117</v>
      </c>
      <c r="BG17" s="1300">
        <f>(IF('Section Load'!AN20&gt;0,'Section Load'!AN20,0))</f>
        <v>317</v>
      </c>
      <c r="BH17" s="1300">
        <f>(IF('Section Load'!AO20&gt;0,'Section Load'!AO20,0))</f>
        <v>209</v>
      </c>
      <c r="BI17" s="1300">
        <f>(IF('Section Load'!AP20&gt;0,'Section Load'!AP20,0))</f>
        <v>0</v>
      </c>
      <c r="BJ17" s="1300">
        <f>(IF('Section Load'!AQ20&gt;0,'Section Load'!AQ20,0))</f>
        <v>57</v>
      </c>
      <c r="BK17" s="1300">
        <f>(IF('Section Load'!AR20&gt;0,'Section Load'!AR20,0))</f>
        <v>0</v>
      </c>
      <c r="BL17" s="1300">
        <f>(IF('Section Load'!AS20&gt;0,'Section Load'!AS20,0))</f>
        <v>0</v>
      </c>
      <c r="BM17" s="1300">
        <f>(IF('Section Load'!AT20&gt;0,'Section Load'!AT20,0))</f>
        <v>51</v>
      </c>
    </row>
    <row r="18" spans="1:65">
      <c r="A18" s="1282" t="s">
        <v>300</v>
      </c>
      <c r="B18" s="1283">
        <f t="shared" si="0"/>
        <v>17</v>
      </c>
      <c r="C18" s="1283">
        <v>5</v>
      </c>
      <c r="D18" s="1283">
        <v>2021</v>
      </c>
      <c r="E18" s="1298">
        <f>(IF('Section Load'!F21&gt;0,'Section Load'!F21,0))</f>
        <v>1602</v>
      </c>
      <c r="F18" s="1298">
        <f>(IF('Section Load'!G21&gt;0,'Section Load'!G21,0))</f>
        <v>1338.1300000000047</v>
      </c>
      <c r="G18" s="1298">
        <f>(IF('Section Load'!H21&gt;0,'Section Load'!H21,0))</f>
        <v>1050</v>
      </c>
      <c r="H18" s="1298">
        <f>(IF('Section Load'!I21&gt;0,'Section Load'!I21,0))</f>
        <v>2646</v>
      </c>
      <c r="I18" s="1298">
        <f>(IF('Section Load'!J21&gt;0,'Section Load'!J21,0))</f>
        <v>4494</v>
      </c>
      <c r="J18" s="1298">
        <f>(IF('Section Load'!K21&gt;0,'Section Load'!K21,0))</f>
        <v>2036</v>
      </c>
      <c r="K18" s="1298">
        <f>(IF('Section Load'!L21&gt;0,'Section Load'!L21,0))</f>
        <v>762</v>
      </c>
      <c r="L18" s="1298">
        <f>(IF('Section Load'!M21&gt;0,'Section Load'!M21,0))</f>
        <v>615.79999999998836</v>
      </c>
      <c r="M18" s="1298">
        <f>(IF('Section Load'!N21&gt;0,'Section Load'!N21,0))</f>
        <v>6</v>
      </c>
      <c r="N18" s="1298">
        <f>(IF('Section Load'!O21&gt;0,'Section Load'!O21,0))</f>
        <v>1</v>
      </c>
      <c r="O18" s="1298">
        <f>(IF('Section Load'!P21&gt;0,'Section Load'!P21,0))</f>
        <v>6</v>
      </c>
      <c r="P18" s="1298">
        <f>(IF('Section Load'!Q21&gt;0,'Section Load'!Q21,0))</f>
        <v>59</v>
      </c>
      <c r="Q18" s="1298">
        <f>(IF('Section Load'!R21&gt;0,'Section Load'!R21,0))</f>
        <v>57</v>
      </c>
      <c r="R18" s="1298">
        <f>(IF('Section Load'!S21&gt;0,'Section Load'!S21,0))</f>
        <v>29</v>
      </c>
      <c r="S18" s="1298">
        <f>(IF('Section Load'!T21&gt;0,'Section Load'!T21,0))</f>
        <v>89</v>
      </c>
      <c r="T18" s="1298">
        <f>(IF('Section Load'!U21&gt;0,'Section Load'!U21,0))</f>
        <v>117</v>
      </c>
      <c r="U18" s="1298">
        <f>(IF('Section Load'!V21&gt;0,'Section Load'!V21,0))</f>
        <v>311</v>
      </c>
      <c r="V18" s="1298">
        <f>(IF('Section Load'!W21&gt;0,'Section Load'!W21,0))</f>
        <v>76</v>
      </c>
      <c r="W18" s="1298">
        <f>(IF('Section Load'!X21&gt;0,'Section Load'!X21,0))</f>
        <v>11</v>
      </c>
      <c r="X18" s="1298">
        <f>(IF('Section Load'!Y21&gt;0,'Section Load'!Y21,0))</f>
        <v>199</v>
      </c>
      <c r="Y18" s="1298">
        <f>(IF('Section Load'!Z21&gt;0,'Section Load'!Z21,0))</f>
        <v>175</v>
      </c>
      <c r="Z18" s="1298">
        <f>(IF('Section Load'!AA21&gt;0,'Section Load'!AA21,0))</f>
        <v>36</v>
      </c>
      <c r="AA18" s="1298">
        <f>(IF('Section Load'!AB21&gt;0,'Section Load'!AB21,0))</f>
        <v>7</v>
      </c>
      <c r="AB18" s="1298">
        <f>(IF('Section Load'!AC21&gt;0,'Section Load'!AC21,0))</f>
        <v>66</v>
      </c>
      <c r="AC18" s="1298">
        <f>(IF('Section Load'!AD21&gt;0,'Section Load'!AD21,0))</f>
        <v>7</v>
      </c>
      <c r="AD18" s="1298">
        <f>(IF('Section Load'!AE21&gt;0,'Section Load'!AE21,0))</f>
        <v>0</v>
      </c>
      <c r="AE18" s="1298">
        <f>(IF('Section Load'!AF21&gt;0,'Section Load'!AF21,0))</f>
        <v>4</v>
      </c>
      <c r="AF18" s="1298">
        <f>(IF('Section Load'!AG21&gt;0,'Section Load'!AG21,0))</f>
        <v>266</v>
      </c>
      <c r="AG18" s="1298">
        <f>(IF('Section Load'!AH21&gt;0,'Section Load'!AH21,0))</f>
        <v>284</v>
      </c>
      <c r="AH18" s="1298">
        <f>(IF('Section Load'!AI21&gt;0,'Section Load'!AI21,0))</f>
        <v>272</v>
      </c>
      <c r="AI18" s="1298">
        <f>(IF('Section Load'!AJ21&gt;0,'Section Load'!AJ21,0))</f>
        <v>322</v>
      </c>
      <c r="AJ18" s="1298">
        <f>(IF('Section Load'!AK21&gt;0,'Section Load'!AK21,0))</f>
        <v>0</v>
      </c>
      <c r="AK18" s="1298">
        <f>(IF('Section Load'!AL21&gt;0,'Section Load'!AL21,0))</f>
        <v>87</v>
      </c>
      <c r="AL18" s="1298">
        <f>(IF('Section Load'!AM21&gt;0,'Section Load'!AM21,0))</f>
        <v>419</v>
      </c>
      <c r="AM18" s="1299">
        <f>(IF('Water Report'!$T$7&gt;0,'Water Report'!$T$7,0))</f>
        <v>0</v>
      </c>
      <c r="AN18" s="1299">
        <f>(IF('Water Report'!$T$8&gt;0,'Water Report'!$T$8,0))</f>
        <v>93</v>
      </c>
      <c r="AO18" s="1299">
        <f>(IF('Water Report'!$T$9&gt;0,'Water Report'!$T$9,0))</f>
        <v>45</v>
      </c>
      <c r="AP18" s="1299">
        <f>(IF('Water Report'!$T$10&gt;0,'Water Report'!$T$10,0))</f>
        <v>7</v>
      </c>
      <c r="AQ18" s="1299">
        <f>(IF('Water Report'!$T$11&gt;0,'Water Report'!$T$11,0))</f>
        <v>6</v>
      </c>
      <c r="AR18" s="1299">
        <f>(IF('Water Report'!$T$13&gt;0,'Water Report'!$T$13,0))</f>
        <v>2</v>
      </c>
      <c r="AS18" s="1299">
        <f>(IF('Water Report'!$T$14&gt;0,'Water Report'!$T$14,0))</f>
        <v>22</v>
      </c>
      <c r="AT18" s="1299">
        <f>(IF('Water Report'!$T$15&gt;0,'Water Report'!$T$15,0))</f>
        <v>8</v>
      </c>
      <c r="AU18" s="1299">
        <f>(IF('Water Report'!$T$17&gt;0,'Water Report'!$T$17,0))</f>
        <v>0</v>
      </c>
      <c r="AV18" s="1299">
        <f>(IF('Water Report'!$T$18&gt;0,'Water Report'!$T$18,0))</f>
        <v>14</v>
      </c>
      <c r="AW18" s="1299">
        <f>(IF('Water Report'!$T$19&gt;0,'Water Report'!$T$19,0))</f>
        <v>6</v>
      </c>
      <c r="AX18" s="1376">
        <f>(IF('Water Report'!$T$21&gt;0,'Water Report'!$T$21,0))</f>
        <v>20</v>
      </c>
      <c r="AY18" s="1376">
        <f>(IF('Water Report'!$T$22&gt;0,'Water Report'!$T$22,0))</f>
        <v>0</v>
      </c>
      <c r="AZ18" s="1376">
        <f>(IF('Water Report'!$T$23&gt;0,'Water Report'!$T$23,0))</f>
        <v>0</v>
      </c>
      <c r="BA18" s="1376">
        <f>(IF('Water Report'!$T$14&gt;0,'Water Report'!$T$14,0))</f>
        <v>22</v>
      </c>
      <c r="BB18" s="1376">
        <f>(IF('Water Report'!$T$15&gt;0,'Water Report'!$T$15,0))</f>
        <v>8</v>
      </c>
      <c r="BC18" s="1376">
        <f>(IF('Water Report'!$T$13&gt;0,'Water Report'!$T$13,0))</f>
        <v>2</v>
      </c>
      <c r="BD18" s="1376">
        <f>(IF('Water Report'!$T$24&gt;0,'Water Report'!$T$24,0))</f>
        <v>76</v>
      </c>
      <c r="BE18" s="1376">
        <f>(IF('Water Report'!$T$25&gt;0,'Water Report'!$T$25,0))</f>
        <v>88</v>
      </c>
      <c r="BF18" s="1376">
        <f>(IF('Water Report'!$T$27&gt;0,'Water Report'!$T$27,0))</f>
        <v>22</v>
      </c>
      <c r="BG18" s="1300">
        <f>(IF('Section Load'!AN21&gt;0,'Section Load'!AN21,0))</f>
        <v>562</v>
      </c>
      <c r="BH18" s="1300">
        <f>(IF('Section Load'!AO21&gt;0,'Section Load'!AO21,0))</f>
        <v>214</v>
      </c>
      <c r="BI18" s="1300">
        <f>(IF('Section Load'!AP21&gt;0,'Section Load'!AP21,0))</f>
        <v>0</v>
      </c>
      <c r="BJ18" s="1300">
        <f>(IF('Section Load'!AQ21&gt;0,'Section Load'!AQ21,0))</f>
        <v>46</v>
      </c>
      <c r="BK18" s="1300">
        <f>(IF('Section Load'!AR21&gt;0,'Section Load'!AR21,0))</f>
        <v>0</v>
      </c>
      <c r="BL18" s="1300">
        <f>(IF('Section Load'!AS21&gt;0,'Section Load'!AS21,0))</f>
        <v>0</v>
      </c>
      <c r="BM18" s="1300">
        <f>(IF('Section Load'!AT21&gt;0,'Section Load'!AT21,0))</f>
        <v>302</v>
      </c>
    </row>
    <row r="19" spans="1:65">
      <c r="A19" s="1282" t="s">
        <v>300</v>
      </c>
      <c r="B19" s="1283">
        <f t="shared" si="0"/>
        <v>18</v>
      </c>
      <c r="C19" s="1283">
        <v>5</v>
      </c>
      <c r="D19" s="1283">
        <v>2021</v>
      </c>
      <c r="E19" s="1298">
        <f>(IF('Section Load'!F22&gt;0,'Section Load'!F22,0))</f>
        <v>1530</v>
      </c>
      <c r="F19" s="1298">
        <f>(IF('Section Load'!G22&gt;0,'Section Load'!G22,0))</f>
        <v>1254</v>
      </c>
      <c r="G19" s="1298">
        <f>(IF('Section Load'!H22&gt;0,'Section Load'!H22,0))</f>
        <v>1081</v>
      </c>
      <c r="H19" s="1298">
        <f>(IF('Section Load'!I22&gt;0,'Section Load'!I22,0))</f>
        <v>2625</v>
      </c>
      <c r="I19" s="1298">
        <f>(IF('Section Load'!J22&gt;0,'Section Load'!J22,0))</f>
        <v>5084.5400000000009</v>
      </c>
      <c r="J19" s="1298">
        <f>(IF('Section Load'!K22&gt;0,'Section Load'!K22,0))</f>
        <v>2115</v>
      </c>
      <c r="K19" s="1298">
        <f>(IF('Section Load'!L22&gt;0,'Section Load'!L22,0))</f>
        <v>802</v>
      </c>
      <c r="L19" s="1298">
        <f>(IF('Section Load'!M22&gt;0,'Section Load'!M22,0))</f>
        <v>543.32000000000698</v>
      </c>
      <c r="M19" s="1298">
        <f>(IF('Section Load'!N22&gt;0,'Section Load'!N22,0))</f>
        <v>6</v>
      </c>
      <c r="N19" s="1298">
        <f>(IF('Section Load'!O22&gt;0,'Section Load'!O22,0))</f>
        <v>2</v>
      </c>
      <c r="O19" s="1298">
        <f>(IF('Section Load'!P22&gt;0,'Section Load'!P22,0))</f>
        <v>4</v>
      </c>
      <c r="P19" s="1298">
        <f>(IF('Section Load'!Q22&gt;0,'Section Load'!Q22,0))</f>
        <v>53</v>
      </c>
      <c r="Q19" s="1298">
        <f>(IF('Section Load'!R22&gt;0,'Section Load'!R22,0))</f>
        <v>56</v>
      </c>
      <c r="R19" s="1298">
        <f>(IF('Section Load'!S22&gt;0,'Section Load'!S22,0))</f>
        <v>30</v>
      </c>
      <c r="S19" s="1298">
        <f>(IF('Section Load'!T22&gt;0,'Section Load'!T22,0))</f>
        <v>75</v>
      </c>
      <c r="T19" s="1298">
        <f>(IF('Section Load'!U22&gt;0,'Section Load'!U22,0))</f>
        <v>128</v>
      </c>
      <c r="U19" s="1298">
        <f>(IF('Section Load'!V22&gt;0,'Section Load'!V22,0))</f>
        <v>300</v>
      </c>
      <c r="V19" s="1298">
        <f>(IF('Section Load'!W22&gt;0,'Section Load'!W22,0))</f>
        <v>80</v>
      </c>
      <c r="W19" s="1298">
        <f>(IF('Section Load'!X22&gt;0,'Section Load'!X22,0))</f>
        <v>26</v>
      </c>
      <c r="X19" s="1298">
        <f>(IF('Section Load'!Y22&gt;0,'Section Load'!Y22,0))</f>
        <v>63</v>
      </c>
      <c r="Y19" s="1298">
        <f>(IF('Section Load'!Z22&gt;0,'Section Load'!Z22,0))</f>
        <v>240</v>
      </c>
      <c r="Z19" s="1298">
        <f>(IF('Section Load'!AA22&gt;0,'Section Load'!AA22,0))</f>
        <v>31</v>
      </c>
      <c r="AA19" s="1298">
        <f>(IF('Section Load'!AB22&gt;0,'Section Load'!AB22,0))</f>
        <v>14</v>
      </c>
      <c r="AB19" s="1298">
        <f>(IF('Section Load'!AC22&gt;0,'Section Load'!AC22,0))</f>
        <v>68</v>
      </c>
      <c r="AC19" s="1298">
        <f>(IF('Section Load'!AD22&gt;0,'Section Load'!AD22,0))</f>
        <v>14.199999999999818</v>
      </c>
      <c r="AD19" s="1298">
        <f>(IF('Section Load'!AE22&gt;0,'Section Load'!AE22,0))</f>
        <v>0.18000000000029104</v>
      </c>
      <c r="AE19" s="1298">
        <f>(IF('Section Load'!AF22&gt;0,'Section Load'!AF22,0))</f>
        <v>4</v>
      </c>
      <c r="AF19" s="1298">
        <f>(IF('Section Load'!AG22&gt;0,'Section Load'!AG22,0))</f>
        <v>337</v>
      </c>
      <c r="AG19" s="1298">
        <f>(IF('Section Load'!AH22&gt;0,'Section Load'!AH22,0))</f>
        <v>268</v>
      </c>
      <c r="AH19" s="1298">
        <f>(IF('Section Load'!AI22&gt;0,'Section Load'!AI22,0))</f>
        <v>270</v>
      </c>
      <c r="AI19" s="1298">
        <f>(IF('Section Load'!AJ22&gt;0,'Section Load'!AJ22,0))</f>
        <v>300</v>
      </c>
      <c r="AJ19" s="1298">
        <f>(IF('Section Load'!AK22&gt;0,'Section Load'!AK22,0))</f>
        <v>0</v>
      </c>
      <c r="AK19" s="1298">
        <f>(IF('Section Load'!AL22&gt;0,'Section Load'!AL22,0))</f>
        <v>78</v>
      </c>
      <c r="AL19" s="1298">
        <f>(IF('Section Load'!AM22&gt;0,'Section Load'!AM22,0))</f>
        <v>353</v>
      </c>
      <c r="AM19" s="1299">
        <f>(IF('Water Report'!$U$7&gt;0,'Water Report'!$U$7,0))</f>
        <v>0</v>
      </c>
      <c r="AN19" s="1299">
        <f>(IF('Water Report'!$U$8&gt;0,'Water Report'!$U$8,0))</f>
        <v>146</v>
      </c>
      <c r="AO19" s="1299">
        <f>(IF('Water Report'!$U$9&gt;0,'Water Report'!$U$9,0))</f>
        <v>29</v>
      </c>
      <c r="AP19" s="1299">
        <f>(IF('Water Report'!$U$10&gt;0,'Water Report'!$U$10,0))</f>
        <v>12</v>
      </c>
      <c r="AQ19" s="1299">
        <f>(IF('Water Report'!$U$11&gt;0,'Water Report'!$U$11,0))</f>
        <v>8</v>
      </c>
      <c r="AR19" s="1299">
        <f>(IF('Water Report'!$U$13&gt;0,'Water Report'!$U$13,0))</f>
        <v>4</v>
      </c>
      <c r="AS19" s="1299">
        <f>(IF('Water Report'!$U$14&gt;0,'Water Report'!$U$14,0))</f>
        <v>10</v>
      </c>
      <c r="AT19" s="1299">
        <f>(IF('Water Report'!$U$15&gt;0,'Water Report'!$U$15,0))</f>
        <v>0</v>
      </c>
      <c r="AU19" s="1299">
        <f>(IF('Water Report'!$U$17&gt;0,'Water Report'!$U$17,0))</f>
        <v>0</v>
      </c>
      <c r="AV19" s="1299">
        <f>(IF('Water Report'!$U$18&gt;0,'Water Report'!$U$18,0))</f>
        <v>0</v>
      </c>
      <c r="AW19" s="1299">
        <f>(IF('Water Report'!$U$19&gt;0,'Water Report'!$U$19,0))</f>
        <v>2</v>
      </c>
      <c r="AX19" s="1376">
        <f>(IF('Water Report'!$U$21&gt;0,'Water Report'!$U$21,0))</f>
        <v>73</v>
      </c>
      <c r="AY19" s="1376">
        <f>(IF('Water Report'!$U$22&gt;0,'Water Report'!$U$22,0))</f>
        <v>0</v>
      </c>
      <c r="AZ19" s="1376">
        <f>(IF('Water Report'!$U$23&gt;0,'Water Report'!$U$23,0))</f>
        <v>4</v>
      </c>
      <c r="BA19" s="1376">
        <f>(IF('Water Report'!$U$14&gt;0,'Water Report'!$U$14,0))</f>
        <v>10</v>
      </c>
      <c r="BB19" s="1376">
        <f>(IF('Water Report'!$U$15&gt;0,'Water Report'!$U$15,0))</f>
        <v>0</v>
      </c>
      <c r="BC19" s="1376">
        <f>(IF('Water Report'!$U$13&gt;0,'Water Report'!$U$13,0))</f>
        <v>4</v>
      </c>
      <c r="BD19" s="1376">
        <f>(IF('Water Report'!$U$24&gt;0,'Water Report'!$U$24,0))</f>
        <v>105</v>
      </c>
      <c r="BE19" s="1376">
        <f>(IF('Water Report'!$U$25&gt;0,'Water Report'!$U$25,0))</f>
        <v>59</v>
      </c>
      <c r="BF19" s="1376">
        <f>(IF('Water Report'!$U$27&gt;0,'Water Report'!$U$27,0))</f>
        <v>81</v>
      </c>
      <c r="BG19" s="1300">
        <f>(IF('Section Load'!AN22&gt;0,'Section Load'!AN22,0))</f>
        <v>400</v>
      </c>
      <c r="BH19" s="1300">
        <f>(IF('Section Load'!AO22&gt;0,'Section Load'!AO22,0))</f>
        <v>195</v>
      </c>
      <c r="BI19" s="1300">
        <f>(IF('Section Load'!AP22&gt;0,'Section Load'!AP22,0))</f>
        <v>0</v>
      </c>
      <c r="BJ19" s="1300">
        <f>(IF('Section Load'!AQ22&gt;0,'Section Load'!AQ22,0))</f>
        <v>45</v>
      </c>
      <c r="BK19" s="1300">
        <f>(IF('Section Load'!AR22&gt;0,'Section Load'!AR22,0))</f>
        <v>0</v>
      </c>
      <c r="BL19" s="1300">
        <f>(IF('Section Load'!AS22&gt;0,'Section Load'!AS22,0))</f>
        <v>0</v>
      </c>
      <c r="BM19" s="1300">
        <f>(IF('Section Load'!AT22&gt;0,'Section Load'!AT22,0))</f>
        <v>160</v>
      </c>
    </row>
    <row r="20" spans="1:65">
      <c r="A20" s="1282" t="s">
        <v>300</v>
      </c>
      <c r="B20" s="1283">
        <f t="shared" si="0"/>
        <v>19</v>
      </c>
      <c r="C20" s="1283">
        <v>5</v>
      </c>
      <c r="D20" s="1283">
        <v>2021</v>
      </c>
      <c r="E20" s="1298">
        <f>(IF('Section Load'!F23&gt;0,'Section Load'!F23,0))</f>
        <v>1650.8699999999953</v>
      </c>
      <c r="F20" s="1298">
        <f>(IF('Section Load'!G23&gt;0,'Section Load'!G23,0))</f>
        <v>1200</v>
      </c>
      <c r="G20" s="1298">
        <f>(IF('Section Load'!H23&gt;0,'Section Load'!H23,0))</f>
        <v>999</v>
      </c>
      <c r="H20" s="1298">
        <f>(IF('Section Load'!I23&gt;0,'Section Load'!I23,0))</f>
        <v>2579</v>
      </c>
      <c r="I20" s="1298">
        <f>(IF('Section Load'!J23&gt;0,'Section Load'!J23,0))</f>
        <v>4451.9900000000271</v>
      </c>
      <c r="J20" s="1298">
        <f>(IF('Section Load'!K23&gt;0,'Section Load'!K23,0))</f>
        <v>2088.67</v>
      </c>
      <c r="K20" s="1298">
        <f>(IF('Section Load'!L23&gt;0,'Section Load'!L23,0))</f>
        <v>793</v>
      </c>
      <c r="L20" s="1298">
        <f>(IF('Section Load'!M23&gt;0,'Section Load'!M23,0))</f>
        <v>572.16000000000349</v>
      </c>
      <c r="M20" s="1298">
        <f>(IF('Section Load'!N23&gt;0,'Section Load'!N23,0))</f>
        <v>10</v>
      </c>
      <c r="N20" s="1298">
        <f>(IF('Section Load'!O23&gt;0,'Section Load'!O23,0))</f>
        <v>1</v>
      </c>
      <c r="O20" s="1298">
        <f>(IF('Section Load'!P23&gt;0,'Section Load'!P23,0))</f>
        <v>5</v>
      </c>
      <c r="P20" s="1298">
        <f>(IF('Section Load'!Q23&gt;0,'Section Load'!Q23,0))</f>
        <v>56</v>
      </c>
      <c r="Q20" s="1298">
        <f>(IF('Section Load'!R23&gt;0,'Section Load'!R23,0))</f>
        <v>58</v>
      </c>
      <c r="R20" s="1298">
        <f>(IF('Section Load'!S23&gt;0,'Section Load'!S23,0))</f>
        <v>29</v>
      </c>
      <c r="S20" s="1298">
        <f>(IF('Section Load'!T23&gt;0,'Section Load'!T23,0))</f>
        <v>82</v>
      </c>
      <c r="T20" s="1298">
        <f>(IF('Section Load'!U23&gt;0,'Section Load'!U23,0))</f>
        <v>123</v>
      </c>
      <c r="U20" s="1298">
        <f>(IF('Section Load'!V23&gt;0,'Section Load'!V23,0))</f>
        <v>293</v>
      </c>
      <c r="V20" s="1298">
        <f>(IF('Section Load'!W23&gt;0,'Section Load'!W23,0))</f>
        <v>77</v>
      </c>
      <c r="W20" s="1298">
        <f>(IF('Section Load'!X23&gt;0,'Section Load'!X23,0))</f>
        <v>11</v>
      </c>
      <c r="X20" s="1298">
        <f>(IF('Section Load'!Y23&gt;0,'Section Load'!Y23,0))</f>
        <v>1</v>
      </c>
      <c r="Y20" s="1298">
        <f>(IF('Section Load'!Z23&gt;0,'Section Load'!Z23,0))</f>
        <v>153</v>
      </c>
      <c r="Z20" s="1298">
        <f>(IF('Section Load'!AA23&gt;0,'Section Load'!AA23,0))</f>
        <v>23</v>
      </c>
      <c r="AA20" s="1298">
        <f>(IF('Section Load'!AB23&gt;0,'Section Load'!AB23,0))</f>
        <v>21</v>
      </c>
      <c r="AB20" s="1298">
        <f>(IF('Section Load'!AC23&gt;0,'Section Load'!AC23,0))</f>
        <v>24</v>
      </c>
      <c r="AC20" s="1298">
        <f>(IF('Section Load'!AD23&gt;0,'Section Load'!AD23,0))</f>
        <v>21</v>
      </c>
      <c r="AD20" s="1298">
        <f>(IF('Section Load'!AE23&gt;0,'Section Load'!AE23,0))</f>
        <v>2.0000000000436557E-2</v>
      </c>
      <c r="AE20" s="1298">
        <f>(IF('Section Load'!AF23&gt;0,'Section Load'!AF23,0))</f>
        <v>4</v>
      </c>
      <c r="AF20" s="1298">
        <f>(IF('Section Load'!AG23&gt;0,'Section Load'!AG23,0))</f>
        <v>323</v>
      </c>
      <c r="AG20" s="1298">
        <f>(IF('Section Load'!AH23&gt;0,'Section Load'!AH23,0))</f>
        <v>210</v>
      </c>
      <c r="AH20" s="1298">
        <f>(IF('Section Load'!AI23&gt;0,'Section Load'!AI23,0))</f>
        <v>234</v>
      </c>
      <c r="AI20" s="1298">
        <f>(IF('Section Load'!AJ23&gt;0,'Section Load'!AJ23,0))</f>
        <v>236</v>
      </c>
      <c r="AJ20" s="1298">
        <f>(IF('Section Load'!AK23&gt;0,'Section Load'!AK23,0))</f>
        <v>0</v>
      </c>
      <c r="AK20" s="1298">
        <f>(IF('Section Load'!AL23&gt;0,'Section Load'!AL23,0))</f>
        <v>104</v>
      </c>
      <c r="AL20" s="1298">
        <f>(IF('Section Load'!AM23&gt;0,'Section Load'!AM23,0))</f>
        <v>355</v>
      </c>
      <c r="AM20" s="1299">
        <f>(IF('Water Report'!$V$7&gt;0,'Water Report'!$V$7,0))</f>
        <v>0</v>
      </c>
      <c r="AN20" s="1299">
        <f>(IF('Water Report'!$V$8&gt;0,'Water Report'!$V$8,0))</f>
        <v>75</v>
      </c>
      <c r="AO20" s="1299">
        <f>(IF('Water Report'!$V$9&gt;0,'Water Report'!$V$9,0))</f>
        <v>23</v>
      </c>
      <c r="AP20" s="1299">
        <f>(IF('Water Report'!$V$10&gt;0,'Water Report'!$V$10,0))</f>
        <v>7</v>
      </c>
      <c r="AQ20" s="1299">
        <f>(IF('Water Report'!$V$11&gt;0,'Water Report'!$V$11,0))</f>
        <v>12</v>
      </c>
      <c r="AR20" s="1299">
        <f>(IF('Water Report'!$V$13&gt;0,'Water Report'!$V$13,0))</f>
        <v>11</v>
      </c>
      <c r="AS20" s="1299">
        <f>(IF('Water Report'!$V$14&gt;0,'Water Report'!$V$14,0))</f>
        <v>7</v>
      </c>
      <c r="AT20" s="1299">
        <f>(IF('Water Report'!$V$15&gt;0,'Water Report'!$V$15,0))</f>
        <v>2</v>
      </c>
      <c r="AU20" s="1299">
        <f>(IF('Water Report'!$V$17&gt;0,'Water Report'!$V$17,0))</f>
        <v>0</v>
      </c>
      <c r="AV20" s="1299">
        <f>(IF('Water Report'!$V$18&gt;0,'Water Report'!$V$18,0))</f>
        <v>0</v>
      </c>
      <c r="AW20" s="1299">
        <f>(IF('Water Report'!$V$19&gt;0,'Water Report'!$V$19,0))</f>
        <v>0</v>
      </c>
      <c r="AX20" s="1376">
        <f>(IF('Water Report'!$V$21&gt;0,'Water Report'!$V$21,0))</f>
        <v>40</v>
      </c>
      <c r="AY20" s="1376">
        <f>(IF('Water Report'!$V$22&gt;0,'Water Report'!$V$22,0))</f>
        <v>11</v>
      </c>
      <c r="AZ20" s="1376">
        <f>(IF('Water Report'!$V$23&gt;0,'Water Report'!$V$23,0))</f>
        <v>0</v>
      </c>
      <c r="BA20" s="1376">
        <f>(IF('Water Report'!$V$14&gt;0,'Water Report'!$V$14,0))</f>
        <v>7</v>
      </c>
      <c r="BB20" s="1376">
        <f>(IF('Water Report'!$V$15&gt;0,'Water Report'!$V$15,0))</f>
        <v>2</v>
      </c>
      <c r="BC20" s="1376">
        <f>(IF('Water Report'!$V$13&gt;0,'Water Report'!$V$13,0))</f>
        <v>11</v>
      </c>
      <c r="BD20" s="1376">
        <f>(IF('Water Report'!$V$24&gt;0,'Water Report'!$V$24,0))</f>
        <v>60</v>
      </c>
      <c r="BE20" s="1376">
        <f>(IF('Water Report'!$V$25&gt;0,'Water Report'!$V$25,0))</f>
        <v>51</v>
      </c>
      <c r="BF20" s="1376">
        <f>(IF('Water Report'!$V$27&gt;0,'Water Report'!$V$27,0))</f>
        <v>51</v>
      </c>
      <c r="BG20" s="1300">
        <f>(IF('Section Load'!AN23&gt;0,'Section Load'!AN23,0))</f>
        <v>248</v>
      </c>
      <c r="BH20" s="1300">
        <f>(IF('Section Load'!AO23&gt;0,'Section Load'!AO23,0))</f>
        <v>173</v>
      </c>
      <c r="BI20" s="1300">
        <f>(IF('Section Load'!AP23&gt;0,'Section Load'!AP23,0))</f>
        <v>0</v>
      </c>
      <c r="BJ20" s="1300">
        <f>(IF('Section Load'!AQ23&gt;0,'Section Load'!AQ23,0))</f>
        <v>42</v>
      </c>
      <c r="BK20" s="1300">
        <f>(IF('Section Load'!AR23&gt;0,'Section Load'!AR23,0))</f>
        <v>0</v>
      </c>
      <c r="BL20" s="1300">
        <f>(IF('Section Load'!AS23&gt;0,'Section Load'!AS23,0))</f>
        <v>0</v>
      </c>
      <c r="BM20" s="1300">
        <f>(IF('Section Load'!AT23&gt;0,'Section Load'!AT23,0))</f>
        <v>33</v>
      </c>
    </row>
    <row r="21" spans="1:65">
      <c r="A21" s="1282" t="s">
        <v>300</v>
      </c>
      <c r="B21" s="1283">
        <f t="shared" si="0"/>
        <v>20</v>
      </c>
      <c r="C21" s="1283">
        <v>5</v>
      </c>
      <c r="D21" s="1283">
        <v>2021</v>
      </c>
      <c r="E21" s="1298">
        <f>(IF('Section Load'!F24&gt;0,'Section Load'!F24,0))</f>
        <v>1818</v>
      </c>
      <c r="F21" s="1298">
        <f>(IF('Section Load'!G24&gt;0,'Section Load'!G24,0))</f>
        <v>1255</v>
      </c>
      <c r="G21" s="1298">
        <f>(IF('Section Load'!H24&gt;0,'Section Load'!H24,0))</f>
        <v>978</v>
      </c>
      <c r="H21" s="1298">
        <f>(IF('Section Load'!I24&gt;0,'Section Load'!I24,0))</f>
        <v>2517</v>
      </c>
      <c r="I21" s="1298">
        <f>(IF('Section Load'!J24&gt;0,'Section Load'!J24,0))</f>
        <v>4744</v>
      </c>
      <c r="J21" s="1298">
        <f>(IF('Section Load'!K24&gt;0,'Section Load'!K24,0))</f>
        <v>2118</v>
      </c>
      <c r="K21" s="1298">
        <f>(IF('Section Load'!L24&gt;0,'Section Load'!L24,0))</f>
        <v>870</v>
      </c>
      <c r="L21" s="1298">
        <f>(IF('Section Load'!M24&gt;0,'Section Load'!M24,0))</f>
        <v>538.38000000000466</v>
      </c>
      <c r="M21" s="1298">
        <f>(IF('Section Load'!N24&gt;0,'Section Load'!N24,0))</f>
        <v>9</v>
      </c>
      <c r="N21" s="1298">
        <f>(IF('Section Load'!O24&gt;0,'Section Load'!O24,0))</f>
        <v>0</v>
      </c>
      <c r="O21" s="1298">
        <f>(IF('Section Load'!P24&gt;0,'Section Load'!P24,0))</f>
        <v>8</v>
      </c>
      <c r="P21" s="1298">
        <f>(IF('Section Load'!Q24&gt;0,'Section Load'!Q24,0))</f>
        <v>52</v>
      </c>
      <c r="Q21" s="1298">
        <f>(IF('Section Load'!R24&gt;0,'Section Load'!R24,0))</f>
        <v>57</v>
      </c>
      <c r="R21" s="1298">
        <f>(IF('Section Load'!S24&gt;0,'Section Load'!S24,0))</f>
        <v>33</v>
      </c>
      <c r="S21" s="1298">
        <f>(IF('Section Load'!T24&gt;0,'Section Load'!T24,0))</f>
        <v>50</v>
      </c>
      <c r="T21" s="1298">
        <f>(IF('Section Load'!U24&gt;0,'Section Load'!U24,0))</f>
        <v>117</v>
      </c>
      <c r="U21" s="1298">
        <f>(IF('Section Load'!V24&gt;0,'Section Load'!V24,0))</f>
        <v>357</v>
      </c>
      <c r="V21" s="1298">
        <f>(IF('Section Load'!W24&gt;0,'Section Load'!W24,0))</f>
        <v>76</v>
      </c>
      <c r="W21" s="1298">
        <f>(IF('Section Load'!X24&gt;0,'Section Load'!X24,0))</f>
        <v>10</v>
      </c>
      <c r="X21" s="1298">
        <f>(IF('Section Load'!Y24&gt;0,'Section Load'!Y24,0))</f>
        <v>15</v>
      </c>
      <c r="Y21" s="1298">
        <f>(IF('Section Load'!Z24&gt;0,'Section Load'!Z24,0))</f>
        <v>94</v>
      </c>
      <c r="Z21" s="1298">
        <f>(IF('Section Load'!AA24&gt;0,'Section Load'!AA24,0))</f>
        <v>24</v>
      </c>
      <c r="AA21" s="1298">
        <f>(IF('Section Load'!AB24&gt;0,'Section Load'!AB24,0))</f>
        <v>27</v>
      </c>
      <c r="AB21" s="1298">
        <f>(IF('Section Load'!AC24&gt;0,'Section Load'!AC24,0))</f>
        <v>23</v>
      </c>
      <c r="AC21" s="1298">
        <f>(IF('Section Load'!AD24&gt;0,'Section Load'!AD24,0))</f>
        <v>27</v>
      </c>
      <c r="AD21" s="1298">
        <f>(IF('Section Load'!AE24&gt;0,'Section Load'!AE24,0))</f>
        <v>0</v>
      </c>
      <c r="AE21" s="1298">
        <f>(IF('Section Load'!AF24&gt;0,'Section Load'!AF24,0))</f>
        <v>4</v>
      </c>
      <c r="AF21" s="1298">
        <f>(IF('Section Load'!AG24&gt;0,'Section Load'!AG24,0))</f>
        <v>267</v>
      </c>
      <c r="AG21" s="1298">
        <f>(IF('Section Load'!AH24&gt;0,'Section Load'!AH24,0))</f>
        <v>205</v>
      </c>
      <c r="AH21" s="1298">
        <f>(IF('Section Load'!AI24&gt;0,'Section Load'!AI24,0))</f>
        <v>256</v>
      </c>
      <c r="AI21" s="1298">
        <f>(IF('Section Load'!AJ24&gt;0,'Section Load'!AJ24,0))</f>
        <v>279</v>
      </c>
      <c r="AJ21" s="1298">
        <f>(IF('Section Load'!AK24&gt;0,'Section Load'!AK24,0))</f>
        <v>0</v>
      </c>
      <c r="AK21" s="1298">
        <f>(IF('Section Load'!AL24&gt;0,'Section Load'!AL24,0))</f>
        <v>67</v>
      </c>
      <c r="AL21" s="1298">
        <f>(IF('Section Load'!AM24&gt;0,'Section Load'!AM24,0))</f>
        <v>365</v>
      </c>
      <c r="AM21" s="1299">
        <f>(IF('Water Report'!$W$7&gt;0,'Water Report'!$W$7,0))</f>
        <v>22</v>
      </c>
      <c r="AN21" s="1299">
        <f>(IF('Water Report'!$W$8&gt;0,'Water Report'!$W$8,0))</f>
        <v>34</v>
      </c>
      <c r="AO21" s="1299">
        <f>(IF('Water Report'!$W$9&gt;0,'Water Report'!$W$9,0))</f>
        <v>27</v>
      </c>
      <c r="AP21" s="1299">
        <f>(IF('Water Report'!$W$10&gt;0,'Water Report'!$W$10,0))</f>
        <v>11</v>
      </c>
      <c r="AQ21" s="1299">
        <f>(IF('Water Report'!$W$11&gt;0,'Water Report'!$W$11,0))</f>
        <v>16</v>
      </c>
      <c r="AR21" s="1299">
        <f>(IF('Water Report'!$W$13&gt;0,'Water Report'!$W$13,0))</f>
        <v>10</v>
      </c>
      <c r="AS21" s="1299">
        <f>(IF('Water Report'!$W$14&gt;0,'Water Report'!$W$14,0))</f>
        <v>14</v>
      </c>
      <c r="AT21" s="1299">
        <f>(IF('Water Report'!$W$15&gt;0,'Water Report'!$W$15,0))</f>
        <v>3</v>
      </c>
      <c r="AU21" s="1299">
        <f>(IF('Water Report'!$W$17&gt;0,'Water Report'!$W$17,0))</f>
        <v>0</v>
      </c>
      <c r="AV21" s="1299">
        <f>(IF('Water Report'!$W$18&gt;0,'Water Report'!$W$18,0))</f>
        <v>0</v>
      </c>
      <c r="AW21" s="1299">
        <f>(IF('Water Report'!$W$19&gt;0,'Water Report'!$W$19,0))</f>
        <v>0</v>
      </c>
      <c r="AX21" s="1376">
        <f>(IF('Water Report'!$W$21&gt;0,'Water Report'!$W$21,0))</f>
        <v>39</v>
      </c>
      <c r="AY21" s="1376">
        <f>(IF('Water Report'!$W$22&gt;0,'Water Report'!$W$22,0))</f>
        <v>18</v>
      </c>
      <c r="AZ21" s="1376">
        <f>(IF('Water Report'!$W$23&gt;0,'Water Report'!$W$23,0))</f>
        <v>0</v>
      </c>
      <c r="BA21" s="1376">
        <f>(IF('Water Report'!$W$14&gt;0,'Water Report'!$W$14,0))</f>
        <v>14</v>
      </c>
      <c r="BB21" s="1376">
        <f>(IF('Water Report'!$W$15&gt;0,'Water Report'!$W$15,0))</f>
        <v>3</v>
      </c>
      <c r="BC21" s="1376">
        <f>(IF('Water Report'!$W$13&gt;0,'Water Report'!$W$13,0))</f>
        <v>10</v>
      </c>
      <c r="BD21" s="1376">
        <f>(IF('Water Report'!$W$24&gt;0,'Water Report'!$W$24,0))</f>
        <v>57</v>
      </c>
      <c r="BE21" s="1376">
        <f>(IF('Water Report'!$W$25&gt;0,'Water Report'!$W$25,0))</f>
        <v>71</v>
      </c>
      <c r="BF21" s="1376">
        <f>(IF('Water Report'!$W$27&gt;0,'Water Report'!$W$27,0))</f>
        <v>49</v>
      </c>
      <c r="BG21" s="1300">
        <f>(IF('Section Load'!AN24&gt;0,'Section Load'!AN24,0))</f>
        <v>288</v>
      </c>
      <c r="BH21" s="1300">
        <f>(IF('Section Load'!AO24&gt;0,'Section Load'!AO24,0))</f>
        <v>204</v>
      </c>
      <c r="BI21" s="1300">
        <f>(IF('Section Load'!AP24&gt;0,'Section Load'!AP24,0))</f>
        <v>0</v>
      </c>
      <c r="BJ21" s="1300">
        <f>(IF('Section Load'!AQ24&gt;0,'Section Load'!AQ24,0))</f>
        <v>48</v>
      </c>
      <c r="BK21" s="1300">
        <f>(IF('Section Load'!AR24&gt;0,'Section Load'!AR24,0))</f>
        <v>0</v>
      </c>
      <c r="BL21" s="1300">
        <f>(IF('Section Load'!AS24&gt;0,'Section Load'!AS24,0))</f>
        <v>0</v>
      </c>
      <c r="BM21" s="1300">
        <f>(IF('Section Load'!AT24&gt;0,'Section Load'!AT24,0))</f>
        <v>36</v>
      </c>
    </row>
    <row r="22" spans="1:65">
      <c r="A22" s="1282" t="s">
        <v>300</v>
      </c>
      <c r="B22" s="1283">
        <f t="shared" si="0"/>
        <v>21</v>
      </c>
      <c r="C22" s="1283">
        <v>5</v>
      </c>
      <c r="D22" s="1283">
        <v>2021</v>
      </c>
      <c r="E22" s="1298">
        <f>(IF('Section Load'!F25&gt;0,'Section Load'!F25,0))</f>
        <v>1843.1300000000047</v>
      </c>
      <c r="F22" s="1298">
        <f>(IF('Section Load'!G25&gt;0,'Section Load'!G25,0))</f>
        <v>1333</v>
      </c>
      <c r="G22" s="1298">
        <f>(IF('Section Load'!H25&gt;0,'Section Load'!H25,0))</f>
        <v>1150.0699999999488</v>
      </c>
      <c r="H22" s="1298">
        <f>(IF('Section Load'!I25&gt;0,'Section Load'!I25,0))</f>
        <v>2103</v>
      </c>
      <c r="I22" s="1298">
        <f>(IF('Section Load'!J25&gt;0,'Section Load'!J25,0))</f>
        <v>5144</v>
      </c>
      <c r="J22" s="1298">
        <f>(IF('Section Load'!K25&gt;0,'Section Load'!K25,0))</f>
        <v>2133</v>
      </c>
      <c r="K22" s="1298">
        <f>(IF('Section Load'!L25&gt;0,'Section Load'!L25,0))</f>
        <v>800</v>
      </c>
      <c r="L22" s="1298">
        <f>(IF('Section Load'!M25&gt;0,'Section Load'!M25,0))</f>
        <v>623.17999999999302</v>
      </c>
      <c r="M22" s="1298">
        <f>(IF('Section Load'!N25&gt;0,'Section Load'!N25,0))</f>
        <v>10</v>
      </c>
      <c r="N22" s="1298">
        <f>(IF('Section Load'!O25&gt;0,'Section Load'!O25,0))</f>
        <v>2</v>
      </c>
      <c r="O22" s="1298">
        <f>(IF('Section Load'!P25&gt;0,'Section Load'!P25,0))</f>
        <v>6</v>
      </c>
      <c r="P22" s="1298">
        <f>(IF('Section Load'!Q25&gt;0,'Section Load'!Q25,0))</f>
        <v>53</v>
      </c>
      <c r="Q22" s="1298">
        <f>(IF('Section Load'!R25&gt;0,'Section Load'!R25,0))</f>
        <v>55</v>
      </c>
      <c r="R22" s="1298">
        <f>(IF('Section Load'!S25&gt;0,'Section Load'!S25,0))</f>
        <v>34</v>
      </c>
      <c r="S22" s="1298">
        <f>(IF('Section Load'!T25&gt;0,'Section Load'!T25,0))</f>
        <v>184</v>
      </c>
      <c r="T22" s="1298">
        <f>(IF('Section Load'!U25&gt;0,'Section Load'!U25,0))</f>
        <v>136</v>
      </c>
      <c r="U22" s="1298">
        <f>(IF('Section Load'!V25&gt;0,'Section Load'!V25,0))</f>
        <v>331</v>
      </c>
      <c r="V22" s="1298">
        <f>(IF('Section Load'!W25&gt;0,'Section Load'!W25,0))</f>
        <v>79</v>
      </c>
      <c r="W22" s="1298">
        <f>(IF('Section Load'!X25&gt;0,'Section Load'!X25,0))</f>
        <v>26</v>
      </c>
      <c r="X22" s="1298">
        <f>(IF('Section Load'!Y25&gt;0,'Section Load'!Y25,0))</f>
        <v>133</v>
      </c>
      <c r="Y22" s="1298">
        <f>(IF('Section Load'!Z25&gt;0,'Section Load'!Z25,0))</f>
        <v>145</v>
      </c>
      <c r="Z22" s="1298">
        <f>(IF('Section Load'!AA25&gt;0,'Section Load'!AA25,0))</f>
        <v>21</v>
      </c>
      <c r="AA22" s="1298">
        <f>(IF('Section Load'!AB25&gt;0,'Section Load'!AB25,0))</f>
        <v>22</v>
      </c>
      <c r="AB22" s="1298">
        <f>(IF('Section Load'!AC25&gt;0,'Section Load'!AC25,0))</f>
        <v>25</v>
      </c>
      <c r="AC22" s="1298">
        <f>(IF('Section Load'!AD25&gt;0,'Section Load'!AD25,0))</f>
        <v>22</v>
      </c>
      <c r="AD22" s="1298">
        <f>(IF('Section Load'!AE25&gt;0,'Section Load'!AE25,0))</f>
        <v>0</v>
      </c>
      <c r="AE22" s="1298">
        <f>(IF('Section Load'!AF25&gt;0,'Section Load'!AF25,0))</f>
        <v>3</v>
      </c>
      <c r="AF22" s="1298">
        <f>(IF('Section Load'!AG25&gt;0,'Section Load'!AG25,0))</f>
        <v>175</v>
      </c>
      <c r="AG22" s="1298">
        <f>(IF('Section Load'!AH25&gt;0,'Section Load'!AH25,0))</f>
        <v>206</v>
      </c>
      <c r="AH22" s="1298">
        <f>(IF('Section Load'!AI25&gt;0,'Section Load'!AI25,0))</f>
        <v>261</v>
      </c>
      <c r="AI22" s="1298">
        <f>(IF('Section Load'!AJ25&gt;0,'Section Load'!AJ25,0))</f>
        <v>481</v>
      </c>
      <c r="AJ22" s="1298">
        <f>(IF('Section Load'!AK25&gt;0,'Section Load'!AK25,0))</f>
        <v>0</v>
      </c>
      <c r="AK22" s="1298">
        <f>(IF('Section Load'!AL25&gt;0,'Section Load'!AL25,0))</f>
        <v>76</v>
      </c>
      <c r="AL22" s="1298">
        <f>(IF('Section Load'!AM25&gt;0,'Section Load'!AM25,0))</f>
        <v>379</v>
      </c>
      <c r="AM22" s="1299">
        <f>(IF('Water Report'!$X$7&gt;0,'Water Report'!$X$7,0))</f>
        <v>37</v>
      </c>
      <c r="AN22" s="1299">
        <f>(IF('Water Report'!$X$8&gt;0,'Water Report'!$X$8,0))</f>
        <v>83</v>
      </c>
      <c r="AO22" s="1299">
        <f>(IF('Water Report'!$X$9&gt;0,'Water Report'!$X$9,0))</f>
        <v>49</v>
      </c>
      <c r="AP22" s="1299">
        <f>(IF('Water Report'!$X$10&gt;0,'Water Report'!$X$10,0))</f>
        <v>9</v>
      </c>
      <c r="AQ22" s="1299">
        <f>(IF('Water Report'!$X$11&gt;0,'Water Report'!$X$11,0))</f>
        <v>20</v>
      </c>
      <c r="AR22" s="1299">
        <f>(IF('Water Report'!$X$13&gt;0,'Water Report'!$X$13,0))</f>
        <v>6</v>
      </c>
      <c r="AS22" s="1299">
        <f>(IF('Water Report'!$X$14&gt;0,'Water Report'!$X$14,0))</f>
        <v>4</v>
      </c>
      <c r="AT22" s="1299">
        <f>(IF('Water Report'!$X$15&gt;0,'Water Report'!$X$15,0))</f>
        <v>7</v>
      </c>
      <c r="AU22" s="1299">
        <f>(IF('Water Report'!$X$17&gt;0,'Water Report'!$X$17,0))</f>
        <v>7</v>
      </c>
      <c r="AV22" s="1299">
        <f>(IF('Water Report'!$X$18&gt;0,'Water Report'!$X$18,0))</f>
        <v>4</v>
      </c>
      <c r="AW22" s="1299">
        <f>(IF('Water Report'!$X$19&gt;0,'Water Report'!$X$19,0))</f>
        <v>5</v>
      </c>
      <c r="AX22" s="1376">
        <f>(IF('Water Report'!$X$21&gt;0,'Water Report'!$X$21,0))</f>
        <v>39</v>
      </c>
      <c r="AY22" s="1376">
        <f>(IF('Water Report'!$X$22&gt;0,'Water Report'!$X$22,0))</f>
        <v>3</v>
      </c>
      <c r="AZ22" s="1376">
        <f>(IF('Water Report'!$X$23&gt;0,'Water Report'!$X$23,0))</f>
        <v>0</v>
      </c>
      <c r="BA22" s="1376">
        <f>(IF('Water Report'!$X$14&gt;0,'Water Report'!$X$14,0))</f>
        <v>4</v>
      </c>
      <c r="BB22" s="1376">
        <f>(IF('Water Report'!$X$15&gt;0,'Water Report'!$X$15,0))</f>
        <v>7</v>
      </c>
      <c r="BC22" s="1376">
        <f>(IF('Water Report'!$X$13&gt;0,'Water Report'!$X$13,0))</f>
        <v>6</v>
      </c>
      <c r="BD22" s="1376">
        <f>(IF('Water Report'!$X$24&gt;0,'Water Report'!$X$24,0))</f>
        <v>96</v>
      </c>
      <c r="BE22" s="1376">
        <f>(IF('Water Report'!$X$25&gt;0,'Water Report'!$X$25,0))</f>
        <v>89</v>
      </c>
      <c r="BF22" s="1376">
        <f>(IF('Water Report'!$X$27&gt;0,'Water Report'!$X$27,0))</f>
        <v>45</v>
      </c>
      <c r="BG22" s="1300">
        <f>(IF('Section Load'!AN25&gt;0,'Section Load'!AN25,0))</f>
        <v>534</v>
      </c>
      <c r="BH22" s="1300">
        <f>(IF('Section Load'!AO25&gt;0,'Section Load'!AO25,0))</f>
        <v>194</v>
      </c>
      <c r="BI22" s="1300">
        <f>(IF('Section Load'!AP25&gt;0,'Section Load'!AP25,0))</f>
        <v>0</v>
      </c>
      <c r="BJ22" s="1300">
        <f>(IF('Section Load'!AQ25&gt;0,'Section Load'!AQ25,0))</f>
        <v>67</v>
      </c>
      <c r="BK22" s="1300">
        <f>(IF('Section Load'!AR25&gt;0,'Section Load'!AR25,0))</f>
        <v>0</v>
      </c>
      <c r="BL22" s="1300">
        <f>(IF('Section Load'!AS25&gt;0,'Section Load'!AS25,0))</f>
        <v>0</v>
      </c>
      <c r="BM22" s="1300">
        <f>(IF('Section Load'!AT25&gt;0,'Section Load'!AT25,0))</f>
        <v>273</v>
      </c>
    </row>
    <row r="23" spans="1:65">
      <c r="A23" s="1282" t="s">
        <v>300</v>
      </c>
      <c r="B23" s="1283">
        <f t="shared" si="0"/>
        <v>22</v>
      </c>
      <c r="C23" s="1283">
        <v>5</v>
      </c>
      <c r="D23" s="1283">
        <v>2021</v>
      </c>
      <c r="E23" s="1298">
        <f>(IF('Section Load'!F26&gt;0,'Section Load'!F26,0))</f>
        <v>1920</v>
      </c>
      <c r="F23" s="1298">
        <f>(IF('Section Load'!G26&gt;0,'Section Load'!G26,0))</f>
        <v>1372</v>
      </c>
      <c r="G23" s="1298">
        <f>(IF('Section Load'!H26&gt;0,'Section Load'!H26,0))</f>
        <v>1280</v>
      </c>
      <c r="H23" s="1298">
        <f>(IF('Section Load'!I26&gt;0,'Section Load'!I26,0))</f>
        <v>3496</v>
      </c>
      <c r="I23" s="1298">
        <f>(IF('Section Load'!J26&gt;0,'Section Load'!J26,0))</f>
        <v>6030</v>
      </c>
      <c r="J23" s="1298">
        <f>(IF('Section Load'!K26&gt;0,'Section Load'!K26,0))</f>
        <v>2210</v>
      </c>
      <c r="K23" s="1298">
        <f>(IF('Section Load'!L26&gt;0,'Section Load'!L26,0))</f>
        <v>918</v>
      </c>
      <c r="L23" s="1298">
        <f>(IF('Section Load'!M26&gt;0,'Section Load'!M26,0))</f>
        <v>600</v>
      </c>
      <c r="M23" s="1298">
        <f>(IF('Section Load'!N26&gt;0,'Section Load'!N26,0))</f>
        <v>10</v>
      </c>
      <c r="N23" s="1298">
        <f>(IF('Section Load'!O26&gt;0,'Section Load'!O26,0))</f>
        <v>1</v>
      </c>
      <c r="O23" s="1298">
        <f>(IF('Section Load'!P26&gt;0,'Section Load'!P26,0))</f>
        <v>8</v>
      </c>
      <c r="P23" s="1298">
        <f>(IF('Section Load'!Q26&gt;0,'Section Load'!Q26,0))</f>
        <v>54</v>
      </c>
      <c r="Q23" s="1298">
        <f>(IF('Section Load'!R26&gt;0,'Section Load'!R26,0))</f>
        <v>56</v>
      </c>
      <c r="R23" s="1298">
        <f>(IF('Section Load'!S26&gt;0,'Section Load'!S26,0))</f>
        <v>42</v>
      </c>
      <c r="S23" s="1298">
        <f>(IF('Section Load'!T26&gt;0,'Section Load'!T26,0))</f>
        <v>197</v>
      </c>
      <c r="T23" s="1298">
        <f>(IF('Section Load'!U26&gt;0,'Section Load'!U26,0))</f>
        <v>129</v>
      </c>
      <c r="U23" s="1298">
        <f>(IF('Section Load'!V26&gt;0,'Section Load'!V26,0))</f>
        <v>377</v>
      </c>
      <c r="V23" s="1298">
        <f>(IF('Section Load'!W26&gt;0,'Section Load'!W26,0))</f>
        <v>76</v>
      </c>
      <c r="W23" s="1298">
        <f>(IF('Section Load'!X26&gt;0,'Section Load'!X26,0))</f>
        <v>11</v>
      </c>
      <c r="X23" s="1298">
        <f>(IF('Section Load'!Y26&gt;0,'Section Load'!Y26,0))</f>
        <v>244</v>
      </c>
      <c r="Y23" s="1298">
        <f>(IF('Section Load'!Z26&gt;0,'Section Load'!Z26,0))</f>
        <v>174</v>
      </c>
      <c r="Z23" s="1298">
        <f>(IF('Section Load'!AA26&gt;0,'Section Load'!AA26,0))</f>
        <v>88</v>
      </c>
      <c r="AA23" s="1298">
        <f>(IF('Section Load'!AB26&gt;0,'Section Load'!AB26,0))</f>
        <v>13</v>
      </c>
      <c r="AB23" s="1298">
        <f>(IF('Section Load'!AC26&gt;0,'Section Load'!AC26,0))</f>
        <v>23</v>
      </c>
      <c r="AC23" s="1298">
        <f>(IF('Section Load'!AD26&gt;0,'Section Load'!AD26,0))</f>
        <v>13.800000000000182</v>
      </c>
      <c r="AD23" s="1298">
        <f>(IF('Section Load'!AE26&gt;0,'Section Load'!AE26,0))</f>
        <v>0</v>
      </c>
      <c r="AE23" s="1298">
        <f>(IF('Section Load'!AF26&gt;0,'Section Load'!AF26,0))</f>
        <v>4</v>
      </c>
      <c r="AF23" s="1298">
        <f>(IF('Section Load'!AG26&gt;0,'Section Load'!AG26,0))</f>
        <v>209</v>
      </c>
      <c r="AG23" s="1298">
        <f>(IF('Section Load'!AH26&gt;0,'Section Load'!AH26,0))</f>
        <v>203</v>
      </c>
      <c r="AH23" s="1298">
        <f>(IF('Section Load'!AI26&gt;0,'Section Load'!AI26,0))</f>
        <v>311</v>
      </c>
      <c r="AI23" s="1298">
        <f>(IF('Section Load'!AJ26&gt;0,'Section Load'!AJ26,0))</f>
        <v>522</v>
      </c>
      <c r="AJ23" s="1298">
        <f>(IF('Section Load'!AK26&gt;0,'Section Load'!AK26,0))</f>
        <v>0</v>
      </c>
      <c r="AK23" s="1298">
        <f>(IF('Section Load'!AL26&gt;0,'Section Load'!AL26,0))</f>
        <v>106</v>
      </c>
      <c r="AL23" s="1298">
        <f>(IF('Section Load'!AM26&gt;0,'Section Load'!AM26,0))</f>
        <v>451</v>
      </c>
      <c r="AM23" s="1299">
        <f>(IF('Water Report'!$Y$7&gt;0,'Water Report'!$Y$7,0))</f>
        <v>63</v>
      </c>
      <c r="AN23" s="1299">
        <f>(IF('Water Report'!$Y$8&gt;0,'Water Report'!$Y$8,0))</f>
        <v>101</v>
      </c>
      <c r="AO23" s="1299">
        <f>(IF('Water Report'!$Y$9&gt;0,'Water Report'!$Y$9,0))</f>
        <v>80</v>
      </c>
      <c r="AP23" s="1299">
        <f>(IF('Water Report'!$Y$10&gt;0,'Water Report'!$Y$10,0))</f>
        <v>9</v>
      </c>
      <c r="AQ23" s="1299">
        <f>(IF('Water Report'!$Y$11&gt;0,'Water Report'!$Y$11,0))</f>
        <v>25</v>
      </c>
      <c r="AR23" s="1299">
        <f>(IF('Water Report'!$Y$13&gt;0,'Water Report'!$Y$13,0))</f>
        <v>13</v>
      </c>
      <c r="AS23" s="1299">
        <f>(IF('Water Report'!$Y$14&gt;0,'Water Report'!$Y$14,0))</f>
        <v>10</v>
      </c>
      <c r="AT23" s="1299">
        <f>(IF('Water Report'!$Y$15&gt;0,'Water Report'!$Y$15,0))</f>
        <v>17</v>
      </c>
      <c r="AU23" s="1299">
        <f>(IF('Water Report'!$Y$17&gt;0,'Water Report'!$Y$17,0))</f>
        <v>4</v>
      </c>
      <c r="AV23" s="1299">
        <f>(IF('Water Report'!$Y$18&gt;0,'Water Report'!$Y$18,0))</f>
        <v>13</v>
      </c>
      <c r="AW23" s="1299">
        <f>(IF('Water Report'!$Y$19&gt;0,'Water Report'!$Y$19,0))</f>
        <v>4</v>
      </c>
      <c r="AX23" s="1376">
        <f>(IF('Water Report'!$Y$21&gt;0,'Water Report'!$Y$21,0))</f>
        <v>40</v>
      </c>
      <c r="AY23" s="1376">
        <f>(IF('Water Report'!$Y$22&gt;0,'Water Report'!$Y$22,0))</f>
        <v>26</v>
      </c>
      <c r="AZ23" s="1376">
        <f>(IF('Water Report'!$Y$23&gt;0,'Water Report'!$Y$23,0))</f>
        <v>14</v>
      </c>
      <c r="BA23" s="1376">
        <f>(IF('Water Report'!$Y$14&gt;0,'Water Report'!$Y$14,0))</f>
        <v>10</v>
      </c>
      <c r="BB23" s="1376">
        <f>(IF('Water Report'!$Y$15&gt;0,'Water Report'!$Y$15,0))</f>
        <v>17</v>
      </c>
      <c r="BC23" s="1376">
        <f>(IF('Water Report'!$Y$13&gt;0,'Water Report'!$Y$13,0))</f>
        <v>13</v>
      </c>
      <c r="BD23" s="1376">
        <f>(IF('Water Report'!$Y$24&gt;0,'Water Report'!$Y$24,0))</f>
        <v>150</v>
      </c>
      <c r="BE23" s="1376">
        <f>(IF('Water Report'!$Y$25&gt;0,'Water Report'!$Y$25,0))</f>
        <v>141</v>
      </c>
      <c r="BF23" s="1376">
        <f>(IF('Water Report'!$Y$27&gt;0,'Water Report'!$Y$27,0))</f>
        <v>67</v>
      </c>
      <c r="BG23" s="1300">
        <f>(IF('Section Load'!AN26&gt;0,'Section Load'!AN26,0))</f>
        <v>632</v>
      </c>
      <c r="BH23" s="1300">
        <f>(IF('Section Load'!AO26&gt;0,'Section Load'!AO26,0))</f>
        <v>194</v>
      </c>
      <c r="BI23" s="1300">
        <f>(IF('Section Load'!AP26&gt;0,'Section Load'!AP26,0))</f>
        <v>0</v>
      </c>
      <c r="BJ23" s="1300">
        <f>(IF('Section Load'!AQ26&gt;0,'Section Load'!AQ26,0))</f>
        <v>64</v>
      </c>
      <c r="BK23" s="1300">
        <f>(IF('Section Load'!AR26&gt;0,'Section Load'!AR26,0))</f>
        <v>0</v>
      </c>
      <c r="BL23" s="1300">
        <f>(IF('Section Load'!AS26&gt;0,'Section Load'!AS26,0))</f>
        <v>0</v>
      </c>
      <c r="BM23" s="1300">
        <f>(IF('Section Load'!AT26&gt;0,'Section Load'!AT26,0))</f>
        <v>374</v>
      </c>
    </row>
    <row r="24" spans="1:65">
      <c r="A24" s="1282" t="s">
        <v>300</v>
      </c>
      <c r="B24" s="1283">
        <f t="shared" si="0"/>
        <v>23</v>
      </c>
      <c r="C24" s="1283">
        <v>5</v>
      </c>
      <c r="D24" s="1283">
        <v>2021</v>
      </c>
      <c r="E24" s="1298">
        <f>(IF('Section Load'!F27&gt;0,'Section Load'!F27,0))</f>
        <v>2173.4300000000512</v>
      </c>
      <c r="F24" s="1298">
        <f>(IF('Section Load'!G27&gt;0,'Section Load'!G27,0))</f>
        <v>1310.3799999999901</v>
      </c>
      <c r="G24" s="1298">
        <f>(IF('Section Load'!H27&gt;0,'Section Load'!H27,0))</f>
        <v>1286.429999999993</v>
      </c>
      <c r="H24" s="1298">
        <f>(IF('Section Load'!I27&gt;0,'Section Load'!I27,0))</f>
        <v>2942.6599999999744</v>
      </c>
      <c r="I24" s="1298">
        <f>(IF('Section Load'!J27&gt;0,'Section Load'!J27,0))</f>
        <v>5435.8999999999505</v>
      </c>
      <c r="J24" s="1298">
        <f>(IF('Section Load'!K27&gt;0,'Section Load'!K27,0))</f>
        <v>2171.5999999999767</v>
      </c>
      <c r="K24" s="1298">
        <f>(IF('Section Load'!L27&gt;0,'Section Load'!L27,0))</f>
        <v>854.15000000002328</v>
      </c>
      <c r="L24" s="1298">
        <f>(IF('Section Load'!M27&gt;0,'Section Load'!M27,0))</f>
        <v>607.26000000000931</v>
      </c>
      <c r="M24" s="1298">
        <f>(IF('Section Load'!N27&gt;0,'Section Load'!N27,0))</f>
        <v>10</v>
      </c>
      <c r="N24" s="1298">
        <f>(IF('Section Load'!O27&gt;0,'Section Load'!O27,0))</f>
        <v>0</v>
      </c>
      <c r="O24" s="1298">
        <f>(IF('Section Load'!P27&gt;0,'Section Load'!P27,0))</f>
        <v>6.6500000000000909</v>
      </c>
      <c r="P24" s="1298">
        <f>(IF('Section Load'!Q27&gt;0,'Section Load'!Q27,0))</f>
        <v>58.1200000000008</v>
      </c>
      <c r="Q24" s="1298">
        <f>(IF('Section Load'!R27&gt;0,'Section Load'!R27,0))</f>
        <v>54.300000000000182</v>
      </c>
      <c r="R24" s="1298">
        <f>(IF('Section Load'!S27&gt;0,'Section Load'!S27,0))</f>
        <v>38</v>
      </c>
      <c r="S24" s="1298">
        <f>(IF('Section Load'!T27&gt;0,'Section Load'!T27,0))</f>
        <v>127</v>
      </c>
      <c r="T24" s="1298">
        <f>(IF('Section Load'!U27&gt;0,'Section Load'!U27,0))</f>
        <v>131</v>
      </c>
      <c r="U24" s="1298">
        <f>(IF('Section Load'!V27&gt;0,'Section Load'!V27,0))</f>
        <v>357.64000000001397</v>
      </c>
      <c r="V24" s="1298">
        <f>(IF('Section Load'!W27&gt;0,'Section Load'!W27,0))</f>
        <v>79.560000000055879</v>
      </c>
      <c r="W24" s="1298">
        <f>(IF('Section Load'!X27&gt;0,'Section Load'!X27,0))</f>
        <v>11.070000000006985</v>
      </c>
      <c r="X24" s="1298">
        <f>(IF('Section Load'!Y27&gt;0,'Section Load'!Y27,0))</f>
        <v>29.150000000001455</v>
      </c>
      <c r="Y24" s="1298">
        <f>(IF('Section Load'!Z27&gt;0,'Section Load'!Z27,0))</f>
        <v>211</v>
      </c>
      <c r="Z24" s="1298">
        <f>(IF('Section Load'!AA27&gt;0,'Section Load'!AA27,0))</f>
        <v>22.559999999997672</v>
      </c>
      <c r="AA24" s="1298">
        <f>(IF('Section Load'!AB27&gt;0,'Section Load'!AB27,0))</f>
        <v>6.3000000000029104</v>
      </c>
      <c r="AB24" s="1298">
        <f>(IF('Section Load'!AC27&gt;0,'Section Load'!AC27,0))</f>
        <v>23.730000000010477</v>
      </c>
      <c r="AC24" s="1298">
        <f>(IF('Section Load'!AD27&gt;0,'Section Load'!AD27,0))</f>
        <v>6.4000000000028194</v>
      </c>
      <c r="AD24" s="1298">
        <f>(IF('Section Load'!AE27&gt;0,'Section Load'!AE27,0))</f>
        <v>0</v>
      </c>
      <c r="AE24" s="1298">
        <f>(IF('Section Load'!AF27&gt;0,'Section Load'!AF27,0))</f>
        <v>3.8699999999998909</v>
      </c>
      <c r="AF24" s="1298">
        <f>(IF('Section Load'!AG27&gt;0,'Section Load'!AG27,0))</f>
        <v>204.73999999999069</v>
      </c>
      <c r="AG24" s="1298">
        <f>(IF('Section Load'!AH27&gt;0,'Section Load'!AH27,0))</f>
        <v>208.10000000000582</v>
      </c>
      <c r="AH24" s="1298">
        <f>(IF('Section Load'!AI27&gt;0,'Section Load'!AI27,0))</f>
        <v>312.41999999999825</v>
      </c>
      <c r="AI24" s="1298">
        <f>(IF('Section Load'!AJ27&gt;0,'Section Load'!AJ27,0))</f>
        <v>495.17000000001281</v>
      </c>
      <c r="AJ24" s="1298">
        <f>(IF('Section Load'!AK27&gt;0,'Section Load'!AK27,0))</f>
        <v>0</v>
      </c>
      <c r="AK24" s="1298">
        <f>(IF('Section Load'!AL27&gt;0,'Section Load'!AL27,0))</f>
        <v>192.10000000000582</v>
      </c>
      <c r="AL24" s="1298">
        <f>(IF('Section Load'!AM27&gt;0,'Section Load'!AM27,0))</f>
        <v>556</v>
      </c>
      <c r="AM24" s="1299">
        <f>(IF('Water Report'!$Z$7&gt;0,'Water Report'!$Z$7,0))</f>
        <v>57</v>
      </c>
      <c r="AN24" s="1299">
        <f>(IF('Water Report'!$Z$8&gt;0,'Water Report'!$Z$8,0))</f>
        <v>92</v>
      </c>
      <c r="AO24" s="1299">
        <f>(IF('Water Report'!$Z$9&gt;0,'Water Report'!$Z$9,0))</f>
        <v>37</v>
      </c>
      <c r="AP24" s="1299">
        <f>(IF('Water Report'!$Z$10&gt;0,'Water Report'!$Z$10,0))</f>
        <v>15</v>
      </c>
      <c r="AQ24" s="1299">
        <f>(IF('Water Report'!$Z$11&gt;0,'Water Report'!$Z$11,0))</f>
        <v>31</v>
      </c>
      <c r="AR24" s="1299">
        <f>(IF('Water Report'!$Z$13&gt;0,'Water Report'!$Z$13,0))</f>
        <v>21</v>
      </c>
      <c r="AS24" s="1299">
        <f>(IF('Water Report'!$Z$14&gt;0,'Water Report'!$Z$14,0))</f>
        <v>5</v>
      </c>
      <c r="AT24" s="1299">
        <f>(IF('Water Report'!$Z$15&gt;0,'Water Report'!$Z$15,0))</f>
        <v>11</v>
      </c>
      <c r="AU24" s="1299">
        <f>(IF('Water Report'!$Z$17&gt;0,'Water Report'!$Z$17,0))</f>
        <v>0</v>
      </c>
      <c r="AV24" s="1299">
        <f>(IF('Water Report'!$Z$18&gt;0,'Water Report'!$Z$18,0))</f>
        <v>0</v>
      </c>
      <c r="AW24" s="1299">
        <f>(IF('Water Report'!$Z$19&gt;0,'Water Report'!$Z$19,0))</f>
        <v>2</v>
      </c>
      <c r="AX24" s="1376">
        <f>(IF('Water Report'!$Z$21&gt;0,'Water Report'!$Z$21,0))</f>
        <v>60</v>
      </c>
      <c r="AY24" s="1376">
        <f>(IF('Water Report'!$Z$22&gt;0,'Water Report'!$Z$22,0))</f>
        <v>19</v>
      </c>
      <c r="AZ24" s="1376">
        <f>(IF('Water Report'!$Z$23&gt;0,'Water Report'!$Z$23,0))</f>
        <v>0</v>
      </c>
      <c r="BA24" s="1376">
        <f>(IF('Water Report'!$Z$14&gt;0,'Water Report'!$Z$14,0))</f>
        <v>5</v>
      </c>
      <c r="BB24" s="1376">
        <f>(IF('Water Report'!$Z$15&gt;0,'Water Report'!$Z$15,0))</f>
        <v>11</v>
      </c>
      <c r="BC24" s="1376">
        <f>(IF('Water Report'!$Z$13&gt;0,'Water Report'!$Z$13,0))</f>
        <v>21</v>
      </c>
      <c r="BD24" s="1376">
        <f>(IF('Water Report'!$Z$24&gt;0,'Water Report'!$Z$24,0))</f>
        <v>140</v>
      </c>
      <c r="BE24" s="1376">
        <f>(IF('Water Report'!$Z$25&gt;0,'Water Report'!$Z$25,0))</f>
        <v>99</v>
      </c>
      <c r="BF24" s="1376">
        <f>(IF('Water Report'!$Z$27&gt;0,'Water Report'!$Z$27,0))</f>
        <v>81</v>
      </c>
      <c r="BG24" s="1300">
        <f>(IF('Section Load'!AN27&gt;0,'Section Load'!AN27,0))</f>
        <v>366.93500000005588</v>
      </c>
      <c r="BH24" s="1300">
        <f>(IF('Section Load'!AO27&gt;0,'Section Load'!AO27,0))</f>
        <v>214.8399999999674</v>
      </c>
      <c r="BI24" s="1300">
        <f>(IF('Section Load'!AP27&gt;0,'Section Load'!AP27,0))</f>
        <v>0</v>
      </c>
      <c r="BJ24" s="1300">
        <f>(IF('Section Load'!AQ27&gt;0,'Section Load'!AQ27,0))</f>
        <v>60.839999999996508</v>
      </c>
      <c r="BK24" s="1300">
        <f>(IF('Section Load'!AR27&gt;0,'Section Load'!AR27,0))</f>
        <v>0.2000000000007276</v>
      </c>
      <c r="BL24" s="1300">
        <f>(IF('Section Load'!AS27&gt;0,'Section Load'!AS27,0))</f>
        <v>0</v>
      </c>
      <c r="BM24" s="1300">
        <f>(IF('Section Load'!AT27&gt;0,'Section Load'!AT27,0))</f>
        <v>91.455000000090877</v>
      </c>
    </row>
    <row r="25" spans="1:65">
      <c r="A25" s="1282" t="s">
        <v>300</v>
      </c>
      <c r="B25" s="1283">
        <f t="shared" si="0"/>
        <v>24</v>
      </c>
      <c r="C25" s="1283">
        <v>5</v>
      </c>
      <c r="D25" s="1283">
        <v>2021</v>
      </c>
      <c r="E25" s="1298">
        <f>(IF('Section Load'!F28&gt;0,'Section Load'!F28,0))</f>
        <v>2126.4799999999814</v>
      </c>
      <c r="F25" s="1298">
        <f>(IF('Section Load'!G28&gt;0,'Section Load'!G28,0))</f>
        <v>1287.3700000000099</v>
      </c>
      <c r="G25" s="1298">
        <f>(IF('Section Load'!H28&gt;0,'Section Load'!H28,0))</f>
        <v>1238.2799999999988</v>
      </c>
      <c r="H25" s="1298">
        <f>(IF('Section Load'!I28&gt;0,'Section Load'!I28,0))</f>
        <v>2764.8800000000629</v>
      </c>
      <c r="I25" s="1298">
        <f>(IF('Section Load'!J28&gt;0,'Section Load'!J28,0))</f>
        <v>5182.0400000000445</v>
      </c>
      <c r="J25" s="1298">
        <f>(IF('Section Load'!K28&gt;0,'Section Load'!K28,0))</f>
        <v>2226.2000000000698</v>
      </c>
      <c r="K25" s="1298">
        <f>(IF('Section Load'!L28&gt;0,'Section Load'!L28,0))</f>
        <v>864.44000000000233</v>
      </c>
      <c r="L25" s="1298">
        <f>(IF('Section Load'!M28&gt;0,'Section Load'!M28,0))</f>
        <v>578.92000000001281</v>
      </c>
      <c r="M25" s="1298">
        <f>(IF('Section Load'!N28&gt;0,'Section Load'!N28,0))</f>
        <v>9</v>
      </c>
      <c r="N25" s="1298">
        <f>(IF('Section Load'!O28&gt;0,'Section Load'!O28,0))</f>
        <v>2</v>
      </c>
      <c r="O25" s="1298">
        <f>(IF('Section Load'!P28&gt;0,'Section Load'!P28,0))</f>
        <v>7.0299999999997453</v>
      </c>
      <c r="P25" s="1298">
        <f>(IF('Section Load'!Q28&gt;0,'Section Load'!Q28,0))</f>
        <v>58.089999999998327</v>
      </c>
      <c r="Q25" s="1298">
        <f>(IF('Section Load'!R28&gt;0,'Section Load'!R28,0))</f>
        <v>57.529999999999745</v>
      </c>
      <c r="R25" s="1298">
        <f>(IF('Section Load'!S28&gt;0,'Section Load'!S28,0))</f>
        <v>42</v>
      </c>
      <c r="S25" s="1298">
        <f>(IF('Section Load'!T28&gt;0,'Section Load'!T28,0))</f>
        <v>92</v>
      </c>
      <c r="T25" s="1298">
        <f>(IF('Section Load'!U28&gt;0,'Section Load'!U28,0))</f>
        <v>123</v>
      </c>
      <c r="U25" s="1298">
        <f>(IF('Section Load'!V28&gt;0,'Section Load'!V28,0))</f>
        <v>342.40000000002328</v>
      </c>
      <c r="V25" s="1298">
        <f>(IF('Section Load'!W28&gt;0,'Section Load'!W28,0))</f>
        <v>80.479999999981374</v>
      </c>
      <c r="W25" s="1298">
        <f>(IF('Section Load'!X28&gt;0,'Section Load'!X28,0))</f>
        <v>30.079999999987194</v>
      </c>
      <c r="X25" s="1298">
        <f>(IF('Section Load'!Y28&gt;0,'Section Load'!Y28,0))</f>
        <v>98.220000000001164</v>
      </c>
      <c r="Y25" s="1298">
        <f>(IF('Section Load'!Z28&gt;0,'Section Load'!Z28,0))</f>
        <v>135</v>
      </c>
      <c r="Z25" s="1298">
        <f>(IF('Section Load'!AA28&gt;0,'Section Load'!AA28,0))</f>
        <v>25.28000000002794</v>
      </c>
      <c r="AA25" s="1298">
        <f>(IF('Section Load'!AB28&gt;0,'Section Load'!AB28,0))</f>
        <v>18</v>
      </c>
      <c r="AB25" s="1298">
        <f>(IF('Section Load'!AC28&gt;0,'Section Load'!AC28,0))</f>
        <v>125.29999999998836</v>
      </c>
      <c r="AC25" s="1298">
        <f>(IF('Section Load'!AD28&gt;0,'Section Load'!AD28,0))</f>
        <v>18</v>
      </c>
      <c r="AD25" s="1298">
        <f>(IF('Section Load'!AE28&gt;0,'Section Load'!AE28,0))</f>
        <v>0</v>
      </c>
      <c r="AE25" s="1298">
        <f>(IF('Section Load'!AF28&gt;0,'Section Load'!AF28,0))</f>
        <v>3.8499999999999091</v>
      </c>
      <c r="AF25" s="1298">
        <f>(IF('Section Load'!AG28&gt;0,'Section Load'!AG28,0))</f>
        <v>214.25</v>
      </c>
      <c r="AG25" s="1298">
        <f>(IF('Section Load'!AH28&gt;0,'Section Load'!AH28,0))</f>
        <v>219.75</v>
      </c>
      <c r="AH25" s="1298">
        <f>(IF('Section Load'!AI28&gt;0,'Section Load'!AI28,0))</f>
        <v>302.76000000000204</v>
      </c>
      <c r="AI25" s="1298">
        <f>(IF('Section Load'!AJ28&gt;0,'Section Load'!AJ28,0))</f>
        <v>430.22999999998137</v>
      </c>
      <c r="AJ25" s="1298">
        <f>(IF('Section Load'!AK28&gt;0,'Section Load'!AK28,0))</f>
        <v>0</v>
      </c>
      <c r="AK25" s="1298">
        <f>(IF('Section Load'!AL28&gt;0,'Section Load'!AL28,0))</f>
        <v>85.279999999998836</v>
      </c>
      <c r="AL25" s="1298">
        <f>(IF('Section Load'!AM28&gt;0,'Section Load'!AM28,0))</f>
        <v>653</v>
      </c>
      <c r="AM25" s="1299">
        <f>(IF('Water Report'!$AA$7&gt;0,'Water Report'!$AA$7,0))</f>
        <v>28</v>
      </c>
      <c r="AN25" s="1299">
        <f>(IF('Water Report'!$AA$8&gt;0,'Water Report'!$AA$8,0))</f>
        <v>74</v>
      </c>
      <c r="AO25" s="1299">
        <f>(IF('Water Report'!$AA$9&gt;0,'Water Report'!$AA$9,0))</f>
        <v>40</v>
      </c>
      <c r="AP25" s="1299">
        <f>(IF('Water Report'!$AA$10&gt;0,'Water Report'!$AA$10,0))</f>
        <v>11</v>
      </c>
      <c r="AQ25" s="1299">
        <f>(IF('Water Report'!$AA$11&gt;0,'Water Report'!$AA$11,0))</f>
        <v>16</v>
      </c>
      <c r="AR25" s="1299">
        <f>(IF('Water Report'!$AA$13&gt;0,'Water Report'!$AA$13,0))</f>
        <v>28</v>
      </c>
      <c r="AS25" s="1299">
        <f>(IF('Water Report'!$AA$14&gt;0,'Water Report'!$AA$14,0))</f>
        <v>5</v>
      </c>
      <c r="AT25" s="1299">
        <f>(IF('Water Report'!$AA$15&gt;0,'Water Report'!$AA$15,0))</f>
        <v>7</v>
      </c>
      <c r="AU25" s="1299">
        <f>(IF('Water Report'!$AA$17&gt;0,'Water Report'!$AA$17,0))</f>
        <v>0</v>
      </c>
      <c r="AV25" s="1299">
        <f>(IF('Water Report'!$AA$18&gt;0,'Water Report'!$AA$18,0))</f>
        <v>1</v>
      </c>
      <c r="AW25" s="1299">
        <f>(IF('Water Report'!$AA$19&gt;0,'Water Report'!$AA$19,0))</f>
        <v>3</v>
      </c>
      <c r="AX25" s="1376">
        <f>(IF('Water Report'!$AA$21&gt;0,'Water Report'!$AA$21,0))</f>
        <v>40</v>
      </c>
      <c r="AY25" s="1376">
        <f>(IF('Water Report'!$AA$22&gt;0,'Water Report'!$AA$22,0))</f>
        <v>40</v>
      </c>
      <c r="AZ25" s="1376">
        <f>(IF('Water Report'!$AA$23&gt;0,'Water Report'!$AA$23,0))</f>
        <v>0</v>
      </c>
      <c r="BA25" s="1376">
        <f>(IF('Water Report'!$AA$14&gt;0,'Water Report'!$AA$14,0))</f>
        <v>5</v>
      </c>
      <c r="BB25" s="1376">
        <f>(IF('Water Report'!$AA$15&gt;0,'Water Report'!$AA$15,0))</f>
        <v>7</v>
      </c>
      <c r="BC25" s="1376">
        <f>(IF('Water Report'!$AA$13&gt;0,'Water Report'!$AA$13,0))</f>
        <v>28</v>
      </c>
      <c r="BD25" s="1376">
        <f>(IF('Water Report'!$AA$24&gt;0,'Water Report'!$AA$24,0))</f>
        <v>110</v>
      </c>
      <c r="BE25" s="1376">
        <f>(IF('Water Report'!$AA$25&gt;0,'Water Report'!$AA$25,0))</f>
        <v>79</v>
      </c>
      <c r="BF25" s="1376">
        <f>(IF('Water Report'!$AA$27&gt;0,'Water Report'!$AA$27,0))</f>
        <v>68</v>
      </c>
      <c r="BG25" s="1300">
        <f>(IF('Section Load'!AN28&gt;0,'Section Load'!AN28,0))</f>
        <v>510.69499999983236</v>
      </c>
      <c r="BH25" s="1300">
        <f>(IF('Section Load'!AO28&gt;0,'Section Load'!AO28,0))</f>
        <v>230.1600000000326</v>
      </c>
      <c r="BI25" s="1300">
        <f>(IF('Section Load'!AP28&gt;0,'Section Load'!AP28,0))</f>
        <v>0</v>
      </c>
      <c r="BJ25" s="1300">
        <f>(IF('Section Load'!AQ28&gt;0,'Section Load'!AQ28,0))</f>
        <v>71.790000000008149</v>
      </c>
      <c r="BK25" s="1300">
        <f>(IF('Section Load'!AR28&gt;0,'Section Load'!AR28,0))</f>
        <v>0</v>
      </c>
      <c r="BL25" s="1300">
        <f>(IF('Section Load'!AS28&gt;0,'Section Load'!AS28,0))</f>
        <v>0</v>
      </c>
      <c r="BM25" s="1300">
        <f>(IF('Section Load'!AT28&gt;0,'Section Load'!AT28,0))</f>
        <v>208.74499999979162</v>
      </c>
    </row>
    <row r="26" spans="1:65">
      <c r="A26" s="1282" t="s">
        <v>300</v>
      </c>
      <c r="B26" s="1283">
        <f>B25+1</f>
        <v>25</v>
      </c>
      <c r="C26" s="1283">
        <v>5</v>
      </c>
      <c r="D26" s="1283">
        <v>2021</v>
      </c>
      <c r="E26" s="1298">
        <f>(IF('Section Load'!F29&gt;0,'Section Load'!F29,0))</f>
        <v>2110.8800000000047</v>
      </c>
      <c r="F26" s="1298">
        <f>(IF('Section Load'!G29&gt;0,'Section Load'!G29,0))</f>
        <v>1247.8499999999913</v>
      </c>
      <c r="G26" s="1298">
        <f>(IF('Section Load'!H29&gt;0,'Section Load'!H29,0))</f>
        <v>1212.3300000000163</v>
      </c>
      <c r="H26" s="1298">
        <f>(IF('Section Load'!I29&gt;0,'Section Load'!I29,0))</f>
        <v>2568.5999999999767</v>
      </c>
      <c r="I26" s="1298">
        <f>(IF('Section Load'!J29&gt;0,'Section Load'!J29,0))</f>
        <v>5004.3399999999747</v>
      </c>
      <c r="J26" s="1298">
        <f>(IF('Section Load'!K29&gt;0,'Section Load'!K29,0))</f>
        <v>2198.6999999999534</v>
      </c>
      <c r="K26" s="1298">
        <f>(IF('Section Load'!L29&gt;0,'Section Load'!L29,0))</f>
        <v>860.51999999996042</v>
      </c>
      <c r="L26" s="1298">
        <f>(IF('Section Load'!M29&gt;0,'Section Load'!M29,0))</f>
        <v>844.16000000000349</v>
      </c>
      <c r="M26" s="1298">
        <f>(IF('Section Load'!N29&gt;0,'Section Load'!N29,0))</f>
        <v>9</v>
      </c>
      <c r="N26" s="1298">
        <f>(IF('Section Load'!O29&gt;0,'Section Load'!O29,0))</f>
        <v>14</v>
      </c>
      <c r="O26" s="1298">
        <f>(IF('Section Load'!P29&gt;0,'Section Load'!P29,0))</f>
        <v>6.1100000000001273</v>
      </c>
      <c r="P26" s="1298">
        <f>(IF('Section Load'!Q29&gt;0,'Section Load'!Q29,0))</f>
        <v>54.400000000001455</v>
      </c>
      <c r="Q26" s="1298">
        <f>(IF('Section Load'!R29&gt;0,'Section Load'!R29,0))</f>
        <v>57.020000000000437</v>
      </c>
      <c r="R26" s="1298">
        <f>(IF('Section Load'!S29&gt;0,'Section Load'!S29,0))</f>
        <v>46</v>
      </c>
      <c r="S26" s="1298">
        <f>(IF('Section Load'!T29&gt;0,'Section Load'!T29,0))</f>
        <v>101</v>
      </c>
      <c r="T26" s="1298">
        <f>(IF('Section Load'!U29&gt;0,'Section Load'!U29,0))</f>
        <v>121</v>
      </c>
      <c r="U26" s="1298">
        <f>(IF('Section Load'!V29&gt;0,'Section Load'!V29,0))</f>
        <v>365.07999999995809</v>
      </c>
      <c r="V26" s="1298">
        <f>(IF('Section Load'!W29&gt;0,'Section Load'!W29,0))</f>
        <v>89.119999999995343</v>
      </c>
      <c r="W26" s="1298">
        <f>(IF('Section Load'!X29&gt;0,'Section Load'!X29,0))</f>
        <v>10.590000000011059</v>
      </c>
      <c r="X26" s="1298">
        <f>(IF('Section Load'!Y29&gt;0,'Section Load'!Y29,0))</f>
        <v>244.13999999999942</v>
      </c>
      <c r="Y26" s="1298">
        <f>(IF('Section Load'!Z29&gt;0,'Section Load'!Z29,0))</f>
        <v>183</v>
      </c>
      <c r="Z26" s="1298">
        <f>(IF('Section Load'!AA29&gt;0,'Section Load'!AA29,0))</f>
        <v>24</v>
      </c>
      <c r="AA26" s="1298">
        <f>(IF('Section Load'!AB29&gt;0,'Section Load'!AB29,0))</f>
        <v>33.399999999994179</v>
      </c>
      <c r="AB26" s="1298">
        <f>(IF('Section Load'!AC29&gt;0,'Section Load'!AC29,0))</f>
        <v>23.929999999993015</v>
      </c>
      <c r="AC26" s="1298">
        <f>(IF('Section Load'!AD29&gt;0,'Section Load'!AD29,0))</f>
        <v>33.399999999994179</v>
      </c>
      <c r="AD26" s="1298">
        <f>(IF('Section Load'!AE29&gt;0,'Section Load'!AE29,0))</f>
        <v>0</v>
      </c>
      <c r="AE26" s="1298">
        <f>(IF('Section Load'!AF29&gt;0,'Section Load'!AF29,0))</f>
        <v>3.75</v>
      </c>
      <c r="AF26" s="1298">
        <f>(IF('Section Load'!AG29&gt;0,'Section Load'!AG29,0))</f>
        <v>198.07000000000698</v>
      </c>
      <c r="AG26" s="1298">
        <f>(IF('Section Load'!AH29&gt;0,'Section Load'!AH29,0))</f>
        <v>259.14999999999418</v>
      </c>
      <c r="AH26" s="1298">
        <f>(IF('Section Load'!AI29&gt;0,'Section Load'!AI29,0))</f>
        <v>252.61000000000058</v>
      </c>
      <c r="AI26" s="1298">
        <f>(IF('Section Load'!AJ29&gt;0,'Section Load'!AJ29,0))</f>
        <v>362.61000000001513</v>
      </c>
      <c r="AJ26" s="1298">
        <f>(IF('Section Load'!AK29&gt;0,'Section Load'!AK29,0))</f>
        <v>0</v>
      </c>
      <c r="AK26" s="1298">
        <f>(IF('Section Load'!AL29&gt;0,'Section Load'!AL29,0))</f>
        <v>71.589999999996508</v>
      </c>
      <c r="AL26" s="1298">
        <f>(IF('Section Load'!AM29&gt;0,'Section Load'!AM29,0))</f>
        <v>649</v>
      </c>
      <c r="AM26" s="1299">
        <f>(IF('Water Report'!$AB$7&gt;0,'Water Report'!$AB$7,0))</f>
        <v>54</v>
      </c>
      <c r="AN26" s="1299">
        <f>(IF('Water Report'!$AB$8&gt;0,'Water Report'!$AB$8,0))</f>
        <v>97</v>
      </c>
      <c r="AO26" s="1299">
        <f>(IF('Water Report'!$AB$9&gt;0,'Water Report'!$AB$9,0))</f>
        <v>78</v>
      </c>
      <c r="AP26" s="1299">
        <f>(IF('Water Report'!$AB$10&gt;0,'Water Report'!$AB$10,0))</f>
        <v>9</v>
      </c>
      <c r="AQ26" s="1299">
        <f>(IF('Water Report'!$AB$11&gt;0,'Water Report'!$AB$11,0))</f>
        <v>13</v>
      </c>
      <c r="AR26" s="1299">
        <f>(IF('Water Report'!$AB$13&gt;0,'Water Report'!$AB$13,0))</f>
        <v>7</v>
      </c>
      <c r="AS26" s="1299">
        <f>(IF('Water Report'!$AB$14&gt;0,'Water Report'!$AB$14,0))</f>
        <v>8</v>
      </c>
      <c r="AT26" s="1299">
        <f>(IF('Water Report'!$AB$15&gt;0,'Water Report'!$AB$15,0))</f>
        <v>12</v>
      </c>
      <c r="AU26" s="1299">
        <f>(IF('Water Report'!$AB$17&gt;0,'Water Report'!$AB$17,0))</f>
        <v>0</v>
      </c>
      <c r="AV26" s="1299">
        <f>(IF('Water Report'!$AB$18&gt;0,'Water Report'!$AB$18,0))</f>
        <v>16</v>
      </c>
      <c r="AW26" s="1299">
        <f>(IF('Water Report'!$AB$19&gt;0,'Water Report'!$AB$19,0))</f>
        <v>0</v>
      </c>
      <c r="AX26" s="1376">
        <f>(IF('Water Report'!$AB$21&gt;0,'Water Report'!$AB$21,0))</f>
        <v>50</v>
      </c>
      <c r="AY26" s="1376">
        <f>(IF('Water Report'!$AB$22&gt;0,'Water Report'!$AB$22,0))</f>
        <v>0</v>
      </c>
      <c r="AZ26" s="1376">
        <f>(IF('Water Report'!$AB$23&gt;0,'Water Report'!$AB$23,0))</f>
        <v>16</v>
      </c>
      <c r="BA26" s="1376">
        <f>(IF('Water Report'!$AB$14&gt;0,'Water Report'!$AB$14,0))</f>
        <v>8</v>
      </c>
      <c r="BB26" s="1376">
        <f>(IF('Water Report'!$AB$15&gt;0,'Water Report'!$AB$15,0))</f>
        <v>12</v>
      </c>
      <c r="BC26" s="1376">
        <f>(IF('Water Report'!$AB$13&gt;0,'Water Report'!$AB$13,0))</f>
        <v>7</v>
      </c>
      <c r="BD26" s="1376">
        <f>(IF('Water Report'!$AB$24&gt;0,'Water Report'!$AB$24,0))</f>
        <v>120</v>
      </c>
      <c r="BE26" s="1376">
        <f>(IF('Water Report'!$AB$25&gt;0,'Water Report'!$AB$25,0))</f>
        <v>120</v>
      </c>
      <c r="BF26" s="1376">
        <f>(IF('Water Report'!$AB$27&gt;0,'Water Report'!$AB$27,0))</f>
        <v>73</v>
      </c>
      <c r="BG26" s="1300">
        <f>(IF('Section Load'!AN29&gt;0,'Section Load'!AN29,0))</f>
        <v>675.28900000010617</v>
      </c>
      <c r="BH26" s="1300">
        <f>(IF('Section Load'!AO29&gt;0,'Section Load'!AO29,0))</f>
        <v>208.40000000002328</v>
      </c>
      <c r="BI26" s="1300">
        <f>(IF('Section Load'!AP29&gt;0,'Section Load'!AP29,0))</f>
        <v>0</v>
      </c>
      <c r="BJ26" s="1300">
        <f>(IF('Section Load'!AQ29&gt;0,'Section Load'!AQ29,0))</f>
        <v>74.119999999995343</v>
      </c>
      <c r="BK26" s="1300">
        <f>(IF('Section Load'!AR29&gt;0,'Section Load'!AR29,0))</f>
        <v>0</v>
      </c>
      <c r="BL26" s="1300">
        <f>(IF('Section Load'!AS29&gt;0,'Section Load'!AS29,0))</f>
        <v>0</v>
      </c>
      <c r="BM26" s="1300">
        <f>(IF('Section Load'!AT29&gt;0,'Section Load'!AT29,0))</f>
        <v>392.76900000008754</v>
      </c>
    </row>
    <row r="27" spans="1:65">
      <c r="A27" s="1282" t="s">
        <v>300</v>
      </c>
      <c r="B27" s="1283">
        <f t="shared" si="0"/>
        <v>26</v>
      </c>
      <c r="C27" s="1283">
        <v>5</v>
      </c>
      <c r="D27" s="1283">
        <v>2021</v>
      </c>
      <c r="E27" s="1298">
        <f>(IF('Section Load'!F30&gt;0,'Section Load'!F30,0))</f>
        <v>2644.9599999999627</v>
      </c>
      <c r="F27" s="1298">
        <f>(IF('Section Load'!G30&gt;0,'Section Load'!G30,0))</f>
        <v>1344</v>
      </c>
      <c r="G27" s="1298">
        <f>(IF('Section Load'!H30&gt;0,'Section Load'!H30,0))</f>
        <v>1226.3500000000058</v>
      </c>
      <c r="H27" s="1298">
        <f>(IF('Section Load'!I30&gt;0,'Section Load'!I30,0))</f>
        <v>2690.8799999999464</v>
      </c>
      <c r="I27" s="1298">
        <f>(IF('Section Load'!J30&gt;0,'Section Load'!J30,0))</f>
        <v>5995.2500000000291</v>
      </c>
      <c r="J27" s="1298">
        <f>(IF('Section Load'!K30&gt;0,'Section Load'!K30,0))</f>
        <v>2602.8000000000466</v>
      </c>
      <c r="K27" s="1298">
        <f>(IF('Section Load'!L30&gt;0,'Section Load'!L30,0))</f>
        <v>1413.7200000000303</v>
      </c>
      <c r="L27" s="1298">
        <f>(IF('Section Load'!M30&gt;0,'Section Load'!M30,0))</f>
        <v>613.89999999999418</v>
      </c>
      <c r="M27" s="1298">
        <f>(IF('Section Load'!N30&gt;0,'Section Load'!N30,0))</f>
        <v>13</v>
      </c>
      <c r="N27" s="1298">
        <f>(IF('Section Load'!O30&gt;0,'Section Load'!O30,0))</f>
        <v>17</v>
      </c>
      <c r="O27" s="1298">
        <f>(IF('Section Load'!P30&gt;0,'Section Load'!P30,0))</f>
        <v>7.2800000000002001</v>
      </c>
      <c r="P27" s="1298">
        <f>(IF('Section Load'!Q30&gt;0,'Section Load'!Q30,0))</f>
        <v>68.889999999999418</v>
      </c>
      <c r="Q27" s="1298">
        <f>(IF('Section Load'!R30&gt;0,'Section Load'!R30,0))</f>
        <v>53.149999999999636</v>
      </c>
      <c r="R27" s="1298">
        <f>(IF('Section Load'!S30&gt;0,'Section Load'!S30,0))</f>
        <v>41</v>
      </c>
      <c r="S27" s="1298">
        <f>(IF('Section Load'!T30&gt;0,'Section Load'!T30,0))</f>
        <v>9</v>
      </c>
      <c r="T27" s="1298">
        <f>(IF('Section Load'!U30&gt;0,'Section Load'!U30,0))</f>
        <v>132</v>
      </c>
      <c r="U27" s="1298">
        <f>(IF('Section Load'!V30&gt;0,'Section Load'!V30,0))</f>
        <v>383.92000000004191</v>
      </c>
      <c r="V27" s="1298">
        <f>(IF('Section Load'!W30&gt;0,'Section Load'!W30,0))</f>
        <v>78.559999999939464</v>
      </c>
      <c r="W27" s="1298">
        <f>(IF('Section Load'!X30&gt;0,'Section Load'!X30,0))</f>
        <v>10.679999999993015</v>
      </c>
      <c r="X27" s="1298">
        <f>(IF('Section Load'!Y30&gt;0,'Section Load'!Y30,0))</f>
        <v>37.169999999998254</v>
      </c>
      <c r="Y27" s="1298">
        <f>(IF('Section Load'!Z30&gt;0,'Section Load'!Z30,0))</f>
        <v>190</v>
      </c>
      <c r="Z27" s="1298">
        <f>(IF('Section Load'!AA30&gt;0,'Section Load'!AA30,0))</f>
        <v>30.479999999981374</v>
      </c>
      <c r="AA27" s="1298">
        <f>(IF('Section Load'!AB30&gt;0,'Section Load'!AB30,0))</f>
        <v>18.80000000000291</v>
      </c>
      <c r="AB27" s="1298">
        <f>(IF('Section Load'!AC30&gt;0,'Section Load'!AC30,0))</f>
        <v>22.050000000017462</v>
      </c>
      <c r="AC27" s="1298">
        <f>(IF('Section Load'!AD30&gt;0,'Section Load'!AD30,0))</f>
        <v>18.80000000000291</v>
      </c>
      <c r="AD27" s="1298">
        <f>(IF('Section Load'!AE30&gt;0,'Section Load'!AE30,0))</f>
        <v>0</v>
      </c>
      <c r="AE27" s="1298">
        <f>(IF('Section Load'!AF30&gt;0,'Section Load'!AF30,0))</f>
        <v>3.6300000000001091</v>
      </c>
      <c r="AF27" s="1298">
        <f>(IF('Section Load'!AG30&gt;0,'Section Load'!AG30,0))</f>
        <v>174.64000000001397</v>
      </c>
      <c r="AG27" s="1298">
        <f>(IF('Section Load'!AH30&gt;0,'Section Load'!AH30,0))</f>
        <v>185.88000000000466</v>
      </c>
      <c r="AH27" s="1298">
        <f>(IF('Section Load'!AI30&gt;0,'Section Load'!AI30,0))</f>
        <v>245.62999999999738</v>
      </c>
      <c r="AI27" s="1298">
        <f>(IF('Section Load'!AJ30&gt;0,'Section Load'!AJ30,0))</f>
        <v>385.55999999999767</v>
      </c>
      <c r="AJ27" s="1298">
        <f>(IF('Section Load'!AK30&gt;0,'Section Load'!AK30,0))</f>
        <v>0</v>
      </c>
      <c r="AK27" s="1298">
        <f>(IF('Section Load'!AL30&gt;0,'Section Load'!AL30,0))</f>
        <v>139.5399999999936</v>
      </c>
      <c r="AL27" s="1298">
        <f>(IF('Section Load'!AM30&gt;0,'Section Load'!AM30,0))</f>
        <v>786</v>
      </c>
      <c r="AM27" s="1299">
        <f>(IF('Water Report'!$AC$7&gt;0,'Water Report'!$AC$7,0))</f>
        <v>38</v>
      </c>
      <c r="AN27" s="1299">
        <f>(IF('Water Report'!$AC$8&gt;0,'Water Report'!$AC$8,0))</f>
        <v>79</v>
      </c>
      <c r="AO27" s="1299">
        <f>(IF('Water Report'!$AC$9&gt;0,'Water Report'!$AC$9,0))</f>
        <v>43</v>
      </c>
      <c r="AP27" s="1299">
        <f>(IF('Water Report'!$AC$10&gt;0,'Water Report'!$AC$10,0))</f>
        <v>9</v>
      </c>
      <c r="AQ27" s="1299">
        <f>(IF('Water Report'!$AC$11&gt;0,'Water Report'!$AC$11,0))</f>
        <v>18</v>
      </c>
      <c r="AR27" s="1299">
        <f>(IF('Water Report'!$AC$13&gt;0,'Water Report'!$AC$13,0))</f>
        <v>5</v>
      </c>
      <c r="AS27" s="1299">
        <f>(IF('Water Report'!$AC$14&gt;0,'Water Report'!$AC$14,0))</f>
        <v>5</v>
      </c>
      <c r="AT27" s="1299">
        <f>(IF('Water Report'!$AC$15&gt;0,'Water Report'!$AC$15,0))</f>
        <v>6</v>
      </c>
      <c r="AU27" s="1299">
        <f>(IF('Water Report'!$AC$17&gt;0,'Water Report'!$AC$17,0))</f>
        <v>0</v>
      </c>
      <c r="AV27" s="1299">
        <f>(IF('Water Report'!$AC$18&gt;0,'Water Report'!$AC$18,0))</f>
        <v>1</v>
      </c>
      <c r="AW27" s="1299">
        <f>(IF('Water Report'!$AC$19&gt;0,'Water Report'!$AC$19,0))</f>
        <v>7</v>
      </c>
      <c r="AX27" s="1376">
        <f>(IF('Water Report'!$AC$21&gt;0,'Water Report'!$AC$21,0))</f>
        <v>98</v>
      </c>
      <c r="AY27" s="1376">
        <f>(IF('Water Report'!$AC$22&gt;0,'Water Report'!$AC$22,0))</f>
        <v>24</v>
      </c>
      <c r="AZ27" s="1376">
        <f>(IF('Water Report'!$AC$23&gt;0,'Water Report'!$AC$23,0))</f>
        <v>0</v>
      </c>
      <c r="BA27" s="1376">
        <f>(IF('Water Report'!$AC$14&gt;0,'Water Report'!$AC$14,0))</f>
        <v>5</v>
      </c>
      <c r="BB27" s="1376">
        <f>(IF('Water Report'!$AC$15&gt;0,'Water Report'!$AC$15,0))</f>
        <v>6</v>
      </c>
      <c r="BC27" s="1376">
        <f>(IF('Water Report'!$AC$13&gt;0,'Water Report'!$AC$13,0))</f>
        <v>5</v>
      </c>
      <c r="BD27" s="1376">
        <f>(IF('Water Report'!$AC$24&gt;0,'Water Report'!$AC$24,0))</f>
        <v>113</v>
      </c>
      <c r="BE27" s="1376">
        <f>(IF('Water Report'!$AC$25&gt;0,'Water Report'!$AC$25,0))</f>
        <v>81</v>
      </c>
      <c r="BF27" s="1376">
        <f>(IF('Water Report'!$AC$27&gt;0,'Water Report'!$AC$27,0))</f>
        <v>103</v>
      </c>
      <c r="BG27" s="1300">
        <f>(IF('Section Load'!AN30&gt;0,'Section Load'!AN30,0))</f>
        <v>374.08100000000559</v>
      </c>
      <c r="BH27" s="1300">
        <f>(IF('Section Load'!AO30&gt;0,'Section Load'!AO30,0))</f>
        <v>207.51000000000931</v>
      </c>
      <c r="BI27" s="1300">
        <f>(IF('Section Load'!AP30&gt;0,'Section Load'!AP30,0))</f>
        <v>0</v>
      </c>
      <c r="BJ27" s="1300">
        <f>(IF('Section Load'!AQ30&gt;0,'Section Load'!AQ30,0))</f>
        <v>71.220000000001164</v>
      </c>
      <c r="BK27" s="1300">
        <f>(IF('Section Load'!AR30&gt;0,'Section Load'!AR30,0))</f>
        <v>0</v>
      </c>
      <c r="BL27" s="1300">
        <f>(IF('Section Load'!AS30&gt;0,'Section Load'!AS30,0))</f>
        <v>0</v>
      </c>
      <c r="BM27" s="1300">
        <f>(IF('Section Load'!AT30&gt;0,'Section Load'!AT30,0))</f>
        <v>95.350999999995111</v>
      </c>
    </row>
    <row r="28" spans="1:65">
      <c r="A28" s="1282" t="s">
        <v>300</v>
      </c>
      <c r="B28" s="1283">
        <f t="shared" si="0"/>
        <v>27</v>
      </c>
      <c r="C28" s="1283">
        <v>5</v>
      </c>
      <c r="D28" s="1283">
        <v>2021</v>
      </c>
      <c r="E28" s="1298">
        <f>(IF('Section Load'!F31&gt;0,'Section Load'!F31,0))</f>
        <v>2481.25</v>
      </c>
      <c r="F28" s="1298">
        <f>(IF('Section Load'!G31&gt;0,'Section Load'!G31,0))</f>
        <v>1296.4000000000087</v>
      </c>
      <c r="G28" s="1298">
        <f>(IF('Section Load'!H31&gt;0,'Section Load'!H31,0))</f>
        <v>1176.5400000000373</v>
      </c>
      <c r="H28" s="1298">
        <f>(IF('Section Load'!I31&gt;0,'Section Load'!I31,0))</f>
        <v>2773.9800000000396</v>
      </c>
      <c r="I28" s="1298">
        <f>(IF('Section Load'!J31&gt;0,'Section Load'!J31,0))</f>
        <v>4767.4700000000012</v>
      </c>
      <c r="J28" s="1298">
        <f>(IF('Section Load'!K31&gt;0,'Section Load'!K31,0))</f>
        <v>2345.6999999999534</v>
      </c>
      <c r="K28" s="1298">
        <f>(IF('Section Load'!L31&gt;0,'Section Load'!L31,0))</f>
        <v>845.1699999999837</v>
      </c>
      <c r="L28" s="1298">
        <f>(IF('Section Load'!M31&gt;0,'Section Load'!M31,0))</f>
        <v>766.83999999999651</v>
      </c>
      <c r="M28" s="1298">
        <f>(IF('Section Load'!N31&gt;0,'Section Load'!N31,0))</f>
        <v>10</v>
      </c>
      <c r="N28" s="1298">
        <f>(IF('Section Load'!O31&gt;0,'Section Load'!O31,0))</f>
        <v>1</v>
      </c>
      <c r="O28" s="1298">
        <f>(IF('Section Load'!P31&gt;0,'Section Load'!P31,0))</f>
        <v>5.9299999999998363</v>
      </c>
      <c r="P28" s="1298">
        <f>(IF('Section Load'!Q31&gt;0,'Section Load'!Q31,0))</f>
        <v>59.5</v>
      </c>
      <c r="Q28" s="1298">
        <f>(IF('Section Load'!R31&gt;0,'Section Load'!R31,0))</f>
        <v>54</v>
      </c>
      <c r="R28" s="1298">
        <f>(IF('Section Load'!S31&gt;0,'Section Load'!S31,0))</f>
        <v>44</v>
      </c>
      <c r="S28" s="1298">
        <f>(IF('Section Load'!T31&gt;0,'Section Load'!T31,0))</f>
        <v>64</v>
      </c>
      <c r="T28" s="1298">
        <f>(IF('Section Load'!U31&gt;0,'Section Load'!U31,0))</f>
        <v>112</v>
      </c>
      <c r="U28" s="1298">
        <f>(IF('Section Load'!V31&gt;0,'Section Load'!V31,0))</f>
        <v>342.95999999996275</v>
      </c>
      <c r="V28" s="1298">
        <f>(IF('Section Load'!W31&gt;0,'Section Load'!W31,0))</f>
        <v>80.28000000002794</v>
      </c>
      <c r="W28" s="1298">
        <f>(IF('Section Load'!X31&gt;0,'Section Load'!X31,0))</f>
        <v>24.580000000001746</v>
      </c>
      <c r="X28" s="1298">
        <f>(IF('Section Load'!Y31&gt;0,'Section Load'!Y31,0))</f>
        <v>82.319999999999709</v>
      </c>
      <c r="Y28" s="1298">
        <f>(IF('Section Load'!Z31&gt;0,'Section Load'!Z31,0))</f>
        <v>167</v>
      </c>
      <c r="Z28" s="1298">
        <f>(IF('Section Load'!AA31&gt;0,'Section Load'!AA31,0))</f>
        <v>34.679999999993015</v>
      </c>
      <c r="AA28" s="1298">
        <f>(IF('Section Load'!AB31&gt;0,'Section Load'!AB31,0))</f>
        <v>17.5</v>
      </c>
      <c r="AB28" s="1298">
        <f>(IF('Section Load'!AC31&gt;0,'Section Load'!AC31,0))</f>
        <v>21.989999999990687</v>
      </c>
      <c r="AC28" s="1298">
        <f>(IF('Section Load'!AD31&gt;0,'Section Load'!AD31,0))</f>
        <v>17.900000000000091</v>
      </c>
      <c r="AD28" s="1298">
        <f>(IF('Section Load'!AE31&gt;0,'Section Load'!AE31,0))</f>
        <v>0</v>
      </c>
      <c r="AE28" s="1298">
        <f>(IF('Section Load'!AF31&gt;0,'Section Load'!AF31,0))</f>
        <v>2.9000000000000909</v>
      </c>
      <c r="AF28" s="1298">
        <f>(IF('Section Load'!AG31&gt;0,'Section Load'!AG31,0))</f>
        <v>196.29999999998836</v>
      </c>
      <c r="AG28" s="1298">
        <f>(IF('Section Load'!AH31&gt;0,'Section Load'!AH31,0))</f>
        <v>214.11999999999534</v>
      </c>
      <c r="AH28" s="1298">
        <f>(IF('Section Load'!AI31&gt;0,'Section Load'!AI31,0))</f>
        <v>267.58000000000175</v>
      </c>
      <c r="AI28" s="1298">
        <f>(IF('Section Load'!AJ31&gt;0,'Section Load'!AJ31,0))</f>
        <v>446.42999999999302</v>
      </c>
      <c r="AJ28" s="1298">
        <f>(IF('Section Load'!AK31&gt;0,'Section Load'!AK31,0))</f>
        <v>0</v>
      </c>
      <c r="AK28" s="1298">
        <f>(IF('Section Load'!AL31&gt;0,'Section Load'!AL31,0))</f>
        <v>100.49000000000524</v>
      </c>
      <c r="AL28" s="1298">
        <f>(IF('Section Load'!AM31&gt;0,'Section Load'!AM31,0))</f>
        <v>763</v>
      </c>
      <c r="AM28" s="1299">
        <f>(IF('Water Report'!$AD$7&gt;0,'Water Report'!$AD$7,0))</f>
        <v>35</v>
      </c>
      <c r="AN28" s="1299">
        <f>(IF('Water Report'!$AD$8&gt;0,'Water Report'!$AD$8,0))</f>
        <v>86</v>
      </c>
      <c r="AO28" s="1299">
        <f>(IF('Water Report'!$AD$9&gt;0,'Water Report'!$AD$9,0))</f>
        <v>49</v>
      </c>
      <c r="AP28" s="1299">
        <f>(IF('Water Report'!$AD$10&gt;0,'Water Report'!AD$10,0))</f>
        <v>11</v>
      </c>
      <c r="AQ28" s="1299">
        <f>(IF('Water Report'!$AD$11&gt;0,'Water Report'!AE$11,0))</f>
        <v>18</v>
      </c>
      <c r="AR28" s="1299">
        <f>(IF('Water Report'!$AD$13&gt;0,'Water Report'!AF$13,0))</f>
        <v>4</v>
      </c>
      <c r="AS28" s="1299">
        <f>(IF('Water Report'!$AD$14&gt;0,'Water Report'!AG$14,0))</f>
        <v>9</v>
      </c>
      <c r="AT28" s="1299">
        <f>(IF('Water Report'!$AD$15&gt;0,'Water Report'!AH$15,0))</f>
        <v>6</v>
      </c>
      <c r="AU28" s="1299">
        <f>(IF('Water Report'!$AD$17&gt;0,'Water Report'!AI$17,0))</f>
        <v>0</v>
      </c>
      <c r="AV28" s="1299">
        <f>(IF('Water Report'!$AD$18&gt;0,'Water Report'!AJ$18,0))</f>
        <v>0</v>
      </c>
      <c r="AW28" s="1299">
        <f>(IF('Water Report'!$AD$19&gt;0,'Water Report'!AK$19,0))</f>
        <v>0</v>
      </c>
      <c r="AX28" s="1376">
        <f>(IF('Water Report'!$AD$21&gt;0,'Water Report'!AL$21,0))</f>
        <v>0</v>
      </c>
      <c r="AY28" s="1376">
        <f>(IF('Water Report'!$AD$22&gt;0,'Water Report'!AM$22,0))</f>
        <v>0</v>
      </c>
      <c r="AZ28" s="1376">
        <f>(IF('Water Report'!$AD$23&gt;0,'Water Report'!AN$23,0))</f>
        <v>0</v>
      </c>
      <c r="BA28" s="1376">
        <f>(IF('Water Report'!$AD$14&gt;0,'Water Report'!AO$14,0))</f>
        <v>0</v>
      </c>
      <c r="BB28" s="1376">
        <f>(IF('Water Report'!$AD$15&gt;0,'Water Report'!AP$15,0))</f>
        <v>0</v>
      </c>
      <c r="BC28" s="1376">
        <f>(IF('Water Report'!$AD$13&gt;0,'Water Report'!AQ$13,0))</f>
        <v>0</v>
      </c>
      <c r="BD28" s="1376">
        <f>(IF('Water Report'!$AD$24&gt;0,'Water Report'!AR$24,0))</f>
        <v>0</v>
      </c>
      <c r="BE28" s="1376">
        <f>(IF('Water Report'!$AD$25&gt;0,'Water Report'!AS$25,0))</f>
        <v>0</v>
      </c>
      <c r="BF28" s="1376">
        <f>(IF('Water Report'!$AD$27&gt;0,'Water Report'!AT$27,0))</f>
        <v>0</v>
      </c>
      <c r="BG28" s="1300">
        <f>(IF('Section Load'!AN31&gt;0,'Section Load'!AN31,0))</f>
        <v>615</v>
      </c>
      <c r="BH28" s="1300">
        <f>(IF('Section Load'!AO31&gt;0,'Section Load'!AO31,0))</f>
        <v>205.0899999999674</v>
      </c>
      <c r="BI28" s="1300">
        <f>(IF('Section Load'!AP31&gt;0,'Section Load'!AP31,0))</f>
        <v>0</v>
      </c>
      <c r="BJ28" s="1300">
        <f>(IF('Section Load'!AQ31&gt;0,'Section Load'!AQ31,0))</f>
        <v>53.029999999998836</v>
      </c>
      <c r="BK28" s="1300">
        <f>(IF('Section Load'!AR31&gt;0,'Section Load'!AR31,0))</f>
        <v>0</v>
      </c>
      <c r="BL28" s="1300">
        <f>(IF('Section Load'!AS31&gt;0,'Section Load'!AS31,0))</f>
        <v>0</v>
      </c>
      <c r="BM28" s="1300">
        <f>(IF('Section Load'!AT31&gt;0,'Section Load'!AT31,0))</f>
        <v>356.88000000003376</v>
      </c>
    </row>
    <row r="29" spans="1:65">
      <c r="A29" s="1282" t="s">
        <v>300</v>
      </c>
      <c r="B29" s="1283">
        <f t="shared" si="0"/>
        <v>28</v>
      </c>
      <c r="C29" s="1283">
        <v>5</v>
      </c>
      <c r="D29" s="1283">
        <v>2021</v>
      </c>
      <c r="E29" s="1298">
        <f>(IF('Section Load'!F32&gt;0,'Section Load'!F32,0))</f>
        <v>2485</v>
      </c>
      <c r="F29" s="1298">
        <f>(IF('Section Load'!G32&gt;0,'Section Load'!G32,0))</f>
        <v>1279</v>
      </c>
      <c r="G29" s="1298">
        <f>(IF('Section Load'!H32&gt;0,'Section Load'!H32,0))</f>
        <v>1195.0699999999488</v>
      </c>
      <c r="H29" s="1298">
        <f>(IF('Section Load'!I32&gt;0,'Section Load'!I32,0))</f>
        <v>2711</v>
      </c>
      <c r="I29" s="1298">
        <f>(IF('Section Load'!J32&gt;0,'Section Load'!J32,0))</f>
        <v>4796</v>
      </c>
      <c r="J29" s="1298">
        <f>(IF('Section Load'!K32&gt;0,'Section Load'!K32,0))</f>
        <v>2329.33</v>
      </c>
      <c r="K29" s="1298">
        <f>(IF('Section Load'!L32&gt;0,'Section Load'!L32,0))</f>
        <v>832</v>
      </c>
      <c r="L29" s="1298">
        <f>(IF('Section Load'!M32&gt;0,'Section Load'!M32,0))</f>
        <v>600.26000000000931</v>
      </c>
      <c r="M29" s="1298">
        <f>(IF('Section Load'!N32&gt;0,'Section Load'!N32,0))</f>
        <v>14</v>
      </c>
      <c r="N29" s="1298">
        <f>(IF('Section Load'!O32&gt;0,'Section Load'!O32,0))</f>
        <v>1</v>
      </c>
      <c r="O29" s="1298">
        <f>(IF('Section Load'!P32&gt;0,'Section Load'!P32,0))</f>
        <v>7</v>
      </c>
      <c r="P29" s="1298">
        <f>(IF('Section Load'!Q32&gt;0,'Section Load'!Q32,0))</f>
        <v>58</v>
      </c>
      <c r="Q29" s="1298">
        <f>(IF('Section Load'!R32&gt;0,'Section Load'!R32,0))</f>
        <v>57</v>
      </c>
      <c r="R29" s="1298">
        <f>(IF('Section Load'!S32&gt;0,'Section Load'!S32,0))</f>
        <v>39</v>
      </c>
      <c r="S29" s="1298">
        <f>(IF('Section Load'!T32&gt;0,'Section Load'!T32,0))</f>
        <v>110</v>
      </c>
      <c r="T29" s="1298">
        <f>(IF('Section Load'!U32&gt;0,'Section Load'!U32,0))</f>
        <v>134</v>
      </c>
      <c r="U29" s="1298">
        <f>(IF('Section Load'!V32&gt;0,'Section Load'!V32,0))</f>
        <v>345</v>
      </c>
      <c r="V29" s="1298">
        <f>(IF('Section Load'!W32&gt;0,'Section Load'!W32,0))</f>
        <v>77</v>
      </c>
      <c r="W29" s="1298">
        <f>(IF('Section Load'!X32&gt;0,'Section Load'!X32,0))</f>
        <v>11</v>
      </c>
      <c r="X29" s="1298">
        <f>(IF('Section Load'!Y32&gt;0,'Section Load'!Y32,0))</f>
        <v>213</v>
      </c>
      <c r="Y29" s="1298">
        <f>(IF('Section Load'!Z32&gt;0,'Section Load'!Z32,0))</f>
        <v>149</v>
      </c>
      <c r="Z29" s="1298">
        <f>(IF('Section Load'!AA32&gt;0,'Section Load'!AA32,0))</f>
        <v>34</v>
      </c>
      <c r="AA29" s="1298">
        <f>(IF('Section Load'!AB32&gt;0,'Section Load'!AB32,0))</f>
        <v>18</v>
      </c>
      <c r="AB29" s="1298">
        <f>(IF('Section Load'!AC32&gt;0,'Section Load'!AC32,0))</f>
        <v>23</v>
      </c>
      <c r="AC29" s="1298">
        <f>(IF('Section Load'!AD32&gt;0,'Section Load'!AD32,0))</f>
        <v>18</v>
      </c>
      <c r="AD29" s="1298">
        <f>(IF('Section Load'!AE32&gt;0,'Section Load'!AE32,0))</f>
        <v>0</v>
      </c>
      <c r="AE29" s="1298">
        <f>(IF('Section Load'!AF32&gt;0,'Section Load'!AF32,0))</f>
        <v>4</v>
      </c>
      <c r="AF29" s="1298">
        <f>(IF('Section Load'!AG32&gt;0,'Section Load'!AG32,0))</f>
        <v>191</v>
      </c>
      <c r="AG29" s="1298">
        <f>(IF('Section Load'!AH32&gt;0,'Section Load'!AH32,0))</f>
        <v>218</v>
      </c>
      <c r="AH29" s="1298">
        <f>(IF('Section Load'!AI32&gt;0,'Section Load'!AI32,0))</f>
        <v>248</v>
      </c>
      <c r="AI29" s="1298">
        <f>(IF('Section Load'!AJ32&gt;0,'Section Load'!AJ32,0))</f>
        <v>372</v>
      </c>
      <c r="AJ29" s="1298">
        <f>(IF('Section Load'!AK32&gt;0,'Section Load'!AK32,0))</f>
        <v>0</v>
      </c>
      <c r="AK29" s="1298">
        <f>(IF('Section Load'!AL32&gt;0,'Section Load'!AL32,0))</f>
        <v>126</v>
      </c>
      <c r="AL29" s="1298">
        <f>(IF('Section Load'!AM32&gt;0,'Section Load'!AM32,0))</f>
        <v>879</v>
      </c>
      <c r="AM29" s="1299">
        <f>(IF('Water Report'!$AE$7&gt;0,'Water Report'!$AE$7,0))</f>
        <v>28</v>
      </c>
      <c r="AN29" s="1299">
        <f>(IF('Water Report'!$AE$8&gt;0,'Water Report'!$AE$8,0))</f>
        <v>80</v>
      </c>
      <c r="AO29" s="1299">
        <f>(IF('Water Report'!$AE$9&gt;0,'Water Report'!$AE$9,0))</f>
        <v>51</v>
      </c>
      <c r="AP29" s="1299">
        <f>(IF('Water Report'!$AE$10&gt;0,'Water Report'!$AE$10,0))</f>
        <v>7</v>
      </c>
      <c r="AQ29" s="1299">
        <f>(IF('Water Report'!$AE$11&gt;0,'Water Report'!$AE$11,0))</f>
        <v>18</v>
      </c>
      <c r="AR29" s="1299">
        <f>(IF('Water Report'!$AE$13&gt;0,'Water Report'!$AE$13,0))</f>
        <v>4</v>
      </c>
      <c r="AS29" s="1299">
        <f>(IF('Water Report'!$AE$14&gt;0,'Water Report'!$AE$14,0))</f>
        <v>6</v>
      </c>
      <c r="AT29" s="1299">
        <f>(IF('Water Report'!$AE$15&gt;0,'Water Report'!$AE$15,0))</f>
        <v>4</v>
      </c>
      <c r="AU29" s="1299">
        <f>(IF('Water Report'!$AE$17&gt;0,'Water Report'!$AE$17,0))</f>
        <v>0</v>
      </c>
      <c r="AV29" s="1299">
        <f>(IF('Water Report'!$AE$18&gt;0,'Water Report'!$AE$18,0))</f>
        <v>14</v>
      </c>
      <c r="AW29" s="1299">
        <f>(IF('Water Report'!$AE$19&gt;0,'Water Report'!$AE$19,0))</f>
        <v>5</v>
      </c>
      <c r="AX29" s="1376">
        <f>(IF('Water Report'!$AE$21&gt;0,'Water Report'!$AE$21,0))</f>
        <v>56</v>
      </c>
      <c r="AY29" s="1376">
        <f>(IF('Water Report'!$AE$22&gt;0,'Water Report'!$AE$22,0))</f>
        <v>0</v>
      </c>
      <c r="AZ29" s="1376">
        <f>(IF('Water Report'!$AE$23&gt;0,'Water Report'!$AE$23,0))</f>
        <v>0</v>
      </c>
      <c r="BA29" s="1376">
        <f>(IF('Water Report'!$AE$14&gt;0,'Water Report'!$AE$14,0))</f>
        <v>6</v>
      </c>
      <c r="BB29" s="1376">
        <f>(IF('Water Report'!$AE$15&gt;0,'Water Report'!$AE$15,0))</f>
        <v>4</v>
      </c>
      <c r="BC29" s="1376">
        <f>(IF('Water Report'!$AE$13&gt;0,'Water Report'!$AE$13,0))</f>
        <v>4</v>
      </c>
      <c r="BD29" s="1376">
        <f>(IF('Water Report'!$AE$24&gt;0,'Water Report'!$AE$24,0))</f>
        <v>100</v>
      </c>
      <c r="BE29" s="1376">
        <f>(IF('Water Report'!$AE$25&gt;0,'Water Report'!$AE$25,0))</f>
        <v>86</v>
      </c>
      <c r="BF29" s="1376">
        <f>(IF('Water Report'!$AE$27&gt;0,'Water Report'!$AE$27,0))</f>
        <v>60</v>
      </c>
      <c r="BG29" s="1300">
        <f>(IF('Section Load'!AN32&gt;0,'Section Load'!AN32,0))</f>
        <v>458</v>
      </c>
      <c r="BH29" s="1300">
        <f>(IF('Section Load'!AO32&gt;0,'Section Load'!AO32,0))</f>
        <v>197</v>
      </c>
      <c r="BI29" s="1300">
        <f>(IF('Section Load'!AP32&gt;0,'Section Load'!AP32,0))</f>
        <v>0</v>
      </c>
      <c r="BJ29" s="1300">
        <f>(IF('Section Load'!AQ32&gt;0,'Section Load'!AQ32,0))</f>
        <v>66</v>
      </c>
      <c r="BK29" s="1300">
        <f>(IF('Section Load'!AR32&gt;0,'Section Load'!AR32,0))</f>
        <v>0</v>
      </c>
      <c r="BL29" s="1300">
        <f>(IF('Section Load'!AS32&gt;0,'Section Load'!AS32,0))</f>
        <v>0.3999999999996362</v>
      </c>
      <c r="BM29" s="1300">
        <f>(IF('Section Load'!AT32&gt;0,'Section Load'!AT32,0))</f>
        <v>194.80000000000109</v>
      </c>
    </row>
    <row r="30" spans="1:65">
      <c r="A30" s="1282" t="s">
        <v>300</v>
      </c>
      <c r="B30" s="1283">
        <f t="shared" si="0"/>
        <v>29</v>
      </c>
      <c r="C30" s="1283">
        <v>5</v>
      </c>
      <c r="D30" s="1283">
        <v>2021</v>
      </c>
      <c r="E30" s="1298">
        <f>(IF('Section Load'!F33&gt;0,'Section Load'!F33,0))</f>
        <v>2408</v>
      </c>
      <c r="F30" s="1298">
        <f>(IF('Section Load'!G33&gt;0,'Section Load'!G33,0))</f>
        <v>1353.8699999999953</v>
      </c>
      <c r="G30" s="1298">
        <f>(IF('Section Load'!H33&gt;0,'Section Load'!H33,0))</f>
        <v>1218</v>
      </c>
      <c r="H30" s="1298">
        <f>(IF('Section Load'!I33&gt;0,'Section Load'!I33,0))</f>
        <v>2918</v>
      </c>
      <c r="I30" s="1298">
        <f>(IF('Section Load'!J33&gt;0,'Section Load'!J33,0))</f>
        <v>4832</v>
      </c>
      <c r="J30" s="1298">
        <f>(IF('Section Load'!K33&gt;0,'Section Load'!K33,0))</f>
        <v>2325.67</v>
      </c>
      <c r="K30" s="1298">
        <f>(IF('Section Load'!L33&gt;0,'Section Load'!L33,0))</f>
        <v>866</v>
      </c>
      <c r="L30" s="1298">
        <f>(IF('Section Load'!M33&gt;0,'Section Load'!M33,0))</f>
        <v>525.63999999998487</v>
      </c>
      <c r="M30" s="1298">
        <f>(IF('Section Load'!N33&gt;0,'Section Load'!N33,0))</f>
        <v>11</v>
      </c>
      <c r="N30" s="1298">
        <f>(IF('Section Load'!O33&gt;0,'Section Load'!O33,0))</f>
        <v>1</v>
      </c>
      <c r="O30" s="1298">
        <f>(IF('Section Load'!P33&gt;0,'Section Load'!P33,0))</f>
        <v>7</v>
      </c>
      <c r="P30" s="1298">
        <f>(IF('Section Load'!Q33&gt;0,'Section Load'!Q33,0))</f>
        <v>56</v>
      </c>
      <c r="Q30" s="1298">
        <f>(IF('Section Load'!R33&gt;0,'Section Load'!R33,0))</f>
        <v>58</v>
      </c>
      <c r="R30" s="1298">
        <f>(IF('Section Load'!S33&gt;0,'Section Load'!S33,0))</f>
        <v>38</v>
      </c>
      <c r="S30" s="1298">
        <f>(IF('Section Load'!T33&gt;0,'Section Load'!T33,0))</f>
        <v>195</v>
      </c>
      <c r="T30" s="1298">
        <f>(IF('Section Load'!U33&gt;0,'Section Load'!U33,0))</f>
        <v>138</v>
      </c>
      <c r="U30" s="1298">
        <f>(IF('Section Load'!V33&gt;0,'Section Load'!V33,0))</f>
        <v>392</v>
      </c>
      <c r="V30" s="1298">
        <f>(IF('Section Load'!W33&gt;0,'Section Load'!W33,0))</f>
        <v>86</v>
      </c>
      <c r="W30" s="1298">
        <f>(IF('Section Load'!X33&gt;0,'Section Load'!X33,0))</f>
        <v>11</v>
      </c>
      <c r="X30" s="1298">
        <f>(IF('Section Load'!Y33&gt;0,'Section Load'!Y33,0))</f>
        <v>0</v>
      </c>
      <c r="Y30" s="1298">
        <f>(IF('Section Load'!Z33&gt;0,'Section Load'!Z33,0))</f>
        <v>169</v>
      </c>
      <c r="Z30" s="1298">
        <f>(IF('Section Load'!AA33&gt;0,'Section Load'!AA33,0))</f>
        <v>35</v>
      </c>
      <c r="AA30" s="1298">
        <f>(IF('Section Load'!AB33&gt;0,'Section Load'!AB33,0))</f>
        <v>15</v>
      </c>
      <c r="AB30" s="1298">
        <f>(IF('Section Load'!AC33&gt;0,'Section Load'!AC33,0))</f>
        <v>23</v>
      </c>
      <c r="AC30" s="1298">
        <f>(IF('Section Load'!AD33&gt;0,'Section Load'!AD33,0))</f>
        <v>15</v>
      </c>
      <c r="AD30" s="1298">
        <f>(IF('Section Load'!AE33&gt;0,'Section Load'!AE33,0))</f>
        <v>0</v>
      </c>
      <c r="AE30" s="1298">
        <f>(IF('Section Load'!AF33&gt;0,'Section Load'!AF33,0))</f>
        <v>4</v>
      </c>
      <c r="AF30" s="1298">
        <f>(IF('Section Load'!AG33&gt;0,'Section Load'!AG33,0))</f>
        <v>193</v>
      </c>
      <c r="AG30" s="1298">
        <f>(IF('Section Load'!AH33&gt;0,'Section Load'!AH33,0))</f>
        <v>213</v>
      </c>
      <c r="AH30" s="1298">
        <f>(IF('Section Load'!AI33&gt;0,'Section Load'!AI33,0))</f>
        <v>281</v>
      </c>
      <c r="AI30" s="1298">
        <f>(IF('Section Load'!AJ33&gt;0,'Section Load'!AJ33,0))</f>
        <v>539</v>
      </c>
      <c r="AJ30" s="1298">
        <f>(IF('Section Load'!AK33&gt;0,'Section Load'!AK33,0))</f>
        <v>0</v>
      </c>
      <c r="AK30" s="1298">
        <f>(IF('Section Load'!AL33&gt;0,'Section Load'!AL33,0))</f>
        <v>89</v>
      </c>
      <c r="AL30" s="1298">
        <f>(IF('Section Load'!AM33&gt;0,'Section Load'!AM33,0))</f>
        <v>872</v>
      </c>
      <c r="AM30" s="1299">
        <f>(IF('Water Report'!$AF$7&gt;0,'Water Report'!$AF$7,0))</f>
        <v>39</v>
      </c>
      <c r="AN30" s="1299">
        <f>(IF('Water Report'!$AF$8&gt;0,'Water Report'!$AF$8,0))</f>
        <v>68</v>
      </c>
      <c r="AO30" s="1299">
        <f>(IF('Water Report'!$AF$9&gt;0,'Water Report'!$AF$9,0))</f>
        <v>46</v>
      </c>
      <c r="AP30" s="1299">
        <f>(IF('Water Report'!$AF$10&gt;0,'Water Report'!$AF$10,0))</f>
        <v>9</v>
      </c>
      <c r="AQ30" s="1299">
        <f>(IF('Water Report'!$AF$11&gt;0,'Water Report'!$AF$11,0))</f>
        <v>35</v>
      </c>
      <c r="AR30" s="1299">
        <f>(IF('Water Report'!$AF$13&gt;0,'Water Report'!$AF$13,0))</f>
        <v>4</v>
      </c>
      <c r="AS30" s="1299">
        <f>(IF('Water Report'!$AF$14&gt;0,'Water Report'!$AF$14,0))</f>
        <v>7</v>
      </c>
      <c r="AT30" s="1299">
        <f>(IF('Water Report'!$AF$15&gt;0,'Water Report'!$AF$15,0))</f>
        <v>6</v>
      </c>
      <c r="AU30" s="1299">
        <f>(IF('Water Report'!$AF$17&gt;0,'Water Report'!$AF$17,0))</f>
        <v>0</v>
      </c>
      <c r="AV30" s="1299">
        <f>(IF('Water Report'!$AF$18&gt;0,'Water Report'!$AF$18,0))</f>
        <v>0</v>
      </c>
      <c r="AW30" s="1299">
        <f>(IF('Water Report'!$AF$19&gt;0,'Water Report'!$AF$19,0))</f>
        <v>0</v>
      </c>
      <c r="AX30" s="1376">
        <f>(IF('Water Report'!$AF$21&gt;0,'Water Report'!$AF$21,0))</f>
        <v>66</v>
      </c>
      <c r="AY30" s="1376">
        <f>(IF('Water Report'!$AF$22&gt;0,'Water Report'!$AF$22,0))</f>
        <v>18</v>
      </c>
      <c r="AZ30" s="1376">
        <f>(IF('Water Report'!$AF$23&gt;0,'Water Report'!$AF$23,0))</f>
        <v>17</v>
      </c>
      <c r="BA30" s="1376">
        <f>(IF('Water Report'!$AF$14&gt;0,'Water Report'!$AF$14,0))</f>
        <v>7</v>
      </c>
      <c r="BB30" s="1376">
        <f>(IF('Water Report'!$AF$15&gt;0,'Water Report'!$AF$15,0))</f>
        <v>6</v>
      </c>
      <c r="BC30" s="1376">
        <f>(IF('Water Report'!$AF$13&gt;0,'Water Report'!$AF$13,0))</f>
        <v>4</v>
      </c>
      <c r="BD30" s="1376">
        <f>(IF('Water Report'!$AF$24&gt;0,'Water Report'!$AF$24,0))</f>
        <v>117</v>
      </c>
      <c r="BE30" s="1376">
        <f>(IF('Water Report'!$AF$25&gt;0,'Water Report'!$AF$25,0))</f>
        <v>103</v>
      </c>
      <c r="BF30" s="1376">
        <f>(IF('Water Report'!$AF$27&gt;0,'Water Report'!$AF$27,0))</f>
        <v>87</v>
      </c>
      <c r="BG30" s="1300">
        <f>(IF('Section Load'!AN33&gt;0,'Section Load'!AN33,0))</f>
        <v>318</v>
      </c>
      <c r="BH30" s="1300">
        <f>(IF('Section Load'!AO33&gt;0,'Section Load'!AO33,0))</f>
        <v>197</v>
      </c>
      <c r="BI30" s="1300">
        <f>(IF('Section Load'!AP33&gt;0,'Section Load'!AP33,0))</f>
        <v>0</v>
      </c>
      <c r="BJ30" s="1300">
        <f>(IF('Section Load'!AQ33&gt;0,'Section Load'!AQ33,0))</f>
        <v>66</v>
      </c>
      <c r="BK30" s="1300">
        <f>(IF('Section Load'!AR33&gt;0,'Section Load'!AR33,0))</f>
        <v>0</v>
      </c>
      <c r="BL30" s="1300">
        <f>(IF('Section Load'!AS33&gt;0,'Section Load'!AS33,0))</f>
        <v>0</v>
      </c>
      <c r="BM30" s="1300">
        <f>(IF('Section Load'!AT33&gt;0,'Section Load'!AT33,0))</f>
        <v>55.399999999994179</v>
      </c>
    </row>
    <row r="31" spans="1:65">
      <c r="A31" s="1282" t="s">
        <v>300</v>
      </c>
      <c r="B31" s="1283">
        <f t="shared" si="0"/>
        <v>30</v>
      </c>
      <c r="C31" s="1283">
        <v>5</v>
      </c>
      <c r="D31" s="1283">
        <v>2021</v>
      </c>
      <c r="E31" s="1298">
        <f>(IF('Section Load'!F34&gt;0,'Section Load'!F34,0))</f>
        <v>2377</v>
      </c>
      <c r="F31" s="1298">
        <f>(IF('Section Load'!G34&gt;0,'Section Load'!G34,0))</f>
        <v>1302.1300000000047</v>
      </c>
      <c r="G31" s="1298">
        <f>(IF('Section Load'!H34&gt;0,'Section Load'!H34,0))</f>
        <v>1330.9300000000512</v>
      </c>
      <c r="H31" s="1298">
        <f>(IF('Section Load'!I34&gt;0,'Section Load'!I34,0))</f>
        <v>2954</v>
      </c>
      <c r="I31" s="1298">
        <f>(IF('Section Load'!J34&gt;0,'Section Load'!J34,0))</f>
        <v>5573</v>
      </c>
      <c r="J31" s="1298">
        <f>(IF('Section Load'!K34&gt;0,'Section Load'!K34,0))</f>
        <v>2307</v>
      </c>
      <c r="K31" s="1298">
        <f>(IF('Section Load'!L34&gt;0,'Section Load'!L34,0))</f>
        <v>926</v>
      </c>
      <c r="L31" s="1298">
        <f>(IF('Section Load'!M34&gt;0,'Section Load'!M34,0))</f>
        <v>572.66000000000349</v>
      </c>
      <c r="M31" s="1298">
        <f>(IF('Section Load'!N34&gt;0,'Section Load'!N34,0))</f>
        <v>14</v>
      </c>
      <c r="N31" s="1298">
        <f>(IF('Section Load'!O34&gt;0,'Section Load'!O34,0))</f>
        <v>1</v>
      </c>
      <c r="O31" s="1298">
        <f>(IF('Section Load'!P34&gt;0,'Section Load'!P34,0))</f>
        <v>6</v>
      </c>
      <c r="P31" s="1298">
        <f>(IF('Section Load'!Q34&gt;0,'Section Load'!Q34,0))</f>
        <v>54</v>
      </c>
      <c r="Q31" s="1298">
        <f>(IF('Section Load'!R34&gt;0,'Section Load'!R34,0))</f>
        <v>55</v>
      </c>
      <c r="R31" s="1298">
        <f>(IF('Section Load'!S34&gt;0,'Section Load'!S34,0))</f>
        <v>41</v>
      </c>
      <c r="S31" s="1298">
        <f>(IF('Section Load'!T34&gt;0,'Section Load'!T34,0))</f>
        <v>194</v>
      </c>
      <c r="T31" s="1298">
        <f>(IF('Section Load'!U34&gt;0,'Section Load'!U34,0))</f>
        <v>161</v>
      </c>
      <c r="U31" s="1298">
        <f>(IF('Section Load'!V34&gt;0,'Section Load'!V34,0))</f>
        <v>381</v>
      </c>
      <c r="V31" s="1298">
        <f>(IF('Section Load'!W34&gt;0,'Section Load'!W34,0))</f>
        <v>98</v>
      </c>
      <c r="W31" s="1298">
        <f>(IF('Section Load'!X34&gt;0,'Section Load'!X34,0))</f>
        <v>23</v>
      </c>
      <c r="X31" s="1298">
        <f>(IF('Section Load'!Y34&gt;0,'Section Load'!Y34,0))</f>
        <v>91</v>
      </c>
      <c r="Y31" s="1298">
        <f>(IF('Section Load'!Z34&gt;0,'Section Load'!Z34,0))</f>
        <v>224</v>
      </c>
      <c r="Z31" s="1298">
        <f>(IF('Section Load'!AA34&gt;0,'Section Load'!AA34,0))</f>
        <v>36</v>
      </c>
      <c r="AA31" s="1298">
        <f>(IF('Section Load'!AB34&gt;0,'Section Load'!AB34,0))</f>
        <v>12</v>
      </c>
      <c r="AB31" s="1298">
        <f>(IF('Section Load'!AC34&gt;0,'Section Load'!AC34,0))</f>
        <v>24</v>
      </c>
      <c r="AC31" s="1298">
        <f>(IF('Section Load'!AD34&gt;0,'Section Load'!AD34,0))</f>
        <v>12</v>
      </c>
      <c r="AD31" s="1298">
        <f>(IF('Section Load'!AE34&gt;0,'Section Load'!AE34,0))</f>
        <v>0</v>
      </c>
      <c r="AE31" s="1298">
        <f>(IF('Section Load'!AF34&gt;0,'Section Load'!AF34,0))</f>
        <v>4</v>
      </c>
      <c r="AF31" s="1298">
        <f>(IF('Section Load'!AG34&gt;0,'Section Load'!AG34,0))</f>
        <v>192</v>
      </c>
      <c r="AG31" s="1298">
        <f>(IF('Section Load'!AH34&gt;0,'Section Load'!AH34,0))</f>
        <v>216</v>
      </c>
      <c r="AH31" s="1298">
        <f>(IF('Section Load'!AI34&gt;0,'Section Load'!AI34,0))</f>
        <v>301</v>
      </c>
      <c r="AI31" s="1298">
        <f>(IF('Section Load'!AJ34&gt;0,'Section Load'!AJ34,0))</f>
        <v>526</v>
      </c>
      <c r="AJ31" s="1298">
        <f>(IF('Section Load'!AK34&gt;0,'Section Load'!AK34,0))</f>
        <v>0</v>
      </c>
      <c r="AK31" s="1298">
        <f>(IF('Section Load'!AL34&gt;0,'Section Load'!AL34,0))</f>
        <v>138</v>
      </c>
      <c r="AL31" s="1298">
        <f>(IF('Section Load'!AM34&gt;0,'Section Load'!AM34,0))</f>
        <v>802</v>
      </c>
      <c r="AM31" s="1299">
        <f>(IF('Water Report'!$AG$7&gt;0,'Water Report'!$AG$7,0))</f>
        <v>0</v>
      </c>
      <c r="AN31" s="1299">
        <f>(IF('Water Report'!$AG$8&gt;0,'Water Report'!$AG$8,0))</f>
        <v>112</v>
      </c>
      <c r="AO31" s="1299">
        <f>(IF('Water Report'!$AG$9&gt;0,'Water Report'!$AG$9,0))</f>
        <v>38</v>
      </c>
      <c r="AP31" s="1299">
        <f>(IF('Water Report'!$AG$10&gt;0,'Water Report'!$DAG$10,0))</f>
        <v>0</v>
      </c>
      <c r="AQ31" s="1299">
        <f>(IF('Water Report'!$AG$11&gt;0,'Water Report'!$DAG$11,0))</f>
        <v>0</v>
      </c>
      <c r="AR31" s="1299">
        <f>(IF('Water Report'!$AG$13&gt;0,'Water Report'!$DAG$13,0))</f>
        <v>0</v>
      </c>
      <c r="AS31" s="1299">
        <f>(IF('Water Report'!$AG$14&gt;0,'Water Report'!$DAG$14,0))</f>
        <v>0</v>
      </c>
      <c r="AT31" s="1299">
        <f>(IF('Water Report'!$AG$15&gt;0,'Water Report'!$DAG$15,0))</f>
        <v>0</v>
      </c>
      <c r="AU31" s="1299">
        <f>(IF('Water Report'!$AG$17&gt;0,'Water Report'!$DAG$17,0))</f>
        <v>0</v>
      </c>
      <c r="AV31" s="1299">
        <f>(IF('Water Report'!$AG$18&gt;0,'Water Report'!$DAG$18,0))</f>
        <v>0</v>
      </c>
      <c r="AW31" s="1299">
        <f>(IF('Water Report'!$AG$19&gt;0,'Water Report'!$DAG$19,0))</f>
        <v>0</v>
      </c>
      <c r="AX31" s="1376">
        <f>(IF('Water Report'!$AG$21&gt;0,'Water Report'!$DAG$21,0))</f>
        <v>0</v>
      </c>
      <c r="AY31" s="1376">
        <f>(IF('Water Report'!$AG$22&gt;0,'Water Report'!$DAG$22,0))</f>
        <v>0</v>
      </c>
      <c r="AZ31" s="1376">
        <f>(IF('Water Report'!$AG$23&gt;0,'Water Report'!$DAG$23,0))</f>
        <v>0</v>
      </c>
      <c r="BA31" s="1376">
        <f>(IF('Water Report'!$AG$14&gt;0,'Water Report'!$DAG$14,0))</f>
        <v>0</v>
      </c>
      <c r="BB31" s="1376">
        <f>(IF('Water Report'!$AG$15&gt;0,'Water Report'!$DAG$15,0))</f>
        <v>0</v>
      </c>
      <c r="BC31" s="1376">
        <f>(IF('Water Report'!$AG$13&gt;0,'Water Report'!$DAG$13,0))</f>
        <v>0</v>
      </c>
      <c r="BD31" s="1376">
        <f>(IF('Water Report'!$AG$24&gt;0,'Water Report'!$DAG$24,0))</f>
        <v>0</v>
      </c>
      <c r="BE31" s="1376">
        <f>(IF('Water Report'!$AG$25&gt;0,'Water Report'!$DAG$25,0))</f>
        <v>0</v>
      </c>
      <c r="BF31" s="1376">
        <f>(IF('Water Report'!$AG$27&gt;0,'Water Report'!$DAG$27,0))</f>
        <v>0</v>
      </c>
      <c r="BG31" s="1300">
        <f>(IF('Section Load'!AN34&gt;0,'Section Load'!AN34,0))</f>
        <v>484</v>
      </c>
      <c r="BH31" s="1300">
        <f>(IF('Section Load'!AO34&gt;0,'Section Load'!AO34,0))</f>
        <v>217</v>
      </c>
      <c r="BI31" s="1300">
        <f>(IF('Section Load'!AP34&gt;0,'Section Load'!AP34,0))</f>
        <v>0.39999999999417923</v>
      </c>
      <c r="BJ31" s="1300">
        <f>(IF('Section Load'!AQ34&gt;0,'Section Load'!AQ34,0))</f>
        <v>65</v>
      </c>
      <c r="BK31" s="1300">
        <f>(IF('Section Load'!AR34&gt;0,'Section Load'!AR34,0))</f>
        <v>0</v>
      </c>
      <c r="BL31" s="1300">
        <f>(IF('Section Load'!AS34&gt;0,'Section Load'!AS34,0))</f>
        <v>0</v>
      </c>
      <c r="BM31" s="1300">
        <f>(IF('Section Load'!AT34&gt;0,'Section Load'!AT34,0))</f>
        <v>201.60000000000582</v>
      </c>
    </row>
    <row r="32" spans="1:65">
      <c r="A32" s="1282" t="s">
        <v>300</v>
      </c>
      <c r="B32" s="1283">
        <f t="shared" si="0"/>
        <v>31</v>
      </c>
      <c r="C32" s="1283">
        <v>5</v>
      </c>
      <c r="D32" s="1283">
        <v>2021</v>
      </c>
      <c r="E32" s="1298">
        <f>(IF('Section Load'!F35&gt;0,'Section Load'!F35,0))</f>
        <v>2344.8699999999953</v>
      </c>
      <c r="F32" s="1298">
        <f>(IF('Section Load'!G35&gt;0,'Section Load'!G35,0))</f>
        <v>1260</v>
      </c>
      <c r="G32" s="1298">
        <f>(IF('Section Load'!H35&gt;0,'Section Load'!H35,0))</f>
        <v>1249</v>
      </c>
      <c r="H32" s="1298">
        <f>(IF('Section Load'!I35&gt;0,'Section Load'!I35,0))</f>
        <v>2684</v>
      </c>
      <c r="I32" s="1298">
        <f>(IF('Section Load'!J35&gt;0,'Section Load'!J35,0))</f>
        <v>5603</v>
      </c>
      <c r="J32" s="1298">
        <f>(IF('Section Load'!K35&gt;0,'Section Load'!K35,0))</f>
        <v>2277</v>
      </c>
      <c r="K32" s="1298">
        <f>(IF('Section Load'!L35&gt;0,'Section Load'!L35,0))</f>
        <v>884</v>
      </c>
      <c r="L32" s="1298">
        <f>(IF('Section Load'!M35&gt;0,'Section Load'!M35,0))</f>
        <v>528.20000000001164</v>
      </c>
      <c r="M32" s="1298">
        <f>(IF('Section Load'!N35&gt;0,'Section Load'!N35,0))</f>
        <v>12</v>
      </c>
      <c r="N32" s="1298">
        <f>(IF('Section Load'!O35&gt;0,'Section Load'!O35,0))</f>
        <v>1</v>
      </c>
      <c r="O32" s="1298">
        <f>(IF('Section Load'!P35&gt;0,'Section Load'!P35,0))</f>
        <v>7</v>
      </c>
      <c r="P32" s="1298">
        <f>(IF('Section Load'!Q35&gt;0,'Section Load'!Q35,0))</f>
        <v>54</v>
      </c>
      <c r="Q32" s="1298">
        <f>(IF('Section Load'!R35&gt;0,'Section Load'!R35,0))</f>
        <v>56</v>
      </c>
      <c r="R32" s="1298">
        <f>(IF('Section Load'!S35&gt;0,'Section Load'!S35,0))</f>
        <v>48</v>
      </c>
      <c r="S32" s="1298">
        <f>(IF('Section Load'!T35&gt;0,'Section Load'!T35,0))</f>
        <v>78</v>
      </c>
      <c r="T32" s="1298">
        <f>(IF('Section Load'!U35&gt;0,'Section Load'!U35,0))</f>
        <v>158</v>
      </c>
      <c r="U32" s="1298">
        <f>(IF('Section Load'!V35&gt;0,'Section Load'!V35,0))</f>
        <v>359</v>
      </c>
      <c r="V32" s="1298">
        <f>(IF('Section Load'!W35&gt;0,'Section Load'!W35,0))</f>
        <v>89</v>
      </c>
      <c r="W32" s="1298">
        <f>(IF('Section Load'!X35&gt;0,'Section Load'!X35,0))</f>
        <v>12</v>
      </c>
      <c r="X32" s="1298">
        <f>(IF('Section Load'!Y35&gt;0,'Section Load'!Y35,0))</f>
        <v>270</v>
      </c>
      <c r="Y32" s="1298">
        <f>(IF('Section Load'!Z35&gt;0,'Section Load'!Z35,0))</f>
        <v>193</v>
      </c>
      <c r="Z32" s="1298">
        <f>(IF('Section Load'!AA35&gt;0,'Section Load'!AA35,0))</f>
        <v>23</v>
      </c>
      <c r="AA32" s="1298">
        <f>(IF('Section Load'!AB35&gt;0,'Section Load'!AB35,0))</f>
        <v>94</v>
      </c>
      <c r="AB32" s="1298">
        <f>(IF('Section Load'!AC35&gt;0,'Section Load'!AC35,0))</f>
        <v>10.599999999998545</v>
      </c>
      <c r="AC32" s="1298">
        <f>(IF('Section Load'!AD35&gt;0,'Section Load'!AD35,0))</f>
        <v>94</v>
      </c>
      <c r="AD32" s="1298">
        <f>(IF('Section Load'!AE35&gt;0,'Section Load'!AE35,0))</f>
        <v>0</v>
      </c>
      <c r="AE32" s="1298">
        <f>(IF('Section Load'!AF35&gt;0,'Section Load'!AF35,0))</f>
        <v>0</v>
      </c>
      <c r="AF32" s="1298">
        <f>(IF('Section Load'!AG35&gt;0,'Section Load'!AG35,0))</f>
        <v>187</v>
      </c>
      <c r="AG32" s="1298">
        <f>(IF('Section Load'!AH35&gt;0,'Section Load'!AH35,0))</f>
        <v>221</v>
      </c>
      <c r="AH32" s="1298">
        <f>(IF('Section Load'!AI35&gt;0,'Section Load'!AI35,0))</f>
        <v>283</v>
      </c>
      <c r="AI32" s="1298">
        <f>(IF('Section Load'!AJ35&gt;0,'Section Load'!AJ35,0))</f>
        <v>422</v>
      </c>
      <c r="AJ32" s="1298">
        <f>(IF('Section Load'!AK35&gt;0,'Section Load'!AK35,0))</f>
        <v>0</v>
      </c>
      <c r="AK32" s="1298">
        <f>(IF('Section Load'!AL35&gt;0,'Section Load'!AL35,0))</f>
        <v>104</v>
      </c>
      <c r="AL32" s="1298">
        <f>(IF('Section Load'!AM35&gt;0,'Section Load'!AM35,0))</f>
        <v>805</v>
      </c>
      <c r="AM32" s="1299">
        <f>(IF('Water Report'!$AH$7&gt;0,'Water Report'!$AH$7,0))</f>
        <v>110</v>
      </c>
      <c r="AN32" s="1299">
        <f>(IF('Water Report'!$AH$8&gt;0,'Water Report'!$AH$8,0))</f>
        <v>79</v>
      </c>
      <c r="AO32" s="1299">
        <f>(IF('Water Report'!$AH$9&gt;0,'Water Report'!$AH$9,0))</f>
        <v>54</v>
      </c>
      <c r="AP32" s="1299">
        <f>(IF('Water Report'!$AH$10&gt;0,'Water Report'!$DAH$10,0))</f>
        <v>0</v>
      </c>
      <c r="AQ32" s="1299">
        <f>(IF('Water Report'!$AH$11&gt;0,'Water Report'!$DAH$11,0))</f>
        <v>0</v>
      </c>
      <c r="AR32" s="1299">
        <f>(IF('Water Report'!$AH$13&gt;0,'Water Report'!$DAH$13,0))</f>
        <v>0</v>
      </c>
      <c r="AS32" s="1299">
        <f>(IF('Water Report'!$AH$14&gt;0,'Water Report'!$DAH$14,0))</f>
        <v>0</v>
      </c>
      <c r="AT32" s="1299">
        <f>(IF('Water Report'!$AH$15&gt;0,'Water Report'!$DAH$15,0))</f>
        <v>0</v>
      </c>
      <c r="AU32" s="1299">
        <f>(IF('Water Report'!$AH$17&gt;0,'Water Report'!$DAH$17,0))</f>
        <v>0</v>
      </c>
      <c r="AV32" s="1299">
        <f>(IF('Water Report'!$AH$18&gt;0,'Water Report'!$DAH$18,0))</f>
        <v>0</v>
      </c>
      <c r="AW32" s="1299">
        <f>(IF('Water Report'!$AH$19&gt;0,'Water Report'!$DAH$19,0))</f>
        <v>0</v>
      </c>
      <c r="AX32" s="1376">
        <f>(IF('Water Report'!$AH$21&gt;0,'Water Report'!$DAH$21,0))</f>
        <v>0</v>
      </c>
      <c r="AY32" s="1376">
        <f>(IF('Water Report'!$AH$22&gt;0,'Water Report'!$DAH$22,0))</f>
        <v>0</v>
      </c>
      <c r="AZ32" s="1376">
        <f>(IF('Water Report'!$AH$23&gt;0,'Water Report'!$DAH$23,0))</f>
        <v>0</v>
      </c>
      <c r="BA32" s="1376">
        <f>(IF('Water Report'!$AH$14&gt;0,'Water Report'!$DAH$14,0))</f>
        <v>0</v>
      </c>
      <c r="BB32" s="1376">
        <f>(IF('Water Report'!$AH$15&gt;0,'Water Report'!$DAH$15,0))</f>
        <v>0</v>
      </c>
      <c r="BC32" s="1376">
        <f>(IF('Water Report'!$AH$13&gt;0,'Water Report'!$DAH$13,0))</f>
        <v>0</v>
      </c>
      <c r="BD32" s="1376">
        <f>(IF('Water Report'!$AH$24&gt;0,'Water Report'!$DAH$24,0))</f>
        <v>0</v>
      </c>
      <c r="BE32" s="1376">
        <f>(IF('Water Report'!$AH$25&gt;0,'Water Report'!$DAH$25,0))</f>
        <v>0</v>
      </c>
      <c r="BF32" s="1376">
        <f>(IF('Water Report'!$AH$27&gt;0,'Water Report'!$DAH$27,0))</f>
        <v>0</v>
      </c>
      <c r="BG32" s="1300">
        <f>(IF('Section Load'!AN35&gt;0,'Section Load'!AN35,0))</f>
        <v>640</v>
      </c>
      <c r="BH32" s="1300">
        <f>(IF('Section Load'!AO35&gt;0,'Section Load'!AO35,0))</f>
        <v>177</v>
      </c>
      <c r="BI32" s="1300">
        <f>(IF('Section Load'!AP35&gt;0,'Section Load'!AP35,0))</f>
        <v>0</v>
      </c>
      <c r="BJ32" s="1300">
        <f>(IF('Section Load'!AQ35&gt;0,'Section Load'!AQ35,0))</f>
        <v>58</v>
      </c>
      <c r="BK32" s="1300">
        <f>(IF('Section Load'!AR35&gt;0,'Section Load'!AR35,0))</f>
        <v>2</v>
      </c>
      <c r="BL32" s="1300">
        <f>(IF('Section Load'!AS35&gt;0,'Section Load'!AS35,0))</f>
        <v>1</v>
      </c>
      <c r="BM32" s="1300">
        <f>(IF('Section Load'!AT35&gt;0,'Section Load'!AT35,0))</f>
        <v>402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BK34" sqref="BK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07"/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  <c r="M1" s="1507"/>
      <c r="N1" s="1507"/>
      <c r="O1" s="1507"/>
      <c r="P1" s="1507"/>
      <c r="Q1" s="1507"/>
      <c r="R1" s="1507"/>
      <c r="S1" s="1507"/>
      <c r="T1" s="1507"/>
      <c r="U1" s="1507"/>
      <c r="V1" s="1507"/>
      <c r="W1" s="1507"/>
      <c r="X1" s="1507"/>
      <c r="Y1" s="1507"/>
      <c r="Z1" s="1507"/>
      <c r="AA1" s="1507"/>
      <c r="AB1" s="1507"/>
      <c r="AC1" s="1507"/>
      <c r="AD1" s="1507"/>
      <c r="AE1" s="1507"/>
      <c r="AF1" s="1507"/>
      <c r="AG1" s="1507"/>
      <c r="AH1" s="1507"/>
      <c r="AI1" s="1507"/>
      <c r="AJ1" s="1507"/>
      <c r="AK1" s="1507"/>
      <c r="AL1" s="1507"/>
      <c r="AM1" s="1507"/>
      <c r="AN1" s="1507"/>
      <c r="AO1" s="1507"/>
      <c r="AP1" s="1507"/>
      <c r="AQ1" s="1507"/>
      <c r="AR1" s="1507"/>
      <c r="AS1" s="1507"/>
      <c r="AT1" s="1507"/>
      <c r="AU1" s="1507"/>
      <c r="AV1" s="1507"/>
      <c r="AW1" s="1507"/>
      <c r="AX1" s="1507"/>
      <c r="AY1" s="1507"/>
      <c r="AZ1" s="1507"/>
      <c r="BA1" s="1507"/>
      <c r="BB1" s="1507"/>
      <c r="BC1" s="1507"/>
      <c r="BD1" s="1507"/>
      <c r="BE1" s="1507"/>
      <c r="BF1" s="1507"/>
      <c r="BG1" s="1507"/>
      <c r="BH1" s="1507"/>
      <c r="BI1" s="1507"/>
      <c r="BJ1" s="1507"/>
      <c r="BK1" s="1507"/>
      <c r="BL1" s="1507"/>
      <c r="BM1" s="1507"/>
      <c r="BN1" s="1507"/>
      <c r="BO1" s="1507"/>
    </row>
    <row r="2" spans="1:70" ht="28.5" customHeight="1">
      <c r="A2" s="1" t="s">
        <v>0</v>
      </c>
      <c r="B2" s="1" t="s">
        <v>0</v>
      </c>
      <c r="C2" s="1117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08" t="s">
        <v>6</v>
      </c>
      <c r="J2" s="1508"/>
      <c r="K2" s="1508"/>
      <c r="L2" s="237"/>
      <c r="M2" s="1509" t="s">
        <v>7</v>
      </c>
      <c r="N2" s="1509"/>
      <c r="O2" s="1509"/>
      <c r="P2" s="1510" t="s">
        <v>8</v>
      </c>
      <c r="Q2" s="1510"/>
      <c r="R2" s="1510"/>
      <c r="S2" s="237" t="s">
        <v>9</v>
      </c>
      <c r="T2" s="1511" t="s">
        <v>10</v>
      </c>
      <c r="U2" s="1511"/>
      <c r="V2" s="1511"/>
      <c r="W2" s="1512" t="s">
        <v>11</v>
      </c>
      <c r="X2" s="1513"/>
      <c r="Y2" s="1514"/>
      <c r="Z2" s="1116"/>
      <c r="AA2" s="1515" t="s">
        <v>12</v>
      </c>
      <c r="AB2" s="1515"/>
      <c r="AC2" s="1515"/>
      <c r="AD2" s="1515"/>
      <c r="AE2" s="1117"/>
      <c r="AF2" s="1117" t="s">
        <v>13</v>
      </c>
      <c r="AG2" s="1117" t="s">
        <v>14</v>
      </c>
      <c r="AH2" s="1515" t="s">
        <v>15</v>
      </c>
      <c r="AI2" s="1515"/>
      <c r="AJ2" s="1515"/>
      <c r="AK2" s="1117" t="s">
        <v>16</v>
      </c>
      <c r="AL2" s="1515" t="s">
        <v>17</v>
      </c>
      <c r="AM2" s="1515"/>
      <c r="AN2" s="1515"/>
      <c r="AO2" s="1117" t="s">
        <v>18</v>
      </c>
      <c r="AP2" s="5" t="s">
        <v>19</v>
      </c>
      <c r="AQ2" s="1516" t="s">
        <v>20</v>
      </c>
      <c r="AR2" s="1517"/>
      <c r="AS2" s="1517"/>
      <c r="AT2" s="1517"/>
      <c r="AU2" s="1517"/>
      <c r="AV2" s="1517"/>
      <c r="AW2" s="1517"/>
      <c r="AX2" s="1517"/>
      <c r="AY2" s="1517"/>
      <c r="AZ2" s="1518"/>
      <c r="BA2" s="1516" t="s">
        <v>21</v>
      </c>
      <c r="BB2" s="1517"/>
      <c r="BC2" s="1517"/>
      <c r="BD2" s="1517"/>
      <c r="BE2" s="1517"/>
      <c r="BF2" s="1517"/>
      <c r="BG2" s="1517"/>
      <c r="BH2" s="1517"/>
      <c r="BI2" s="1517"/>
      <c r="BJ2" s="438"/>
      <c r="BK2" s="420"/>
      <c r="BL2" s="232"/>
      <c r="BM2" s="232"/>
      <c r="BN2" s="232"/>
      <c r="BO2" s="1117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0.84</v>
      </c>
      <c r="G4" s="19">
        <f>'1'!G8</f>
        <v>16053</v>
      </c>
      <c r="H4" s="19">
        <f>'1'!G8</f>
        <v>16053</v>
      </c>
      <c r="I4" s="19">
        <f>'1'!G7</f>
        <v>15988</v>
      </c>
      <c r="J4" s="19">
        <f>'1'!F27</f>
        <v>9</v>
      </c>
      <c r="K4" s="242">
        <f>H4*J4</f>
        <v>144477</v>
      </c>
      <c r="L4" s="238">
        <f>I4/202</f>
        <v>79.148514851485146</v>
      </c>
      <c r="M4" s="19">
        <f>'1'!G15</f>
        <v>334</v>
      </c>
      <c r="N4" s="19">
        <v>35</v>
      </c>
      <c r="O4" s="238">
        <f>M4*N4</f>
        <v>11690</v>
      </c>
      <c r="P4" s="19">
        <f>'1'!G20</f>
        <v>136</v>
      </c>
      <c r="Q4" s="19">
        <v>134</v>
      </c>
      <c r="R4" s="239">
        <f t="shared" ref="R4:R33" si="0">P4*Q4</f>
        <v>18224</v>
      </c>
      <c r="S4" s="240">
        <f t="shared" ref="S4:S33" si="1">P4/(F4*202/100)</f>
        <v>80.150872230080154</v>
      </c>
      <c r="T4" s="19">
        <f>'1'!G24</f>
        <v>0</v>
      </c>
      <c r="U4" s="19">
        <v>69</v>
      </c>
      <c r="V4" s="241">
        <f>T4*U4</f>
        <v>0</v>
      </c>
      <c r="W4" s="22">
        <f>'1'!G96</f>
        <v>72</v>
      </c>
      <c r="X4" s="22">
        <f>'1'!G97</f>
        <v>12</v>
      </c>
      <c r="Y4" s="22">
        <f>'1'!G98</f>
        <v>17</v>
      </c>
      <c r="Z4" s="22">
        <f>W4+X4+Y4</f>
        <v>101</v>
      </c>
      <c r="AA4" s="19">
        <f>'1'!G133</f>
        <v>23.849999999998545</v>
      </c>
      <c r="AB4" s="19">
        <f>'1'!G134</f>
        <v>0</v>
      </c>
      <c r="AC4" s="19">
        <f>'1'!G135</f>
        <v>0</v>
      </c>
      <c r="AD4" s="19">
        <f>'1'!G136</f>
        <v>0</v>
      </c>
      <c r="AE4" s="19">
        <f>AA4+AB4+AC4+AD4</f>
        <v>23.849999999998545</v>
      </c>
      <c r="AF4" s="23">
        <f t="shared" ref="AF4:AF33" si="2">AV4+AW4+BF4+BG4</f>
        <v>4654.5300000000279</v>
      </c>
      <c r="AG4" s="23">
        <f>AF4/AE4</f>
        <v>195.1584905660508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8.8800000000001091</v>
      </c>
      <c r="AM4" s="19">
        <f>'1'!G141</f>
        <v>0</v>
      </c>
      <c r="AN4" s="19"/>
      <c r="AO4" s="19">
        <f>AL4+AM4</f>
        <v>8.8800000000001091</v>
      </c>
      <c r="AP4" s="258">
        <f>'1'!G124</f>
        <v>232.54000000003725</v>
      </c>
      <c r="AQ4" s="261">
        <f>'1'!G35</f>
        <v>2168</v>
      </c>
      <c r="AR4" s="19">
        <f>'1'!G37</f>
        <v>1282</v>
      </c>
      <c r="AS4" s="19">
        <f>'1'!G38</f>
        <v>1352</v>
      </c>
      <c r="AT4" s="19">
        <f>'1'!G39</f>
        <v>1924</v>
      </c>
      <c r="AU4" s="19">
        <f>'1'!G40</f>
        <v>0</v>
      </c>
      <c r="AV4" s="19">
        <f>'1'!G41</f>
        <v>4655</v>
      </c>
      <c r="AW4" s="19">
        <f>'1'!G42</f>
        <v>0</v>
      </c>
      <c r="AX4" s="19">
        <f>'1'!G43</f>
        <v>2319</v>
      </c>
      <c r="AY4" s="19">
        <f>'1'!G44</f>
        <v>0</v>
      </c>
      <c r="AZ4" s="262">
        <f>'1'!G36</f>
        <v>391</v>
      </c>
      <c r="BA4" s="261">
        <f>'1'!G49</f>
        <v>-0.13000000000465661</v>
      </c>
      <c r="BB4" s="19">
        <f>'1'!G51</f>
        <v>0</v>
      </c>
      <c r="BC4" s="19">
        <f>'1'!G52</f>
        <v>0</v>
      </c>
      <c r="BD4" s="19">
        <f>'1'!G53</f>
        <v>671</v>
      </c>
      <c r="BE4" s="19">
        <f>'1'!G54</f>
        <v>74</v>
      </c>
      <c r="BF4" s="19">
        <f>'1'!G55</f>
        <v>0</v>
      </c>
      <c r="BG4" s="19">
        <f>'1'!G56</f>
        <v>-0.46999999997206032</v>
      </c>
      <c r="BH4" s="19">
        <f>'1'!G57</f>
        <v>0</v>
      </c>
      <c r="BI4" s="262">
        <f>'1'!G50</f>
        <v>949</v>
      </c>
      <c r="BJ4" s="370">
        <f>SUM(AV4,AW4,BF4,BG4)</f>
        <v>4654.5300000000279</v>
      </c>
      <c r="BK4" s="370">
        <f>'1'!G84</f>
        <v>715</v>
      </c>
      <c r="BL4" s="23">
        <f>SUM(AQ4,AV4,AW4,AX4,BA4,BF4,BG4,BH4)/I4%</f>
        <v>57.176632474355912</v>
      </c>
      <c r="BM4" s="23">
        <f>SUM(AT4,BD4)/I4%</f>
        <v>16.230923192394297</v>
      </c>
      <c r="BN4" s="24">
        <f>(AS4+BC4)/I4</f>
        <v>8.45634225669252E-2</v>
      </c>
      <c r="BO4" s="25">
        <f>K4+O4+R4+V4</f>
        <v>174391</v>
      </c>
      <c r="BP4" s="213">
        <f>SUM(AV4,AW4,AX4,BF4,BG4,BH4,BK4)</f>
        <v>7688.5300000000279</v>
      </c>
      <c r="BQ4">
        <f>BP4/(AE4*280)</f>
        <v>1.1513222521713833</v>
      </c>
      <c r="BR4" s="213">
        <f>SUM(AV4,AW4,BF4,BG4)/(AE4*400)</f>
        <v>0.48789622641512703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16031</v>
      </c>
      <c r="H5" s="19">
        <f>'2'!G8</f>
        <v>16031</v>
      </c>
      <c r="I5" s="19">
        <f>'2'!G7</f>
        <v>15961</v>
      </c>
      <c r="J5" s="19">
        <v>10</v>
      </c>
      <c r="K5" s="242">
        <f t="shared" ref="K5:K33" si="3">H5*J5</f>
        <v>160310</v>
      </c>
      <c r="L5" s="238">
        <f t="shared" ref="L5:L33" si="4">I5/202</f>
        <v>79.014851485148512</v>
      </c>
      <c r="M5" s="19">
        <f>'2'!G15</f>
        <v>445</v>
      </c>
      <c r="N5" s="19">
        <v>35</v>
      </c>
      <c r="O5" s="238">
        <f t="shared" ref="O5:O33" si="5">M5*N5</f>
        <v>15575</v>
      </c>
      <c r="P5" s="19">
        <f>'2'!G20</f>
        <v>111</v>
      </c>
      <c r="Q5" s="19">
        <v>134</v>
      </c>
      <c r="R5" s="239">
        <f t="shared" si="0"/>
        <v>14874</v>
      </c>
      <c r="S5" s="240">
        <f t="shared" si="1"/>
        <v>91.584158415841586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42</v>
      </c>
      <c r="X5" s="22">
        <f>'2'!G97</f>
        <v>12</v>
      </c>
      <c r="Y5" s="22">
        <f>'2'!G98</f>
        <v>18</v>
      </c>
      <c r="Z5" s="22">
        <f t="shared" ref="Z5:Z33" si="7">W5+X5+Y5</f>
        <v>72</v>
      </c>
      <c r="AA5" s="19">
        <f>'2'!G133</f>
        <v>23.979999999995925</v>
      </c>
      <c r="AB5" s="19">
        <f>'2'!G134</f>
        <v>0</v>
      </c>
      <c r="AC5" s="19">
        <f>'2'!G135</f>
        <v>0</v>
      </c>
      <c r="AD5" s="19">
        <f>'2'!G136</f>
        <v>0</v>
      </c>
      <c r="AE5" s="19">
        <f t="shared" ref="AE5:AE33" si="8">AA5+AB5+AC5+AD5</f>
        <v>23.979999999995925</v>
      </c>
      <c r="AF5" s="23">
        <f t="shared" si="2"/>
        <v>5001</v>
      </c>
      <c r="AG5" s="23">
        <f t="shared" ref="AG5:AG33" si="9">AF5/AE5</f>
        <v>208.54879065891782</v>
      </c>
      <c r="AH5" s="19">
        <f>'2'!G137</f>
        <v>2.7099999999991269</v>
      </c>
      <c r="AI5" s="19">
        <f>'2'!G138</f>
        <v>0</v>
      </c>
      <c r="AJ5" s="19">
        <f>'2'!G139</f>
        <v>0</v>
      </c>
      <c r="AK5" s="19">
        <f t="shared" ref="AK5:AK33" si="10">AH5+AI5+AJ5</f>
        <v>2.7099999999991269</v>
      </c>
      <c r="AL5" s="19">
        <f>'2'!G140</f>
        <v>7.8099999999999454</v>
      </c>
      <c r="AM5" s="19">
        <f>'2'!G141</f>
        <v>0</v>
      </c>
      <c r="AN5" s="19"/>
      <c r="AO5" s="19">
        <f t="shared" ref="AO5:AO33" si="11">AL5+AM5</f>
        <v>7.8099999999999454</v>
      </c>
      <c r="AP5" s="258">
        <f>'2'!G124</f>
        <v>203</v>
      </c>
      <c r="AQ5" s="261">
        <f>'2'!G35</f>
        <v>2008</v>
      </c>
      <c r="AR5" s="19">
        <f>'2'!G37</f>
        <v>1264</v>
      </c>
      <c r="AS5" s="19">
        <f>'2'!G38</f>
        <v>1301</v>
      </c>
      <c r="AT5" s="19">
        <f>'2'!G39</f>
        <v>1888</v>
      </c>
      <c r="AU5" s="19">
        <f>'2'!G40</f>
        <v>0</v>
      </c>
      <c r="AV5" s="19">
        <f>'2'!G41</f>
        <v>5001</v>
      </c>
      <c r="AW5" s="19">
        <f>'2'!G42</f>
        <v>0</v>
      </c>
      <c r="AX5" s="19">
        <f>'2'!G43</f>
        <v>2231</v>
      </c>
      <c r="AY5" s="19">
        <f>'2'!G44</f>
        <v>0</v>
      </c>
      <c r="AZ5" s="262">
        <f>'2'!G36</f>
        <v>385</v>
      </c>
      <c r="BA5" s="261">
        <f>'2'!G49</f>
        <v>0.13000000000465661</v>
      </c>
      <c r="BB5" s="19">
        <f>'2'!G51</f>
        <v>0</v>
      </c>
      <c r="BC5" s="19">
        <f>'2'!G52</f>
        <v>0</v>
      </c>
      <c r="BD5" s="19">
        <f>'2'!G53</f>
        <v>553</v>
      </c>
      <c r="BE5" s="19">
        <f>'2'!G54</f>
        <v>74</v>
      </c>
      <c r="BF5" s="19">
        <f>'2'!G55</f>
        <v>0</v>
      </c>
      <c r="BG5" s="19">
        <f>'2'!G56</f>
        <v>0</v>
      </c>
      <c r="BH5" s="19">
        <f>'2'!G57</f>
        <v>0</v>
      </c>
      <c r="BI5" s="262">
        <f>'2'!G50</f>
        <v>884</v>
      </c>
      <c r="BJ5" s="370">
        <f t="shared" ref="BJ5:BJ32" si="12">SUM(AV5,AW5,BF5,BG5)</f>
        <v>5001</v>
      </c>
      <c r="BK5" s="370">
        <f>'2'!G84</f>
        <v>712</v>
      </c>
      <c r="BL5" s="23">
        <f t="shared" ref="BL5:BL33" si="13">SUM(AQ5,AV5,AW5,AX5,BA5,BF5,BG5,BH5)/I5%</f>
        <v>57.891924064908238</v>
      </c>
      <c r="BM5" s="23">
        <f t="shared" ref="BM5:BM33" si="14">SUM(AT5,BD5)/I5%</f>
        <v>15.293527974437691</v>
      </c>
      <c r="BN5" s="24">
        <f t="shared" ref="BN5:BN33" si="15">(AS5+BC5)/I5</f>
        <v>8.1511183509805143E-2</v>
      </c>
      <c r="BO5" s="25">
        <f t="shared" ref="BO5:BO33" si="16">K5+O5+R5+V5</f>
        <v>190759</v>
      </c>
      <c r="BP5" s="213">
        <f t="shared" ref="BP5:BP35" si="17">SUM(AV5,AW5,AX5,BF5,BG5,BH5,BK5)</f>
        <v>7944</v>
      </c>
      <c r="BQ5">
        <f t="shared" ref="BQ5:BQ35" si="18">BP5/(AE5*280)</f>
        <v>1.1831287978078979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16089</v>
      </c>
      <c r="H6" s="19">
        <f>'3'!G8</f>
        <v>16089</v>
      </c>
      <c r="I6" s="19">
        <f>'3'!G7</f>
        <v>16029</v>
      </c>
      <c r="J6" s="19">
        <v>10</v>
      </c>
      <c r="K6" s="242">
        <f t="shared" si="3"/>
        <v>160890</v>
      </c>
      <c r="L6" s="238">
        <f t="shared" si="4"/>
        <v>79.351485148514854</v>
      </c>
      <c r="M6" s="19">
        <f>'3'!G15</f>
        <v>438</v>
      </c>
      <c r="N6" s="19">
        <v>35</v>
      </c>
      <c r="O6" s="238">
        <f t="shared" si="5"/>
        <v>15330</v>
      </c>
      <c r="P6" s="19">
        <f>'3'!G20</f>
        <v>116</v>
      </c>
      <c r="Q6" s="19">
        <v>134</v>
      </c>
      <c r="R6" s="239">
        <f t="shared" si="0"/>
        <v>15544</v>
      </c>
      <c r="S6" s="240">
        <f t="shared" si="1"/>
        <v>100.74691679694287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61</v>
      </c>
      <c r="X6" s="22">
        <f>'3'!G97</f>
        <v>17</v>
      </c>
      <c r="Y6" s="22">
        <f>'3'!G98</f>
        <v>15</v>
      </c>
      <c r="Z6" s="22">
        <f>W6+X6+Y6</f>
        <v>93</v>
      </c>
      <c r="AA6" s="19">
        <f>'3'!G133</f>
        <v>24</v>
      </c>
      <c r="AB6" s="19">
        <f>'3'!G134</f>
        <v>0</v>
      </c>
      <c r="AC6" s="19">
        <f>'3'!G135</f>
        <v>0</v>
      </c>
      <c r="AD6" s="19">
        <f>'3'!G136</f>
        <v>0</v>
      </c>
      <c r="AE6" s="19">
        <f t="shared" si="8"/>
        <v>24</v>
      </c>
      <c r="AF6" s="23">
        <f t="shared" si="2"/>
        <v>4821</v>
      </c>
      <c r="AG6" s="23">
        <f t="shared" si="9"/>
        <v>200.875</v>
      </c>
      <c r="AH6" s="19">
        <f>'3'!G137</f>
        <v>0</v>
      </c>
      <c r="AI6" s="19">
        <f>'3'!G138</f>
        <v>0.40000000000145519</v>
      </c>
      <c r="AJ6" s="19">
        <f>'3'!G139</f>
        <v>9.0100000000093132</v>
      </c>
      <c r="AK6" s="19">
        <f t="shared" si="10"/>
        <v>9.4100000000107684</v>
      </c>
      <c r="AL6" s="19">
        <f>'3'!G140</f>
        <v>7.4000000000000909</v>
      </c>
      <c r="AM6" s="19">
        <f>'3'!G141</f>
        <v>0</v>
      </c>
      <c r="AN6" s="19"/>
      <c r="AO6" s="19">
        <f t="shared" si="11"/>
        <v>7.4000000000000909</v>
      </c>
      <c r="AP6" s="258">
        <f>'3'!G124</f>
        <v>197</v>
      </c>
      <c r="AQ6" s="261">
        <f>'3'!G35</f>
        <v>2174</v>
      </c>
      <c r="AR6" s="19">
        <f>'3'!G37</f>
        <v>1224</v>
      </c>
      <c r="AS6" s="19">
        <f>'3'!G38</f>
        <v>1342</v>
      </c>
      <c r="AT6" s="19">
        <f>'3'!G39</f>
        <v>1807</v>
      </c>
      <c r="AU6" s="19">
        <f>'3'!G40</f>
        <v>0</v>
      </c>
      <c r="AV6" s="19">
        <f>'3'!G41</f>
        <v>4821</v>
      </c>
      <c r="AW6" s="19">
        <f>'3'!G42</f>
        <v>0</v>
      </c>
      <c r="AX6" s="19">
        <f>'3'!G43</f>
        <v>2220</v>
      </c>
      <c r="AY6" s="19">
        <f>'3'!G44</f>
        <v>0</v>
      </c>
      <c r="AZ6" s="262">
        <f>'3'!G36</f>
        <v>366</v>
      </c>
      <c r="BA6" s="261">
        <f>'3'!G49</f>
        <v>-0.13000000000465661</v>
      </c>
      <c r="BB6" s="19">
        <f>'3'!G51</f>
        <v>0</v>
      </c>
      <c r="BC6" s="19">
        <f>'3'!G52</f>
        <v>0</v>
      </c>
      <c r="BD6" s="19">
        <f>'3'!G53</f>
        <v>530</v>
      </c>
      <c r="BE6" s="19">
        <f>'3'!G54</f>
        <v>74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1056</v>
      </c>
      <c r="BJ6" s="370">
        <f t="shared" si="12"/>
        <v>4821</v>
      </c>
      <c r="BK6" s="370">
        <f>'3'!G84</f>
        <v>818</v>
      </c>
      <c r="BL6" s="23">
        <f t="shared" si="13"/>
        <v>57.488739160271983</v>
      </c>
      <c r="BM6" s="23">
        <f t="shared" si="14"/>
        <v>14.579824068875164</v>
      </c>
      <c r="BN6" s="24">
        <f t="shared" si="15"/>
        <v>8.3723251606463281E-2</v>
      </c>
      <c r="BO6" s="25">
        <f t="shared" si="16"/>
        <v>191764</v>
      </c>
      <c r="BP6" s="213">
        <f t="shared" si="17"/>
        <v>7859</v>
      </c>
      <c r="BQ6">
        <f t="shared" si="18"/>
        <v>1.1694940476190476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16226</v>
      </c>
      <c r="H7" s="19">
        <f>'4'!G8</f>
        <v>16226</v>
      </c>
      <c r="I7" s="19">
        <f>'4'!G7</f>
        <v>16163</v>
      </c>
      <c r="J7" s="19">
        <v>10</v>
      </c>
      <c r="K7" s="242">
        <f t="shared" si="3"/>
        <v>162260</v>
      </c>
      <c r="L7" s="238">
        <f t="shared" si="4"/>
        <v>80.014851485148512</v>
      </c>
      <c r="M7" s="19">
        <f>'4'!G15</f>
        <v>584</v>
      </c>
      <c r="N7" s="19">
        <v>35</v>
      </c>
      <c r="O7" s="238">
        <f t="shared" si="5"/>
        <v>20440</v>
      </c>
      <c r="P7" s="19">
        <f>'4'!G20</f>
        <v>107</v>
      </c>
      <c r="Q7" s="19">
        <v>134</v>
      </c>
      <c r="R7" s="239">
        <f t="shared" si="0"/>
        <v>14338</v>
      </c>
      <c r="S7" s="240">
        <f t="shared" si="1"/>
        <v>529.70297029702965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62</v>
      </c>
      <c r="X7" s="22">
        <f>'4'!G97</f>
        <v>9</v>
      </c>
      <c r="Y7" s="22">
        <f>'4'!G98</f>
        <v>18</v>
      </c>
      <c r="Z7" s="22">
        <f t="shared" si="7"/>
        <v>89</v>
      </c>
      <c r="AA7" s="19">
        <f>'4'!G133</f>
        <v>23.690000000002328</v>
      </c>
      <c r="AB7" s="19">
        <f>'4'!G134</f>
        <v>0</v>
      </c>
      <c r="AC7" s="19">
        <f>'4'!G135</f>
        <v>0</v>
      </c>
      <c r="AD7" s="19">
        <f>'4'!G136</f>
        <v>0</v>
      </c>
      <c r="AE7" s="19">
        <f t="shared" si="8"/>
        <v>23.690000000002328</v>
      </c>
      <c r="AF7" s="23">
        <f t="shared" si="2"/>
        <v>5147</v>
      </c>
      <c r="AG7" s="23">
        <f t="shared" si="9"/>
        <v>217.26466863653417</v>
      </c>
      <c r="AH7" s="19">
        <f>'4'!G137</f>
        <v>7.2099999999991269</v>
      </c>
      <c r="AI7" s="19">
        <f>'4'!G138</f>
        <v>-0.40000000000145519</v>
      </c>
      <c r="AJ7" s="19">
        <f>'4'!G139</f>
        <v>0</v>
      </c>
      <c r="AK7" s="19">
        <f t="shared" si="10"/>
        <v>6.8099999999976717</v>
      </c>
      <c r="AL7" s="19">
        <f>'4'!G140</f>
        <v>7.1299999999998818</v>
      </c>
      <c r="AM7" s="19">
        <f>'4'!G141</f>
        <v>0</v>
      </c>
      <c r="AN7" s="19"/>
      <c r="AO7" s="19">
        <f t="shared" si="11"/>
        <v>7.1299999999998818</v>
      </c>
      <c r="AP7" s="258">
        <f>'4'!G124</f>
        <v>189</v>
      </c>
      <c r="AQ7" s="261">
        <f>'4'!G35</f>
        <v>2161</v>
      </c>
      <c r="AR7" s="19">
        <f>'4'!G37</f>
        <v>1213</v>
      </c>
      <c r="AS7" s="19">
        <f>'4'!G38</f>
        <v>1255</v>
      </c>
      <c r="AT7" s="19">
        <f>'4'!G39</f>
        <v>1745</v>
      </c>
      <c r="AU7" s="19">
        <f>'4'!G40</f>
        <v>-0.23</v>
      </c>
      <c r="AV7" s="19">
        <f>'4'!G41</f>
        <v>5099</v>
      </c>
      <c r="AW7" s="19">
        <f>'4'!G42</f>
        <v>0</v>
      </c>
      <c r="AX7" s="19">
        <f>'4'!G43</f>
        <v>2199</v>
      </c>
      <c r="AY7" s="19">
        <f>'4'!G44</f>
        <v>0</v>
      </c>
      <c r="AZ7" s="262">
        <f>'4'!G36</f>
        <v>345</v>
      </c>
      <c r="BA7" s="261">
        <f>'4'!G49</f>
        <v>0</v>
      </c>
      <c r="BB7" s="19">
        <f>'4'!G51</f>
        <v>0</v>
      </c>
      <c r="BC7" s="19">
        <f>'4'!G52</f>
        <v>0</v>
      </c>
      <c r="BD7" s="19">
        <f>'4'!G53</f>
        <v>506</v>
      </c>
      <c r="BE7" s="19">
        <f>'4'!G54</f>
        <v>72</v>
      </c>
      <c r="BF7" s="19">
        <f>'4'!G55</f>
        <v>0</v>
      </c>
      <c r="BG7" s="19">
        <f>'4'!G56</f>
        <v>48</v>
      </c>
      <c r="BH7" s="19">
        <f>'4'!G57</f>
        <v>0</v>
      </c>
      <c r="BI7" s="262">
        <f>'4'!G50</f>
        <v>1029</v>
      </c>
      <c r="BJ7" s="370">
        <f t="shared" si="12"/>
        <v>5147</v>
      </c>
      <c r="BK7" s="370">
        <f>'3'!G84</f>
        <v>818</v>
      </c>
      <c r="BL7" s="23">
        <f t="shared" si="13"/>
        <v>58.819526078079569</v>
      </c>
      <c r="BM7" s="23">
        <f t="shared" si="14"/>
        <v>13.926870011755243</v>
      </c>
      <c r="BN7" s="24">
        <f t="shared" si="15"/>
        <v>7.7646476520447941E-2</v>
      </c>
      <c r="BO7" s="25">
        <f t="shared" si="16"/>
        <v>197038</v>
      </c>
      <c r="BP7" s="213">
        <f t="shared" si="17"/>
        <v>8164</v>
      </c>
      <c r="BQ7">
        <f t="shared" si="18"/>
        <v>1.2307785081105949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0.11</v>
      </c>
      <c r="G8" s="19">
        <f>'5'!G8</f>
        <v>15811</v>
      </c>
      <c r="H8" s="19">
        <f>'5'!G8</f>
        <v>15811</v>
      </c>
      <c r="I8" s="19">
        <f>'5'!G7</f>
        <v>15754</v>
      </c>
      <c r="J8" s="19">
        <v>10</v>
      </c>
      <c r="K8" s="242">
        <f t="shared" si="3"/>
        <v>158110</v>
      </c>
      <c r="L8" s="238">
        <f t="shared" si="4"/>
        <v>77.990099009900987</v>
      </c>
      <c r="M8" s="19">
        <f>'5'!G15</f>
        <v>287</v>
      </c>
      <c r="N8" s="19">
        <v>35</v>
      </c>
      <c r="O8" s="238">
        <f t="shared" si="5"/>
        <v>10045</v>
      </c>
      <c r="P8" s="19">
        <f>'5'!G20</f>
        <v>113</v>
      </c>
      <c r="Q8" s="19">
        <v>134</v>
      </c>
      <c r="R8" s="239">
        <f t="shared" si="0"/>
        <v>15142</v>
      </c>
      <c r="S8" s="240">
        <f t="shared" si="1"/>
        <v>508.5508550855086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31</v>
      </c>
      <c r="X8" s="22">
        <f>'5'!G97</f>
        <v>6</v>
      </c>
      <c r="Y8" s="22">
        <f>'5'!G98</f>
        <v>11</v>
      </c>
      <c r="Z8" s="22">
        <f t="shared" si="7"/>
        <v>48</v>
      </c>
      <c r="AA8" s="19">
        <f>'5'!G133</f>
        <v>24</v>
      </c>
      <c r="AB8" s="19">
        <f>'5'!G134</f>
        <v>0</v>
      </c>
      <c r="AC8" s="19">
        <f>'5'!G135</f>
        <v>0</v>
      </c>
      <c r="AD8" s="19">
        <f>'5'!G136</f>
        <v>0</v>
      </c>
      <c r="AE8" s="19">
        <f t="shared" si="8"/>
        <v>24</v>
      </c>
      <c r="AF8" s="23">
        <f t="shared" si="2"/>
        <v>4970</v>
      </c>
      <c r="AG8" s="23">
        <f t="shared" si="9"/>
        <v>207.08333333333334</v>
      </c>
      <c r="AH8" s="19">
        <f>'5'!G137</f>
        <v>0</v>
      </c>
      <c r="AI8" s="19">
        <f>'5'!G138</f>
        <v>0</v>
      </c>
      <c r="AJ8" s="19">
        <f>'5'!G139</f>
        <v>0</v>
      </c>
      <c r="AK8" s="19">
        <f t="shared" si="10"/>
        <v>0</v>
      </c>
      <c r="AL8" s="19">
        <f>'5'!G140</f>
        <v>7.7400000000000091</v>
      </c>
      <c r="AM8" s="19">
        <f>'5'!G141</f>
        <v>0</v>
      </c>
      <c r="AN8" s="19"/>
      <c r="AO8" s="19">
        <f t="shared" si="11"/>
        <v>7.7400000000000091</v>
      </c>
      <c r="AP8" s="258">
        <f>'5'!G124</f>
        <v>202</v>
      </c>
      <c r="AQ8" s="261">
        <f>'5'!G35</f>
        <v>2118</v>
      </c>
      <c r="AR8" s="19">
        <f>'5'!G37</f>
        <v>1190</v>
      </c>
      <c r="AS8" s="19">
        <f>'5'!G38</f>
        <v>1208</v>
      </c>
      <c r="AT8" s="19">
        <f>'5'!G39</f>
        <v>1710</v>
      </c>
      <c r="AU8" s="19">
        <f>'5'!G40</f>
        <v>0</v>
      </c>
      <c r="AV8" s="19">
        <f>'5'!G41</f>
        <v>4961</v>
      </c>
      <c r="AW8" s="19">
        <f>'5'!G42</f>
        <v>0</v>
      </c>
      <c r="AX8" s="19">
        <f>'5'!G43</f>
        <v>2244</v>
      </c>
      <c r="AY8" s="19">
        <f>'5'!G44</f>
        <v>0</v>
      </c>
      <c r="AZ8" s="262">
        <f>'5'!G36</f>
        <v>340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529</v>
      </c>
      <c r="BE8" s="19">
        <f>'5'!G54</f>
        <v>71</v>
      </c>
      <c r="BF8" s="19">
        <f>'5'!G55</f>
        <v>0</v>
      </c>
      <c r="BG8" s="19">
        <f>'5'!G56</f>
        <v>9</v>
      </c>
      <c r="BH8" s="19">
        <f>'5'!G57</f>
        <v>0</v>
      </c>
      <c r="BI8" s="262">
        <f>'5'!G50</f>
        <v>990</v>
      </c>
      <c r="BJ8" s="370">
        <f t="shared" si="12"/>
        <v>4970</v>
      </c>
      <c r="BK8" s="370">
        <f>'5'!G84</f>
        <v>782</v>
      </c>
      <c r="BL8" s="23">
        <f t="shared" si="13"/>
        <v>59.235749650882319</v>
      </c>
      <c r="BM8" s="23">
        <f t="shared" si="14"/>
        <v>14.21226355211375</v>
      </c>
      <c r="BN8" s="24">
        <f t="shared" si="15"/>
        <v>7.6678938682239434E-2</v>
      </c>
      <c r="BO8" s="25">
        <f t="shared" si="16"/>
        <v>183297</v>
      </c>
      <c r="BP8" s="213">
        <f t="shared" si="17"/>
        <v>7996</v>
      </c>
      <c r="BQ8">
        <f t="shared" si="18"/>
        <v>1.1898809523809524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0.1</v>
      </c>
      <c r="G9" s="19">
        <f>'6'!G8</f>
        <v>15655</v>
      </c>
      <c r="H9" s="19">
        <f>'6'!G8</f>
        <v>15655</v>
      </c>
      <c r="I9" s="19">
        <f>'6'!G7</f>
        <v>15577</v>
      </c>
      <c r="J9" s="19">
        <v>10</v>
      </c>
      <c r="K9" s="242">
        <f t="shared" si="3"/>
        <v>156550</v>
      </c>
      <c r="L9" s="238">
        <f t="shared" si="4"/>
        <v>77.113861386138609</v>
      </c>
      <c r="M9" s="19">
        <f>'6'!G15</f>
        <v>477</v>
      </c>
      <c r="N9" s="19">
        <v>35</v>
      </c>
      <c r="O9" s="238">
        <f t="shared" si="5"/>
        <v>16695</v>
      </c>
      <c r="P9" s="19">
        <f>'6'!G20</f>
        <v>56</v>
      </c>
      <c r="Q9" s="19">
        <v>134</v>
      </c>
      <c r="R9" s="239">
        <f t="shared" si="0"/>
        <v>7504</v>
      </c>
      <c r="S9" s="240">
        <f t="shared" si="1"/>
        <v>277.22772277227716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39</v>
      </c>
      <c r="X9" s="22">
        <f>'6'!G97</f>
        <v>9</v>
      </c>
      <c r="Y9" s="22">
        <f>'6'!G98</f>
        <v>9</v>
      </c>
      <c r="Z9" s="22">
        <f t="shared" si="7"/>
        <v>57</v>
      </c>
      <c r="AA9" s="19">
        <f>'6'!G133</f>
        <v>24</v>
      </c>
      <c r="AB9" s="19">
        <f>'6'!G134</f>
        <v>0</v>
      </c>
      <c r="AC9" s="19">
        <f>'6'!G135</f>
        <v>0</v>
      </c>
      <c r="AD9" s="19">
        <f>'6'!G136</f>
        <v>-0.43999999999869033</v>
      </c>
      <c r="AE9" s="19">
        <f t="shared" si="8"/>
        <v>23.56000000000131</v>
      </c>
      <c r="AF9" s="23">
        <f t="shared" si="2"/>
        <v>4851</v>
      </c>
      <c r="AG9" s="23">
        <f t="shared" si="9"/>
        <v>205.89983022070163</v>
      </c>
      <c r="AH9" s="19">
        <f>'6'!G137</f>
        <v>0</v>
      </c>
      <c r="AI9" s="19">
        <f>'6'!G138</f>
        <v>0</v>
      </c>
      <c r="AJ9" s="19">
        <f>'6'!G139</f>
        <v>11.379999999990105</v>
      </c>
      <c r="AK9" s="19">
        <f t="shared" si="10"/>
        <v>11.379999999990105</v>
      </c>
      <c r="AL9" s="19">
        <f>'6'!G140</f>
        <v>7.6600000000000819</v>
      </c>
      <c r="AM9" s="19">
        <f>'6'!G141</f>
        <v>0</v>
      </c>
      <c r="AN9" s="19"/>
      <c r="AO9" s="19">
        <f t="shared" si="11"/>
        <v>7.6600000000000819</v>
      </c>
      <c r="AP9" s="258">
        <f>'6'!G124</f>
        <v>206</v>
      </c>
      <c r="AQ9" s="261">
        <f>'6'!G35</f>
        <v>2168</v>
      </c>
      <c r="AR9" s="19">
        <f>'6'!G37</f>
        <v>1189</v>
      </c>
      <c r="AS9" s="19">
        <f>'6'!G38</f>
        <v>1199</v>
      </c>
      <c r="AT9" s="19">
        <f>'6'!G39</f>
        <v>1647</v>
      </c>
      <c r="AU9" s="19">
        <f>'6'!G40</f>
        <v>0</v>
      </c>
      <c r="AV9" s="19">
        <f>'6'!G41</f>
        <v>4841</v>
      </c>
      <c r="AW9" s="19">
        <f>'6'!G42</f>
        <v>0</v>
      </c>
      <c r="AX9" s="19">
        <f>'6'!G43</f>
        <v>2297</v>
      </c>
      <c r="AY9" s="19">
        <f>'6'!G44</f>
        <v>0</v>
      </c>
      <c r="AZ9" s="262">
        <f>'6'!G36</f>
        <v>320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513</v>
      </c>
      <c r="BE9" s="19">
        <f>'6'!G54</f>
        <v>74</v>
      </c>
      <c r="BF9" s="19">
        <f>'6'!G55</f>
        <v>0</v>
      </c>
      <c r="BG9" s="19">
        <f>'6'!G56</f>
        <v>10</v>
      </c>
      <c r="BH9" s="19">
        <f>'6'!G57</f>
        <v>0</v>
      </c>
      <c r="BI9" s="262">
        <f>'6'!G50</f>
        <v>848</v>
      </c>
      <c r="BJ9" s="370">
        <f t="shared" si="12"/>
        <v>4851</v>
      </c>
      <c r="BK9" s="370">
        <f>'6'!G84</f>
        <v>830</v>
      </c>
      <c r="BL9" s="23">
        <f t="shared" si="13"/>
        <v>59.806124414200418</v>
      </c>
      <c r="BM9" s="23">
        <f t="shared" si="14"/>
        <v>13.866598189638569</v>
      </c>
      <c r="BN9" s="24">
        <f t="shared" si="15"/>
        <v>7.6972459395262247E-2</v>
      </c>
      <c r="BO9" s="25">
        <f t="shared" si="16"/>
        <v>180749</v>
      </c>
      <c r="BP9" s="213">
        <f t="shared" si="17"/>
        <v>7978</v>
      </c>
      <c r="BQ9">
        <f t="shared" si="18"/>
        <v>1.2093742420566875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0.16</v>
      </c>
      <c r="G10" s="19">
        <f>'7'!G8</f>
        <v>15022</v>
      </c>
      <c r="H10" s="19">
        <f>'7'!G8</f>
        <v>15022</v>
      </c>
      <c r="I10" s="19">
        <f>'7'!G7</f>
        <v>14931</v>
      </c>
      <c r="J10" s="19">
        <v>10</v>
      </c>
      <c r="K10" s="242">
        <f t="shared" si="3"/>
        <v>150220</v>
      </c>
      <c r="L10" s="238">
        <f t="shared" si="4"/>
        <v>73.915841584158414</v>
      </c>
      <c r="M10" s="19">
        <f>'7'!G15</f>
        <v>348</v>
      </c>
      <c r="N10" s="19">
        <v>35</v>
      </c>
      <c r="O10" s="238">
        <f t="shared" si="5"/>
        <v>12180</v>
      </c>
      <c r="P10" s="19">
        <f>'7'!G20</f>
        <v>56</v>
      </c>
      <c r="Q10" s="19">
        <v>134</v>
      </c>
      <c r="R10" s="239">
        <f t="shared" si="0"/>
        <v>7504</v>
      </c>
      <c r="S10" s="240">
        <f t="shared" si="1"/>
        <v>173.26732673267327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31</v>
      </c>
      <c r="X10" s="22">
        <f>'7'!G97</f>
        <v>8</v>
      </c>
      <c r="Y10" s="22">
        <f>'7'!G98</f>
        <v>10</v>
      </c>
      <c r="Z10" s="22">
        <f t="shared" si="7"/>
        <v>49</v>
      </c>
      <c r="AA10" s="19">
        <f>'7'!G133</f>
        <v>23.599999999998545</v>
      </c>
      <c r="AB10" s="19">
        <f>'7'!G134</f>
        <v>0</v>
      </c>
      <c r="AC10" s="19">
        <f>'7'!G135</f>
        <v>0</v>
      </c>
      <c r="AD10" s="19">
        <f>'7'!G136</f>
        <v>0</v>
      </c>
      <c r="AE10" s="19">
        <f t="shared" si="8"/>
        <v>23.599999999998545</v>
      </c>
      <c r="AF10" s="23">
        <f t="shared" si="2"/>
        <v>4616</v>
      </c>
      <c r="AG10" s="23">
        <f t="shared" si="9"/>
        <v>195.59322033899511</v>
      </c>
      <c r="AH10" s="19">
        <f>'7'!G137</f>
        <v>0</v>
      </c>
      <c r="AI10" s="19">
        <f>'7'!G138</f>
        <v>0</v>
      </c>
      <c r="AJ10" s="19">
        <f>'7'!G139</f>
        <v>0</v>
      </c>
      <c r="AK10" s="19">
        <f t="shared" si="10"/>
        <v>0</v>
      </c>
      <c r="AL10" s="19">
        <f>'7'!G140</f>
        <v>7.7699999999999818</v>
      </c>
      <c r="AM10" s="19">
        <f>'7'!G141</f>
        <v>0</v>
      </c>
      <c r="AN10" s="19"/>
      <c r="AO10" s="19">
        <f t="shared" si="11"/>
        <v>7.7699999999999818</v>
      </c>
      <c r="AP10" s="258">
        <f>'7'!G124</f>
        <v>204</v>
      </c>
      <c r="AQ10" s="261">
        <f>'7'!G35</f>
        <v>2063</v>
      </c>
      <c r="AR10" s="19">
        <f>'7'!G37</f>
        <v>1225</v>
      </c>
      <c r="AS10" s="19">
        <f>'7'!G38</f>
        <v>1112</v>
      </c>
      <c r="AT10" s="19">
        <f>'7'!G39</f>
        <v>1602</v>
      </c>
      <c r="AU10" s="19">
        <f>'7'!G40</f>
        <v>0</v>
      </c>
      <c r="AV10" s="19">
        <f>'7'!G41</f>
        <v>4606</v>
      </c>
      <c r="AW10" s="19">
        <f>'7'!G42</f>
        <v>0</v>
      </c>
      <c r="AX10" s="19">
        <f>'7'!G43</f>
        <v>2190</v>
      </c>
      <c r="AY10" s="19">
        <f>'7'!G44</f>
        <v>0</v>
      </c>
      <c r="AZ10" s="262">
        <f>'7'!G36</f>
        <v>310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520</v>
      </c>
      <c r="BE10" s="19">
        <f>'7'!G54</f>
        <v>72</v>
      </c>
      <c r="BF10" s="19">
        <f>'7'!G55</f>
        <v>0</v>
      </c>
      <c r="BG10" s="19">
        <f>'7'!G56</f>
        <v>10</v>
      </c>
      <c r="BH10" s="19">
        <f>'7'!G57</f>
        <v>0</v>
      </c>
      <c r="BI10" s="262">
        <f>'7'!G50</f>
        <v>857</v>
      </c>
      <c r="BJ10" s="370">
        <f t="shared" si="12"/>
        <v>4616</v>
      </c>
      <c r="BK10" s="370">
        <f>'7'!G84</f>
        <v>846</v>
      </c>
      <c r="BL10" s="23">
        <f t="shared" si="13"/>
        <v>59.39990623534927</v>
      </c>
      <c r="BM10" s="23">
        <f t="shared" si="14"/>
        <v>14.212042060143325</v>
      </c>
      <c r="BN10" s="24">
        <f t="shared" si="15"/>
        <v>7.4475922577188394E-2</v>
      </c>
      <c r="BO10" s="25">
        <f t="shared" si="16"/>
        <v>169904</v>
      </c>
      <c r="BP10" s="213">
        <f t="shared" si="17"/>
        <v>7652</v>
      </c>
      <c r="BQ10">
        <f t="shared" si="18"/>
        <v>1.1579903147700472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19564</v>
      </c>
      <c r="H11" s="19">
        <f>'8'!G8</f>
        <v>19564</v>
      </c>
      <c r="I11" s="19">
        <f>'8'!G7</f>
        <v>19453</v>
      </c>
      <c r="J11" s="19">
        <v>10</v>
      </c>
      <c r="K11" s="242">
        <f t="shared" si="3"/>
        <v>195640</v>
      </c>
      <c r="L11" s="238">
        <f t="shared" si="4"/>
        <v>96.301980198019805</v>
      </c>
      <c r="M11" s="19">
        <f>'8'!G15</f>
        <v>613.47999999998137</v>
      </c>
      <c r="N11" s="19">
        <v>35</v>
      </c>
      <c r="O11" s="238">
        <f t="shared" si="5"/>
        <v>21471.799999999348</v>
      </c>
      <c r="P11" s="19">
        <f>'8'!G20</f>
        <v>115</v>
      </c>
      <c r="Q11" s="19">
        <v>134</v>
      </c>
      <c r="R11" s="239">
        <f t="shared" si="0"/>
        <v>15410</v>
      </c>
      <c r="S11" s="240">
        <f t="shared" si="1"/>
        <v>237.21122112211222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78</v>
      </c>
      <c r="X11" s="22">
        <f>'8'!G97</f>
        <v>9</v>
      </c>
      <c r="Y11" s="22">
        <f>'8'!G98</f>
        <v>13</v>
      </c>
      <c r="Z11" s="22">
        <f t="shared" si="7"/>
        <v>100</v>
      </c>
      <c r="AA11" s="19">
        <f>'8'!G133</f>
        <v>23.650000000001455</v>
      </c>
      <c r="AB11" s="19">
        <f>'8'!G134</f>
        <v>0</v>
      </c>
      <c r="AC11" s="19">
        <f>'8'!G135</f>
        <v>8.3300000000017462</v>
      </c>
      <c r="AD11" s="19">
        <f>'8'!G136</f>
        <v>0</v>
      </c>
      <c r="AE11" s="19">
        <f t="shared" si="8"/>
        <v>31.980000000003201</v>
      </c>
      <c r="AF11" s="23">
        <f t="shared" si="2"/>
        <v>4895.3799999999901</v>
      </c>
      <c r="AG11" s="23">
        <f t="shared" si="9"/>
        <v>153.07629768603815</v>
      </c>
      <c r="AH11" s="19">
        <f>'8'!G137</f>
        <v>5.75</v>
      </c>
      <c r="AI11" s="19">
        <f>'8'!G138</f>
        <v>0</v>
      </c>
      <c r="AJ11" s="19">
        <f>'8'!G139</f>
        <v>1.9400000000023283</v>
      </c>
      <c r="AK11" s="19">
        <f t="shared" si="10"/>
        <v>7.6900000000023283</v>
      </c>
      <c r="AL11" s="19">
        <f>'8'!G140</f>
        <v>7.9900000000000091</v>
      </c>
      <c r="AM11" s="19">
        <f>'8'!G141</f>
        <v>-0.11999999999989086</v>
      </c>
      <c r="AN11" s="19"/>
      <c r="AO11" s="19">
        <f t="shared" si="11"/>
        <v>7.8700000000001182</v>
      </c>
      <c r="AP11" s="258">
        <f>'8'!G124</f>
        <v>209.8399999999674</v>
      </c>
      <c r="AQ11" s="261">
        <f>'8'!G35</f>
        <v>2427.4699999999721</v>
      </c>
      <c r="AR11" s="19">
        <f>'8'!G37</f>
        <v>1347.0200000000041</v>
      </c>
      <c r="AS11" s="19">
        <f>'8'!G38</f>
        <v>1203.2700000000041</v>
      </c>
      <c r="AT11" s="19">
        <f>'8'!G39</f>
        <v>1924.75</v>
      </c>
      <c r="AU11" s="19">
        <f>'8'!G40</f>
        <v>0.23</v>
      </c>
      <c r="AV11" s="19">
        <f>'8'!G41</f>
        <v>4885.1900000000023</v>
      </c>
      <c r="AW11" s="19">
        <f>'8'!G42</f>
        <v>8.000000000174623E-2</v>
      </c>
      <c r="AX11" s="19">
        <f>'8'!G43</f>
        <v>2425.2700000000186</v>
      </c>
      <c r="AY11" s="23">
        <f>'8'!G44</f>
        <v>0</v>
      </c>
      <c r="AZ11" s="262">
        <f>'8'!G36</f>
        <v>0</v>
      </c>
      <c r="BA11" s="261">
        <f>'8'!G49</f>
        <v>0.13000000000465661</v>
      </c>
      <c r="BB11" s="19">
        <f>'8'!G51</f>
        <v>-0.13000000000465661</v>
      </c>
      <c r="BC11" s="19">
        <f>'8'!G52</f>
        <v>6.9999999948777258E-2</v>
      </c>
      <c r="BD11" s="19">
        <f>'8'!G53</f>
        <v>521.07000000000698</v>
      </c>
      <c r="BE11" s="19">
        <f>'8'!G54</f>
        <v>3760.7000000000007</v>
      </c>
      <c r="BF11" s="19">
        <f>'8'!G55</f>
        <v>0</v>
      </c>
      <c r="BG11" s="19">
        <f>'8'!G56</f>
        <v>10.10999999998603</v>
      </c>
      <c r="BH11" s="19">
        <f>'8'!G57</f>
        <v>0</v>
      </c>
      <c r="BI11" s="262">
        <f>'8'!G50</f>
        <v>1386.3099999999977</v>
      </c>
      <c r="BJ11" s="370">
        <f t="shared" si="12"/>
        <v>4895.3799999999901</v>
      </c>
      <c r="BK11" s="370">
        <f>'8'!G84</f>
        <v>794</v>
      </c>
      <c r="BL11" s="23">
        <f t="shared" si="13"/>
        <v>50.111807947360226</v>
      </c>
      <c r="BM11" s="23">
        <f t="shared" si="14"/>
        <v>12.572970750012887</v>
      </c>
      <c r="BN11" s="24">
        <f t="shared" si="15"/>
        <v>6.1858839253583139E-2</v>
      </c>
      <c r="BO11" s="25">
        <f t="shared" si="16"/>
        <v>232521.79999999935</v>
      </c>
      <c r="BP11" s="213">
        <f t="shared" si="17"/>
        <v>8114.6500000000087</v>
      </c>
      <c r="BQ11">
        <f t="shared" si="18"/>
        <v>0.90621928884115033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0.6</v>
      </c>
      <c r="G12" s="19">
        <f>'9'!G8</f>
        <v>15397</v>
      </c>
      <c r="H12" s="19">
        <f>'9'!G8</f>
        <v>15397</v>
      </c>
      <c r="I12" s="19">
        <f>'9'!G7</f>
        <v>15329</v>
      </c>
      <c r="J12" s="19">
        <v>10</v>
      </c>
      <c r="K12" s="242">
        <f t="shared" si="3"/>
        <v>153970</v>
      </c>
      <c r="L12" s="238">
        <f t="shared" si="4"/>
        <v>75.886138613861391</v>
      </c>
      <c r="M12" s="19">
        <f>'9'!G15</f>
        <v>523.52000000001863</v>
      </c>
      <c r="N12" s="19">
        <v>35</v>
      </c>
      <c r="O12" s="238">
        <f t="shared" si="5"/>
        <v>18323.200000000652</v>
      </c>
      <c r="P12" s="19">
        <f>'9'!G20</f>
        <v>95</v>
      </c>
      <c r="Q12" s="19">
        <v>134</v>
      </c>
      <c r="R12" s="239">
        <f t="shared" si="0"/>
        <v>12730</v>
      </c>
      <c r="S12" s="240">
        <f t="shared" si="1"/>
        <v>78.382838283828391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40</v>
      </c>
      <c r="X12" s="22">
        <f>'9'!G97</f>
        <v>11</v>
      </c>
      <c r="Y12" s="22">
        <f>'9'!G98</f>
        <v>15</v>
      </c>
      <c r="Z12" s="22">
        <f t="shared" si="7"/>
        <v>66</v>
      </c>
      <c r="AA12" s="19">
        <f>'9'!G133</f>
        <v>23.080000000001746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23.080000000001746</v>
      </c>
      <c r="AF12" s="23">
        <f t="shared" si="2"/>
        <v>4766.7299999999959</v>
      </c>
      <c r="AG12" s="23">
        <f t="shared" si="9"/>
        <v>206.53076256497553</v>
      </c>
      <c r="AH12" s="19">
        <f>'9'!G137</f>
        <v>3.7400000000016007</v>
      </c>
      <c r="AI12" s="19">
        <f>'9'!G138</f>
        <v>-0.33000000000174623</v>
      </c>
      <c r="AJ12" s="19">
        <f>'9'!G139</f>
        <v>3.6199999999953434</v>
      </c>
      <c r="AK12" s="19">
        <f t="shared" si="10"/>
        <v>7.0299999999951979</v>
      </c>
      <c r="AL12" s="19">
        <f>'9'!G140</f>
        <v>6.7400000000000091</v>
      </c>
      <c r="AM12" s="19">
        <f>'9'!G141</f>
        <v>0</v>
      </c>
      <c r="AN12" s="19"/>
      <c r="AO12" s="19">
        <f t="shared" si="11"/>
        <v>6.7400000000000091</v>
      </c>
      <c r="AP12" s="258">
        <f>'9'!G124</f>
        <v>186.1600000000326</v>
      </c>
      <c r="AQ12" s="261">
        <f>'9'!G35</f>
        <v>2125.5300000000279</v>
      </c>
      <c r="AR12" s="19">
        <f>'9'!G37</f>
        <v>1183.9799999999959</v>
      </c>
      <c r="AS12" s="19">
        <f>'9'!G38</f>
        <v>1229.7299999999959</v>
      </c>
      <c r="AT12" s="19">
        <f>'9'!G39</f>
        <v>1790.25</v>
      </c>
      <c r="AU12" s="19">
        <f>'9'!G40</f>
        <v>0</v>
      </c>
      <c r="AV12" s="19">
        <f>'9'!G41</f>
        <v>4766.8099999999977</v>
      </c>
      <c r="AW12" s="19">
        <f>'9'!G42</f>
        <v>-8.000000000174623E-2</v>
      </c>
      <c r="AX12" s="19">
        <f>'9'!G43</f>
        <v>2140.7299999999814</v>
      </c>
      <c r="AY12" s="23">
        <f>'9'!G44</f>
        <v>0</v>
      </c>
      <c r="AZ12" s="262">
        <f>'9'!G36</f>
        <v>0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512.92999999999302</v>
      </c>
      <c r="BE12" s="19">
        <f>'9'!G54</f>
        <v>71.299999999999272</v>
      </c>
      <c r="BF12" s="19">
        <f>'9'!G55</f>
        <v>0</v>
      </c>
      <c r="BG12" s="19">
        <f>'9'!G56</f>
        <v>0</v>
      </c>
      <c r="BH12" s="19">
        <f>'9'!G57</f>
        <v>0</v>
      </c>
      <c r="BI12" s="262">
        <f>'9'!G50</f>
        <v>861.69000000000233</v>
      </c>
      <c r="BJ12" s="370">
        <f t="shared" si="12"/>
        <v>4766.7299999999959</v>
      </c>
      <c r="BK12" s="370">
        <f>'8'!G84</f>
        <v>794</v>
      </c>
      <c r="BL12" s="23">
        <f t="shared" si="13"/>
        <v>58.927457759801719</v>
      </c>
      <c r="BM12" s="23">
        <f t="shared" si="14"/>
        <v>15.024985321938765</v>
      </c>
      <c r="BN12" s="24">
        <f t="shared" si="15"/>
        <v>8.0222454171830909E-2</v>
      </c>
      <c r="BO12" s="25">
        <f t="shared" si="16"/>
        <v>185023.20000000065</v>
      </c>
      <c r="BP12" s="213">
        <f t="shared" si="17"/>
        <v>7701.4599999999773</v>
      </c>
      <c r="BQ12">
        <f t="shared" si="18"/>
        <v>1.1917337212180297</v>
      </c>
    </row>
    <row r="13" spans="1:70">
      <c r="A13" s="16">
        <v>10</v>
      </c>
      <c r="B13" s="27">
        <v>10</v>
      </c>
      <c r="C13" s="26"/>
      <c r="D13" s="19">
        <f>'10'!D3</f>
        <v>30</v>
      </c>
      <c r="E13" s="256">
        <f>'10'!D4</f>
        <v>0.78</v>
      </c>
      <c r="F13" s="256">
        <f>'10'!D2</f>
        <v>0.52</v>
      </c>
      <c r="G13" s="19">
        <f>'10'!G8</f>
        <v>15255</v>
      </c>
      <c r="H13" s="19">
        <f>'10'!G8</f>
        <v>15255</v>
      </c>
      <c r="I13" s="19">
        <f>'10'!G7</f>
        <v>15144</v>
      </c>
      <c r="J13" s="19">
        <v>10</v>
      </c>
      <c r="K13" s="242">
        <f t="shared" si="3"/>
        <v>152550</v>
      </c>
      <c r="L13" s="238">
        <f t="shared" si="4"/>
        <v>74.970297029702976</v>
      </c>
      <c r="M13" s="19">
        <f>'10'!G15</f>
        <v>243</v>
      </c>
      <c r="N13" s="19">
        <v>35</v>
      </c>
      <c r="O13" s="238">
        <f t="shared" si="5"/>
        <v>8505</v>
      </c>
      <c r="P13" s="19">
        <f>'10'!G20</f>
        <v>77</v>
      </c>
      <c r="Q13" s="19">
        <v>134</v>
      </c>
      <c r="R13" s="239">
        <f t="shared" si="0"/>
        <v>10318</v>
      </c>
      <c r="S13" s="240">
        <f t="shared" si="1"/>
        <v>73.3054074638233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24</v>
      </c>
      <c r="X13" s="22">
        <f>'10'!G97</f>
        <v>7</v>
      </c>
      <c r="Y13" s="22">
        <f>'10'!G98</f>
        <v>9</v>
      </c>
      <c r="Z13" s="22">
        <f t="shared" si="7"/>
        <v>40</v>
      </c>
      <c r="AA13" s="19">
        <f>'10'!G133</f>
        <v>24.029999999998836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24.029999999998836</v>
      </c>
      <c r="AF13" s="23">
        <f t="shared" si="2"/>
        <v>4860.890000000014</v>
      </c>
      <c r="AG13" s="23">
        <f t="shared" si="9"/>
        <v>202.28422804828338</v>
      </c>
      <c r="AH13" s="19">
        <f>'10'!G137</f>
        <v>0</v>
      </c>
      <c r="AI13" s="19">
        <f>'10'!G138</f>
        <v>0</v>
      </c>
      <c r="AJ13" s="19">
        <f>'10'!G139</f>
        <v>0.13000000000465661</v>
      </c>
      <c r="AK13" s="19">
        <f t="shared" si="10"/>
        <v>0.13000000000465661</v>
      </c>
      <c r="AL13" s="19">
        <f>'10'!G140</f>
        <v>7.5799999999999272</v>
      </c>
      <c r="AM13" s="19">
        <f>'10'!G141</f>
        <v>0</v>
      </c>
      <c r="AN13" s="19"/>
      <c r="AO13" s="19">
        <f t="shared" si="11"/>
        <v>7.5799999999999272</v>
      </c>
      <c r="AP13" s="258">
        <f>'10'!G124</f>
        <v>200</v>
      </c>
      <c r="AQ13" s="261">
        <f>'10'!G35</f>
        <v>1851</v>
      </c>
      <c r="AR13" s="19">
        <f>'10'!G37</f>
        <v>1187</v>
      </c>
      <c r="AS13" s="19">
        <f>'10'!G38</f>
        <v>1067</v>
      </c>
      <c r="AT13" s="19">
        <f>'10'!G39</f>
        <v>1650</v>
      </c>
      <c r="AU13" s="19">
        <f>'10'!G40</f>
        <v>0</v>
      </c>
      <c r="AV13" s="19">
        <f>'10'!G41</f>
        <v>4861</v>
      </c>
      <c r="AW13" s="19">
        <f>'10'!G42</f>
        <v>0</v>
      </c>
      <c r="AX13" s="19">
        <f>'10'!G43</f>
        <v>2128</v>
      </c>
      <c r="AY13" s="23">
        <f>'10'!G44</f>
        <v>0</v>
      </c>
      <c r="AZ13" s="262">
        <f>'10'!G36</f>
        <v>0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523</v>
      </c>
      <c r="BE13" s="19">
        <f>'10'!G54</f>
        <v>73</v>
      </c>
      <c r="BF13" s="19">
        <f>'10'!G55</f>
        <v>0</v>
      </c>
      <c r="BG13" s="19">
        <f>'10'!G56</f>
        <v>-0.10999999998603016</v>
      </c>
      <c r="BH13" s="19">
        <f>'10'!G57</f>
        <v>0</v>
      </c>
      <c r="BI13" s="262">
        <f>'10'!G50</f>
        <v>939</v>
      </c>
      <c r="BJ13" s="370">
        <f t="shared" si="12"/>
        <v>4860.890000000014</v>
      </c>
      <c r="BK13" s="370">
        <f>'8'!G84</f>
        <v>794</v>
      </c>
      <c r="BL13" s="23">
        <f t="shared" si="13"/>
        <v>58.372226624405798</v>
      </c>
      <c r="BM13" s="23">
        <f t="shared" si="14"/>
        <v>14.34891706286318</v>
      </c>
      <c r="BN13" s="24">
        <f t="shared" si="15"/>
        <v>7.0456946645536186E-2</v>
      </c>
      <c r="BO13" s="25">
        <f t="shared" si="16"/>
        <v>171373</v>
      </c>
      <c r="BP13" s="213">
        <f t="shared" si="17"/>
        <v>7782.890000000014</v>
      </c>
      <c r="BQ13">
        <f t="shared" si="18"/>
        <v>1.1567222519470293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0.5</v>
      </c>
      <c r="G14" s="19">
        <f>'11'!G8</f>
        <v>14613.82</v>
      </c>
      <c r="H14" s="19">
        <f>'11'!G8</f>
        <v>14613.82</v>
      </c>
      <c r="I14" s="19">
        <f>'11'!G7</f>
        <v>14482.59</v>
      </c>
      <c r="J14" s="19">
        <v>10</v>
      </c>
      <c r="K14" s="242">
        <f t="shared" si="3"/>
        <v>146138.20000000001</v>
      </c>
      <c r="L14" s="238">
        <f t="shared" si="4"/>
        <v>71.695990099009904</v>
      </c>
      <c r="M14" s="19">
        <f>'11'!G15</f>
        <v>333.68999999994412</v>
      </c>
      <c r="N14" s="19">
        <v>35</v>
      </c>
      <c r="O14" s="238">
        <f t="shared" si="5"/>
        <v>11679.149999998044</v>
      </c>
      <c r="P14" s="19">
        <f>'11'!G20</f>
        <v>75</v>
      </c>
      <c r="Q14" s="19">
        <v>134</v>
      </c>
      <c r="R14" s="239">
        <f t="shared" si="0"/>
        <v>10050</v>
      </c>
      <c r="S14" s="240">
        <f t="shared" si="1"/>
        <v>74.257425742574256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26</v>
      </c>
      <c r="X14" s="22">
        <f>'11'!G97</f>
        <v>8</v>
      </c>
      <c r="Y14" s="22">
        <f>'11'!G98</f>
        <v>10</v>
      </c>
      <c r="Z14" s="22">
        <f t="shared" si="7"/>
        <v>44</v>
      </c>
      <c r="AA14" s="19">
        <f>'11'!G133</f>
        <v>24.040000000000873</v>
      </c>
      <c r="AB14" s="19">
        <f>'11'!G134</f>
        <v>0</v>
      </c>
      <c r="AC14" s="19">
        <f>'11'!G135</f>
        <v>-0.33000000000174623</v>
      </c>
      <c r="AD14" s="19">
        <f>'11'!G136</f>
        <v>0</v>
      </c>
      <c r="AE14" s="19">
        <f t="shared" si="8"/>
        <v>23.709999999999127</v>
      </c>
      <c r="AF14" s="23">
        <f t="shared" si="2"/>
        <v>4824.339999999982</v>
      </c>
      <c r="AG14" s="23">
        <f t="shared" si="9"/>
        <v>203.47279628849259</v>
      </c>
      <c r="AH14" s="19">
        <f>'11'!G137</f>
        <v>0</v>
      </c>
      <c r="AI14" s="19">
        <f>'11'!G138</f>
        <v>0.46300000000337604</v>
      </c>
      <c r="AJ14" s="19">
        <f>'11'!G139</f>
        <v>0</v>
      </c>
      <c r="AK14" s="19">
        <f t="shared" si="10"/>
        <v>0.46300000000337604</v>
      </c>
      <c r="AL14" s="19">
        <f>'11'!G140</f>
        <v>7.6700000000000728</v>
      </c>
      <c r="AM14" s="19">
        <f>'11'!G141</f>
        <v>0</v>
      </c>
      <c r="AN14" s="19"/>
      <c r="AO14" s="19">
        <f t="shared" si="11"/>
        <v>7.6700000000000728</v>
      </c>
      <c r="AP14" s="258">
        <f>'11'!G124</f>
        <v>203</v>
      </c>
      <c r="AQ14" s="261">
        <f>'11'!G35</f>
        <v>1869.2299999999814</v>
      </c>
      <c r="AR14" s="19">
        <f>'11'!G37</f>
        <v>1191.5</v>
      </c>
      <c r="AS14" s="19">
        <f>'11'!G38</f>
        <v>998.36999999999534</v>
      </c>
      <c r="AT14" s="19">
        <f>'11'!G39</f>
        <v>1567.1699999999837</v>
      </c>
      <c r="AU14" s="19">
        <f>'11'!G40</f>
        <v>86.24</v>
      </c>
      <c r="AV14" s="19">
        <f>'11'!G41</f>
        <v>4794.0299999999988</v>
      </c>
      <c r="AW14" s="19">
        <f>'11'!G42</f>
        <v>8.000000000174623E-2</v>
      </c>
      <c r="AX14" s="19">
        <f>'11'!G43</f>
        <v>2093.1899999999441</v>
      </c>
      <c r="AY14" s="23">
        <f>'11'!G44</f>
        <v>0</v>
      </c>
      <c r="AZ14" s="262">
        <f>'11'!G36</f>
        <v>0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486.22999999998137</v>
      </c>
      <c r="BE14" s="19">
        <f>'11'!G54</f>
        <v>72.649999999999636</v>
      </c>
      <c r="BF14" s="19">
        <f>'11'!G55</f>
        <v>0</v>
      </c>
      <c r="BG14" s="19">
        <f>'11'!G56</f>
        <v>30.229999999981374</v>
      </c>
      <c r="BH14" s="19">
        <f>'11'!G57</f>
        <v>0</v>
      </c>
      <c r="BI14" s="262">
        <f>'11'!G50</f>
        <v>771.95000000001164</v>
      </c>
      <c r="BJ14" s="370">
        <f t="shared" si="12"/>
        <v>4824.339999999982</v>
      </c>
      <c r="BK14" s="370">
        <f>'11'!G84</f>
        <v>552</v>
      </c>
      <c r="BL14" s="23">
        <f t="shared" si="13"/>
        <v>60.671192100307387</v>
      </c>
      <c r="BM14" s="23">
        <f t="shared" si="14"/>
        <v>14.178403172360504</v>
      </c>
      <c r="BN14" s="24">
        <f t="shared" si="15"/>
        <v>6.8935874039104561E-2</v>
      </c>
      <c r="BO14" s="25">
        <f t="shared" si="16"/>
        <v>167867.34999999806</v>
      </c>
      <c r="BP14" s="213">
        <f t="shared" si="17"/>
        <v>7469.5299999999261</v>
      </c>
      <c r="BQ14">
        <f t="shared" si="18"/>
        <v>1.1251325540760682</v>
      </c>
    </row>
    <row r="15" spans="1:70">
      <c r="A15" s="16">
        <v>12</v>
      </c>
      <c r="B15" s="26">
        <v>12</v>
      </c>
      <c r="C15" s="27"/>
      <c r="D15" s="19">
        <f>'12'!D3</f>
        <v>30</v>
      </c>
      <c r="E15" s="256">
        <f>'12'!D4</f>
        <v>0.78</v>
      </c>
      <c r="F15" s="256">
        <f>'12'!D2</f>
        <v>0.5</v>
      </c>
      <c r="G15" s="19">
        <f>'12'!G8</f>
        <v>15259.89</v>
      </c>
      <c r="H15" s="19">
        <f>'12'!G8</f>
        <v>15259.89</v>
      </c>
      <c r="I15" s="19">
        <f>'12'!G7</f>
        <v>15169.280000000002</v>
      </c>
      <c r="J15" s="19">
        <v>10</v>
      </c>
      <c r="K15" s="242">
        <f t="shared" si="3"/>
        <v>152598.9</v>
      </c>
      <c r="L15" s="238">
        <f t="shared" si="4"/>
        <v>75.095445544554465</v>
      </c>
      <c r="M15" s="19">
        <f>'12'!G15</f>
        <v>436.43000000016764</v>
      </c>
      <c r="N15" s="19">
        <v>35</v>
      </c>
      <c r="O15" s="234">
        <f t="shared" si="5"/>
        <v>15275.050000005867</v>
      </c>
      <c r="P15" s="19">
        <f>'12'!G20</f>
        <v>52</v>
      </c>
      <c r="Q15" s="19">
        <v>134</v>
      </c>
      <c r="R15" s="239">
        <f t="shared" si="0"/>
        <v>6968</v>
      </c>
      <c r="S15" s="240">
        <f t="shared" si="1"/>
        <v>51.485148514851488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35</v>
      </c>
      <c r="X15" s="22">
        <f>'12'!G97</f>
        <v>6</v>
      </c>
      <c r="Y15" s="22">
        <f>'12'!G98</f>
        <v>9</v>
      </c>
      <c r="Z15" s="22">
        <f t="shared" si="7"/>
        <v>50</v>
      </c>
      <c r="AA15" s="19">
        <f>'12'!G133</f>
        <v>20.94999999999709</v>
      </c>
      <c r="AB15" s="19">
        <f>'12'!G134</f>
        <v>0</v>
      </c>
      <c r="AC15" s="19">
        <f>'12'!G135</f>
        <v>3.430000000000291</v>
      </c>
      <c r="AD15" s="19">
        <f>'12'!G136</f>
        <v>0</v>
      </c>
      <c r="AE15" s="19">
        <f t="shared" si="8"/>
        <v>24.379999999997381</v>
      </c>
      <c r="AF15" s="23">
        <f t="shared" si="2"/>
        <v>5003.0000000000082</v>
      </c>
      <c r="AG15" s="23">
        <f t="shared" si="9"/>
        <v>205.20918785892312</v>
      </c>
      <c r="AH15" s="19">
        <f>'12'!G137</f>
        <v>0</v>
      </c>
      <c r="AI15" s="19">
        <f>'12'!G138</f>
        <v>-3.0000000006111804E-3</v>
      </c>
      <c r="AJ15" s="19">
        <f>'12'!G139</f>
        <v>10.05000000000291</v>
      </c>
      <c r="AK15" s="19">
        <f t="shared" si="10"/>
        <v>10.047000000002299</v>
      </c>
      <c r="AL15" s="19">
        <f>'12'!G140</f>
        <v>7.5199999999999818</v>
      </c>
      <c r="AM15" s="19">
        <f>'12'!G141</f>
        <v>0</v>
      </c>
      <c r="AN15" s="19"/>
      <c r="AO15" s="19">
        <f t="shared" si="11"/>
        <v>7.5199999999999818</v>
      </c>
      <c r="AP15" s="258">
        <f>'12'!G124</f>
        <v>200.90000000002328</v>
      </c>
      <c r="AQ15" s="261">
        <f>'12'!G35</f>
        <v>1863.4400000000605</v>
      </c>
      <c r="AR15" s="19">
        <f>'12'!G37</f>
        <v>1184.3600000000006</v>
      </c>
      <c r="AS15" s="19">
        <f>'12'!G38</f>
        <v>1220.2700000000186</v>
      </c>
      <c r="AT15" s="19">
        <f>'12'!G39</f>
        <v>1670.2399999999907</v>
      </c>
      <c r="AU15" s="19">
        <f>'12'!G40</f>
        <v>64.27000000000001</v>
      </c>
      <c r="AV15" s="19">
        <f>'12'!G41</f>
        <v>4377.5199999999895</v>
      </c>
      <c r="AW15" s="19">
        <f>'12'!G42</f>
        <v>0</v>
      </c>
      <c r="AX15" s="19">
        <f>'12'!G43</f>
        <v>2094.1100000001024</v>
      </c>
      <c r="AY15" s="23">
        <f>'12'!G44</f>
        <v>0</v>
      </c>
      <c r="AZ15" s="262">
        <f>'12'!G36</f>
        <v>0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506.48000000003958</v>
      </c>
      <c r="BE15" s="19">
        <f>'12'!G54</f>
        <v>73.399999999999636</v>
      </c>
      <c r="BF15" s="19">
        <f>'12'!G55</f>
        <v>615.96</v>
      </c>
      <c r="BG15" s="19">
        <f>'12'!G56</f>
        <v>9.5200000000186265</v>
      </c>
      <c r="BH15" s="19">
        <f>'12'!G57</f>
        <v>0</v>
      </c>
      <c r="BI15" s="262">
        <f>'12'!G50</f>
        <v>814.39999999996508</v>
      </c>
      <c r="BJ15" s="370">
        <f t="shared" si="12"/>
        <v>5003.0000000000082</v>
      </c>
      <c r="BK15" s="370">
        <f>'12'!G84</f>
        <v>552</v>
      </c>
      <c r="BL15" s="23">
        <f t="shared" si="13"/>
        <v>59.07037117121029</v>
      </c>
      <c r="BM15" s="23">
        <f t="shared" si="14"/>
        <v>14.349527466036818</v>
      </c>
      <c r="BN15" s="24">
        <f t="shared" si="15"/>
        <v>8.0443501603241443E-2</v>
      </c>
      <c r="BO15" s="25">
        <f t="shared" si="16"/>
        <v>174841.95000000586</v>
      </c>
      <c r="BP15" s="213">
        <f t="shared" si="17"/>
        <v>7649.1100000001106</v>
      </c>
      <c r="BQ15">
        <f t="shared" si="18"/>
        <v>1.1205188679246649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0.78</v>
      </c>
      <c r="F16" s="256">
        <f>'13'!D2</f>
        <v>0.5</v>
      </c>
      <c r="G16" s="19">
        <f>'13'!G8</f>
        <v>14671.020000000004</v>
      </c>
      <c r="H16" s="19">
        <f>'13'!G8</f>
        <v>14671.020000000004</v>
      </c>
      <c r="I16" s="19">
        <f>'13'!G7</f>
        <v>14565.96</v>
      </c>
      <c r="J16" s="19">
        <v>10</v>
      </c>
      <c r="K16" s="242">
        <f t="shared" si="3"/>
        <v>146710.20000000004</v>
      </c>
      <c r="L16" s="238">
        <f t="shared" si="4"/>
        <v>72.108712871287125</v>
      </c>
      <c r="M16" s="19">
        <f>'13'!G15</f>
        <v>650.87999999988824</v>
      </c>
      <c r="N16" s="19">
        <v>35</v>
      </c>
      <c r="O16" s="234">
        <f t="shared" si="5"/>
        <v>22780.799999996088</v>
      </c>
      <c r="P16" s="19">
        <f>'13'!G20</f>
        <v>77</v>
      </c>
      <c r="Q16" s="19">
        <v>134</v>
      </c>
      <c r="R16" s="239">
        <f t="shared" si="0"/>
        <v>10318</v>
      </c>
      <c r="S16" s="240">
        <f t="shared" si="1"/>
        <v>76.237623762376231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52</v>
      </c>
      <c r="X16" s="22">
        <f>'13'!G97</f>
        <v>6</v>
      </c>
      <c r="Y16" s="22">
        <f>'13'!G98</f>
        <v>12</v>
      </c>
      <c r="Z16" s="22">
        <f t="shared" si="7"/>
        <v>70</v>
      </c>
      <c r="AA16" s="19">
        <f>'13'!G133</f>
        <v>0</v>
      </c>
      <c r="AB16" s="19">
        <f>'13'!G134</f>
        <v>0</v>
      </c>
      <c r="AC16" s="19">
        <f>'13'!G135</f>
        <v>24.470000000001164</v>
      </c>
      <c r="AD16" s="19">
        <f>'13'!G136</f>
        <v>0</v>
      </c>
      <c r="AE16" s="19">
        <f t="shared" si="8"/>
        <v>24.470000000001164</v>
      </c>
      <c r="AF16" s="23">
        <f t="shared" si="2"/>
        <v>4621.0999999999631</v>
      </c>
      <c r="AG16" s="23">
        <f t="shared" si="9"/>
        <v>188.84756845115419</v>
      </c>
      <c r="AH16" s="19">
        <f>'13'!G137</f>
        <v>7.9199999999982538</v>
      </c>
      <c r="AI16" s="19">
        <f>'13'!G138</f>
        <v>0</v>
      </c>
      <c r="AJ16" s="19">
        <f>'13'!G139</f>
        <v>0</v>
      </c>
      <c r="AK16" s="19">
        <f t="shared" si="10"/>
        <v>7.9199999999982538</v>
      </c>
      <c r="AL16" s="19">
        <f>'13'!G140</f>
        <v>7.5599999999999454</v>
      </c>
      <c r="AM16" s="19">
        <f>'13'!G141</f>
        <v>0</v>
      </c>
      <c r="AN16" s="19"/>
      <c r="AO16" s="19">
        <f t="shared" si="11"/>
        <v>7.5599999999999454</v>
      </c>
      <c r="AP16" s="258">
        <f>'13'!G124</f>
        <v>204.88000000000466</v>
      </c>
      <c r="AQ16" s="261">
        <f>'13'!G35</f>
        <v>1794.5599999999395</v>
      </c>
      <c r="AR16" s="19">
        <f>'13'!G37</f>
        <v>1166.1399999999994</v>
      </c>
      <c r="AS16" s="19">
        <f>'13'!G38</f>
        <v>1148.2199999999721</v>
      </c>
      <c r="AT16" s="19">
        <f>'13'!G39</f>
        <v>1649.1800000000512</v>
      </c>
      <c r="AU16" s="19">
        <f>'13'!G40</f>
        <v>59.289999999999992</v>
      </c>
      <c r="AV16" s="19">
        <f>'13'!G41</f>
        <v>0</v>
      </c>
      <c r="AW16" s="19">
        <f>'13'!G42</f>
        <v>0</v>
      </c>
      <c r="AX16" s="19">
        <f>'13'!G43</f>
        <v>2011</v>
      </c>
      <c r="AY16" s="23">
        <f>'13'!G44</f>
        <v>0</v>
      </c>
      <c r="AZ16" s="262">
        <f>'13'!G36</f>
        <v>0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417.44000000000233</v>
      </c>
      <c r="BE16" s="19">
        <f>'13'!G54</f>
        <v>75.159999999999854</v>
      </c>
      <c r="BF16" s="19">
        <f>'13'!G55</f>
        <v>4611.1400000000003</v>
      </c>
      <c r="BG16" s="19">
        <f>'13'!G56</f>
        <v>9.9599999999627471</v>
      </c>
      <c r="BH16" s="19">
        <f>'13'!G57</f>
        <v>0.32999999999992724</v>
      </c>
      <c r="BI16" s="262">
        <f>'13'!G50</f>
        <v>820.80000000004657</v>
      </c>
      <c r="BJ16" s="370">
        <f t="shared" si="12"/>
        <v>4621.0999999999631</v>
      </c>
      <c r="BK16" s="370">
        <f>'13'!G84</f>
        <v>551</v>
      </c>
      <c r="BL16" s="23">
        <f t="shared" si="13"/>
        <v>57.853996578323041</v>
      </c>
      <c r="BM16" s="23">
        <f t="shared" si="14"/>
        <v>14.188010951561406</v>
      </c>
      <c r="BN16" s="24">
        <f t="shared" si="15"/>
        <v>7.8828995823136419E-2</v>
      </c>
      <c r="BO16" s="25">
        <f t="shared" si="16"/>
        <v>179808.99999999613</v>
      </c>
      <c r="BP16" s="213">
        <f t="shared" si="17"/>
        <v>7183.429999999963</v>
      </c>
      <c r="BQ16">
        <f t="shared" si="18"/>
        <v>1.048431023410535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0.63</v>
      </c>
      <c r="G17" s="19">
        <f>'14'!G8</f>
        <v>14430.549999999996</v>
      </c>
      <c r="H17" s="19">
        <f>'14'!G8</f>
        <v>14430.549999999996</v>
      </c>
      <c r="I17" s="19">
        <f>'14'!G7</f>
        <v>14303.68</v>
      </c>
      <c r="J17" s="19">
        <v>10</v>
      </c>
      <c r="K17" s="242">
        <f t="shared" si="3"/>
        <v>144305.49999999994</v>
      </c>
      <c r="L17" s="238">
        <f t="shared" si="4"/>
        <v>70.810297029702966</v>
      </c>
      <c r="M17" s="19">
        <f>'14'!G15</f>
        <v>292.58000000007451</v>
      </c>
      <c r="N17" s="19">
        <v>35</v>
      </c>
      <c r="O17" s="234">
        <f t="shared" si="5"/>
        <v>10240.300000002608</v>
      </c>
      <c r="P17" s="19">
        <f>'14'!G20</f>
        <v>77</v>
      </c>
      <c r="Q17" s="19">
        <v>134</v>
      </c>
      <c r="R17" s="239">
        <f t="shared" si="0"/>
        <v>10318</v>
      </c>
      <c r="S17" s="240">
        <f t="shared" si="1"/>
        <v>60.506050605060508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46</v>
      </c>
      <c r="X17" s="22">
        <f>'14'!G97</f>
        <v>10</v>
      </c>
      <c r="Y17" s="22">
        <f>'14'!G98</f>
        <v>17</v>
      </c>
      <c r="Z17" s="22">
        <f>W17+X17+Y17</f>
        <v>73</v>
      </c>
      <c r="AA17" s="19">
        <f>'14'!G133</f>
        <v>0</v>
      </c>
      <c r="AB17" s="19">
        <f>'14'!G134</f>
        <v>0</v>
      </c>
      <c r="AC17" s="19">
        <f>'14'!G135</f>
        <v>24.229999999995925</v>
      </c>
      <c r="AD17" s="19">
        <f>'14'!G136</f>
        <v>0.41999999999825377</v>
      </c>
      <c r="AE17" s="19">
        <f t="shared" si="8"/>
        <v>24.649999999994179</v>
      </c>
      <c r="AF17" s="23">
        <f t="shared" si="2"/>
        <v>4497.8899999999994</v>
      </c>
      <c r="AG17" s="23">
        <f t="shared" si="9"/>
        <v>182.47018255582401</v>
      </c>
      <c r="AH17" s="19">
        <f>'14'!G137</f>
        <v>0</v>
      </c>
      <c r="AI17" s="19">
        <f>'14'!G138</f>
        <v>0</v>
      </c>
      <c r="AJ17" s="19">
        <f>'14'!G139</f>
        <v>0</v>
      </c>
      <c r="AK17" s="19">
        <f t="shared" si="10"/>
        <v>0</v>
      </c>
      <c r="AL17" s="19">
        <f>'14'!G140</f>
        <v>7.5800000000001546</v>
      </c>
      <c r="AM17" s="19">
        <f>'14'!G141</f>
        <v>0</v>
      </c>
      <c r="AN17" s="19"/>
      <c r="AO17" s="19">
        <f t="shared" si="11"/>
        <v>7.5800000000001546</v>
      </c>
      <c r="AP17" s="258">
        <f>'14'!G124</f>
        <v>201.30999999993946</v>
      </c>
      <c r="AQ17" s="261">
        <f>'14'!G35</f>
        <v>1788.7199999999721</v>
      </c>
      <c r="AR17" s="19">
        <f>'14'!G37</f>
        <v>1194.9100000000035</v>
      </c>
      <c r="AS17" s="19">
        <f>'14'!G38</f>
        <v>1089.1100000000151</v>
      </c>
      <c r="AT17" s="19">
        <f>'14'!G39</f>
        <v>1783.2999999999884</v>
      </c>
      <c r="AU17" s="19">
        <f>'14'!G40</f>
        <v>52.999999999999972</v>
      </c>
      <c r="AV17" s="19">
        <f>'14'!G41</f>
        <v>0</v>
      </c>
      <c r="AW17" s="19">
        <f>'14'!G42</f>
        <v>0</v>
      </c>
      <c r="AX17" s="19">
        <f>'14'!G43</f>
        <v>2007.8999999999069</v>
      </c>
      <c r="AY17" s="23">
        <f>'14'!G44</f>
        <v>0</v>
      </c>
      <c r="AZ17" s="262">
        <f>'14'!G36</f>
        <v>0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424.13999999995576</v>
      </c>
      <c r="BE17" s="19">
        <f>'14'!G54</f>
        <v>71.800000000001091</v>
      </c>
      <c r="BF17" s="19">
        <f>'14'!G55</f>
        <v>4497.8899999999994</v>
      </c>
      <c r="BG17" s="19">
        <f>'14'!G56</f>
        <v>0</v>
      </c>
      <c r="BH17" s="19">
        <f>'14'!G57</f>
        <v>0</v>
      </c>
      <c r="BI17" s="262">
        <f>'14'!G50</f>
        <v>785.8399999999674</v>
      </c>
      <c r="BJ17" s="370">
        <f t="shared" si="12"/>
        <v>4497.8899999999994</v>
      </c>
      <c r="BK17" s="370">
        <f>'14'!G84</f>
        <v>562</v>
      </c>
      <c r="BL17" s="23">
        <f t="shared" si="13"/>
        <v>57.988643481956238</v>
      </c>
      <c r="BM17" s="23">
        <f t="shared" si="14"/>
        <v>15.432671871853566</v>
      </c>
      <c r="BN17" s="24">
        <f t="shared" si="15"/>
        <v>7.6141943891363278E-2</v>
      </c>
      <c r="BO17" s="25">
        <f t="shared" si="16"/>
        <v>164863.80000000255</v>
      </c>
      <c r="BP17" s="213">
        <f t="shared" si="17"/>
        <v>7067.7899999999063</v>
      </c>
      <c r="BQ17">
        <f t="shared" si="18"/>
        <v>1.0240205737469683</v>
      </c>
    </row>
    <row r="18" spans="1:69">
      <c r="A18" s="16">
        <v>15</v>
      </c>
      <c r="B18" s="26">
        <v>15</v>
      </c>
      <c r="C18" s="18"/>
      <c r="D18" s="19">
        <f>'15'!D3</f>
        <v>31</v>
      </c>
      <c r="E18" s="256">
        <f>'15'!D4</f>
        <v>0.78</v>
      </c>
      <c r="F18" s="256">
        <f>'15'!D2</f>
        <v>0.83</v>
      </c>
      <c r="G18" s="19">
        <f>'15'!G8</f>
        <v>17116.72</v>
      </c>
      <c r="H18" s="19">
        <f>'15'!G8</f>
        <v>17116.72</v>
      </c>
      <c r="I18" s="19">
        <f>'15'!G7</f>
        <v>17032.489999999998</v>
      </c>
      <c r="J18" s="19">
        <v>10</v>
      </c>
      <c r="K18" s="242">
        <f t="shared" si="3"/>
        <v>171167.2</v>
      </c>
      <c r="L18" s="238">
        <f t="shared" si="4"/>
        <v>84.319257425742563</v>
      </c>
      <c r="M18" s="19">
        <f>'15'!G15</f>
        <v>437.41999999992549</v>
      </c>
      <c r="N18" s="19">
        <v>35</v>
      </c>
      <c r="O18" s="234">
        <f t="shared" si="5"/>
        <v>15309.699999997392</v>
      </c>
      <c r="P18" s="19">
        <f>'15'!G20</f>
        <v>116</v>
      </c>
      <c r="Q18" s="19">
        <v>134</v>
      </c>
      <c r="R18" s="239">
        <f t="shared" si="0"/>
        <v>15544</v>
      </c>
      <c r="S18" s="240">
        <f t="shared" si="1"/>
        <v>69.187641655731838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42</v>
      </c>
      <c r="X18" s="22">
        <f>'15'!G97</f>
        <v>10</v>
      </c>
      <c r="Y18" s="22">
        <f>'15'!G98</f>
        <v>33</v>
      </c>
      <c r="Z18" s="22">
        <f t="shared" si="7"/>
        <v>85</v>
      </c>
      <c r="AA18" s="19">
        <f>'15'!G133</f>
        <v>2.1699999999982538</v>
      </c>
      <c r="AB18" s="19">
        <f>'15'!G134</f>
        <v>0</v>
      </c>
      <c r="AC18" s="19">
        <f>'15'!G135</f>
        <v>23.930000000000291</v>
      </c>
      <c r="AD18" s="19">
        <f>'15'!G136</f>
        <v>0</v>
      </c>
      <c r="AE18" s="19">
        <f t="shared" si="8"/>
        <v>26.099999999998545</v>
      </c>
      <c r="AF18" s="23">
        <f t="shared" si="2"/>
        <v>5855.1400000000194</v>
      </c>
      <c r="AG18" s="23">
        <f t="shared" si="9"/>
        <v>224.33486590039638</v>
      </c>
      <c r="AH18" s="19">
        <f>'15'!G137</f>
        <v>0</v>
      </c>
      <c r="AI18" s="19">
        <f>'15'!G138</f>
        <v>0</v>
      </c>
      <c r="AJ18" s="19">
        <f>'15'!G139</f>
        <v>9.5299999999988358</v>
      </c>
      <c r="AK18" s="19">
        <f t="shared" si="10"/>
        <v>9.5299999999988358</v>
      </c>
      <c r="AL18" s="19">
        <f>'15'!G140</f>
        <v>7.6199999999998909</v>
      </c>
      <c r="AM18" s="19">
        <f>'15'!G141</f>
        <v>0</v>
      </c>
      <c r="AN18" s="19"/>
      <c r="AO18" s="19">
        <f t="shared" si="11"/>
        <v>7.6199999999998909</v>
      </c>
      <c r="AP18" s="258">
        <f>'15'!G124</f>
        <v>200.9100000000326</v>
      </c>
      <c r="AQ18" s="261">
        <f>'15'!G35</f>
        <v>2007.0500000000466</v>
      </c>
      <c r="AR18" s="19">
        <f>'15'!G37</f>
        <v>1297.0899999999965</v>
      </c>
      <c r="AS18" s="19">
        <f>'15'!G38</f>
        <v>1316.0299999999988</v>
      </c>
      <c r="AT18" s="19">
        <f>'15'!G39</f>
        <v>2173.109999999986</v>
      </c>
      <c r="AU18" s="19">
        <f>'15'!G40</f>
        <v>34.970000000000027</v>
      </c>
      <c r="AV18" s="19">
        <f>'15'!G41</f>
        <v>471.45000000001164</v>
      </c>
      <c r="AW18" s="19">
        <f>'15'!G42</f>
        <v>-8.000000000174623E-2</v>
      </c>
      <c r="AX18" s="19">
        <f>'15'!G43</f>
        <v>2074.8000000000466</v>
      </c>
      <c r="AY18" s="23">
        <f>'15'!G44</f>
        <v>0</v>
      </c>
      <c r="AZ18" s="262">
        <f>'15'!G36</f>
        <v>0</v>
      </c>
      <c r="BA18" s="261">
        <f>'15'!G49</f>
        <v>-0.13000000000465661</v>
      </c>
      <c r="BB18" s="19">
        <f>'15'!G51</f>
        <v>0</v>
      </c>
      <c r="BC18" s="19">
        <f>'15'!G52</f>
        <v>-6.9999999948777258E-2</v>
      </c>
      <c r="BD18" s="19">
        <f>'15'!G53</f>
        <v>474.71000000002095</v>
      </c>
      <c r="BE18" s="19">
        <f>'15'!G54</f>
        <v>70.989999999999782</v>
      </c>
      <c r="BF18" s="19">
        <f>'15'!G55</f>
        <v>5373.01</v>
      </c>
      <c r="BG18" s="19">
        <f>'15'!G56</f>
        <v>10.760000000009313</v>
      </c>
      <c r="BH18" s="19">
        <f>'15'!G57</f>
        <v>0</v>
      </c>
      <c r="BI18" s="262">
        <f>'15'!G50</f>
        <v>895.01000000000931</v>
      </c>
      <c r="BJ18" s="370">
        <f t="shared" si="12"/>
        <v>5855.1400000000194</v>
      </c>
      <c r="BK18" s="370">
        <f>'15'!G84</f>
        <v>599</v>
      </c>
      <c r="BL18" s="23">
        <f t="shared" si="13"/>
        <v>58.340618429836795</v>
      </c>
      <c r="BM18" s="23">
        <f t="shared" si="14"/>
        <v>15.54570118637972</v>
      </c>
      <c r="BN18" s="24">
        <f t="shared" si="15"/>
        <v>7.7261750924265932E-2</v>
      </c>
      <c r="BO18" s="25">
        <f t="shared" si="16"/>
        <v>202020.8999999974</v>
      </c>
      <c r="BP18" s="213">
        <f t="shared" si="17"/>
        <v>8528.940000000066</v>
      </c>
      <c r="BQ18">
        <f t="shared" si="18"/>
        <v>1.1670689655173154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15155</v>
      </c>
      <c r="H19" s="19">
        <f>'16'!G8</f>
        <v>15155</v>
      </c>
      <c r="I19" s="19">
        <f>'16'!G7</f>
        <v>15022</v>
      </c>
      <c r="J19" s="19">
        <v>10</v>
      </c>
      <c r="K19" s="242">
        <f t="shared" si="3"/>
        <v>151550</v>
      </c>
      <c r="L19" s="238">
        <f t="shared" si="4"/>
        <v>74.366336633663366</v>
      </c>
      <c r="M19" s="19">
        <f>'16'!G15</f>
        <v>317</v>
      </c>
      <c r="N19" s="19">
        <v>35</v>
      </c>
      <c r="O19" s="234">
        <f t="shared" si="5"/>
        <v>11095</v>
      </c>
      <c r="P19" s="19">
        <f>'16'!G20</f>
        <v>117</v>
      </c>
      <c r="Q19" s="19">
        <v>134</v>
      </c>
      <c r="R19" s="239">
        <f t="shared" si="0"/>
        <v>15678</v>
      </c>
      <c r="S19" s="240">
        <f t="shared" si="1"/>
        <v>111.38613861386139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27</v>
      </c>
      <c r="X19" s="22">
        <f>'16'!G97</f>
        <v>14</v>
      </c>
      <c r="Y19" s="22">
        <f>'16'!G98</f>
        <v>19</v>
      </c>
      <c r="Z19" s="22">
        <f t="shared" si="7"/>
        <v>60</v>
      </c>
      <c r="AA19" s="19">
        <f>'16'!G133</f>
        <v>0</v>
      </c>
      <c r="AB19" s="19">
        <f>'16'!G134</f>
        <v>0</v>
      </c>
      <c r="AC19" s="19">
        <f>'16'!G135</f>
        <v>23.590000000003783</v>
      </c>
      <c r="AD19" s="19">
        <f>'16'!G136</f>
        <v>0</v>
      </c>
      <c r="AE19" s="19">
        <f t="shared" si="8"/>
        <v>23.590000000003783</v>
      </c>
      <c r="AF19" s="23">
        <f t="shared" si="2"/>
        <v>4448</v>
      </c>
      <c r="AG19" s="23">
        <f t="shared" si="9"/>
        <v>188.5544722339672</v>
      </c>
      <c r="AH19" s="19">
        <f>'16'!G137</f>
        <v>0</v>
      </c>
      <c r="AI19" s="19">
        <f>'16'!G138</f>
        <v>0</v>
      </c>
      <c r="AJ19" s="19">
        <f>'16'!G139</f>
        <v>0</v>
      </c>
      <c r="AK19" s="19">
        <f t="shared" si="10"/>
        <v>0</v>
      </c>
      <c r="AL19" s="19">
        <f>'16'!G140</f>
        <v>7.9700000000000273</v>
      </c>
      <c r="AM19" s="19">
        <f>'16'!G141</f>
        <v>0</v>
      </c>
      <c r="AN19" s="19"/>
      <c r="AO19" s="19">
        <f t="shared" si="11"/>
        <v>7.9700000000000273</v>
      </c>
      <c r="AP19" s="258">
        <f>'16'!G124</f>
        <v>209</v>
      </c>
      <c r="AQ19" s="261">
        <f>'16'!G35</f>
        <v>1926</v>
      </c>
      <c r="AR19" s="19">
        <f>'16'!G37</f>
        <v>1239</v>
      </c>
      <c r="AS19" s="19">
        <f>'16'!G38</f>
        <v>1097</v>
      </c>
      <c r="AT19" s="19">
        <f>'16'!G39</f>
        <v>2154</v>
      </c>
      <c r="AU19" s="19">
        <f>'16'!G40</f>
        <v>52</v>
      </c>
      <c r="AV19" s="19">
        <f>'16'!G41</f>
        <v>0</v>
      </c>
      <c r="AW19" s="19">
        <f>'16'!G42</f>
        <v>0</v>
      </c>
      <c r="AX19" s="19">
        <f>'16'!G43</f>
        <v>2126</v>
      </c>
      <c r="AY19" s="23">
        <f>'16'!G44</f>
        <v>0</v>
      </c>
      <c r="AZ19" s="262">
        <f>'16'!G36</f>
        <v>0</v>
      </c>
      <c r="BA19" s="261">
        <f>'16'!G49</f>
        <v>0.13000000000465661</v>
      </c>
      <c r="BB19" s="19">
        <f>'16'!G51</f>
        <v>0</v>
      </c>
      <c r="BC19" s="19">
        <f>'16'!G52</f>
        <v>0</v>
      </c>
      <c r="BD19" s="19">
        <f>'16'!G53</f>
        <v>454</v>
      </c>
      <c r="BE19" s="19">
        <f>'16'!G54</f>
        <v>73</v>
      </c>
      <c r="BF19" s="19">
        <f>'16'!G55</f>
        <v>4448</v>
      </c>
      <c r="BG19" s="19">
        <f>'16'!G56</f>
        <v>0</v>
      </c>
      <c r="BH19" s="19">
        <f>'16'!G57</f>
        <v>0</v>
      </c>
      <c r="BI19" s="262">
        <f>'16'!G50</f>
        <v>821</v>
      </c>
      <c r="BJ19" s="370">
        <f t="shared" si="12"/>
        <v>4448</v>
      </c>
      <c r="BK19" s="370">
        <f>'16'!G84</f>
        <v>511</v>
      </c>
      <c r="BL19" s="23">
        <f t="shared" si="13"/>
        <v>56.584542670749599</v>
      </c>
      <c r="BM19" s="23">
        <f t="shared" si="14"/>
        <v>17.36120356810012</v>
      </c>
      <c r="BN19" s="24">
        <f t="shared" si="15"/>
        <v>7.302622819864199E-2</v>
      </c>
      <c r="BO19" s="25">
        <f t="shared" si="16"/>
        <v>178323</v>
      </c>
      <c r="BP19" s="213">
        <f t="shared" si="17"/>
        <v>7085</v>
      </c>
      <c r="BQ19">
        <f t="shared" si="18"/>
        <v>1.0726397383877648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15048</v>
      </c>
      <c r="H20" s="19">
        <f>'17'!G8</f>
        <v>15048</v>
      </c>
      <c r="I20" s="19">
        <f>'17'!G7</f>
        <v>14872</v>
      </c>
      <c r="J20" s="19">
        <v>10</v>
      </c>
      <c r="K20" s="242">
        <f t="shared" si="3"/>
        <v>150480</v>
      </c>
      <c r="L20" s="238">
        <f t="shared" si="4"/>
        <v>73.623762376237622</v>
      </c>
      <c r="M20" s="19">
        <f>'17'!G15</f>
        <v>562</v>
      </c>
      <c r="N20" s="19">
        <v>35</v>
      </c>
      <c r="O20" s="234">
        <f t="shared" si="5"/>
        <v>19670</v>
      </c>
      <c r="P20" s="19">
        <f>'17'!G20</f>
        <v>76</v>
      </c>
      <c r="Q20" s="19">
        <v>134</v>
      </c>
      <c r="R20" s="239">
        <f t="shared" si="0"/>
        <v>10184</v>
      </c>
      <c r="S20" s="240">
        <f t="shared" si="1"/>
        <v>62.706270627062707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45</v>
      </c>
      <c r="X20" s="22">
        <f>'17'!G97</f>
        <v>7</v>
      </c>
      <c r="Y20" s="22">
        <f>'17'!G98</f>
        <v>6</v>
      </c>
      <c r="Z20" s="22">
        <f t="shared" si="7"/>
        <v>58</v>
      </c>
      <c r="AA20" s="19">
        <f>'17'!G133</f>
        <v>0</v>
      </c>
      <c r="AB20" s="19">
        <f>'17'!G134</f>
        <v>0</v>
      </c>
      <c r="AC20" s="19">
        <f>'17'!G135</f>
        <v>24.44999999999709</v>
      </c>
      <c r="AD20" s="19">
        <f>'17'!G136</f>
        <v>0</v>
      </c>
      <c r="AE20" s="19">
        <f t="shared" si="8"/>
        <v>24.44999999999709</v>
      </c>
      <c r="AF20" s="23">
        <f t="shared" si="2"/>
        <v>4494</v>
      </c>
      <c r="AG20" s="23">
        <f t="shared" si="9"/>
        <v>183.80368098161696</v>
      </c>
      <c r="AH20" s="19">
        <f>'17'!G137</f>
        <v>6.2800000000024738</v>
      </c>
      <c r="AI20" s="19">
        <f>'17'!G138</f>
        <v>0</v>
      </c>
      <c r="AJ20" s="19">
        <f>'17'!G139</f>
        <v>0</v>
      </c>
      <c r="AK20" s="19">
        <f t="shared" si="10"/>
        <v>6.2800000000024738</v>
      </c>
      <c r="AL20" s="19">
        <f>'17'!G140</f>
        <v>8.0499999999999545</v>
      </c>
      <c r="AM20" s="19">
        <f>'17'!G141</f>
        <v>0</v>
      </c>
      <c r="AN20" s="19"/>
      <c r="AO20" s="19">
        <f t="shared" si="11"/>
        <v>8.0499999999999545</v>
      </c>
      <c r="AP20" s="258">
        <f>'17'!G124</f>
        <v>214</v>
      </c>
      <c r="AQ20" s="261">
        <f>'17'!G35</f>
        <v>1602</v>
      </c>
      <c r="AR20" s="19">
        <f>'17'!G37</f>
        <v>1338</v>
      </c>
      <c r="AS20" s="19">
        <f>'17'!G38</f>
        <v>1050</v>
      </c>
      <c r="AT20" s="19">
        <f>'17'!G39</f>
        <v>2155</v>
      </c>
      <c r="AU20" s="19">
        <f>'17'!G40</f>
        <v>80</v>
      </c>
      <c r="AV20" s="19">
        <f>'17'!G41</f>
        <v>0</v>
      </c>
      <c r="AW20" s="19">
        <f>'17'!G42</f>
        <v>0</v>
      </c>
      <c r="AX20" s="19">
        <f>'17'!G43</f>
        <v>2036</v>
      </c>
      <c r="AY20" s="23">
        <f>'17'!G44</f>
        <v>0</v>
      </c>
      <c r="AZ20" s="262">
        <f>'17'!G36</f>
        <v>0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491</v>
      </c>
      <c r="BE20" s="19">
        <f>'17'!G54</f>
        <v>80</v>
      </c>
      <c r="BF20" s="19">
        <f>'17'!G55</f>
        <v>4494</v>
      </c>
      <c r="BG20" s="19">
        <f>'17'!G56</f>
        <v>0</v>
      </c>
      <c r="BH20" s="19">
        <f>'17'!G57</f>
        <v>0</v>
      </c>
      <c r="BI20" s="262">
        <f>'17'!G50</f>
        <v>762</v>
      </c>
      <c r="BJ20" s="370">
        <f t="shared" si="12"/>
        <v>4494</v>
      </c>
      <c r="BK20" s="370">
        <f>'17'!G84</f>
        <v>419</v>
      </c>
      <c r="BL20" s="23">
        <f t="shared" si="13"/>
        <v>54.679935449166216</v>
      </c>
      <c r="BM20" s="23">
        <f t="shared" si="14"/>
        <v>17.791823561054329</v>
      </c>
      <c r="BN20" s="24">
        <f t="shared" si="15"/>
        <v>7.06024744486283E-2</v>
      </c>
      <c r="BO20" s="25">
        <f t="shared" si="16"/>
        <v>180334</v>
      </c>
      <c r="BP20" s="213">
        <f t="shared" si="17"/>
        <v>6949</v>
      </c>
      <c r="BQ20">
        <f t="shared" si="18"/>
        <v>1.0150452819165683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15496</v>
      </c>
      <c r="H21" s="19">
        <f>'18'!G8</f>
        <v>15496</v>
      </c>
      <c r="I21" s="19">
        <f>'18'!G7</f>
        <v>15342</v>
      </c>
      <c r="J21" s="19">
        <v>10</v>
      </c>
      <c r="K21" s="242">
        <f t="shared" si="3"/>
        <v>154960</v>
      </c>
      <c r="L21" s="238">
        <f t="shared" si="4"/>
        <v>75.950495049504951</v>
      </c>
      <c r="M21" s="19">
        <f>'18'!G15</f>
        <v>400</v>
      </c>
      <c r="N21" s="19">
        <v>35</v>
      </c>
      <c r="O21" s="234">
        <f t="shared" si="5"/>
        <v>14000</v>
      </c>
      <c r="P21" s="19">
        <f>'18'!G20</f>
        <v>105</v>
      </c>
      <c r="Q21" s="19">
        <v>134</v>
      </c>
      <c r="R21" s="239">
        <f t="shared" si="0"/>
        <v>14070</v>
      </c>
      <c r="S21" s="240">
        <f t="shared" si="1"/>
        <v>96.259625962596246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29</v>
      </c>
      <c r="X21" s="22">
        <f>'18'!G97</f>
        <v>12</v>
      </c>
      <c r="Y21" s="22">
        <f>'18'!G98</f>
        <v>8</v>
      </c>
      <c r="Z21" s="22">
        <f t="shared" si="7"/>
        <v>49</v>
      </c>
      <c r="AA21" s="19">
        <f>'18'!G133</f>
        <v>0</v>
      </c>
      <c r="AB21" s="19">
        <f>'18'!G134</f>
        <v>0</v>
      </c>
      <c r="AC21" s="19">
        <f>'18'!G135</f>
        <v>23.900000000001455</v>
      </c>
      <c r="AD21" s="19">
        <f>'18'!G136</f>
        <v>0</v>
      </c>
      <c r="AE21" s="19">
        <f t="shared" si="8"/>
        <v>23.900000000001455</v>
      </c>
      <c r="AF21" s="23">
        <f t="shared" si="2"/>
        <v>5084.5400000000009</v>
      </c>
      <c r="AG21" s="23">
        <f t="shared" si="9"/>
        <v>212.74225941421304</v>
      </c>
      <c r="AH21" s="19">
        <f>'18'!G137</f>
        <v>0</v>
      </c>
      <c r="AI21" s="19">
        <f>'18'!G138</f>
        <v>0</v>
      </c>
      <c r="AJ21" s="19">
        <f>'18'!G139</f>
        <v>8.5299999999988358</v>
      </c>
      <c r="AK21" s="19">
        <f t="shared" si="10"/>
        <v>8.5299999999988358</v>
      </c>
      <c r="AL21" s="19">
        <f>'18'!G140</f>
        <v>7.7400000000000091</v>
      </c>
      <c r="AM21" s="19">
        <f>'18'!G141</f>
        <v>0</v>
      </c>
      <c r="AN21" s="19"/>
      <c r="AO21" s="19">
        <f t="shared" si="11"/>
        <v>7.7400000000000091</v>
      </c>
      <c r="AP21" s="258">
        <f>'18'!G124</f>
        <v>195</v>
      </c>
      <c r="AQ21" s="261">
        <f>'18'!G35</f>
        <v>1530</v>
      </c>
      <c r="AR21" s="19">
        <f>'18'!G37</f>
        <v>1254</v>
      </c>
      <c r="AS21" s="19">
        <f>'18'!G38</f>
        <v>1081</v>
      </c>
      <c r="AT21" s="19">
        <f>'18'!G39</f>
        <v>2101</v>
      </c>
      <c r="AU21" s="19">
        <f>'18'!G40</f>
        <v>89</v>
      </c>
      <c r="AV21" s="19">
        <f>'18'!G41</f>
        <v>0</v>
      </c>
      <c r="AW21" s="19">
        <f>'18'!G42</f>
        <v>0</v>
      </c>
      <c r="AX21" s="19">
        <f>'18'!G43</f>
        <v>2115</v>
      </c>
      <c r="AY21" s="23">
        <f>'18'!G44</f>
        <v>0</v>
      </c>
      <c r="AZ21" s="262">
        <f>'18'!G36</f>
        <v>0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524</v>
      </c>
      <c r="BE21" s="19">
        <f>'18'!G54</f>
        <v>78</v>
      </c>
      <c r="BF21" s="19">
        <f>'18'!G55</f>
        <v>5084.5400000000009</v>
      </c>
      <c r="BG21" s="19">
        <f>'18'!G56</f>
        <v>0</v>
      </c>
      <c r="BH21" s="19">
        <f>'18'!G57</f>
        <v>0</v>
      </c>
      <c r="BI21" s="262">
        <f>'18'!G50</f>
        <v>802</v>
      </c>
      <c r="BJ21" s="370">
        <f t="shared" si="12"/>
        <v>5084.5400000000009</v>
      </c>
      <c r="BK21" s="370">
        <f>'18'!G84</f>
        <v>353</v>
      </c>
      <c r="BL21" s="23">
        <f t="shared" si="13"/>
        <v>56.899621952809291</v>
      </c>
      <c r="BM21" s="23">
        <f t="shared" si="14"/>
        <v>17.109894407508801</v>
      </c>
      <c r="BN21" s="24">
        <f t="shared" si="15"/>
        <v>7.0460174683874333E-2</v>
      </c>
      <c r="BO21" s="25">
        <f t="shared" si="16"/>
        <v>183030</v>
      </c>
      <c r="BP21" s="213">
        <f t="shared" si="17"/>
        <v>7552.5400000000009</v>
      </c>
      <c r="BQ21">
        <f t="shared" si="18"/>
        <v>1.128592349073452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14549</v>
      </c>
      <c r="H22" s="19">
        <f>'19'!G8</f>
        <v>14549</v>
      </c>
      <c r="I22" s="19">
        <f>'19'!G7</f>
        <v>14419</v>
      </c>
      <c r="J22" s="19">
        <v>10</v>
      </c>
      <c r="K22" s="242">
        <f t="shared" si="3"/>
        <v>145490</v>
      </c>
      <c r="L22" s="238">
        <f t="shared" si="4"/>
        <v>71.381188118811878</v>
      </c>
      <c r="M22" s="19">
        <f>'19'!G15</f>
        <v>248</v>
      </c>
      <c r="N22" s="19">
        <v>35</v>
      </c>
      <c r="O22" s="234">
        <f t="shared" si="5"/>
        <v>8680</v>
      </c>
      <c r="P22" s="19">
        <f>'19'!G20</f>
        <v>60</v>
      </c>
      <c r="Q22" s="19">
        <v>134</v>
      </c>
      <c r="R22" s="239">
        <f t="shared" si="0"/>
        <v>8040</v>
      </c>
      <c r="S22" s="240">
        <f t="shared" si="1"/>
        <v>297.02970297029697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23</v>
      </c>
      <c r="X22" s="22">
        <f>'19'!G97</f>
        <v>7</v>
      </c>
      <c r="Y22" s="22">
        <f>'19'!G98</f>
        <v>12</v>
      </c>
      <c r="Z22" s="22">
        <f t="shared" si="7"/>
        <v>42</v>
      </c>
      <c r="AA22" s="19">
        <f>'19'!G133</f>
        <v>0</v>
      </c>
      <c r="AB22" s="19">
        <f>'19'!G134</f>
        <v>0</v>
      </c>
      <c r="AC22" s="19">
        <f>'19'!G135</f>
        <v>24</v>
      </c>
      <c r="AD22" s="19">
        <f>'19'!G136</f>
        <v>-6.0000000001309672E-2</v>
      </c>
      <c r="AE22" s="19">
        <f t="shared" si="8"/>
        <v>23.93999999999869</v>
      </c>
      <c r="AF22" s="23">
        <f t="shared" si="2"/>
        <v>4451.9900000000271</v>
      </c>
      <c r="AG22" s="23">
        <f t="shared" si="9"/>
        <v>185.96449456976904</v>
      </c>
      <c r="AH22" s="19">
        <f>'19'!G137</f>
        <v>0</v>
      </c>
      <c r="AI22" s="19">
        <f>'19'!G138</f>
        <v>0</v>
      </c>
      <c r="AJ22" s="19">
        <f>'19'!G139</f>
        <v>2.0000000004074536E-2</v>
      </c>
      <c r="AK22" s="19">
        <f t="shared" si="10"/>
        <v>2.0000000004074536E-2</v>
      </c>
      <c r="AL22" s="19">
        <f>'19'!G140</f>
        <v>7.2999999999999545</v>
      </c>
      <c r="AM22" s="19">
        <f>'19'!G141</f>
        <v>0</v>
      </c>
      <c r="AN22" s="19"/>
      <c r="AO22" s="19">
        <f t="shared" si="11"/>
        <v>7.2999999999999545</v>
      </c>
      <c r="AP22" s="258">
        <f>'19'!G124</f>
        <v>173</v>
      </c>
      <c r="AQ22" s="261">
        <f>'19'!G35</f>
        <v>1651</v>
      </c>
      <c r="AR22" s="19">
        <f>'19'!G37</f>
        <v>1200</v>
      </c>
      <c r="AS22" s="19">
        <f>'19'!G38</f>
        <v>999</v>
      </c>
      <c r="AT22" s="19">
        <f>'19'!G39</f>
        <v>2013</v>
      </c>
      <c r="AU22" s="19">
        <f>'19'!G40</f>
        <v>68</v>
      </c>
      <c r="AV22" s="19">
        <f>'19'!G41</f>
        <v>0</v>
      </c>
      <c r="AW22" s="19">
        <f>'19'!G42</f>
        <v>0</v>
      </c>
      <c r="AX22" s="19">
        <f>'19'!G43</f>
        <v>2089</v>
      </c>
      <c r="AY22" s="23">
        <f>'19'!G44</f>
        <v>0</v>
      </c>
      <c r="AZ22" s="262">
        <f>'19'!G36</f>
        <v>0</v>
      </c>
      <c r="BA22" s="261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566</v>
      </c>
      <c r="BE22" s="19">
        <f>'19'!G54</f>
        <v>82</v>
      </c>
      <c r="BF22" s="19">
        <f>'19'!G55</f>
        <v>4403.4599999999991</v>
      </c>
      <c r="BG22" s="19">
        <f>'19'!G56</f>
        <v>48.53000000002794</v>
      </c>
      <c r="BH22" s="19">
        <f>'19'!G57</f>
        <v>-0.32999999999992724</v>
      </c>
      <c r="BI22" s="262">
        <f>'19'!G50</f>
        <v>793</v>
      </c>
      <c r="BJ22" s="370">
        <f t="shared" si="12"/>
        <v>4451.9900000000271</v>
      </c>
      <c r="BK22" s="370">
        <f>'19'!G84</f>
        <v>355</v>
      </c>
      <c r="BL22" s="23">
        <f t="shared" si="13"/>
        <v>56.810666481725654</v>
      </c>
      <c r="BM22" s="23">
        <f t="shared" si="14"/>
        <v>17.886122477286914</v>
      </c>
      <c r="BN22" s="24">
        <f t="shared" si="15"/>
        <v>6.9283584159789163E-2</v>
      </c>
      <c r="BO22" s="25">
        <f t="shared" si="16"/>
        <v>162210</v>
      </c>
      <c r="BP22" s="213">
        <f t="shared" si="17"/>
        <v>6895.6600000000271</v>
      </c>
      <c r="BQ22">
        <f t="shared" si="18"/>
        <v>1.0287116601026978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0.24</v>
      </c>
      <c r="G23" s="19">
        <f>'20'!G8</f>
        <v>15231</v>
      </c>
      <c r="H23" s="19">
        <f>'20'!G8</f>
        <v>15231</v>
      </c>
      <c r="I23" s="19">
        <f>'20'!G7</f>
        <v>15123</v>
      </c>
      <c r="J23" s="19">
        <v>10</v>
      </c>
      <c r="K23" s="242">
        <f t="shared" si="3"/>
        <v>152310</v>
      </c>
      <c r="L23" s="238">
        <f t="shared" si="4"/>
        <v>74.866336633663366</v>
      </c>
      <c r="M23" s="19">
        <f>'20'!G15</f>
        <v>288</v>
      </c>
      <c r="N23" s="19">
        <v>35</v>
      </c>
      <c r="O23" s="234">
        <f t="shared" si="5"/>
        <v>10080</v>
      </c>
      <c r="P23" s="19">
        <f>'20'!G20</f>
        <v>57</v>
      </c>
      <c r="Q23" s="19">
        <v>134</v>
      </c>
      <c r="R23" s="239">
        <f t="shared" si="0"/>
        <v>7638</v>
      </c>
      <c r="S23" s="240">
        <f t="shared" si="1"/>
        <v>117.57425742574259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27</v>
      </c>
      <c r="X23" s="22">
        <f>'20'!G97</f>
        <v>11</v>
      </c>
      <c r="Y23" s="22">
        <f>'20'!G98</f>
        <v>16</v>
      </c>
      <c r="Z23" s="22">
        <f t="shared" si="7"/>
        <v>54</v>
      </c>
      <c r="AA23" s="19">
        <f>'20'!G133</f>
        <v>0</v>
      </c>
      <c r="AB23" s="19">
        <f>'20'!G134</f>
        <v>0</v>
      </c>
      <c r="AC23" s="19">
        <f>'20'!G135</f>
        <v>24</v>
      </c>
      <c r="AD23" s="19">
        <f>'20'!G136</f>
        <v>0</v>
      </c>
      <c r="AE23" s="19">
        <f t="shared" si="8"/>
        <v>24</v>
      </c>
      <c r="AF23" s="23">
        <f t="shared" si="2"/>
        <v>4744</v>
      </c>
      <c r="AG23" s="23">
        <f t="shared" si="9"/>
        <v>197.66666666666666</v>
      </c>
      <c r="AH23" s="19">
        <f>'20'!G137</f>
        <v>0</v>
      </c>
      <c r="AI23" s="19">
        <f>'20'!G138</f>
        <v>0</v>
      </c>
      <c r="AJ23" s="19">
        <f>'20'!G139</f>
        <v>0</v>
      </c>
      <c r="AK23" s="19">
        <f t="shared" si="10"/>
        <v>0</v>
      </c>
      <c r="AL23" s="19">
        <f>'20'!G140</f>
        <v>8.1900000000000546</v>
      </c>
      <c r="AM23" s="19">
        <f>'20'!G141</f>
        <v>0</v>
      </c>
      <c r="AN23" s="19"/>
      <c r="AO23" s="19">
        <f t="shared" si="11"/>
        <v>8.1900000000000546</v>
      </c>
      <c r="AP23" s="258">
        <f>'20'!G124</f>
        <v>204</v>
      </c>
      <c r="AQ23" s="261">
        <f>'20'!G35</f>
        <v>1818</v>
      </c>
      <c r="AR23" s="19">
        <f>'20'!G37</f>
        <v>1255</v>
      </c>
      <c r="AS23" s="19">
        <f>'20'!G38</f>
        <v>978</v>
      </c>
      <c r="AT23" s="19">
        <f>'20'!G39</f>
        <v>1961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2118</v>
      </c>
      <c r="AY23" s="23">
        <f>'20'!G44</f>
        <v>0</v>
      </c>
      <c r="AZ23" s="262">
        <f>'20'!G36</f>
        <v>0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83</v>
      </c>
      <c r="BF23" s="19">
        <f>'20'!G55</f>
        <v>4734</v>
      </c>
      <c r="BG23" s="19">
        <f>'20'!G56</f>
        <v>10</v>
      </c>
      <c r="BH23" s="19">
        <f>'20'!G57</f>
        <v>0</v>
      </c>
      <c r="BI23" s="262">
        <f>'20'!G50</f>
        <v>870</v>
      </c>
      <c r="BJ23" s="370">
        <f t="shared" si="12"/>
        <v>4744</v>
      </c>
      <c r="BK23" s="370">
        <f>'20'!G84</f>
        <v>365</v>
      </c>
      <c r="BL23" s="23">
        <f t="shared" si="13"/>
        <v>57.396019308338296</v>
      </c>
      <c r="BM23" s="23">
        <f t="shared" si="14"/>
        <v>12.967003901342327</v>
      </c>
      <c r="BN23" s="24">
        <f t="shared" si="15"/>
        <v>6.4669708391192224E-2</v>
      </c>
      <c r="BO23" s="25">
        <f t="shared" si="16"/>
        <v>170028</v>
      </c>
      <c r="BP23" s="213">
        <f t="shared" si="17"/>
        <v>7227</v>
      </c>
      <c r="BQ23">
        <f t="shared" si="18"/>
        <v>1.0754464285714285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0.24</v>
      </c>
      <c r="G24" s="19">
        <f>'21'!G8</f>
        <v>16096</v>
      </c>
      <c r="H24" s="19">
        <f>'21'!G8</f>
        <v>16096</v>
      </c>
      <c r="I24" s="19">
        <f>'21'!G7</f>
        <v>16012</v>
      </c>
      <c r="J24" s="19">
        <v>10</v>
      </c>
      <c r="K24" s="242">
        <f t="shared" si="3"/>
        <v>160960</v>
      </c>
      <c r="L24" s="238">
        <f t="shared" si="4"/>
        <v>79.267326732673268</v>
      </c>
      <c r="M24" s="19">
        <f>'21'!G15</f>
        <v>534</v>
      </c>
      <c r="N24" s="19">
        <v>35</v>
      </c>
      <c r="O24" s="234">
        <f t="shared" si="5"/>
        <v>18690</v>
      </c>
      <c r="P24" s="19">
        <f>'21'!G20</f>
        <v>96</v>
      </c>
      <c r="Q24" s="19">
        <v>134</v>
      </c>
      <c r="R24" s="239">
        <f t="shared" si="0"/>
        <v>12864</v>
      </c>
      <c r="S24" s="240">
        <f t="shared" si="1"/>
        <v>198.01980198019803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49</v>
      </c>
      <c r="X24" s="22">
        <f>'21'!G97</f>
        <v>9</v>
      </c>
      <c r="Y24" s="22">
        <f>'21'!G98</f>
        <v>20</v>
      </c>
      <c r="Z24" s="22">
        <f t="shared" si="7"/>
        <v>78</v>
      </c>
      <c r="AA24" s="19">
        <f>'21'!G133</f>
        <v>0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24</v>
      </c>
      <c r="AF24" s="23">
        <f t="shared" si="2"/>
        <v>5144</v>
      </c>
      <c r="AG24" s="23">
        <f t="shared" si="9"/>
        <v>214.33333333333334</v>
      </c>
      <c r="AH24" s="19">
        <f>'21'!G137</f>
        <v>2.7099999999991269</v>
      </c>
      <c r="AI24" s="19">
        <f>'21'!G138</f>
        <v>0</v>
      </c>
      <c r="AJ24" s="19">
        <f>'21'!G139</f>
        <v>6.6299999999901047</v>
      </c>
      <c r="AK24" s="19">
        <f t="shared" si="10"/>
        <v>9.3399999999892316</v>
      </c>
      <c r="AL24" s="19">
        <f>'21'!G140</f>
        <v>7.0199999999999818</v>
      </c>
      <c r="AM24" s="19">
        <f>'21'!G141</f>
        <v>0</v>
      </c>
      <c r="AN24" s="19"/>
      <c r="AO24" s="19">
        <f t="shared" si="11"/>
        <v>7.0199999999999818</v>
      </c>
      <c r="AP24" s="258">
        <f>'21'!G124</f>
        <v>194</v>
      </c>
      <c r="AQ24" s="261">
        <f>'21'!G35</f>
        <v>1843</v>
      </c>
      <c r="AR24" s="19">
        <f>'21'!G37</f>
        <v>1333</v>
      </c>
      <c r="AS24" s="19">
        <f>'21'!G38</f>
        <v>1150</v>
      </c>
      <c r="AT24" s="19">
        <f>'21'!G39</f>
        <v>1537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2133</v>
      </c>
      <c r="AY24" s="23">
        <f>'21'!G44</f>
        <v>0</v>
      </c>
      <c r="AZ24" s="262">
        <f>'21'!G36</f>
        <v>0</v>
      </c>
      <c r="BA24" s="261">
        <f>'21'!G49</f>
        <v>0.13000000000465661</v>
      </c>
      <c r="BB24" s="19">
        <f>'21'!G51</f>
        <v>0</v>
      </c>
      <c r="BC24" s="19">
        <f>'21'!G52</f>
        <v>6.9999999948777258E-2</v>
      </c>
      <c r="BD24" s="19">
        <f>'21'!G53</f>
        <v>566</v>
      </c>
      <c r="BE24" s="19">
        <f>'21'!G54</f>
        <v>82</v>
      </c>
      <c r="BF24" s="19">
        <f>'21'!G55</f>
        <v>5134</v>
      </c>
      <c r="BG24" s="19">
        <f>'21'!G56</f>
        <v>10</v>
      </c>
      <c r="BH24" s="19">
        <f>'21'!G57</f>
        <v>0</v>
      </c>
      <c r="BI24" s="262">
        <f>'21'!G50</f>
        <v>800</v>
      </c>
      <c r="BJ24" s="370">
        <f t="shared" si="12"/>
        <v>5144</v>
      </c>
      <c r="BK24" s="370">
        <f>'21'!G84</f>
        <v>379</v>
      </c>
      <c r="BL24" s="23">
        <f t="shared" si="13"/>
        <v>56.958093929552859</v>
      </c>
      <c r="BM24" s="23">
        <f t="shared" si="14"/>
        <v>13.133899575318511</v>
      </c>
      <c r="BN24" s="24">
        <f t="shared" si="15"/>
        <v>7.1825505870593859E-2</v>
      </c>
      <c r="BO24" s="25">
        <f t="shared" si="16"/>
        <v>192514</v>
      </c>
      <c r="BP24" s="213">
        <f t="shared" si="17"/>
        <v>7656</v>
      </c>
      <c r="BQ24">
        <f t="shared" si="18"/>
        <v>1.1392857142857142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0.35</v>
      </c>
      <c r="G25" s="19">
        <f>'22'!G8</f>
        <v>17814</v>
      </c>
      <c r="H25" s="19">
        <f>'22'!G8</f>
        <v>17814</v>
      </c>
      <c r="I25" s="19">
        <f>'22'!G7</f>
        <v>17759</v>
      </c>
      <c r="J25" s="19">
        <v>10</v>
      </c>
      <c r="K25" s="242">
        <f t="shared" si="3"/>
        <v>178140</v>
      </c>
      <c r="L25" s="238">
        <f t="shared" si="4"/>
        <v>87.915841584158414</v>
      </c>
      <c r="M25" s="19">
        <f>'22'!G15</f>
        <v>632</v>
      </c>
      <c r="N25" s="19">
        <v>35</v>
      </c>
      <c r="O25" s="234">
        <f t="shared" si="5"/>
        <v>22120</v>
      </c>
      <c r="P25" s="19">
        <f>'22'!G20</f>
        <v>150</v>
      </c>
      <c r="Q25" s="19">
        <v>134</v>
      </c>
      <c r="R25" s="239">
        <f t="shared" si="0"/>
        <v>20100</v>
      </c>
      <c r="S25" s="240">
        <f t="shared" si="1"/>
        <v>212.16407355021221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80</v>
      </c>
      <c r="X25" s="22">
        <f>'22'!G97</f>
        <v>9</v>
      </c>
      <c r="Y25" s="22">
        <f>'22'!G98</f>
        <v>25</v>
      </c>
      <c r="Z25" s="22">
        <f t="shared" si="7"/>
        <v>114</v>
      </c>
      <c r="AA25" s="19">
        <f>'22'!G133</f>
        <v>3.5800000000017462</v>
      </c>
      <c r="AB25" s="19">
        <f>'22'!G134</f>
        <v>0</v>
      </c>
      <c r="AC25" s="19">
        <f>'22'!G135</f>
        <v>24</v>
      </c>
      <c r="AD25" s="19">
        <f>'22'!G136</f>
        <v>1.0000000002037268E-2</v>
      </c>
      <c r="AE25" s="19">
        <f t="shared" si="8"/>
        <v>27.590000000003783</v>
      </c>
      <c r="AF25" s="23">
        <f t="shared" si="2"/>
        <v>6030</v>
      </c>
      <c r="AG25" s="23">
        <f t="shared" si="9"/>
        <v>218.55744835082177</v>
      </c>
      <c r="AH25" s="19">
        <f>'22'!G137</f>
        <v>7.5400000000008731</v>
      </c>
      <c r="AI25" s="19">
        <f>'22'!G138</f>
        <v>0</v>
      </c>
      <c r="AJ25" s="19">
        <f>'22'!G139</f>
        <v>0</v>
      </c>
      <c r="AK25" s="19">
        <f t="shared" si="10"/>
        <v>7.5400000000008731</v>
      </c>
      <c r="AL25" s="19">
        <f>'22'!G140</f>
        <v>7.3600000000001273</v>
      </c>
      <c r="AM25" s="19">
        <f>'22'!G141</f>
        <v>0</v>
      </c>
      <c r="AN25" s="19"/>
      <c r="AO25" s="19">
        <f t="shared" si="11"/>
        <v>7.3600000000001273</v>
      </c>
      <c r="AP25" s="258">
        <f>'22'!G124</f>
        <v>194</v>
      </c>
      <c r="AQ25" s="261">
        <f>'22'!G35</f>
        <v>1920</v>
      </c>
      <c r="AR25" s="19">
        <f>'22'!G37</f>
        <v>1372</v>
      </c>
      <c r="AS25" s="19">
        <f>'22'!G38</f>
        <v>1280</v>
      </c>
      <c r="AT25" s="19">
        <f>'22'!G39</f>
        <v>2952</v>
      </c>
      <c r="AU25" s="19">
        <f>'22'!G40</f>
        <v>99</v>
      </c>
      <c r="AV25" s="19">
        <f>'22'!G41</f>
        <v>810</v>
      </c>
      <c r="AW25" s="19">
        <f>'22'!G42</f>
        <v>0</v>
      </c>
      <c r="AX25" s="19">
        <f>'22'!G43</f>
        <v>2210</v>
      </c>
      <c r="AY25" s="23">
        <f>'22'!G44</f>
        <v>0</v>
      </c>
      <c r="AZ25" s="262">
        <f>'22'!G36</f>
        <v>0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544</v>
      </c>
      <c r="BE25" s="19">
        <f>'22'!G54</f>
        <v>80</v>
      </c>
      <c r="BF25" s="19">
        <f>'22'!G55</f>
        <v>5210</v>
      </c>
      <c r="BG25" s="19">
        <f>'22'!G56</f>
        <v>10</v>
      </c>
      <c r="BH25" s="19">
        <f>'22'!G57</f>
        <v>0</v>
      </c>
      <c r="BI25" s="262">
        <f>'22'!G50</f>
        <v>918</v>
      </c>
      <c r="BJ25" s="370">
        <f t="shared" si="12"/>
        <v>6030</v>
      </c>
      <c r="BK25" s="370">
        <f>'22'!G84</f>
        <v>451</v>
      </c>
      <c r="BL25" s="23">
        <f t="shared" si="13"/>
        <v>57.210428515119091</v>
      </c>
      <c r="BM25" s="23">
        <f t="shared" si="14"/>
        <v>19.685793118981923</v>
      </c>
      <c r="BN25" s="24">
        <f t="shared" si="15"/>
        <v>7.2076130412748463E-2</v>
      </c>
      <c r="BO25" s="25">
        <f t="shared" si="16"/>
        <v>220360</v>
      </c>
      <c r="BP25" s="213">
        <f t="shared" si="17"/>
        <v>8691</v>
      </c>
      <c r="BQ25">
        <f t="shared" si="18"/>
        <v>1.1250194169728691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16981.75</v>
      </c>
      <c r="H26" s="19">
        <f>'23'!G8</f>
        <v>16981.75</v>
      </c>
      <c r="I26" s="19">
        <f>'23'!G7</f>
        <v>16907.049999999988</v>
      </c>
      <c r="J26" s="19">
        <v>10</v>
      </c>
      <c r="K26" s="242">
        <f t="shared" si="3"/>
        <v>169817.5</v>
      </c>
      <c r="L26" s="238">
        <f t="shared" si="4"/>
        <v>83.698267326732619</v>
      </c>
      <c r="M26" s="19">
        <f>'23'!G15</f>
        <v>366.93500000005588</v>
      </c>
      <c r="N26" s="19">
        <v>35</v>
      </c>
      <c r="O26" s="234">
        <f t="shared" si="5"/>
        <v>12842.725000001956</v>
      </c>
      <c r="P26" s="19">
        <f>'23'!G20</f>
        <v>140</v>
      </c>
      <c r="Q26" s="19">
        <v>134</v>
      </c>
      <c r="R26" s="239">
        <f t="shared" si="0"/>
        <v>18760</v>
      </c>
      <c r="S26" s="240">
        <f t="shared" si="1"/>
        <v>133.28255902513328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37</v>
      </c>
      <c r="X26" s="22">
        <f>'23'!G97</f>
        <v>15</v>
      </c>
      <c r="Y26" s="22">
        <f>'23'!G98</f>
        <v>31</v>
      </c>
      <c r="Z26" s="22">
        <f t="shared" si="7"/>
        <v>83</v>
      </c>
      <c r="AA26" s="19">
        <f>'23'!G133</f>
        <v>0</v>
      </c>
      <c r="AB26" s="19">
        <f>'23'!G134</f>
        <v>0</v>
      </c>
      <c r="AC26" s="19">
        <f>'23'!G135</f>
        <v>24.389999999999418</v>
      </c>
      <c r="AD26" s="19">
        <f>'23'!G136</f>
        <v>0</v>
      </c>
      <c r="AE26" s="19">
        <f t="shared" si="8"/>
        <v>24.389999999999418</v>
      </c>
      <c r="AF26" s="23">
        <f t="shared" si="2"/>
        <v>5435.8999999999505</v>
      </c>
      <c r="AG26" s="23">
        <f t="shared" si="9"/>
        <v>222.87412874129069</v>
      </c>
      <c r="AH26" s="19">
        <f>'23'!G137</f>
        <v>0</v>
      </c>
      <c r="AI26" s="19">
        <f>'23'!G138</f>
        <v>0</v>
      </c>
      <c r="AJ26" s="19">
        <f>'23'!G139</f>
        <v>2.4500000000116415</v>
      </c>
      <c r="AK26" s="19">
        <f t="shared" si="10"/>
        <v>2.4500000000116415</v>
      </c>
      <c r="AL26" s="19">
        <f>'23'!G140</f>
        <v>8.0499999999999545</v>
      </c>
      <c r="AM26" s="19">
        <f>'23'!G141</f>
        <v>0</v>
      </c>
      <c r="AN26" s="19"/>
      <c r="AO26" s="19">
        <f t="shared" si="11"/>
        <v>8.0499999999999545</v>
      </c>
      <c r="AP26" s="258">
        <f>'23'!G124</f>
        <v>214.8399999999674</v>
      </c>
      <c r="AQ26" s="261">
        <f>'23'!G35</f>
        <v>2173.4300000000512</v>
      </c>
      <c r="AR26" s="19">
        <f>'23'!G37</f>
        <v>1310.5099999999948</v>
      </c>
      <c r="AS26" s="19">
        <f>'23'!G38</f>
        <v>1286.429999999993</v>
      </c>
      <c r="AT26" s="19">
        <f>'23'!G39</f>
        <v>2431.5499999999884</v>
      </c>
      <c r="AU26" s="19">
        <f>'23'!G40</f>
        <v>0.48000000000001819</v>
      </c>
      <c r="AV26" s="19">
        <f>'23'!G41</f>
        <v>0.13000000000465661</v>
      </c>
      <c r="AW26" s="19">
        <f>'23'!G42</f>
        <v>-1.0299999999988358</v>
      </c>
      <c r="AX26" s="19">
        <f>'23'!G43</f>
        <v>2171.5999999999767</v>
      </c>
      <c r="AY26" s="23">
        <f>'23'!G44</f>
        <v>0</v>
      </c>
      <c r="AZ26" s="262">
        <f>'23'!G36</f>
        <v>0</v>
      </c>
      <c r="BA26" s="261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511.10999999998603</v>
      </c>
      <c r="BE26" s="19">
        <f>'23'!G54</f>
        <v>80.959999999999127</v>
      </c>
      <c r="BF26" s="19">
        <f>'23'!G55</f>
        <v>5426.6100000000006</v>
      </c>
      <c r="BG26" s="19">
        <f>'23'!G56</f>
        <v>10.189999999944121</v>
      </c>
      <c r="BH26" s="19">
        <f>'23'!G57</f>
        <v>0</v>
      </c>
      <c r="BI26" s="262">
        <f>'23'!G50</f>
        <v>854.15000000002328</v>
      </c>
      <c r="BJ26" s="370">
        <f t="shared" si="12"/>
        <v>5435.8999999999505</v>
      </c>
      <c r="BK26" s="370">
        <f>'23'!G84</f>
        <v>556</v>
      </c>
      <c r="BL26" s="23">
        <f t="shared" si="13"/>
        <v>57.85119225411875</v>
      </c>
      <c r="BM26" s="23">
        <f t="shared" si="14"/>
        <v>17.404928713169809</v>
      </c>
      <c r="BN26" s="24">
        <f t="shared" si="15"/>
        <v>7.6088377333715457E-2</v>
      </c>
      <c r="BO26" s="25">
        <f t="shared" si="16"/>
        <v>201420.22500000196</v>
      </c>
      <c r="BP26" s="213">
        <f t="shared" si="17"/>
        <v>8163.4999999999272</v>
      </c>
      <c r="BQ26">
        <f t="shared" si="18"/>
        <v>1.1953815966731274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16604.880000000005</v>
      </c>
      <c r="H27" s="19">
        <f>'24'!G8</f>
        <v>16604.880000000005</v>
      </c>
      <c r="I27" s="19">
        <f>'24'!G7</f>
        <v>16547.620000000024</v>
      </c>
      <c r="J27" s="19">
        <v>10</v>
      </c>
      <c r="K27" s="242">
        <f t="shared" si="3"/>
        <v>166048.80000000005</v>
      </c>
      <c r="L27" s="238">
        <f t="shared" si="4"/>
        <v>81.918910891089226</v>
      </c>
      <c r="M27" s="19">
        <f>'24'!G15</f>
        <v>510.69499999983236</v>
      </c>
      <c r="N27" s="19">
        <v>35</v>
      </c>
      <c r="O27" s="234">
        <f t="shared" si="5"/>
        <v>17874.324999994133</v>
      </c>
      <c r="P27" s="19">
        <f>'24'!G20</f>
        <v>110</v>
      </c>
      <c r="Q27" s="19">
        <v>134</v>
      </c>
      <c r="R27" s="239">
        <f t="shared" si="0"/>
        <v>14740</v>
      </c>
      <c r="S27" s="240">
        <f t="shared" si="1"/>
        <v>86.437215150086445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40</v>
      </c>
      <c r="X27" s="22">
        <f>'24'!G97</f>
        <v>11</v>
      </c>
      <c r="Y27" s="22">
        <f>'24'!G98</f>
        <v>16</v>
      </c>
      <c r="Z27" s="22">
        <f t="shared" si="7"/>
        <v>67</v>
      </c>
      <c r="AA27" s="19">
        <f>'24'!G133</f>
        <v>24</v>
      </c>
      <c r="AB27" s="19">
        <f>'24'!G134</f>
        <v>0</v>
      </c>
      <c r="AC27" s="19">
        <f>'24'!G135</f>
        <v>0</v>
      </c>
      <c r="AD27" s="19">
        <f>'24'!G136</f>
        <v>0</v>
      </c>
      <c r="AE27" s="19">
        <f t="shared" si="8"/>
        <v>24</v>
      </c>
      <c r="AF27" s="23">
        <f t="shared" si="2"/>
        <v>5182.0400000000445</v>
      </c>
      <c r="AG27" s="23">
        <f t="shared" si="9"/>
        <v>215.9183333333352</v>
      </c>
      <c r="AH27" s="19">
        <f>'24'!G137</f>
        <v>0</v>
      </c>
      <c r="AI27" s="19">
        <f>'24'!G138</f>
        <v>0</v>
      </c>
      <c r="AJ27" s="19">
        <f>'24'!G139</f>
        <v>10.25</v>
      </c>
      <c r="AK27" s="19">
        <f t="shared" si="10"/>
        <v>10.25</v>
      </c>
      <c r="AL27" s="19">
        <f>'24'!G140</f>
        <v>8.5199999999999818</v>
      </c>
      <c r="AM27" s="19">
        <f>'24'!G141</f>
        <v>-0.3000000000001819</v>
      </c>
      <c r="AN27" s="19"/>
      <c r="AO27" s="19">
        <f t="shared" si="11"/>
        <v>8.2199999999997999</v>
      </c>
      <c r="AP27" s="258">
        <f>'24'!G124</f>
        <v>230.1600000000326</v>
      </c>
      <c r="AQ27" s="261">
        <f>'24'!G35</f>
        <v>2126.4799999999814</v>
      </c>
      <c r="AR27" s="19">
        <f>'24'!G37</f>
        <v>1287.3700000000099</v>
      </c>
      <c r="AS27" s="19">
        <f>'24'!G38</f>
        <v>1238.2799999999988</v>
      </c>
      <c r="AT27" s="19">
        <f>'24'!G39</f>
        <v>2245.960000000021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2226.2000000000698</v>
      </c>
      <c r="AY27" s="23">
        <f>'24'!G44</f>
        <v>0</v>
      </c>
      <c r="AZ27" s="262">
        <f>'24'!G36</f>
        <v>0</v>
      </c>
      <c r="BA27" s="261">
        <f>'24'!G49</f>
        <v>0</v>
      </c>
      <c r="BB27" s="19">
        <f>'24'!G51</f>
        <v>0</v>
      </c>
      <c r="BC27" s="19">
        <f>'24'!G52</f>
        <v>0</v>
      </c>
      <c r="BD27" s="19">
        <f>'24'!G53</f>
        <v>518.92000000004191</v>
      </c>
      <c r="BE27" s="19">
        <f>'24'!G54</f>
        <v>81.950000000000728</v>
      </c>
      <c r="BF27" s="19">
        <f>'24'!G55</f>
        <v>5172.1200000000026</v>
      </c>
      <c r="BG27" s="19">
        <f>'24'!G56</f>
        <v>9.9200000000419095</v>
      </c>
      <c r="BH27" s="19">
        <f>'24'!G57</f>
        <v>0</v>
      </c>
      <c r="BI27" s="262">
        <f>'24'!G50</f>
        <v>864.44000000000233</v>
      </c>
      <c r="BJ27" s="370">
        <f t="shared" si="12"/>
        <v>5182.0400000000445</v>
      </c>
      <c r="BK27" s="370">
        <f>'24'!G84</f>
        <v>653</v>
      </c>
      <c r="BL27" s="23">
        <f t="shared" si="13"/>
        <v>57.619887331230004</v>
      </c>
      <c r="BM27" s="23">
        <f t="shared" si="14"/>
        <v>16.708626376482293</v>
      </c>
      <c r="BN27" s="24">
        <f t="shared" si="15"/>
        <v>7.4831305045680099E-2</v>
      </c>
      <c r="BO27" s="25">
        <f t="shared" si="16"/>
        <v>198663.12499999418</v>
      </c>
      <c r="BP27" s="213">
        <f t="shared" si="17"/>
        <v>8061.2400000001144</v>
      </c>
      <c r="BQ27">
        <f t="shared" si="18"/>
        <v>1.1995892857143027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16299.040000000008</v>
      </c>
      <c r="H28" s="19">
        <f>'25'!G8</f>
        <v>16299.040000000008</v>
      </c>
      <c r="I28" s="19">
        <f>'25'!G7</f>
        <v>16235.399999999994</v>
      </c>
      <c r="J28" s="19">
        <v>10</v>
      </c>
      <c r="K28" s="242">
        <f t="shared" si="3"/>
        <v>162990.40000000008</v>
      </c>
      <c r="L28" s="238">
        <f t="shared" si="4"/>
        <v>80.373267326732645</v>
      </c>
      <c r="M28" s="19">
        <f>'25'!G15</f>
        <v>675.28900000010617</v>
      </c>
      <c r="N28" s="19">
        <v>35</v>
      </c>
      <c r="O28" s="234">
        <f t="shared" si="5"/>
        <v>23635.115000003716</v>
      </c>
      <c r="P28" s="19">
        <f>'25'!G20</f>
        <v>120</v>
      </c>
      <c r="Q28" s="19">
        <v>134</v>
      </c>
      <c r="R28" s="239">
        <f t="shared" si="0"/>
        <v>16080</v>
      </c>
      <c r="S28" s="240">
        <f t="shared" si="1"/>
        <v>110.01100110010999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78</v>
      </c>
      <c r="X28" s="22">
        <f>'25'!G97</f>
        <v>9</v>
      </c>
      <c r="Y28" s="22">
        <f>'25'!G98</f>
        <v>13</v>
      </c>
      <c r="Z28" s="22">
        <f t="shared" si="7"/>
        <v>100</v>
      </c>
      <c r="AA28" s="19">
        <f>'25'!G133</f>
        <v>0</v>
      </c>
      <c r="AB28" s="19">
        <f>'25'!G134</f>
        <v>0</v>
      </c>
      <c r="AC28" s="19">
        <f>'25'!G135</f>
        <v>23.910000000003492</v>
      </c>
      <c r="AD28" s="19">
        <f>'25'!G136</f>
        <v>0</v>
      </c>
      <c r="AE28" s="19">
        <f t="shared" si="8"/>
        <v>23.910000000003492</v>
      </c>
      <c r="AF28" s="23">
        <f t="shared" si="2"/>
        <v>5004.3399999999747</v>
      </c>
      <c r="AG28" s="23">
        <f t="shared" si="9"/>
        <v>209.29903805935774</v>
      </c>
      <c r="AH28" s="19">
        <f>'24'!G137</f>
        <v>0</v>
      </c>
      <c r="AI28" s="19">
        <f>'24'!G138</f>
        <v>0</v>
      </c>
      <c r="AJ28" s="19">
        <f>'24'!G139</f>
        <v>10.25</v>
      </c>
      <c r="AK28" s="19">
        <f t="shared" si="10"/>
        <v>10.25</v>
      </c>
      <c r="AL28" s="19">
        <f>'23'!G140</f>
        <v>8.0499999999999545</v>
      </c>
      <c r="AM28" s="19">
        <f>'24'!G141</f>
        <v>-0.3000000000001819</v>
      </c>
      <c r="AN28" s="19"/>
      <c r="AO28" s="19">
        <f t="shared" si="11"/>
        <v>7.7499999999997726</v>
      </c>
      <c r="AP28" s="258">
        <f>'25'!G124</f>
        <v>208.40000000002328</v>
      </c>
      <c r="AQ28" s="261">
        <f>'25'!G35</f>
        <v>2110.8800000000047</v>
      </c>
      <c r="AR28" s="19">
        <f>'25'!G37</f>
        <v>1247.8499999999913</v>
      </c>
      <c r="AS28" s="19">
        <f>'25'!G38</f>
        <v>1212.3300000000163</v>
      </c>
      <c r="AT28" s="19">
        <f>'25'!G39</f>
        <v>2043.7600000000093</v>
      </c>
      <c r="AU28" s="19">
        <f>'25'!G40</f>
        <v>0</v>
      </c>
      <c r="AV28" s="19">
        <f>'25'!G41</f>
        <v>0</v>
      </c>
      <c r="AW28" s="19"/>
      <c r="AX28" s="19">
        <f>'25'!G43</f>
        <v>2198.6999999999534</v>
      </c>
      <c r="AY28" s="23">
        <f>'25'!G44</f>
        <v>0</v>
      </c>
      <c r="AZ28" s="262">
        <f>'25'!G36</f>
        <v>0</v>
      </c>
      <c r="BA28" s="261">
        <f>'25'!G49</f>
        <v>0</v>
      </c>
      <c r="BB28" s="19">
        <f>'25'!G51</f>
        <v>0</v>
      </c>
      <c r="BC28" s="19">
        <f>'25'!G52</f>
        <v>0</v>
      </c>
      <c r="BD28" s="19">
        <f>'25'!G53</f>
        <v>524.8399999999674</v>
      </c>
      <c r="BE28" s="19">
        <f>'24'!G54</f>
        <v>81.950000000000728</v>
      </c>
      <c r="BF28" s="19">
        <f>'25'!G55</f>
        <v>4994.739999999998</v>
      </c>
      <c r="BG28" s="19">
        <f>'25'!G56</f>
        <v>9.5999999999767169</v>
      </c>
      <c r="BH28" s="19">
        <f>'25'!G57</f>
        <v>0</v>
      </c>
      <c r="BI28" s="262">
        <f>'25'!G50</f>
        <v>860.51999999996042</v>
      </c>
      <c r="BJ28" s="370">
        <f t="shared" si="12"/>
        <v>5004.3399999999747</v>
      </c>
      <c r="BK28" s="370">
        <f>'25'!G84</f>
        <v>649</v>
      </c>
      <c r="BL28" s="23">
        <f t="shared" si="13"/>
        <v>57.367973687127737</v>
      </c>
      <c r="BM28" s="23">
        <f t="shared" si="14"/>
        <v>15.820983776192628</v>
      </c>
      <c r="BN28" s="24">
        <f t="shared" si="15"/>
        <v>7.4672013008611843E-2</v>
      </c>
      <c r="BO28" s="25">
        <f t="shared" si="16"/>
        <v>202705.5150000038</v>
      </c>
      <c r="BP28" s="213">
        <f t="shared" si="17"/>
        <v>7852.0399999999281</v>
      </c>
      <c r="BQ28">
        <f t="shared" si="18"/>
        <v>1.1728565453783206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19361.72</v>
      </c>
      <c r="H29" s="19">
        <f>'26'!G8</f>
        <v>19361.72</v>
      </c>
      <c r="I29" s="19">
        <f>'26'!G7</f>
        <v>19224.559999999998</v>
      </c>
      <c r="J29" s="19">
        <v>10</v>
      </c>
      <c r="K29" s="242">
        <f t="shared" si="3"/>
        <v>193617.2</v>
      </c>
      <c r="L29" s="238">
        <f t="shared" si="4"/>
        <v>95.171089108910877</v>
      </c>
      <c r="M29" s="19">
        <f>'26'!G15</f>
        <v>374.08100000000559</v>
      </c>
      <c r="N29" s="19">
        <v>35</v>
      </c>
      <c r="O29" s="234">
        <f t="shared" si="5"/>
        <v>13092.835000000196</v>
      </c>
      <c r="P29" s="19">
        <f>'26'!G20</f>
        <v>113</v>
      </c>
      <c r="Q29" s="19">
        <v>134</v>
      </c>
      <c r="R29" s="239">
        <f t="shared" si="0"/>
        <v>15142</v>
      </c>
      <c r="S29" s="240">
        <f t="shared" si="1"/>
        <v>103.59369270260358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43</v>
      </c>
      <c r="X29" s="22">
        <f>'26'!G97</f>
        <v>9</v>
      </c>
      <c r="Y29" s="22">
        <f>'26'!G98</f>
        <v>18</v>
      </c>
      <c r="Z29" s="22">
        <f t="shared" si="7"/>
        <v>70</v>
      </c>
      <c r="AA29" s="19">
        <f>'26'!G133</f>
        <v>0</v>
      </c>
      <c r="AB29" s="19">
        <f>'26'!G134</f>
        <v>0</v>
      </c>
      <c r="AC29" s="19">
        <f>'26'!G135</f>
        <v>24.039999999993597</v>
      </c>
      <c r="AD29" s="19">
        <f>'26'!G136</f>
        <v>12.069999999999709</v>
      </c>
      <c r="AE29" s="19">
        <f t="shared" si="8"/>
        <v>36.109999999993306</v>
      </c>
      <c r="AF29" s="23">
        <f t="shared" si="2"/>
        <v>5995.2500000000291</v>
      </c>
      <c r="AG29" s="23">
        <f t="shared" si="9"/>
        <v>166.02741622822322</v>
      </c>
      <c r="AH29" s="19">
        <f>'26'!G137</f>
        <v>1.0000000002037268E-2</v>
      </c>
      <c r="AI29" s="19">
        <f>'26'!G138</f>
        <v>-9.9999999983992893E-3</v>
      </c>
      <c r="AJ29" s="19">
        <f>'26'!G139</f>
        <v>2.8299999999871943</v>
      </c>
      <c r="AK29" s="19">
        <f t="shared" si="10"/>
        <v>2.8299999999908323</v>
      </c>
      <c r="AL29" s="19">
        <f>'26'!G140</f>
        <v>7.7799999999999727</v>
      </c>
      <c r="AM29" s="19">
        <f>'26'!G141</f>
        <v>0</v>
      </c>
      <c r="AN29" s="19"/>
      <c r="AO29" s="19">
        <f t="shared" si="11"/>
        <v>7.7799999999999727</v>
      </c>
      <c r="AP29" s="258">
        <f>'26'!G124</f>
        <v>207.51000000000931</v>
      </c>
      <c r="AQ29" s="261">
        <f>'26'!G35</f>
        <v>2644.9599999999627</v>
      </c>
      <c r="AR29" s="19">
        <f>'26'!G37</f>
        <v>1344</v>
      </c>
      <c r="AS29" s="19">
        <f>'26'!G38</f>
        <v>1226.3500000000058</v>
      </c>
      <c r="AT29" s="19">
        <f>'26'!G39</f>
        <v>2149.1999999999534</v>
      </c>
      <c r="AU29" s="19">
        <f>'26'!G40</f>
        <v>202.51</v>
      </c>
      <c r="AV29" s="19">
        <f>'26'!G41</f>
        <v>0</v>
      </c>
      <c r="AW29" s="19">
        <f>'26'!G42</f>
        <v>0</v>
      </c>
      <c r="AX29" s="19">
        <f>'26'!G43</f>
        <v>2602.8000000000466</v>
      </c>
      <c r="AY29" s="23">
        <f>'26'!G44</f>
        <v>0</v>
      </c>
      <c r="AZ29" s="262">
        <f>'26'!G36</f>
        <v>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541.67999999999302</v>
      </c>
      <c r="BE29" s="19">
        <f>'26'!G54</f>
        <v>83.3799999999992</v>
      </c>
      <c r="BF29" s="19">
        <f>'26'!G55</f>
        <v>3911.2099999999919</v>
      </c>
      <c r="BG29" s="19">
        <f>'26'!G56</f>
        <v>2084.0400000000373</v>
      </c>
      <c r="BH29" s="19">
        <f>'26'!G57</f>
        <v>0</v>
      </c>
      <c r="BI29" s="262">
        <f>'26'!G50</f>
        <v>1413.7200000000303</v>
      </c>
      <c r="BJ29" s="370">
        <f t="shared" si="12"/>
        <v>5995.2500000000291</v>
      </c>
      <c r="BK29" s="370">
        <f>'26'!G84</f>
        <v>786</v>
      </c>
      <c r="BL29" s="23">
        <f t="shared" si="13"/>
        <v>58.482534840849624</v>
      </c>
      <c r="BM29" s="23">
        <f t="shared" si="14"/>
        <v>13.997095382156715</v>
      </c>
      <c r="BN29" s="24">
        <f t="shared" si="15"/>
        <v>6.3790796772462202E-2</v>
      </c>
      <c r="BO29" s="25">
        <f t="shared" si="16"/>
        <v>221852.03500000021</v>
      </c>
      <c r="BP29" s="213">
        <f t="shared" si="17"/>
        <v>9384.0500000000757</v>
      </c>
      <c r="BQ29">
        <f t="shared" si="18"/>
        <v>0.92812141472502818</v>
      </c>
    </row>
    <row r="30" spans="1:69">
      <c r="A30" s="16">
        <v>27</v>
      </c>
      <c r="B30" s="17">
        <v>27</v>
      </c>
      <c r="C30" s="28"/>
      <c r="D30" s="19">
        <f>'27'!D3</f>
        <v>30</v>
      </c>
      <c r="E30" s="256">
        <f>'27'!D4</f>
        <v>0.78</v>
      </c>
      <c r="F30" s="256">
        <f>'27'!D2</f>
        <v>0.7</v>
      </c>
      <c r="G30" s="19">
        <f>'27'!G8</f>
        <v>16839.609999999986</v>
      </c>
      <c r="H30" s="19">
        <f>'27'!G8</f>
        <v>16839.609999999986</v>
      </c>
      <c r="I30" s="19">
        <f>'27'!G7</f>
        <v>16772.369999999995</v>
      </c>
      <c r="J30" s="19">
        <v>10</v>
      </c>
      <c r="K30" s="242">
        <f t="shared" si="3"/>
        <v>168396.09999999986</v>
      </c>
      <c r="L30" s="238">
        <f t="shared" si="4"/>
        <v>83.031534653465329</v>
      </c>
      <c r="M30" s="19">
        <f>'27'!G15</f>
        <v>615</v>
      </c>
      <c r="N30" s="19">
        <v>35</v>
      </c>
      <c r="O30" s="234">
        <f t="shared" si="5"/>
        <v>21525</v>
      </c>
      <c r="P30" s="19">
        <f>'27'!G20</f>
        <v>121</v>
      </c>
      <c r="Q30" s="19">
        <v>134</v>
      </c>
      <c r="R30" s="239">
        <f t="shared" si="0"/>
        <v>16214</v>
      </c>
      <c r="S30" s="240">
        <f t="shared" si="1"/>
        <v>85.572842998585585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49</v>
      </c>
      <c r="X30" s="22">
        <f>'27'!G97</f>
        <v>11</v>
      </c>
      <c r="Y30" s="22">
        <f>'27'!G98</f>
        <v>17</v>
      </c>
      <c r="Z30" s="22">
        <f t="shared" si="7"/>
        <v>77</v>
      </c>
      <c r="AA30" s="19">
        <f>'27'!G133</f>
        <v>0</v>
      </c>
      <c r="AB30" s="19">
        <f>'27'!G134</f>
        <v>0</v>
      </c>
      <c r="AC30" s="19">
        <f>'27'!G135</f>
        <v>0</v>
      </c>
      <c r="AD30" s="19">
        <f>'27'!G136</f>
        <v>24.040000000000873</v>
      </c>
      <c r="AE30" s="19">
        <f t="shared" si="8"/>
        <v>24.040000000000873</v>
      </c>
      <c r="AF30" s="23">
        <f t="shared" si="2"/>
        <v>4767.4700000000012</v>
      </c>
      <c r="AG30" s="23">
        <f t="shared" si="9"/>
        <v>198.31405990015924</v>
      </c>
      <c r="AH30" s="19">
        <f>'27'!G137</f>
        <v>0</v>
      </c>
      <c r="AI30" s="19">
        <f>'27'!G138</f>
        <v>0</v>
      </c>
      <c r="AJ30" s="19">
        <f>'27'!G139</f>
        <v>9.7800000000133878</v>
      </c>
      <c r="AK30" s="19">
        <f t="shared" si="10"/>
        <v>9.7800000000133878</v>
      </c>
      <c r="AL30" s="19">
        <f>'27'!G140</f>
        <v>7.6299999999998818</v>
      </c>
      <c r="AM30" s="19">
        <f>'27'!G141</f>
        <v>0</v>
      </c>
      <c r="AN30" s="19"/>
      <c r="AO30" s="19">
        <f t="shared" si="11"/>
        <v>7.6299999999998818</v>
      </c>
      <c r="AP30" s="258">
        <f>'27'!G124</f>
        <v>205.0899999999674</v>
      </c>
      <c r="AQ30" s="261">
        <f>'27'!G35</f>
        <v>2481.25</v>
      </c>
      <c r="AR30" s="19">
        <f>'27'!G37</f>
        <v>1296.2700000000041</v>
      </c>
      <c r="AS30" s="19">
        <f>'27'!G38</f>
        <v>1176.609999999986</v>
      </c>
      <c r="AT30" s="19">
        <f>'27'!G39</f>
        <v>2221.5300000000279</v>
      </c>
      <c r="AU30" s="19">
        <f>'27'!G40</f>
        <v>9.9999999999909051E-3</v>
      </c>
      <c r="AV30" s="19">
        <f>'27'!G41</f>
        <v>-0.13000000000465661</v>
      </c>
      <c r="AW30" s="19">
        <f>'27'!G42</f>
        <v>2.9999999998835847E-2</v>
      </c>
      <c r="AX30" s="19">
        <f>'27'!G43</f>
        <v>2345.6999999999534</v>
      </c>
      <c r="AY30" s="23">
        <f>'27'!G44</f>
        <v>0</v>
      </c>
      <c r="AZ30" s="262">
        <f>'27'!G36</f>
        <v>0</v>
      </c>
      <c r="BA30" s="261">
        <f>'27'!G49</f>
        <v>0</v>
      </c>
      <c r="BB30" s="19">
        <f>'27'!G51</f>
        <v>0.13000000000465661</v>
      </c>
      <c r="BC30" s="19">
        <f>'27'!G52</f>
        <v>-6.9999999948777258E-2</v>
      </c>
      <c r="BD30" s="19">
        <f>'27'!G53</f>
        <v>552.45000000001164</v>
      </c>
      <c r="BE30" s="19">
        <f>'27'!G54</f>
        <v>81</v>
      </c>
      <c r="BF30" s="19">
        <f>'27'!G55</f>
        <v>0.32000000000698492</v>
      </c>
      <c r="BG30" s="19">
        <f>'27'!G56</f>
        <v>4767.25</v>
      </c>
      <c r="BH30" s="19">
        <f>'27'!G57</f>
        <v>0</v>
      </c>
      <c r="BI30" s="262">
        <f>'27'!G50</f>
        <v>845.1699999999837</v>
      </c>
      <c r="BJ30" s="370">
        <f t="shared" si="12"/>
        <v>4767.4700000000012</v>
      </c>
      <c r="BK30" s="370">
        <f>'27'!G84</f>
        <v>763</v>
      </c>
      <c r="BL30" s="23">
        <f t="shared" si="13"/>
        <v>57.203722550837824</v>
      </c>
      <c r="BM30" s="23">
        <f t="shared" si="14"/>
        <v>16.53898644019921</v>
      </c>
      <c r="BN30" s="24">
        <f t="shared" si="15"/>
        <v>7.0147510459168116E-2</v>
      </c>
      <c r="BO30" s="25">
        <f t="shared" si="16"/>
        <v>206135.09999999986</v>
      </c>
      <c r="BP30" s="213">
        <f t="shared" si="17"/>
        <v>7876.1699999999546</v>
      </c>
      <c r="BQ30">
        <f t="shared" si="18"/>
        <v>1.170098942239076</v>
      </c>
    </row>
    <row r="31" spans="1:69">
      <c r="A31" s="16">
        <v>28</v>
      </c>
      <c r="B31" s="26">
        <v>28</v>
      </c>
      <c r="C31" s="28"/>
      <c r="D31" s="19">
        <f>'28'!D3</f>
        <v>30</v>
      </c>
      <c r="E31" s="256">
        <f>'28'!D4</f>
        <v>0.78</v>
      </c>
      <c r="F31" s="256">
        <f>'28'!D2</f>
        <v>0.71</v>
      </c>
      <c r="G31" s="19">
        <f>'28'!G8</f>
        <v>16930</v>
      </c>
      <c r="H31" s="19">
        <f>'28'!G8</f>
        <v>16930</v>
      </c>
      <c r="I31" s="19">
        <f>'28'!G7</f>
        <v>16848</v>
      </c>
      <c r="J31" s="19">
        <v>10</v>
      </c>
      <c r="K31" s="242">
        <f t="shared" si="3"/>
        <v>169300</v>
      </c>
      <c r="L31" s="238">
        <f t="shared" si="4"/>
        <v>83.405940594059402</v>
      </c>
      <c r="M31" s="19">
        <f>'28'!G15</f>
        <v>458</v>
      </c>
      <c r="N31" s="19">
        <v>35</v>
      </c>
      <c r="O31" s="234">
        <f t="shared" si="5"/>
        <v>16030</v>
      </c>
      <c r="P31" s="19">
        <f>'28'!G20</f>
        <v>100</v>
      </c>
      <c r="Q31" s="19">
        <v>134</v>
      </c>
      <c r="R31" s="239">
        <f t="shared" si="0"/>
        <v>13400</v>
      </c>
      <c r="S31" s="240">
        <f t="shared" si="1"/>
        <v>69.725282387393676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51</v>
      </c>
      <c r="X31" s="22">
        <f>'28'!G97</f>
        <v>7</v>
      </c>
      <c r="Y31" s="22">
        <f>'28'!G98</f>
        <v>18</v>
      </c>
      <c r="Z31" s="22">
        <f t="shared" si="7"/>
        <v>76</v>
      </c>
      <c r="AA31" s="19">
        <f>'28'!G133</f>
        <v>-9.9999999998544808E-2</v>
      </c>
      <c r="AB31" s="19">
        <f>'28'!G134</f>
        <v>0</v>
      </c>
      <c r="AC31" s="19">
        <f>'28'!G135</f>
        <v>-0.33999999999650754</v>
      </c>
      <c r="AD31" s="19">
        <f>'28'!G136</f>
        <v>24.119999999998981</v>
      </c>
      <c r="AE31" s="19">
        <f t="shared" si="8"/>
        <v>23.680000000003929</v>
      </c>
      <c r="AF31" s="23">
        <f t="shared" si="2"/>
        <v>4796</v>
      </c>
      <c r="AG31" s="23">
        <f t="shared" si="9"/>
        <v>202.53378378375018</v>
      </c>
      <c r="AH31" s="19">
        <f>'28'!G137</f>
        <v>7.6399999999994179</v>
      </c>
      <c r="AI31" s="19">
        <f>'28'!G138</f>
        <v>9.9999999998544808E-2</v>
      </c>
      <c r="AJ31" s="19">
        <f>'28'!G139</f>
        <v>3.9999999993597157E-2</v>
      </c>
      <c r="AK31" s="19">
        <f t="shared" si="10"/>
        <v>7.7799999999915599</v>
      </c>
      <c r="AL31" s="19">
        <f>'28'!G140</f>
        <v>7.1900000000000546</v>
      </c>
      <c r="AM31" s="19">
        <f>'28'!G141</f>
        <v>0</v>
      </c>
      <c r="AN31" s="19"/>
      <c r="AO31" s="19">
        <f t="shared" si="11"/>
        <v>7.1900000000000546</v>
      </c>
      <c r="AP31" s="258">
        <f>'28'!G124</f>
        <v>197</v>
      </c>
      <c r="AQ31" s="261">
        <f>'28'!G35</f>
        <v>2485</v>
      </c>
      <c r="AR31" s="19">
        <f>'28'!G37</f>
        <v>1279</v>
      </c>
      <c r="AS31" s="19">
        <f>'28'!G38</f>
        <v>1195</v>
      </c>
      <c r="AT31" s="19">
        <f>'28'!G39</f>
        <v>2110</v>
      </c>
      <c r="AU31" s="19">
        <f>'28'!G40</f>
        <v>0</v>
      </c>
      <c r="AV31" s="19">
        <f>'28'!G41</f>
        <v>0</v>
      </c>
      <c r="AW31" s="19">
        <f>'28'!G42</f>
        <v>0</v>
      </c>
      <c r="AX31" s="439">
        <f>'28'!G43</f>
        <v>2329</v>
      </c>
      <c r="AY31" s="23">
        <f>'28'!G44</f>
        <v>0</v>
      </c>
      <c r="AZ31" s="262">
        <f>'28'!G36</f>
        <v>0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601</v>
      </c>
      <c r="BE31" s="19">
        <f>'28'!G54</f>
        <v>82</v>
      </c>
      <c r="BF31" s="19">
        <f>'28'!G55</f>
        <v>0</v>
      </c>
      <c r="BG31" s="19">
        <f>'28'!G56</f>
        <v>4796</v>
      </c>
      <c r="BH31" s="19">
        <f>'28'!G57</f>
        <v>0.32999999999992724</v>
      </c>
      <c r="BI31" s="262">
        <f>'28'!G50</f>
        <v>832</v>
      </c>
      <c r="BJ31" s="370">
        <f t="shared" si="12"/>
        <v>4796</v>
      </c>
      <c r="BK31" s="370">
        <f>'28'!G84</f>
        <v>879</v>
      </c>
      <c r="BL31" s="23">
        <f>SUM(AQ31,AV31,AW31,AX31,BA31,BF31,BG31,BH31)/I31%</f>
        <v>57.041369895536562</v>
      </c>
      <c r="BM31" s="23">
        <f t="shared" si="14"/>
        <v>16.090930674264008</v>
      </c>
      <c r="BN31" s="24">
        <f t="shared" si="15"/>
        <v>7.0932454890785188E-2</v>
      </c>
      <c r="BO31" s="25">
        <f t="shared" si="16"/>
        <v>198730</v>
      </c>
      <c r="BP31" s="213">
        <f t="shared" si="17"/>
        <v>8004.33</v>
      </c>
      <c r="BQ31">
        <f t="shared" si="18"/>
        <v>1.2072167591696839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56">
        <f>'29'!D4</f>
        <v>0.78</v>
      </c>
      <c r="F32" s="256">
        <f>'29'!D2</f>
        <v>0.98</v>
      </c>
      <c r="G32" s="19">
        <f>'29'!G8</f>
        <v>16984</v>
      </c>
      <c r="H32" s="19">
        <f>'29'!G8</f>
        <v>16984</v>
      </c>
      <c r="I32" s="19">
        <f>'29'!G7</f>
        <v>16913</v>
      </c>
      <c r="J32" s="19">
        <v>10</v>
      </c>
      <c r="K32" s="242">
        <f t="shared" si="3"/>
        <v>169840</v>
      </c>
      <c r="L32" s="238">
        <f t="shared" si="4"/>
        <v>83.727722772277232</v>
      </c>
      <c r="M32" s="19">
        <f>'29'!G15</f>
        <v>318</v>
      </c>
      <c r="N32" s="19">
        <v>35</v>
      </c>
      <c r="O32" s="234">
        <f t="shared" si="5"/>
        <v>11130</v>
      </c>
      <c r="P32" s="19">
        <f>'29'!G20</f>
        <v>117</v>
      </c>
      <c r="Q32" s="19">
        <v>134</v>
      </c>
      <c r="R32" s="239">
        <f t="shared" si="0"/>
        <v>15678</v>
      </c>
      <c r="S32" s="240">
        <f t="shared" si="1"/>
        <v>59.102849060416247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46</v>
      </c>
      <c r="X32" s="22">
        <f>'29'!G97</f>
        <v>9</v>
      </c>
      <c r="Y32" s="22">
        <f>'29'!G98</f>
        <v>35</v>
      </c>
      <c r="Z32" s="22">
        <f t="shared" si="7"/>
        <v>90</v>
      </c>
      <c r="AA32" s="19">
        <f>'29'!G133</f>
        <v>0</v>
      </c>
      <c r="AB32" s="19">
        <f>'29'!G134</f>
        <v>0</v>
      </c>
      <c r="AC32" s="19">
        <f>'29'!G135</f>
        <v>0</v>
      </c>
      <c r="AD32" s="19">
        <f>'29'!G136</f>
        <v>24.080000000001746</v>
      </c>
      <c r="AE32" s="19">
        <f t="shared" si="8"/>
        <v>24.080000000001746</v>
      </c>
      <c r="AF32" s="23">
        <f t="shared" si="2"/>
        <v>4832</v>
      </c>
      <c r="AG32" s="23">
        <f t="shared" si="9"/>
        <v>200.66445182722796</v>
      </c>
      <c r="AH32" s="19">
        <f>'29'!G137</f>
        <v>0</v>
      </c>
      <c r="AI32" s="19">
        <f>'29'!G138</f>
        <v>0.18000000000029104</v>
      </c>
      <c r="AJ32" s="19">
        <f>'29'!G139</f>
        <v>0</v>
      </c>
      <c r="AK32" s="19">
        <f t="shared" si="10"/>
        <v>0.18000000000029104</v>
      </c>
      <c r="AL32" s="19">
        <f>'29'!G140</f>
        <v>7.4400000000000546</v>
      </c>
      <c r="AM32" s="19">
        <f>'29'!G141</f>
        <v>0.11999999999989086</v>
      </c>
      <c r="AN32" s="19"/>
      <c r="AO32" s="19">
        <f t="shared" si="11"/>
        <v>7.5599999999999454</v>
      </c>
      <c r="AP32" s="258">
        <f>'29'!G124</f>
        <v>197</v>
      </c>
      <c r="AQ32" s="261">
        <f>'29'!G35</f>
        <v>2408</v>
      </c>
      <c r="AR32" s="19">
        <f>'29'!G37</f>
        <v>1354</v>
      </c>
      <c r="AS32" s="19">
        <f>'29'!G38</f>
        <v>1218</v>
      </c>
      <c r="AT32" s="19">
        <f>'29'!G39</f>
        <v>2330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2326</v>
      </c>
      <c r="AY32" s="23">
        <f>'29'!G44</f>
        <v>0</v>
      </c>
      <c r="AZ32" s="262">
        <f>'29'!G36</f>
        <v>0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588</v>
      </c>
      <c r="BE32" s="19">
        <f>'29'!G54</f>
        <v>80</v>
      </c>
      <c r="BF32" s="19">
        <f>'29'!G55</f>
        <v>0</v>
      </c>
      <c r="BG32" s="19">
        <f>'29'!G56</f>
        <v>4832</v>
      </c>
      <c r="BH32" s="19">
        <f>'29'!G57</f>
        <v>-0.32999999999992724</v>
      </c>
      <c r="BI32" s="262">
        <f>'29'!G50</f>
        <v>866</v>
      </c>
      <c r="BJ32" s="370">
        <f t="shared" si="12"/>
        <v>4832</v>
      </c>
      <c r="BK32" s="370">
        <f>'29'!G84</f>
        <v>872</v>
      </c>
      <c r="BL32" s="23">
        <f t="shared" si="13"/>
        <v>56.558091408975343</v>
      </c>
      <c r="BM32" s="23">
        <f t="shared" si="14"/>
        <v>17.253000650387275</v>
      </c>
      <c r="BN32" s="24">
        <f t="shared" si="15"/>
        <v>7.2015609294625429E-2</v>
      </c>
      <c r="BO32" s="25">
        <f t="shared" si="16"/>
        <v>196648</v>
      </c>
      <c r="BP32" s="213">
        <f t="shared" si="17"/>
        <v>8029.67</v>
      </c>
      <c r="BQ32">
        <f t="shared" si="18"/>
        <v>1.1909216302799326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0.62</v>
      </c>
      <c r="G33" s="19">
        <f>'30'!G8</f>
        <v>17940</v>
      </c>
      <c r="H33" s="19">
        <f>'30'!G8</f>
        <v>17940</v>
      </c>
      <c r="I33" s="19">
        <f>'30'!G7</f>
        <v>17872</v>
      </c>
      <c r="J33" s="19">
        <v>10</v>
      </c>
      <c r="K33" s="242">
        <f t="shared" si="3"/>
        <v>179400</v>
      </c>
      <c r="L33" s="238">
        <f t="shared" si="4"/>
        <v>88.475247524752476</v>
      </c>
      <c r="M33" s="19">
        <f>'30'!G15</f>
        <v>484</v>
      </c>
      <c r="N33" s="19">
        <v>35</v>
      </c>
      <c r="O33" s="234">
        <f t="shared" si="5"/>
        <v>16940</v>
      </c>
      <c r="P33" s="19">
        <f>'30'!G20</f>
        <v>138</v>
      </c>
      <c r="Q33" s="19">
        <v>134</v>
      </c>
      <c r="R33" s="239">
        <f t="shared" si="0"/>
        <v>18492</v>
      </c>
      <c r="S33" s="240">
        <f t="shared" si="1"/>
        <v>110.18843819865857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38</v>
      </c>
      <c r="X33" s="22">
        <f>'30'!G97</f>
        <v>13</v>
      </c>
      <c r="Y33" s="22">
        <f>'30'!G98</f>
        <v>34</v>
      </c>
      <c r="Z33" s="22">
        <f t="shared" si="7"/>
        <v>85</v>
      </c>
      <c r="AA33" s="19">
        <f>'30'!G133</f>
        <v>0</v>
      </c>
      <c r="AB33" s="19">
        <f>'30'!G134</f>
        <v>0</v>
      </c>
      <c r="AC33" s="19">
        <f>'30'!G135</f>
        <v>0</v>
      </c>
      <c r="AD33" s="19">
        <f>'30'!G136</f>
        <v>24.029999999998836</v>
      </c>
      <c r="AE33" s="19">
        <f t="shared" si="8"/>
        <v>24.029999999998836</v>
      </c>
      <c r="AF33" s="23">
        <f t="shared" si="2"/>
        <v>5573</v>
      </c>
      <c r="AG33" s="23">
        <f t="shared" si="9"/>
        <v>231.91843528923303</v>
      </c>
      <c r="AH33" s="19">
        <f>'30'!G137</f>
        <v>0</v>
      </c>
      <c r="AI33" s="19">
        <f>'30'!G138</f>
        <v>-0.18000000000029104</v>
      </c>
      <c r="AJ33" s="19">
        <f>'30'!G139</f>
        <v>9.7400000000052387</v>
      </c>
      <c r="AK33" s="19">
        <f t="shared" si="10"/>
        <v>9.5600000000049477</v>
      </c>
      <c r="AL33" s="19">
        <f>'30'!G140</f>
        <v>8.0899999999999181</v>
      </c>
      <c r="AM33" s="19">
        <f>'30'!G141</f>
        <v>0</v>
      </c>
      <c r="AN33" s="19"/>
      <c r="AO33" s="19">
        <f t="shared" si="11"/>
        <v>8.0899999999999181</v>
      </c>
      <c r="AP33" s="258">
        <f>'30'!G124</f>
        <v>217</v>
      </c>
      <c r="AQ33" s="261">
        <f>'30'!G35</f>
        <v>2377</v>
      </c>
      <c r="AR33" s="19">
        <f>'30'!G37</f>
        <v>1302</v>
      </c>
      <c r="AS33" s="19">
        <f>'30'!G38</f>
        <v>1331</v>
      </c>
      <c r="AT33" s="19">
        <f>'30'!G39</f>
        <v>2409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2307</v>
      </c>
      <c r="AY33" s="23">
        <f>'30'!G44</f>
        <v>0</v>
      </c>
      <c r="AZ33" s="262">
        <f>'30'!G36</f>
        <v>0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545</v>
      </c>
      <c r="BE33" s="19">
        <f>'30'!G54</f>
        <v>82</v>
      </c>
      <c r="BF33" s="19">
        <f>'30'!G55</f>
        <v>0</v>
      </c>
      <c r="BG33" s="19">
        <f>'30'!G56</f>
        <v>5573</v>
      </c>
      <c r="BH33" s="19">
        <f>'30'!G57</f>
        <v>0</v>
      </c>
      <c r="BI33" s="262">
        <f>'30'!G50</f>
        <v>926</v>
      </c>
      <c r="BJ33" s="370">
        <f t="shared" ref="BJ33" si="19">SUM(AV33,AW33,BF33,BG33)</f>
        <v>5573</v>
      </c>
      <c r="BK33" s="370">
        <f>'30'!G84</f>
        <v>802</v>
      </c>
      <c r="BL33" s="23">
        <f t="shared" si="13"/>
        <v>57.391450313339305</v>
      </c>
      <c r="BM33" s="23">
        <f t="shared" si="14"/>
        <v>16.528648164726949</v>
      </c>
      <c r="BN33" s="24">
        <f t="shared" si="15"/>
        <v>7.4470120859447805E-2</v>
      </c>
      <c r="BO33" s="25">
        <f t="shared" si="16"/>
        <v>214832</v>
      </c>
      <c r="BP33" s="213">
        <f t="shared" si="17"/>
        <v>8682</v>
      </c>
      <c r="BQ33">
        <f t="shared" si="18"/>
        <v>1.2903513465311842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17744</v>
      </c>
      <c r="H34" s="19">
        <f>'31'!G8</f>
        <v>17744</v>
      </c>
      <c r="I34" s="19">
        <f>'31'!G8</f>
        <v>17744</v>
      </c>
      <c r="J34" s="19">
        <v>11</v>
      </c>
      <c r="K34" s="242">
        <f t="shared" ref="K34" si="20">H34*J34</f>
        <v>195184</v>
      </c>
      <c r="L34" s="238">
        <f t="shared" ref="L34" si="21">I34/202</f>
        <v>87.841584158415841</v>
      </c>
      <c r="M34" s="19">
        <f>'31'!G15</f>
        <v>640</v>
      </c>
      <c r="N34" s="19">
        <v>36</v>
      </c>
      <c r="O34" s="234">
        <f t="shared" ref="O34" si="22">M34*N34</f>
        <v>23040</v>
      </c>
      <c r="P34" s="19">
        <f>'31'!G20</f>
        <v>121</v>
      </c>
      <c r="Q34" s="19">
        <v>134</v>
      </c>
      <c r="R34" s="239">
        <f t="shared" ref="R34" si="23">P34*Q34</f>
        <v>16214</v>
      </c>
      <c r="S34" s="240">
        <f t="shared" ref="S34" si="24">P34/(F34*202/100)</f>
        <v>2.0655513827244794</v>
      </c>
      <c r="T34" s="19">
        <f>'30'!G25</f>
        <v>0</v>
      </c>
      <c r="U34" s="19">
        <v>70</v>
      </c>
      <c r="V34" s="241">
        <f t="shared" ref="V34" si="25">T34*U34</f>
        <v>0</v>
      </c>
      <c r="W34" s="22">
        <f>'30'!G97</f>
        <v>13</v>
      </c>
      <c r="X34" s="22">
        <f>'30'!G98</f>
        <v>34</v>
      </c>
      <c r="Y34" s="22">
        <f>'30'!G99</f>
        <v>2</v>
      </c>
      <c r="Z34" s="22">
        <f t="shared" ref="Z34" si="26">W34+X34+Y34</f>
        <v>49</v>
      </c>
      <c r="AA34" s="19">
        <f>'30'!G134</f>
        <v>0</v>
      </c>
      <c r="AB34" s="19">
        <f>'30'!G135</f>
        <v>0</v>
      </c>
      <c r="AC34" s="19">
        <f>'30'!G136</f>
        <v>24.029999999998836</v>
      </c>
      <c r="AD34" s="19">
        <f>'30'!G137</f>
        <v>0</v>
      </c>
      <c r="AE34" s="19">
        <f t="shared" ref="AE34" si="27">AA34+AB34+AC34+AD34</f>
        <v>24.029999999998836</v>
      </c>
      <c r="AF34" s="23">
        <f t="shared" ref="AF34" si="28">AV34+AW34+BF34+BG34</f>
        <v>5603</v>
      </c>
      <c r="AG34" s="23">
        <f t="shared" ref="AG34" si="29">AF34/AE34</f>
        <v>233.16687473991973</v>
      </c>
      <c r="AH34" s="19">
        <f>'30'!G138</f>
        <v>-0.18000000000029104</v>
      </c>
      <c r="AI34" s="19">
        <f>'30'!G139</f>
        <v>9.7400000000052387</v>
      </c>
      <c r="AJ34" s="19">
        <f>'30'!G140</f>
        <v>8.0899999999999181</v>
      </c>
      <c r="AK34" s="19">
        <f t="shared" ref="AK34" si="30">AH34+AI34+AJ34</f>
        <v>17.650000000004866</v>
      </c>
      <c r="AL34" s="19">
        <f>'30'!G141</f>
        <v>0</v>
      </c>
      <c r="AM34" s="19">
        <f>'30'!G142</f>
        <v>0</v>
      </c>
      <c r="AN34" s="19"/>
      <c r="AO34" s="19">
        <f t="shared" ref="AO34" si="31">AL34+AM34</f>
        <v>0</v>
      </c>
      <c r="AP34" s="258">
        <f>'30'!G125</f>
        <v>0.39999999999417923</v>
      </c>
      <c r="AQ34" s="261">
        <f>'31'!G35</f>
        <v>2345</v>
      </c>
      <c r="AR34" s="19">
        <f>'31'!G37</f>
        <v>1260</v>
      </c>
      <c r="AS34" s="19">
        <f>'31'!G38</f>
        <v>1249</v>
      </c>
      <c r="AT34" s="19">
        <f>'31'!G39</f>
        <v>2175</v>
      </c>
      <c r="AU34" s="19">
        <f>'31'!G40</f>
        <v>0</v>
      </c>
      <c r="AV34" s="19">
        <f>'31'!G41</f>
        <v>0</v>
      </c>
      <c r="AW34" s="19">
        <f>'31'!G42</f>
        <v>1</v>
      </c>
      <c r="AX34" s="19">
        <f>'31'!G43</f>
        <v>2277</v>
      </c>
      <c r="AY34" s="23">
        <f>'31'!G44</f>
        <v>0</v>
      </c>
      <c r="AZ34" s="262">
        <f>'31'!G36</f>
        <v>173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509</v>
      </c>
      <c r="BE34" s="19">
        <f>'31'!G54</f>
        <v>72</v>
      </c>
      <c r="BF34" s="19">
        <f>'31'!G55</f>
        <v>0</v>
      </c>
      <c r="BG34" s="19">
        <f>'31'!G56</f>
        <v>5602</v>
      </c>
      <c r="BH34" s="19">
        <f>'31'!G57</f>
        <v>0</v>
      </c>
      <c r="BI34" s="262">
        <f>'31'!G50</f>
        <v>884</v>
      </c>
      <c r="BJ34" s="370">
        <f t="shared" ref="BJ34" si="32">SUM(AV34,AW34,BF34,BG34)</f>
        <v>5603</v>
      </c>
      <c r="BK34" s="370">
        <f>'31'!G84</f>
        <v>805</v>
      </c>
      <c r="BL34" s="23">
        <f t="shared" ref="BL34" si="33">SUM(AQ34,AV34,AW34,AX34,BA34,BF34,BG34,BH34)/I34%</f>
        <v>57.624380072137036</v>
      </c>
      <c r="BM34" s="23">
        <f t="shared" ref="BM34" si="34">SUM(AT34,BD34)/I34%</f>
        <v>15.126239855725879</v>
      </c>
      <c r="BN34" s="24">
        <f t="shared" ref="BN34" si="35">(AS34+BC34)/I34</f>
        <v>7.0389990982867454E-2</v>
      </c>
      <c r="BO34" s="25">
        <f t="shared" ref="BO34" si="36">K34+O34+R34+V34</f>
        <v>234438</v>
      </c>
      <c r="BP34" s="213">
        <f t="shared" ref="BP34" si="37">SUM(AV34,AW34,AX34,BF34,BG34,BH34,BK34)</f>
        <v>8685</v>
      </c>
      <c r="BQ34">
        <f t="shared" ref="BQ34" si="38">BP34/(AE34*280)</f>
        <v>1.2907972177635725</v>
      </c>
    </row>
    <row r="35" spans="1:69">
      <c r="A35" s="16" t="s">
        <v>201</v>
      </c>
      <c r="B35" s="30"/>
      <c r="C35" s="31"/>
      <c r="D35" s="32">
        <f>AVERAGE(D4:D34)</f>
        <v>29.516129032258064</v>
      </c>
      <c r="E35" s="33"/>
      <c r="F35" s="384">
        <f>AVERAGE(F4:F34)</f>
        <v>1.4074193548387097</v>
      </c>
      <c r="G35" s="34">
        <f>SUM(G4:G34)</f>
        <v>502269</v>
      </c>
      <c r="H35" s="34">
        <f>SUM(H4:H34)</f>
        <v>502269</v>
      </c>
      <c r="I35" s="34">
        <f t="shared" ref="I35:BO35" si="39">SUM(I4:I34)</f>
        <v>499496.00000000006</v>
      </c>
      <c r="J35" s="34">
        <f t="shared" si="39"/>
        <v>310</v>
      </c>
      <c r="K35" s="34">
        <f t="shared" si="39"/>
        <v>5024381</v>
      </c>
      <c r="L35" s="34">
        <f t="shared" si="39"/>
        <v>2472.7524752475247</v>
      </c>
      <c r="M35" s="34">
        <f t="shared" si="39"/>
        <v>13867</v>
      </c>
      <c r="N35" s="34">
        <f t="shared" si="39"/>
        <v>1086</v>
      </c>
      <c r="O35" s="34">
        <f t="shared" si="39"/>
        <v>485985</v>
      </c>
      <c r="P35" s="34">
        <f t="shared" si="39"/>
        <v>3120</v>
      </c>
      <c r="Q35" s="34">
        <f t="shared" si="39"/>
        <v>4154</v>
      </c>
      <c r="R35" s="34">
        <f t="shared" si="39"/>
        <v>418080</v>
      </c>
      <c r="S35" s="34">
        <f t="shared" si="39"/>
        <v>4336.9234826163938</v>
      </c>
      <c r="T35" s="34">
        <f t="shared" si="39"/>
        <v>0</v>
      </c>
      <c r="U35" s="34">
        <f t="shared" si="39"/>
        <v>2140</v>
      </c>
      <c r="V35" s="34">
        <f t="shared" si="39"/>
        <v>0</v>
      </c>
      <c r="W35" s="34">
        <f t="shared" si="39"/>
        <v>1356</v>
      </c>
      <c r="X35" s="34">
        <f t="shared" si="39"/>
        <v>327</v>
      </c>
      <c r="Y35" s="34">
        <f t="shared" si="39"/>
        <v>506</v>
      </c>
      <c r="Z35" s="34">
        <f t="shared" si="39"/>
        <v>2189</v>
      </c>
      <c r="AA35" s="34">
        <f t="shared" si="39"/>
        <v>312.5199999999968</v>
      </c>
      <c r="AB35" s="34">
        <f t="shared" si="39"/>
        <v>0</v>
      </c>
      <c r="AC35" s="34">
        <f t="shared" si="39"/>
        <v>348.02999999999884</v>
      </c>
      <c r="AD35" s="34">
        <f t="shared" si="39"/>
        <v>108.27000000000044</v>
      </c>
      <c r="AE35" s="34">
        <f t="shared" si="39"/>
        <v>768.81999999999607</v>
      </c>
      <c r="AF35" s="34">
        <f t="shared" si="39"/>
        <v>154970.53000000003</v>
      </c>
      <c r="AG35" s="34">
        <f t="shared" si="39"/>
        <v>6278.9881005615043</v>
      </c>
      <c r="AH35" s="34">
        <f t="shared" si="39"/>
        <v>51.330000000001746</v>
      </c>
      <c r="AI35" s="34">
        <f t="shared" si="39"/>
        <v>9.9600000000064028</v>
      </c>
      <c r="AJ35" s="34">
        <f t="shared" si="39"/>
        <v>114.27000000000749</v>
      </c>
      <c r="AK35" s="34">
        <f t="shared" si="39"/>
        <v>175.56000000001563</v>
      </c>
      <c r="AL35" s="34">
        <f t="shared" si="39"/>
        <v>231.02999999999997</v>
      </c>
      <c r="AM35" s="34">
        <f t="shared" si="39"/>
        <v>-0.6000000000003638</v>
      </c>
      <c r="AN35" s="34">
        <f t="shared" si="39"/>
        <v>0</v>
      </c>
      <c r="AO35" s="34">
        <f t="shared" si="39"/>
        <v>230.42999999999961</v>
      </c>
      <c r="AP35" s="34">
        <f t="shared" si="39"/>
        <v>6100.9400000000314</v>
      </c>
      <c r="AQ35" s="34">
        <f t="shared" si="39"/>
        <v>64029</v>
      </c>
      <c r="AR35" s="34">
        <f t="shared" si="39"/>
        <v>39011</v>
      </c>
      <c r="AS35" s="34">
        <f t="shared" si="39"/>
        <v>36809</v>
      </c>
      <c r="AT35" s="34">
        <f t="shared" si="39"/>
        <v>61520</v>
      </c>
      <c r="AU35" s="34">
        <f t="shared" si="39"/>
        <v>888.77</v>
      </c>
      <c r="AV35" s="34">
        <f t="shared" si="39"/>
        <v>58950</v>
      </c>
      <c r="AW35" s="34">
        <f t="shared" si="39"/>
        <v>0</v>
      </c>
      <c r="AX35" s="34">
        <f t="shared" si="39"/>
        <v>68286</v>
      </c>
      <c r="AY35" s="34">
        <f t="shared" si="39"/>
        <v>0</v>
      </c>
      <c r="AZ35" s="34">
        <f t="shared" si="39"/>
        <v>2630</v>
      </c>
      <c r="BA35" s="34">
        <f t="shared" si="39"/>
        <v>-0.13000000000465661</v>
      </c>
      <c r="BB35" s="34">
        <f t="shared" si="39"/>
        <v>0</v>
      </c>
      <c r="BC35" s="34">
        <f t="shared" si="39"/>
        <v>0</v>
      </c>
      <c r="BD35" s="34">
        <f t="shared" si="39"/>
        <v>15725</v>
      </c>
      <c r="BE35" s="34">
        <f t="shared" si="39"/>
        <v>6063.24</v>
      </c>
      <c r="BF35" s="34">
        <f t="shared" si="39"/>
        <v>68111</v>
      </c>
      <c r="BG35" s="34">
        <f t="shared" si="39"/>
        <v>27909.530000000028</v>
      </c>
      <c r="BH35" s="34">
        <f t="shared" si="39"/>
        <v>0</v>
      </c>
      <c r="BI35" s="34">
        <f t="shared" si="39"/>
        <v>28000</v>
      </c>
      <c r="BJ35" s="34">
        <f t="shared" si="39"/>
        <v>154970.53000000003</v>
      </c>
      <c r="BK35" s="34">
        <f t="shared" si="39"/>
        <v>20317</v>
      </c>
      <c r="BL35" s="34">
        <f t="shared" si="39"/>
        <v>1784.8348268328621</v>
      </c>
      <c r="BM35" s="34">
        <f t="shared" si="39"/>
        <v>479.36841747526262</v>
      </c>
      <c r="BN35" s="34">
        <f t="shared" si="39"/>
        <v>2.2890039460232248</v>
      </c>
      <c r="BO35" s="34">
        <f t="shared" si="39"/>
        <v>5928446</v>
      </c>
      <c r="BP35" s="213">
        <f t="shared" si="17"/>
        <v>243573.53000000003</v>
      </c>
      <c r="BQ35">
        <f t="shared" si="18"/>
        <v>1.1314813145934273</v>
      </c>
    </row>
    <row r="36" spans="1:69">
      <c r="A36" s="35"/>
      <c r="B36" s="35">
        <f t="shared" ref="B36:F36" si="40">B18-B17</f>
        <v>1</v>
      </c>
      <c r="C36" s="35">
        <f t="shared" si="40"/>
        <v>0</v>
      </c>
      <c r="D36" s="35">
        <f t="shared" si="40"/>
        <v>1</v>
      </c>
      <c r="E36" s="35">
        <f t="shared" si="40"/>
        <v>0</v>
      </c>
      <c r="F36" s="35">
        <f t="shared" si="40"/>
        <v>0.19999999999999996</v>
      </c>
      <c r="G36" s="35"/>
      <c r="H36" s="35"/>
      <c r="I36" s="35">
        <f t="shared" ref="I36:AO36" si="41">I18-I17</f>
        <v>2728.8099999999977</v>
      </c>
      <c r="J36" s="35">
        <f t="shared" si="41"/>
        <v>0</v>
      </c>
      <c r="K36" s="235">
        <f t="shared" si="41"/>
        <v>26861.70000000007</v>
      </c>
      <c r="L36" s="235">
        <f t="shared" si="41"/>
        <v>13.508960396039598</v>
      </c>
      <c r="M36" s="35">
        <f t="shared" si="41"/>
        <v>144.83999999985099</v>
      </c>
      <c r="N36" s="35">
        <f t="shared" si="41"/>
        <v>0</v>
      </c>
      <c r="O36" s="235">
        <f t="shared" si="41"/>
        <v>5069.3999999947846</v>
      </c>
      <c r="P36" s="35">
        <f t="shared" si="41"/>
        <v>39</v>
      </c>
      <c r="Q36" s="35">
        <f t="shared" si="41"/>
        <v>0</v>
      </c>
      <c r="R36" s="235">
        <f t="shared" si="41"/>
        <v>5226</v>
      </c>
      <c r="S36" s="235">
        <f t="shared" si="41"/>
        <v>8.6815910506713294</v>
      </c>
      <c r="T36" s="35">
        <f t="shared" si="41"/>
        <v>0</v>
      </c>
      <c r="U36" s="35">
        <f t="shared" si="41"/>
        <v>0</v>
      </c>
      <c r="V36" s="235">
        <f t="shared" si="41"/>
        <v>0</v>
      </c>
      <c r="W36" s="35">
        <f t="shared" si="41"/>
        <v>-4</v>
      </c>
      <c r="X36" s="35">
        <f t="shared" si="41"/>
        <v>0</v>
      </c>
      <c r="Y36" s="35">
        <f t="shared" si="41"/>
        <v>16</v>
      </c>
      <c r="Z36" s="35">
        <f t="shared" si="41"/>
        <v>12</v>
      </c>
      <c r="AA36" s="35">
        <f t="shared" si="41"/>
        <v>2.1699999999982538</v>
      </c>
      <c r="AB36" s="35">
        <f t="shared" si="41"/>
        <v>0</v>
      </c>
      <c r="AC36" s="35">
        <f t="shared" si="41"/>
        <v>-0.29999999999563443</v>
      </c>
      <c r="AD36" s="35">
        <f t="shared" si="41"/>
        <v>-0.41999999999825377</v>
      </c>
      <c r="AE36" s="35">
        <f t="shared" si="41"/>
        <v>1.4500000000043656</v>
      </c>
      <c r="AF36" s="35">
        <f t="shared" si="41"/>
        <v>1357.25000000002</v>
      </c>
      <c r="AG36" s="35">
        <f t="shared" si="41"/>
        <v>41.86468334457237</v>
      </c>
      <c r="AH36" s="35">
        <f t="shared" si="41"/>
        <v>0</v>
      </c>
      <c r="AI36" s="35">
        <f t="shared" si="41"/>
        <v>0</v>
      </c>
      <c r="AJ36" s="35">
        <f t="shared" si="41"/>
        <v>9.5299999999988358</v>
      </c>
      <c r="AK36" s="35">
        <f t="shared" si="41"/>
        <v>9.5299999999988358</v>
      </c>
      <c r="AL36" s="35">
        <f t="shared" si="41"/>
        <v>3.9999999999736247E-2</v>
      </c>
      <c r="AM36" s="35">
        <f t="shared" si="41"/>
        <v>0</v>
      </c>
      <c r="AN36" s="35">
        <f t="shared" si="41"/>
        <v>0</v>
      </c>
      <c r="AO36" s="35">
        <f t="shared" si="41"/>
        <v>3.9999999999736247E-2</v>
      </c>
      <c r="AP36" s="35"/>
      <c r="AQ36" s="35">
        <f t="shared" ref="AQ36:AX36" si="42">AQ18-AQ17</f>
        <v>218.33000000007451</v>
      </c>
      <c r="AR36" s="35">
        <f t="shared" si="42"/>
        <v>102.17999999999302</v>
      </c>
      <c r="AS36" s="35">
        <f t="shared" si="42"/>
        <v>226.9199999999837</v>
      </c>
      <c r="AT36" s="35">
        <f t="shared" si="42"/>
        <v>389.80999999999767</v>
      </c>
      <c r="AU36" s="35">
        <f t="shared" si="42"/>
        <v>-18.029999999999944</v>
      </c>
      <c r="AV36" s="35">
        <f t="shared" si="42"/>
        <v>471.45000000001164</v>
      </c>
      <c r="AW36" s="35">
        <f t="shared" si="42"/>
        <v>-8.000000000174623E-2</v>
      </c>
      <c r="AX36" s="35">
        <f t="shared" si="42"/>
        <v>66.900000000139698</v>
      </c>
      <c r="AY36" s="35"/>
      <c r="AZ36" s="35"/>
      <c r="BA36" s="35">
        <f t="shared" ref="BA36:BH36" si="43">BA18-BA17</f>
        <v>-0.13000000000465661</v>
      </c>
      <c r="BB36" s="35">
        <f t="shared" si="43"/>
        <v>0</v>
      </c>
      <c r="BC36" s="35">
        <f t="shared" si="43"/>
        <v>-6.9999999948777258E-2</v>
      </c>
      <c r="BD36" s="35">
        <f t="shared" si="43"/>
        <v>50.570000000065193</v>
      </c>
      <c r="BE36" s="35">
        <f t="shared" si="43"/>
        <v>-0.81000000000130967</v>
      </c>
      <c r="BF36" s="35">
        <f t="shared" si="43"/>
        <v>875.1200000000008</v>
      </c>
      <c r="BG36" s="35">
        <f t="shared" si="43"/>
        <v>10.760000000009313</v>
      </c>
      <c r="BH36" s="35">
        <f t="shared" si="43"/>
        <v>0</v>
      </c>
      <c r="BI36" s="35"/>
      <c r="BJ36" s="35"/>
      <c r="BK36" s="35"/>
      <c r="BL36" s="35">
        <f>BL18-BL17</f>
        <v>0.3519749478805565</v>
      </c>
      <c r="BM36" s="35">
        <f>BM18-BM17</f>
        <v>0.11302931452615361</v>
      </c>
      <c r="BN36" s="35"/>
      <c r="BO36" s="35">
        <f>BO18-BO17</f>
        <v>37157.099999994854</v>
      </c>
      <c r="BP36" s="35">
        <f>BP18-BP17</f>
        <v>1461.1500000001597</v>
      </c>
    </row>
    <row r="37" spans="1:69">
      <c r="F37" s="213">
        <f>AVERAGE(F4:F35)</f>
        <v>1.4074193548387097</v>
      </c>
      <c r="G37" s="213"/>
      <c r="H37" s="213"/>
      <c r="I37" s="213">
        <f>AVERAGE(I4:I35)</f>
        <v>31218.500000000004</v>
      </c>
    </row>
    <row r="38" spans="1:69">
      <c r="B38" s="36" t="s">
        <v>68</v>
      </c>
      <c r="F38" s="383">
        <f>AVERAGE(F4:F35)</f>
        <v>1.4074193548387097</v>
      </c>
      <c r="G38" s="383"/>
      <c r="H38" s="383"/>
    </row>
    <row r="41" spans="1:69">
      <c r="BJ41">
        <f>(BJ31+BK31)/400</f>
        <v>14.1875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selection activeCell="E2" sqref="E2:E32"/>
    </sheetView>
  </sheetViews>
  <sheetFormatPr defaultRowHeight="15.75"/>
  <cols>
    <col min="2" max="2" width="8.5546875" style="1163" customWidth="1"/>
    <col min="3" max="3" width="7.44140625" style="1163" customWidth="1"/>
    <col min="4" max="4" width="7.5546875" style="1163" customWidth="1"/>
    <col min="5" max="5" width="7.88671875" style="1163" customWidth="1"/>
    <col min="6" max="6" width="10.6640625" style="1163" customWidth="1"/>
  </cols>
  <sheetData>
    <row r="1" spans="1:7" ht="47.25">
      <c r="A1" s="1029"/>
      <c r="B1" s="1236" t="s">
        <v>305</v>
      </c>
      <c r="C1" s="1236" t="s">
        <v>303</v>
      </c>
      <c r="D1" s="1236" t="s">
        <v>304</v>
      </c>
      <c r="E1" s="1236" t="s">
        <v>307</v>
      </c>
      <c r="F1" s="1236" t="s">
        <v>306</v>
      </c>
      <c r="G1" s="1275" t="s">
        <v>309</v>
      </c>
    </row>
    <row r="2" spans="1:7">
      <c r="A2" s="1029">
        <v>1</v>
      </c>
      <c r="B2" s="1237"/>
      <c r="C2" s="1238">
        <v>62</v>
      </c>
      <c r="D2" s="1238">
        <v>24</v>
      </c>
      <c r="E2" s="1238">
        <f>SUM(C2:D2)/202%</f>
        <v>42.574257425742573</v>
      </c>
      <c r="F2" s="1274">
        <v>140</v>
      </c>
      <c r="G2" s="1274">
        <f>C2+D2</f>
        <v>86</v>
      </c>
    </row>
    <row r="3" spans="1:7">
      <c r="A3" s="1029">
        <v>2</v>
      </c>
      <c r="B3" s="1237"/>
      <c r="C3" s="1238">
        <v>35</v>
      </c>
      <c r="D3" s="1238">
        <v>24</v>
      </c>
      <c r="E3" s="1238">
        <f t="shared" ref="E3:E5" si="0">SUM(C3:D3)/202%</f>
        <v>29.207920792079207</v>
      </c>
      <c r="F3" s="1274">
        <v>83</v>
      </c>
      <c r="G3" s="1274">
        <f t="shared" ref="G3:G31" si="1">C3+D3</f>
        <v>59</v>
      </c>
    </row>
    <row r="4" spans="1:7">
      <c r="A4" s="1029">
        <v>3</v>
      </c>
      <c r="B4" s="1237"/>
      <c r="C4" s="1238">
        <v>30</v>
      </c>
      <c r="D4" s="1238">
        <v>23</v>
      </c>
      <c r="E4" s="1238">
        <f t="shared" si="0"/>
        <v>26.237623762376238</v>
      </c>
      <c r="F4" s="1274">
        <v>49</v>
      </c>
      <c r="G4" s="1274">
        <f t="shared" si="1"/>
        <v>53</v>
      </c>
    </row>
    <row r="5" spans="1:7">
      <c r="A5" s="1029">
        <v>4</v>
      </c>
      <c r="B5" s="1237"/>
      <c r="C5" s="1238">
        <v>37</v>
      </c>
      <c r="D5" s="1238">
        <v>25</v>
      </c>
      <c r="E5" s="1238">
        <f t="shared" si="0"/>
        <v>30.693069306930692</v>
      </c>
      <c r="F5" s="1274">
        <v>81</v>
      </c>
      <c r="G5" s="1274">
        <f t="shared" si="1"/>
        <v>62</v>
      </c>
    </row>
    <row r="6" spans="1:7">
      <c r="A6" s="1029">
        <v>5</v>
      </c>
      <c r="B6" s="1237"/>
      <c r="C6" s="1238">
        <v>24</v>
      </c>
      <c r="D6" s="1238">
        <v>24</v>
      </c>
      <c r="E6" s="1238">
        <f t="shared" ref="E6:E32" si="2">SUM(C6:D6)/202%</f>
        <v>23.762376237623762</v>
      </c>
      <c r="F6" s="1274">
        <v>64</v>
      </c>
      <c r="G6" s="1274">
        <f t="shared" si="1"/>
        <v>48</v>
      </c>
    </row>
    <row r="7" spans="1:7">
      <c r="A7" s="1029">
        <v>6</v>
      </c>
      <c r="B7" s="1237"/>
      <c r="C7" s="1238">
        <v>22</v>
      </c>
      <c r="D7" s="1238">
        <v>25</v>
      </c>
      <c r="E7" s="1238">
        <f t="shared" si="2"/>
        <v>23.267326732673268</v>
      </c>
      <c r="F7" s="1274">
        <v>41</v>
      </c>
      <c r="G7" s="1274">
        <f t="shared" si="1"/>
        <v>47</v>
      </c>
    </row>
    <row r="8" spans="1:7">
      <c r="A8" s="1029">
        <v>7</v>
      </c>
      <c r="B8" s="1237"/>
      <c r="C8" s="1238">
        <v>32</v>
      </c>
      <c r="D8" s="1238">
        <v>25</v>
      </c>
      <c r="E8" s="1238">
        <f t="shared" si="2"/>
        <v>28.217821782178216</v>
      </c>
      <c r="F8" s="1274">
        <v>71</v>
      </c>
      <c r="G8" s="1274">
        <f t="shared" si="1"/>
        <v>57</v>
      </c>
    </row>
    <row r="9" spans="1:7">
      <c r="A9" s="1029">
        <v>8</v>
      </c>
      <c r="B9" s="1237"/>
      <c r="C9" s="1238">
        <v>57</v>
      </c>
      <c r="D9" s="1238">
        <v>26</v>
      </c>
      <c r="E9" s="1238">
        <f t="shared" si="2"/>
        <v>41.089108910891092</v>
      </c>
      <c r="F9" s="1274">
        <v>282</v>
      </c>
      <c r="G9" s="1274">
        <f t="shared" si="1"/>
        <v>83</v>
      </c>
    </row>
    <row r="10" spans="1:7">
      <c r="A10" s="1029">
        <v>9</v>
      </c>
      <c r="B10" s="1237"/>
      <c r="C10" s="1238">
        <v>29</v>
      </c>
      <c r="D10" s="1238">
        <v>27</v>
      </c>
      <c r="E10" s="1238">
        <f t="shared" si="2"/>
        <v>27.722772277227723</v>
      </c>
      <c r="F10" s="1274">
        <v>189</v>
      </c>
      <c r="G10" s="1274">
        <f t="shared" si="1"/>
        <v>56</v>
      </c>
    </row>
    <row r="11" spans="1:7">
      <c r="A11" s="1029">
        <v>10</v>
      </c>
      <c r="B11" s="1237"/>
      <c r="C11" s="1238">
        <v>23</v>
      </c>
      <c r="D11" s="1238">
        <v>27</v>
      </c>
      <c r="E11" s="1238">
        <f t="shared" si="2"/>
        <v>24.752475247524753</v>
      </c>
      <c r="F11" s="1274">
        <v>72</v>
      </c>
      <c r="G11" s="1274">
        <f t="shared" si="1"/>
        <v>50</v>
      </c>
    </row>
    <row r="12" spans="1:7">
      <c r="A12" s="1029">
        <v>11</v>
      </c>
      <c r="B12" s="1237"/>
      <c r="C12" s="1238">
        <v>25</v>
      </c>
      <c r="D12" s="1238">
        <v>27</v>
      </c>
      <c r="E12" s="1238">
        <f t="shared" si="2"/>
        <v>25.742574257425744</v>
      </c>
      <c r="F12" s="1274">
        <v>52</v>
      </c>
      <c r="G12" s="1274">
        <f t="shared" si="1"/>
        <v>52</v>
      </c>
    </row>
    <row r="13" spans="1:7">
      <c r="A13" s="1029">
        <v>12</v>
      </c>
      <c r="B13" s="1237"/>
      <c r="C13" s="1238">
        <v>27</v>
      </c>
      <c r="D13" s="1238">
        <v>27</v>
      </c>
      <c r="E13" s="1238">
        <f t="shared" si="2"/>
        <v>26.732673267326732</v>
      </c>
      <c r="F13" s="1238">
        <v>45</v>
      </c>
      <c r="G13" s="1274">
        <f t="shared" si="1"/>
        <v>54</v>
      </c>
    </row>
    <row r="14" spans="1:7">
      <c r="A14" s="1029">
        <v>13</v>
      </c>
      <c r="B14" s="1237"/>
      <c r="C14" s="1238">
        <v>22</v>
      </c>
      <c r="D14" s="1238">
        <v>27</v>
      </c>
      <c r="E14" s="1238">
        <f t="shared" si="2"/>
        <v>24.257425742574256</v>
      </c>
      <c r="F14" s="1238">
        <v>60</v>
      </c>
      <c r="G14" s="1274">
        <f t="shared" si="1"/>
        <v>49</v>
      </c>
    </row>
    <row r="15" spans="1:7">
      <c r="A15" s="1029">
        <v>14</v>
      </c>
      <c r="B15" s="1237"/>
      <c r="C15" s="1238">
        <v>39</v>
      </c>
      <c r="D15" s="1238">
        <v>27</v>
      </c>
      <c r="E15" s="1238">
        <f t="shared" si="2"/>
        <v>32.67326732673267</v>
      </c>
      <c r="F15" s="1238">
        <v>77</v>
      </c>
      <c r="G15" s="1274">
        <f t="shared" si="1"/>
        <v>66</v>
      </c>
    </row>
    <row r="16" spans="1:7">
      <c r="A16" s="1029">
        <v>15</v>
      </c>
      <c r="B16" s="1237"/>
      <c r="C16" s="1238">
        <v>79</v>
      </c>
      <c r="D16" s="1238">
        <v>28</v>
      </c>
      <c r="E16" s="1238">
        <f t="shared" si="2"/>
        <v>52.970297029702969</v>
      </c>
      <c r="F16" s="1238">
        <v>173</v>
      </c>
      <c r="G16" s="1274">
        <f t="shared" si="1"/>
        <v>107</v>
      </c>
    </row>
    <row r="17" spans="1:7">
      <c r="A17" s="1029">
        <v>16</v>
      </c>
      <c r="B17" s="1237"/>
      <c r="C17" s="1238">
        <v>37</v>
      </c>
      <c r="D17" s="1238">
        <v>37</v>
      </c>
      <c r="E17" s="1238">
        <f>SUM(C17:D17)/202%</f>
        <v>36.633663366336634</v>
      </c>
      <c r="F17" s="1238">
        <v>115</v>
      </c>
      <c r="G17" s="1274">
        <f t="shared" si="1"/>
        <v>74</v>
      </c>
    </row>
    <row r="18" spans="1:7">
      <c r="A18" s="1029">
        <v>17</v>
      </c>
      <c r="B18" s="1237"/>
      <c r="C18" s="1238">
        <v>38</v>
      </c>
      <c r="D18" s="1238">
        <v>29</v>
      </c>
      <c r="E18" s="1238">
        <f t="shared" si="2"/>
        <v>33.168316831683171</v>
      </c>
      <c r="F18" s="1238">
        <v>75</v>
      </c>
      <c r="G18" s="1274">
        <f t="shared" si="1"/>
        <v>67</v>
      </c>
    </row>
    <row r="19" spans="1:7">
      <c r="A19" s="1029">
        <v>18</v>
      </c>
      <c r="B19" s="1237"/>
      <c r="C19" s="1163">
        <v>28</v>
      </c>
      <c r="D19" s="1163">
        <v>25</v>
      </c>
      <c r="E19" s="1238">
        <f t="shared" si="2"/>
        <v>26.237623762376238</v>
      </c>
      <c r="F19" s="1163">
        <v>64</v>
      </c>
      <c r="G19" s="1274">
        <f t="shared" si="1"/>
        <v>53</v>
      </c>
    </row>
    <row r="20" spans="1:7">
      <c r="A20" s="1029">
        <v>19</v>
      </c>
      <c r="B20" s="1237"/>
      <c r="C20" s="1238">
        <v>32</v>
      </c>
      <c r="D20" s="1238">
        <v>24</v>
      </c>
      <c r="E20" s="1238">
        <f t="shared" si="2"/>
        <v>27.722772277227723</v>
      </c>
      <c r="F20" s="1238">
        <v>77</v>
      </c>
      <c r="G20" s="1274">
        <f t="shared" si="1"/>
        <v>56</v>
      </c>
    </row>
    <row r="21" spans="1:7">
      <c r="A21" s="1029">
        <v>20</v>
      </c>
      <c r="B21" s="1237"/>
      <c r="C21" s="1238">
        <v>49</v>
      </c>
      <c r="D21" s="1238">
        <v>24</v>
      </c>
      <c r="E21" s="1238">
        <f t="shared" si="2"/>
        <v>36.138613861386141</v>
      </c>
      <c r="F21" s="1238">
        <v>102</v>
      </c>
      <c r="G21" s="1274">
        <f t="shared" si="1"/>
        <v>73</v>
      </c>
    </row>
    <row r="22" spans="1:7">
      <c r="A22" s="1029">
        <v>21</v>
      </c>
      <c r="B22" s="1237"/>
      <c r="C22" s="1238">
        <v>62</v>
      </c>
      <c r="D22" s="1238">
        <v>25</v>
      </c>
      <c r="E22" s="1238">
        <f t="shared" si="2"/>
        <v>43.069306930693067</v>
      </c>
      <c r="F22" s="1238">
        <v>127</v>
      </c>
      <c r="G22" s="1274">
        <f t="shared" si="1"/>
        <v>87</v>
      </c>
    </row>
    <row r="23" spans="1:7">
      <c r="A23" s="1029">
        <v>22</v>
      </c>
      <c r="B23" s="1237"/>
      <c r="C23" s="1238">
        <v>98</v>
      </c>
      <c r="D23" s="1238">
        <v>26</v>
      </c>
      <c r="E23" s="1238">
        <f t="shared" si="2"/>
        <v>61.386138613861384</v>
      </c>
      <c r="F23" s="1238">
        <v>272</v>
      </c>
      <c r="G23" s="1274">
        <f t="shared" si="1"/>
        <v>124</v>
      </c>
    </row>
    <row r="24" spans="1:7">
      <c r="A24" s="1029">
        <v>23</v>
      </c>
      <c r="B24" s="1237"/>
      <c r="C24" s="1238">
        <v>61</v>
      </c>
      <c r="D24" s="1238">
        <v>26</v>
      </c>
      <c r="E24" s="1238">
        <f t="shared" si="2"/>
        <v>43.069306930693067</v>
      </c>
      <c r="F24" s="1238">
        <v>217</v>
      </c>
      <c r="G24" s="1274">
        <f t="shared" si="1"/>
        <v>87</v>
      </c>
    </row>
    <row r="25" spans="1:7">
      <c r="A25" s="1029">
        <v>24</v>
      </c>
      <c r="B25" s="1237"/>
      <c r="C25" s="1238">
        <v>33</v>
      </c>
      <c r="D25" s="1238">
        <v>26</v>
      </c>
      <c r="E25" s="1238">
        <f t="shared" si="2"/>
        <v>29.207920792079207</v>
      </c>
      <c r="F25" s="1238">
        <v>90</v>
      </c>
      <c r="G25" s="1274">
        <f t="shared" si="1"/>
        <v>59</v>
      </c>
    </row>
    <row r="26" spans="1:7">
      <c r="A26" s="1029">
        <v>25</v>
      </c>
      <c r="B26" s="1237"/>
      <c r="C26" s="1238">
        <v>36</v>
      </c>
      <c r="D26" s="1238">
        <v>26</v>
      </c>
      <c r="E26" s="1238">
        <f t="shared" si="2"/>
        <v>30.693069306930692</v>
      </c>
      <c r="F26" s="1238">
        <v>84</v>
      </c>
      <c r="G26" s="1274">
        <f t="shared" si="1"/>
        <v>62</v>
      </c>
    </row>
    <row r="27" spans="1:7">
      <c r="A27" s="1029">
        <v>26</v>
      </c>
      <c r="B27" s="1237"/>
      <c r="C27" s="1238">
        <v>60</v>
      </c>
      <c r="D27" s="1238">
        <v>28</v>
      </c>
      <c r="E27" s="1238">
        <f t="shared" si="2"/>
        <v>43.564356435643568</v>
      </c>
      <c r="F27" s="1238">
        <v>419</v>
      </c>
      <c r="G27" s="1274">
        <f t="shared" si="1"/>
        <v>88</v>
      </c>
    </row>
    <row r="28" spans="1:7">
      <c r="A28" s="1029">
        <v>27</v>
      </c>
      <c r="B28" s="1237"/>
      <c r="C28" s="1238">
        <v>44</v>
      </c>
      <c r="D28" s="1238">
        <v>28</v>
      </c>
      <c r="E28" s="1238">
        <f t="shared" si="2"/>
        <v>35.643564356435647</v>
      </c>
      <c r="F28" s="1238">
        <v>106</v>
      </c>
      <c r="G28" s="1274">
        <f t="shared" si="1"/>
        <v>72</v>
      </c>
    </row>
    <row r="29" spans="1:7">
      <c r="A29" s="1029">
        <v>28</v>
      </c>
      <c r="B29" s="1237"/>
      <c r="C29" s="1238">
        <v>64</v>
      </c>
      <c r="D29" s="1238">
        <v>27</v>
      </c>
      <c r="E29" s="1238">
        <f t="shared" si="2"/>
        <v>45.049504950495049</v>
      </c>
      <c r="F29" s="1238">
        <v>163</v>
      </c>
      <c r="G29" s="1274">
        <f t="shared" si="1"/>
        <v>91</v>
      </c>
    </row>
    <row r="30" spans="1:7">
      <c r="A30" s="1029">
        <v>29</v>
      </c>
      <c r="B30" s="1237"/>
      <c r="C30" s="1238">
        <v>110</v>
      </c>
      <c r="D30" s="1238">
        <v>27</v>
      </c>
      <c r="E30" s="1238">
        <f t="shared" si="2"/>
        <v>67.821782178217816</v>
      </c>
      <c r="F30" s="1238">
        <v>245</v>
      </c>
      <c r="G30" s="1274">
        <f t="shared" si="1"/>
        <v>137</v>
      </c>
    </row>
    <row r="31" spans="1:7">
      <c r="A31" s="1029">
        <v>30</v>
      </c>
      <c r="B31" s="1238"/>
      <c r="C31" s="1238">
        <v>49</v>
      </c>
      <c r="D31" s="1238">
        <v>27</v>
      </c>
      <c r="E31" s="1238">
        <f t="shared" si="2"/>
        <v>37.623762376237622</v>
      </c>
      <c r="F31" s="1238">
        <v>180</v>
      </c>
      <c r="G31" s="1322">
        <f t="shared" si="1"/>
        <v>76</v>
      </c>
    </row>
    <row r="32" spans="1:7">
      <c r="A32" s="1029">
        <v>31</v>
      </c>
      <c r="B32" s="1238"/>
      <c r="C32" s="1238">
        <v>42</v>
      </c>
      <c r="D32" s="1238">
        <v>27</v>
      </c>
      <c r="E32" s="1238">
        <f t="shared" si="2"/>
        <v>34.158415841584159</v>
      </c>
      <c r="F32" s="1238">
        <v>95</v>
      </c>
      <c r="G32" s="1274">
        <f>C32+D32</f>
        <v>69</v>
      </c>
    </row>
    <row r="34" spans="2:7">
      <c r="B34" s="1505" t="s">
        <v>110</v>
      </c>
      <c r="F34" s="1163">
        <f>SUM(F2:F32)</f>
        <v>3910</v>
      </c>
      <c r="G34" s="1163">
        <f>SUM(G2:G32)</f>
        <v>2204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R11" sqref="R11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1"/>
      <c r="C3" s="1072" t="s">
        <v>0</v>
      </c>
      <c r="D3" s="1031">
        <v>1</v>
      </c>
      <c r="E3" s="1031">
        <v>2</v>
      </c>
      <c r="F3" s="1031">
        <v>3</v>
      </c>
      <c r="G3" s="1031">
        <v>4</v>
      </c>
      <c r="H3" s="1031">
        <v>5</v>
      </c>
      <c r="I3" s="1031">
        <v>6</v>
      </c>
      <c r="J3" s="1031">
        <v>7</v>
      </c>
      <c r="K3" s="1031">
        <v>8</v>
      </c>
      <c r="L3" s="1031">
        <v>9</v>
      </c>
      <c r="M3" s="1031">
        <v>10</v>
      </c>
      <c r="N3" s="1031">
        <v>11</v>
      </c>
      <c r="O3" s="1031">
        <v>12</v>
      </c>
      <c r="P3" s="1031">
        <v>13</v>
      </c>
      <c r="Q3" s="1031">
        <v>14</v>
      </c>
      <c r="R3" s="1072">
        <v>15</v>
      </c>
      <c r="S3" s="1072">
        <v>16</v>
      </c>
      <c r="T3" s="1072">
        <v>17</v>
      </c>
      <c r="U3" s="1072">
        <v>18</v>
      </c>
      <c r="V3" s="1072">
        <v>19</v>
      </c>
      <c r="W3" s="1072">
        <v>20</v>
      </c>
      <c r="X3" s="1072">
        <v>21</v>
      </c>
      <c r="Y3" s="1072">
        <v>22</v>
      </c>
      <c r="Z3" s="1072">
        <v>23</v>
      </c>
      <c r="AA3" s="1072">
        <v>24</v>
      </c>
      <c r="AB3" s="1072">
        <v>25</v>
      </c>
      <c r="AC3" s="1072">
        <v>26</v>
      </c>
      <c r="AD3" s="1072">
        <v>27</v>
      </c>
      <c r="AE3" s="1072">
        <v>28</v>
      </c>
      <c r="AF3" s="1072">
        <v>29</v>
      </c>
      <c r="AG3" s="1072">
        <v>30</v>
      </c>
      <c r="AH3" s="1072">
        <v>31</v>
      </c>
      <c r="AI3" s="1072"/>
    </row>
    <row r="4" spans="2:35">
      <c r="B4" s="452"/>
      <c r="C4" s="448" t="s">
        <v>69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80</v>
      </c>
      <c r="E5" s="450">
        <f>'2'!G18</f>
        <v>60</v>
      </c>
      <c r="F5" s="450">
        <f>'3'!G18</f>
        <v>60</v>
      </c>
      <c r="G5" s="450">
        <f>'4'!G18</f>
        <v>60</v>
      </c>
      <c r="H5" s="450">
        <f>'5'!G18</f>
        <v>60</v>
      </c>
      <c r="I5" s="450">
        <f>'6'!G18</f>
        <v>0</v>
      </c>
      <c r="J5" s="450">
        <f>'7'!G18</f>
        <v>0</v>
      </c>
      <c r="K5" s="450">
        <f>'8'!G18</f>
        <v>60</v>
      </c>
      <c r="L5" s="450">
        <f>'9'!G18</f>
        <v>40</v>
      </c>
      <c r="M5" s="450">
        <f>'10'!G18</f>
        <v>20</v>
      </c>
      <c r="N5" s="450">
        <f>'11'!G18</f>
        <v>20</v>
      </c>
      <c r="O5" s="450">
        <f>'12'!G18</f>
        <v>0</v>
      </c>
      <c r="P5" s="450">
        <f>'13'!G18</f>
        <v>20</v>
      </c>
      <c r="Q5" s="450">
        <f>'14'!G18</f>
        <v>20</v>
      </c>
      <c r="R5" s="450">
        <f>'15'!G18</f>
        <v>60</v>
      </c>
      <c r="S5" s="450">
        <f>'16'!G18</f>
        <v>60</v>
      </c>
      <c r="T5" s="450">
        <f>'17'!G18</f>
        <v>20</v>
      </c>
      <c r="U5" s="450">
        <f>'18'!G18</f>
        <v>0</v>
      </c>
      <c r="V5" s="450">
        <f>'19'!G18</f>
        <v>0</v>
      </c>
      <c r="W5" s="450">
        <f>'20'!G18</f>
        <v>0</v>
      </c>
      <c r="X5" s="450">
        <f>'21'!G18</f>
        <v>40</v>
      </c>
      <c r="Y5" s="450">
        <f>'22'!G18</f>
        <v>90</v>
      </c>
      <c r="Z5" s="450">
        <f>'23'!G18</f>
        <v>80</v>
      </c>
      <c r="AA5" s="450">
        <f>'24'!G18</f>
        <v>50</v>
      </c>
      <c r="AB5" s="450">
        <f>'25'!G18</f>
        <v>60</v>
      </c>
      <c r="AC5" s="450">
        <f>'26'!G18</f>
        <v>60</v>
      </c>
      <c r="AD5" s="450">
        <f>'27'!G18</f>
        <v>60</v>
      </c>
      <c r="AE5" s="450">
        <f>'28'!G18</f>
        <v>40</v>
      </c>
      <c r="AF5" s="450">
        <f>'29'!G18</f>
        <v>60</v>
      </c>
      <c r="AG5" s="450">
        <f>'30'!G18</f>
        <v>80</v>
      </c>
      <c r="AH5" s="450">
        <f>'31'!G18</f>
        <v>60</v>
      </c>
      <c r="AI5" s="448"/>
    </row>
    <row r="6" spans="2:35">
      <c r="B6" s="452"/>
      <c r="C6" s="448" t="s">
        <v>71</v>
      </c>
      <c r="D6" s="450">
        <f>'1'!G19</f>
        <v>56</v>
      </c>
      <c r="E6" s="450">
        <f>'2'!G19</f>
        <v>51</v>
      </c>
      <c r="F6" s="450">
        <f>'3'!G19</f>
        <v>56</v>
      </c>
      <c r="G6" s="450">
        <f>'4'!G19</f>
        <v>47</v>
      </c>
      <c r="H6" s="450">
        <f>'5'!G19</f>
        <v>53</v>
      </c>
      <c r="I6" s="450">
        <f>'6'!G19</f>
        <v>56</v>
      </c>
      <c r="J6" s="450">
        <f>'7'!G19</f>
        <v>56</v>
      </c>
      <c r="K6" s="450">
        <f>'8'!G19</f>
        <v>55</v>
      </c>
      <c r="L6" s="450">
        <f>'9'!G19</f>
        <v>55</v>
      </c>
      <c r="M6" s="450">
        <f>'10'!G19</f>
        <v>57</v>
      </c>
      <c r="N6" s="450">
        <f>'11'!G19</f>
        <v>55</v>
      </c>
      <c r="O6" s="450">
        <f>'12'!G19</f>
        <v>52</v>
      </c>
      <c r="P6" s="450">
        <f>'13'!G19</f>
        <v>57</v>
      </c>
      <c r="Q6" s="450">
        <f>'14'!G19</f>
        <v>57</v>
      </c>
      <c r="R6" s="450">
        <f>'15'!G19</f>
        <v>56</v>
      </c>
      <c r="S6" s="450">
        <f>'16'!G19</f>
        <v>57</v>
      </c>
      <c r="T6" s="450">
        <f>'17'!G19</f>
        <v>56</v>
      </c>
      <c r="U6" s="450">
        <f>'18'!G19</f>
        <v>105</v>
      </c>
      <c r="V6" s="450">
        <f>'19'!G19</f>
        <v>60</v>
      </c>
      <c r="W6" s="450">
        <f>'20'!G19</f>
        <v>57</v>
      </c>
      <c r="X6" s="450">
        <f>'21'!G19</f>
        <v>56</v>
      </c>
      <c r="Y6" s="450">
        <f>'22'!G19</f>
        <v>60</v>
      </c>
      <c r="Z6" s="450">
        <f>'23'!G19</f>
        <v>60</v>
      </c>
      <c r="AA6" s="450">
        <f>'24'!G19</f>
        <v>60</v>
      </c>
      <c r="AB6" s="450">
        <f>'25'!G19</f>
        <v>60</v>
      </c>
      <c r="AC6" s="450">
        <f>'26'!G19</f>
        <v>53</v>
      </c>
      <c r="AD6" s="450">
        <f>'27'!G19</f>
        <v>61</v>
      </c>
      <c r="AE6" s="450">
        <f>'28'!G19</f>
        <v>60</v>
      </c>
      <c r="AF6" s="450">
        <f>'29'!G19</f>
        <v>57</v>
      </c>
      <c r="AG6" s="450">
        <f>'30'!G19</f>
        <v>58</v>
      </c>
      <c r="AH6" s="450">
        <f>'31'!G19</f>
        <v>61</v>
      </c>
      <c r="AI6" s="448"/>
    </row>
    <row r="7" spans="2:35">
      <c r="B7" s="452"/>
      <c r="C7" s="448" t="s">
        <v>72</v>
      </c>
      <c r="D7" s="450">
        <f>'1'!G93</f>
        <v>52</v>
      </c>
      <c r="E7" s="450">
        <f>'2'!G93</f>
        <v>36</v>
      </c>
      <c r="F7" s="450">
        <f>'3'!G93</f>
        <v>52</v>
      </c>
      <c r="G7" s="450">
        <f>'4'!G93</f>
        <v>39</v>
      </c>
      <c r="H7" s="450">
        <f>'5'!G93</f>
        <v>26</v>
      </c>
      <c r="I7" s="450">
        <f>'6'!G93</f>
        <v>0</v>
      </c>
      <c r="J7" s="450">
        <f>'7'!G93</f>
        <v>0</v>
      </c>
      <c r="K7" s="450">
        <f>'8'!G93</f>
        <v>53</v>
      </c>
      <c r="L7" s="450">
        <f>'9'!G93</f>
        <v>32</v>
      </c>
      <c r="M7" s="450">
        <f>'10'!G93</f>
        <v>0</v>
      </c>
      <c r="N7" s="450">
        <f>'11'!G93</f>
        <v>0</v>
      </c>
      <c r="O7" s="450">
        <f>'12'!G93</f>
        <v>20</v>
      </c>
      <c r="P7" s="450">
        <f>'13'!G93</f>
        <v>30</v>
      </c>
      <c r="Q7" s="450">
        <f>'14'!G93</f>
        <v>15</v>
      </c>
      <c r="R7" s="450">
        <f>'15'!G93</f>
        <v>153</v>
      </c>
      <c r="S7" s="450">
        <f>'16'!G93</f>
        <v>45</v>
      </c>
      <c r="T7" s="450">
        <f>'17'!G93</f>
        <v>0</v>
      </c>
      <c r="U7" s="450">
        <f>'18'!G93</f>
        <v>0</v>
      </c>
      <c r="V7" s="450">
        <f>'19'!G93</f>
        <v>0</v>
      </c>
      <c r="W7" s="450">
        <f>'20'!G93</f>
        <v>22</v>
      </c>
      <c r="X7" s="450">
        <f>'21'!G93</f>
        <v>37</v>
      </c>
      <c r="Y7" s="450">
        <f>'22'!G93</f>
        <v>63</v>
      </c>
      <c r="Z7" s="450">
        <f>'23'!G93</f>
        <v>57</v>
      </c>
      <c r="AA7" s="450">
        <f>'24'!G93</f>
        <v>28</v>
      </c>
      <c r="AB7" s="450">
        <f>'25'!G93</f>
        <v>54</v>
      </c>
      <c r="AC7" s="450">
        <f>'26'!G93</f>
        <v>38</v>
      </c>
      <c r="AD7" s="450">
        <f>'27'!G93</f>
        <v>35</v>
      </c>
      <c r="AE7" s="450">
        <f>'28'!G93</f>
        <v>28</v>
      </c>
      <c r="AF7" s="450">
        <f>'29'!G93</f>
        <v>39</v>
      </c>
      <c r="AG7" s="450">
        <f>'30'!G93</f>
        <v>0</v>
      </c>
      <c r="AH7" s="450">
        <f>'31'!G93</f>
        <v>110</v>
      </c>
      <c r="AI7" s="448"/>
    </row>
    <row r="8" spans="2:35">
      <c r="B8" s="452"/>
      <c r="C8" s="448" t="s">
        <v>336</v>
      </c>
      <c r="D8" s="450">
        <f>'1'!G94</f>
        <v>95</v>
      </c>
      <c r="E8" s="450">
        <f>'2'!G94</f>
        <v>101</v>
      </c>
      <c r="F8" s="450">
        <f>'3'!G94</f>
        <v>111</v>
      </c>
      <c r="G8" s="450">
        <f>'4'!G94</f>
        <v>71</v>
      </c>
      <c r="H8" s="450">
        <f>'5'!G94</f>
        <v>69</v>
      </c>
      <c r="I8" s="450">
        <f>'6'!G94</f>
        <v>100</v>
      </c>
      <c r="J8" s="450">
        <f>'7'!G94</f>
        <v>71</v>
      </c>
      <c r="K8" s="450">
        <f>'8'!G94</f>
        <v>49</v>
      </c>
      <c r="L8" s="450">
        <f>'9'!G94</f>
        <v>106</v>
      </c>
      <c r="M8" s="450">
        <f>'10'!G94</f>
        <v>45</v>
      </c>
      <c r="N8" s="450">
        <f>'11'!G94</f>
        <v>44</v>
      </c>
      <c r="O8" s="450">
        <f>'12'!G94</f>
        <v>119</v>
      </c>
      <c r="P8" s="450">
        <f>'13'!G94</f>
        <v>67</v>
      </c>
      <c r="Q8" s="450">
        <f>'14'!G94</f>
        <v>83</v>
      </c>
      <c r="R8" s="450">
        <f>'15'!G94</f>
        <v>131</v>
      </c>
      <c r="S8" s="450">
        <f>'16'!G94</f>
        <v>29</v>
      </c>
      <c r="T8" s="450">
        <f>'17'!G94</f>
        <v>93</v>
      </c>
      <c r="U8" s="450">
        <f>'18'!G94</f>
        <v>146</v>
      </c>
      <c r="V8" s="450">
        <f>'19'!G94</f>
        <v>75</v>
      </c>
      <c r="W8" s="450">
        <f>'20'!G94</f>
        <v>34</v>
      </c>
      <c r="X8" s="450">
        <f>'21'!G94</f>
        <v>83</v>
      </c>
      <c r="Y8" s="450">
        <f>'22'!G94</f>
        <v>101</v>
      </c>
      <c r="Z8" s="450">
        <f>'23'!G94</f>
        <v>92</v>
      </c>
      <c r="AA8" s="450">
        <f>'24'!G94</f>
        <v>74</v>
      </c>
      <c r="AB8" s="450">
        <f>'25'!G94</f>
        <v>97</v>
      </c>
      <c r="AC8" s="450">
        <f>'26'!G94</f>
        <v>79</v>
      </c>
      <c r="AD8" s="450">
        <f>'27'!G94</f>
        <v>86</v>
      </c>
      <c r="AE8" s="450">
        <f>'28'!G94</f>
        <v>80</v>
      </c>
      <c r="AF8" s="450">
        <f>'29'!G94</f>
        <v>68</v>
      </c>
      <c r="AG8" s="450">
        <f>'30'!G94</f>
        <v>112</v>
      </c>
      <c r="AH8" s="450">
        <f>'31'!G94</f>
        <v>79</v>
      </c>
      <c r="AI8" s="448"/>
    </row>
    <row r="9" spans="2:35">
      <c r="B9" s="1519" t="s">
        <v>73</v>
      </c>
      <c r="C9" s="448" t="s">
        <v>33</v>
      </c>
      <c r="D9" s="450">
        <f>'1'!G96</f>
        <v>72</v>
      </c>
      <c r="E9" s="450">
        <f>'2'!G96</f>
        <v>42</v>
      </c>
      <c r="F9" s="450">
        <f>'3'!G96</f>
        <v>61</v>
      </c>
      <c r="G9" s="450">
        <f>'4'!G96</f>
        <v>62</v>
      </c>
      <c r="H9" s="450">
        <f>'5'!G96</f>
        <v>31</v>
      </c>
      <c r="I9" s="450">
        <f>'6'!G96</f>
        <v>39</v>
      </c>
      <c r="J9" s="450">
        <f>'7'!G96</f>
        <v>31</v>
      </c>
      <c r="K9" s="450">
        <f>'8'!G96</f>
        <v>78</v>
      </c>
      <c r="L9" s="450">
        <f>'9'!G96</f>
        <v>40</v>
      </c>
      <c r="M9" s="450">
        <f>'10'!G96</f>
        <v>24</v>
      </c>
      <c r="N9" s="450">
        <f>'11'!G96</f>
        <v>26</v>
      </c>
      <c r="O9" s="450">
        <f>'12'!G96</f>
        <v>35</v>
      </c>
      <c r="P9" s="450">
        <f>'13'!G96</f>
        <v>52</v>
      </c>
      <c r="Q9" s="450">
        <f>'14'!G96</f>
        <v>46</v>
      </c>
      <c r="R9" s="450">
        <f>'15'!G96</f>
        <v>42</v>
      </c>
      <c r="S9" s="450">
        <f>'16'!G96</f>
        <v>27</v>
      </c>
      <c r="T9" s="450">
        <f>'17'!G96</f>
        <v>45</v>
      </c>
      <c r="U9" s="450">
        <f>'18'!G96</f>
        <v>29</v>
      </c>
      <c r="V9" s="450">
        <f>'19'!G96</f>
        <v>23</v>
      </c>
      <c r="W9" s="450">
        <f>'20'!G96</f>
        <v>27</v>
      </c>
      <c r="X9" s="450">
        <f>'21'!G96</f>
        <v>49</v>
      </c>
      <c r="Y9" s="450">
        <f>'22'!G96</f>
        <v>80</v>
      </c>
      <c r="Z9" s="450">
        <f>'23'!G96</f>
        <v>37</v>
      </c>
      <c r="AA9" s="450">
        <f>'24'!G96</f>
        <v>40</v>
      </c>
      <c r="AB9" s="450">
        <f>'25'!G96</f>
        <v>78</v>
      </c>
      <c r="AC9" s="450">
        <f>'26'!G96</f>
        <v>43</v>
      </c>
      <c r="AD9" s="450">
        <f>'27'!G96</f>
        <v>49</v>
      </c>
      <c r="AE9" s="450">
        <f>'28'!G96</f>
        <v>51</v>
      </c>
      <c r="AF9" s="450">
        <f>'29'!G96</f>
        <v>46</v>
      </c>
      <c r="AG9" s="450">
        <f>'30'!G96</f>
        <v>38</v>
      </c>
      <c r="AH9" s="450">
        <f>'31'!G96</f>
        <v>54</v>
      </c>
      <c r="AI9" s="448"/>
    </row>
    <row r="10" spans="2:35">
      <c r="B10" s="1519"/>
      <c r="C10" s="448" t="s">
        <v>34</v>
      </c>
      <c r="D10" s="450">
        <f>'1'!G97</f>
        <v>12</v>
      </c>
      <c r="E10" s="450">
        <f>'2'!G97</f>
        <v>12</v>
      </c>
      <c r="F10" s="450">
        <f>'3'!G97</f>
        <v>17</v>
      </c>
      <c r="G10" s="450">
        <f>'4'!G97</f>
        <v>9</v>
      </c>
      <c r="H10" s="450">
        <f>'5'!G97</f>
        <v>6</v>
      </c>
      <c r="I10" s="450">
        <f>'6'!G97</f>
        <v>9</v>
      </c>
      <c r="J10" s="450">
        <f>'7'!G97</f>
        <v>8</v>
      </c>
      <c r="K10" s="450">
        <f>'8'!G97</f>
        <v>9</v>
      </c>
      <c r="L10" s="450">
        <f>'9'!G97</f>
        <v>11</v>
      </c>
      <c r="M10" s="450">
        <f>'10'!G97</f>
        <v>7</v>
      </c>
      <c r="N10" s="450">
        <f>'11'!G97</f>
        <v>8</v>
      </c>
      <c r="O10" s="450">
        <f>'12'!G97</f>
        <v>6</v>
      </c>
      <c r="P10" s="450">
        <f>'13'!G97</f>
        <v>6</v>
      </c>
      <c r="Q10" s="450">
        <f>'14'!G97</f>
        <v>10</v>
      </c>
      <c r="R10" s="450">
        <f>'15'!G97</f>
        <v>10</v>
      </c>
      <c r="S10" s="450">
        <f>'16'!G97</f>
        <v>14</v>
      </c>
      <c r="T10" s="450">
        <f>'17'!G97</f>
        <v>7</v>
      </c>
      <c r="U10" s="450">
        <f>'18'!G97</f>
        <v>12</v>
      </c>
      <c r="V10" s="450">
        <f>'19'!G97</f>
        <v>7</v>
      </c>
      <c r="W10" s="450">
        <f>'20'!G97</f>
        <v>11</v>
      </c>
      <c r="X10" s="450">
        <f>'21'!G97</f>
        <v>9</v>
      </c>
      <c r="Y10" s="450">
        <f>'22'!G97</f>
        <v>9</v>
      </c>
      <c r="Z10" s="450">
        <f>'23'!G97</f>
        <v>15</v>
      </c>
      <c r="AA10" s="450">
        <f>'24'!G97</f>
        <v>11</v>
      </c>
      <c r="AB10" s="450">
        <f>'25'!G97</f>
        <v>9</v>
      </c>
      <c r="AC10" s="450">
        <f>'26'!G97</f>
        <v>9</v>
      </c>
      <c r="AD10" s="450">
        <f>'27'!G97</f>
        <v>11</v>
      </c>
      <c r="AE10" s="450">
        <f>'28'!G97</f>
        <v>7</v>
      </c>
      <c r="AF10" s="450">
        <f>'29'!G97</f>
        <v>9</v>
      </c>
      <c r="AG10" s="450">
        <f>'30'!G97</f>
        <v>13</v>
      </c>
      <c r="AH10" s="450">
        <f>'31'!G97</f>
        <v>12</v>
      </c>
      <c r="AI10" s="448"/>
    </row>
    <row r="11" spans="2:35">
      <c r="B11" s="1519"/>
      <c r="C11" s="448" t="s">
        <v>35</v>
      </c>
      <c r="D11" s="450">
        <f>'1'!G98</f>
        <v>17</v>
      </c>
      <c r="E11" s="450">
        <f>'2'!G98</f>
        <v>18</v>
      </c>
      <c r="F11" s="450">
        <f>'3'!G98</f>
        <v>15</v>
      </c>
      <c r="G11" s="450">
        <f>'4'!G98</f>
        <v>18</v>
      </c>
      <c r="H11" s="450">
        <f>'5'!G98</f>
        <v>11</v>
      </c>
      <c r="I11" s="450">
        <f>'6'!G98</f>
        <v>9</v>
      </c>
      <c r="J11" s="450">
        <f>'7'!G98</f>
        <v>10</v>
      </c>
      <c r="K11" s="450">
        <f>'8'!G98</f>
        <v>13</v>
      </c>
      <c r="L11" s="450">
        <f>'9'!G98</f>
        <v>15</v>
      </c>
      <c r="M11" s="450">
        <f>'10'!G98</f>
        <v>9</v>
      </c>
      <c r="N11" s="450">
        <f>'11'!G98</f>
        <v>10</v>
      </c>
      <c r="O11" s="450">
        <f>'12'!G98</f>
        <v>9</v>
      </c>
      <c r="P11" s="450">
        <f>'13'!G98</f>
        <v>12</v>
      </c>
      <c r="Q11" s="450">
        <f>'14'!G98</f>
        <v>17</v>
      </c>
      <c r="R11" s="450">
        <f>'15'!G98</f>
        <v>33</v>
      </c>
      <c r="S11" s="450">
        <f>'16'!G98</f>
        <v>19</v>
      </c>
      <c r="T11" s="450">
        <f>'17'!G98</f>
        <v>6</v>
      </c>
      <c r="U11" s="450">
        <f>'18'!G98</f>
        <v>8</v>
      </c>
      <c r="V11" s="450">
        <f>'19'!G98</f>
        <v>12</v>
      </c>
      <c r="W11" s="450">
        <f>'20'!G98</f>
        <v>16</v>
      </c>
      <c r="X11" s="450">
        <f>'21'!G98</f>
        <v>20</v>
      </c>
      <c r="Y11" s="450">
        <f>'22'!G98</f>
        <v>25</v>
      </c>
      <c r="Z11" s="450">
        <f>'23'!G98</f>
        <v>31</v>
      </c>
      <c r="AA11" s="450">
        <f>'24'!G98</f>
        <v>16</v>
      </c>
      <c r="AB11" s="450">
        <f>'25'!G98</f>
        <v>13</v>
      </c>
      <c r="AC11" s="450">
        <f>'26'!G98</f>
        <v>18</v>
      </c>
      <c r="AD11" s="450">
        <f>'27'!G98</f>
        <v>17</v>
      </c>
      <c r="AE11" s="450">
        <f>'28'!G98</f>
        <v>18</v>
      </c>
      <c r="AF11" s="450">
        <f>'29'!G98</f>
        <v>35</v>
      </c>
      <c r="AG11" s="450">
        <f>'30'!G98</f>
        <v>34</v>
      </c>
      <c r="AH11" s="450">
        <f>'31'!G98</f>
        <v>19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19" t="s">
        <v>74</v>
      </c>
      <c r="C13" s="448" t="s">
        <v>33</v>
      </c>
      <c r="D13" s="450">
        <f>'1'!G99</f>
        <v>5</v>
      </c>
      <c r="E13" s="450">
        <f>'2'!G99</f>
        <v>5</v>
      </c>
      <c r="F13" s="450">
        <f>'3'!G99</f>
        <v>4</v>
      </c>
      <c r="G13" s="450">
        <f>'4'!G99</f>
        <v>6</v>
      </c>
      <c r="H13" s="450">
        <f>'5'!G99</f>
        <v>7</v>
      </c>
      <c r="I13" s="450">
        <f>'6'!G99</f>
        <v>8</v>
      </c>
      <c r="J13" s="450">
        <f>'7'!G99</f>
        <v>5</v>
      </c>
      <c r="K13" s="450">
        <f>'8'!G99</f>
        <v>14</v>
      </c>
      <c r="L13" s="450">
        <f>'9'!G99</f>
        <v>10</v>
      </c>
      <c r="M13" s="450">
        <f>'10'!G99</f>
        <v>12</v>
      </c>
      <c r="N13" s="450">
        <f>'11'!G99</f>
        <v>6</v>
      </c>
      <c r="O13" s="450">
        <f>'12'!G99</f>
        <v>27</v>
      </c>
      <c r="P13" s="450">
        <f>'13'!G99</f>
        <v>27</v>
      </c>
      <c r="Q13" s="450">
        <f>'14'!G99</f>
        <v>26</v>
      </c>
      <c r="R13" s="450">
        <f>'15'!G99</f>
        <v>23</v>
      </c>
      <c r="S13" s="450">
        <f>'16'!G99</f>
        <v>5</v>
      </c>
      <c r="T13" s="450">
        <f>'17'!G99</f>
        <v>2</v>
      </c>
      <c r="U13" s="450">
        <f>'18'!G99</f>
        <v>4</v>
      </c>
      <c r="V13" s="450">
        <f>'19'!G99</f>
        <v>11</v>
      </c>
      <c r="W13" s="450">
        <f>'20'!G99</f>
        <v>10</v>
      </c>
      <c r="X13" s="450">
        <f>'21'!G99</f>
        <v>6</v>
      </c>
      <c r="Y13" s="450">
        <f>'22'!G99</f>
        <v>13</v>
      </c>
      <c r="Z13" s="450">
        <f>'23'!G99</f>
        <v>21</v>
      </c>
      <c r="AA13" s="450">
        <f>'24'!G99</f>
        <v>28</v>
      </c>
      <c r="AB13" s="450">
        <f>'25'!G99</f>
        <v>7</v>
      </c>
      <c r="AC13" s="450">
        <f>'26'!G99</f>
        <v>5</v>
      </c>
      <c r="AD13" s="450">
        <f>'27'!G99</f>
        <v>8</v>
      </c>
      <c r="AE13" s="450">
        <f>'28'!G99</f>
        <v>4</v>
      </c>
      <c r="AF13" s="450">
        <f>'29'!G99</f>
        <v>4</v>
      </c>
      <c r="AG13" s="450">
        <f>'30'!G99</f>
        <v>2</v>
      </c>
      <c r="AH13" s="450">
        <f>'31'!G99</f>
        <v>4</v>
      </c>
      <c r="AI13" s="448"/>
    </row>
    <row r="14" spans="2:35">
      <c r="B14" s="1519"/>
      <c r="C14" s="448" t="s">
        <v>34</v>
      </c>
      <c r="D14" s="450">
        <f>'1'!G115</f>
        <v>9</v>
      </c>
      <c r="E14" s="450">
        <f>'2'!G115</f>
        <v>4</v>
      </c>
      <c r="F14" s="450">
        <f>'3'!G115</f>
        <v>6</v>
      </c>
      <c r="G14" s="450">
        <f>'4'!G115</f>
        <v>5</v>
      </c>
      <c r="H14" s="450">
        <f>'5'!G115</f>
        <v>3</v>
      </c>
      <c r="I14" s="450">
        <f>'6'!G115</f>
        <v>3</v>
      </c>
      <c r="J14" s="450">
        <f>'7'!G115</f>
        <v>5</v>
      </c>
      <c r="K14" s="450">
        <f>'8'!G115</f>
        <v>4</v>
      </c>
      <c r="L14" s="450">
        <f>'9'!G115</f>
        <v>5</v>
      </c>
      <c r="M14" s="450">
        <f>'10'!G115</f>
        <v>6</v>
      </c>
      <c r="N14" s="450">
        <f>'11'!G115</f>
        <v>3</v>
      </c>
      <c r="O14" s="450">
        <f>'12'!G115</f>
        <v>6</v>
      </c>
      <c r="P14" s="450">
        <f>'13'!G115</f>
        <v>8</v>
      </c>
      <c r="Q14" s="450">
        <f>'14'!G115</f>
        <v>6</v>
      </c>
      <c r="R14" s="450">
        <f>'15'!G115</f>
        <v>7</v>
      </c>
      <c r="S14" s="450">
        <f>'16'!G115</f>
        <v>28</v>
      </c>
      <c r="T14" s="450">
        <f>'17'!G115</f>
        <v>22</v>
      </c>
      <c r="U14" s="450">
        <f>'18'!G115</f>
        <v>10</v>
      </c>
      <c r="V14" s="450">
        <f>'19'!G115</f>
        <v>7</v>
      </c>
      <c r="W14" s="450">
        <f>'20'!G115</f>
        <v>14</v>
      </c>
      <c r="X14" s="450">
        <f>'21'!G115</f>
        <v>4</v>
      </c>
      <c r="Y14" s="450">
        <f>'22'!G115</f>
        <v>10</v>
      </c>
      <c r="Z14" s="450">
        <f>'23'!G115</f>
        <v>5</v>
      </c>
      <c r="AA14" s="450">
        <f>'24'!G115</f>
        <v>5</v>
      </c>
      <c r="AB14" s="450">
        <f>'25'!G115</f>
        <v>8</v>
      </c>
      <c r="AC14" s="450">
        <f>'26'!G115</f>
        <v>5</v>
      </c>
      <c r="AD14" s="450">
        <f>'27'!G115</f>
        <v>10</v>
      </c>
      <c r="AE14" s="450">
        <f>'28'!G115</f>
        <v>6</v>
      </c>
      <c r="AF14" s="450">
        <f>'29'!G115</f>
        <v>7</v>
      </c>
      <c r="AG14" s="450">
        <f>'30'!G115</f>
        <v>9</v>
      </c>
      <c r="AH14" s="450">
        <f>'31'!G115</f>
        <v>8</v>
      </c>
      <c r="AI14" s="448"/>
    </row>
    <row r="15" spans="2:35">
      <c r="B15" s="1519"/>
      <c r="C15" s="448" t="s">
        <v>35</v>
      </c>
      <c r="D15" s="450">
        <f>'1'!G116</f>
        <v>5</v>
      </c>
      <c r="E15" s="450">
        <f>'2'!G116</f>
        <v>4</v>
      </c>
      <c r="F15" s="450">
        <f>'3'!G116</f>
        <v>4</v>
      </c>
      <c r="G15" s="450">
        <f>'4'!G116</f>
        <v>4</v>
      </c>
      <c r="H15" s="450">
        <f>'5'!G116</f>
        <v>20</v>
      </c>
      <c r="I15" s="450">
        <f>'6'!G116</f>
        <v>3</v>
      </c>
      <c r="J15" s="450">
        <f>'7'!G116</f>
        <v>9</v>
      </c>
      <c r="K15" s="450">
        <f>'8'!G116</f>
        <v>4</v>
      </c>
      <c r="L15" s="450">
        <f>'9'!G116</f>
        <v>4</v>
      </c>
      <c r="M15" s="450">
        <f>'10'!G116</f>
        <v>2</v>
      </c>
      <c r="N15" s="450">
        <f>'11'!G116</f>
        <v>1</v>
      </c>
      <c r="O15" s="450">
        <f>'12'!G116</f>
        <v>4</v>
      </c>
      <c r="P15" s="450">
        <f>'13'!G116</f>
        <v>4</v>
      </c>
      <c r="Q15" s="450">
        <f>'14'!G116</f>
        <v>4</v>
      </c>
      <c r="R15" s="450">
        <f>'15'!G116</f>
        <v>1</v>
      </c>
      <c r="S15" s="450">
        <f>'16'!G116</f>
        <v>7</v>
      </c>
      <c r="T15" s="450">
        <f>'17'!G116</f>
        <v>8</v>
      </c>
      <c r="U15" s="450">
        <f>'18'!G116</f>
        <v>0</v>
      </c>
      <c r="V15" s="450">
        <f>'19'!G116</f>
        <v>2</v>
      </c>
      <c r="W15" s="450">
        <f>'20'!G116</f>
        <v>3</v>
      </c>
      <c r="X15" s="450">
        <f>'21'!G116</f>
        <v>7</v>
      </c>
      <c r="Y15" s="450">
        <f>'22'!G116</f>
        <v>17</v>
      </c>
      <c r="Z15" s="450">
        <f>'23'!G116</f>
        <v>11</v>
      </c>
      <c r="AA15" s="450">
        <f>'24'!G116</f>
        <v>7</v>
      </c>
      <c r="AB15" s="450">
        <f>'25'!G116</f>
        <v>12</v>
      </c>
      <c r="AC15" s="450">
        <f>'26'!G116</f>
        <v>6</v>
      </c>
      <c r="AD15" s="450">
        <f>'27'!G116</f>
        <v>6</v>
      </c>
      <c r="AE15" s="450">
        <f>'28'!G116</f>
        <v>4</v>
      </c>
      <c r="AF15" s="450">
        <f>'29'!G116</f>
        <v>6</v>
      </c>
      <c r="AG15" s="450">
        <f>'30'!G116</f>
        <v>11</v>
      </c>
      <c r="AH15" s="450">
        <f>'31'!G116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19" t="s">
        <v>75</v>
      </c>
      <c r="C17" s="448" t="s">
        <v>76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4</v>
      </c>
      <c r="I17" s="450">
        <f>'6'!G105</f>
        <v>4</v>
      </c>
      <c r="J17" s="450">
        <f>'7'!G105</f>
        <v>5</v>
      </c>
      <c r="K17" s="450">
        <f>'8'!G105</f>
        <v>0</v>
      </c>
      <c r="L17" s="450">
        <f>'9'!G105</f>
        <v>0</v>
      </c>
      <c r="M17" s="450">
        <f>'10'!G105</f>
        <v>8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7</v>
      </c>
      <c r="Y17" s="450">
        <f>'22'!G105</f>
        <v>4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>
      <c r="B18" s="1519"/>
      <c r="C18" s="448" t="s">
        <v>77</v>
      </c>
      <c r="D18" s="448">
        <f>'1'!G106</f>
        <v>0</v>
      </c>
      <c r="E18" s="450">
        <f>'2'!G106</f>
        <v>8</v>
      </c>
      <c r="F18" s="450">
        <f>'3'!G106</f>
        <v>0</v>
      </c>
      <c r="G18" s="450">
        <f>'4'!G106</f>
        <v>11</v>
      </c>
      <c r="H18" s="450">
        <f>'5'!G106</f>
        <v>0</v>
      </c>
      <c r="I18" s="450">
        <f>'6'!G106</f>
        <v>0</v>
      </c>
      <c r="J18" s="450">
        <f>'7'!G106</f>
        <v>6</v>
      </c>
      <c r="K18" s="450">
        <f>'8'!G106</f>
        <v>6</v>
      </c>
      <c r="L18" s="450">
        <f>'9'!G106</f>
        <v>157</v>
      </c>
      <c r="M18" s="450">
        <f>'10'!G106</f>
        <v>0</v>
      </c>
      <c r="N18" s="450">
        <f>'11'!G106</f>
        <v>0</v>
      </c>
      <c r="O18" s="450">
        <f>'12'!G106</f>
        <v>0</v>
      </c>
      <c r="P18" s="450">
        <f>'13'!G106</f>
        <v>15</v>
      </c>
      <c r="Q18" s="450">
        <f>'14'!G106</f>
        <v>0</v>
      </c>
      <c r="R18" s="450">
        <f>'15'!G106</f>
        <v>0</v>
      </c>
      <c r="S18" s="450">
        <f>'16'!G106</f>
        <v>0</v>
      </c>
      <c r="T18" s="450">
        <f>'17'!G106</f>
        <v>14</v>
      </c>
      <c r="U18" s="450">
        <f>'18'!G106</f>
        <v>0</v>
      </c>
      <c r="V18" s="450">
        <f>'19'!G106</f>
        <v>0</v>
      </c>
      <c r="W18" s="450">
        <f>'20'!G106</f>
        <v>0</v>
      </c>
      <c r="X18" s="450">
        <f>'21'!G106</f>
        <v>4</v>
      </c>
      <c r="Y18" s="450">
        <f>'22'!G106</f>
        <v>13</v>
      </c>
      <c r="Z18" s="450">
        <f>'23'!G106</f>
        <v>0</v>
      </c>
      <c r="AA18" s="450">
        <f>'24'!G106</f>
        <v>1</v>
      </c>
      <c r="AB18" s="450">
        <f>'25'!G106</f>
        <v>16</v>
      </c>
      <c r="AC18" s="450">
        <f>'26'!G106</f>
        <v>1</v>
      </c>
      <c r="AD18" s="450">
        <f>'27'!G106</f>
        <v>0</v>
      </c>
      <c r="AE18" s="450">
        <f>'28'!G106</f>
        <v>14</v>
      </c>
      <c r="AF18" s="450">
        <f>'29'!G106</f>
        <v>0</v>
      </c>
      <c r="AG18" s="450">
        <f>'30'!G106</f>
        <v>0</v>
      </c>
      <c r="AH18" s="450">
        <f>'31'!G106</f>
        <v>15</v>
      </c>
      <c r="AI18" s="448"/>
    </row>
    <row r="19" spans="2:35">
      <c r="B19" s="1519"/>
      <c r="C19" s="448" t="s">
        <v>78</v>
      </c>
      <c r="D19" s="448">
        <f>'1'!G107</f>
        <v>0</v>
      </c>
      <c r="E19" s="450">
        <f>'2'!G107</f>
        <v>3</v>
      </c>
      <c r="F19" s="450">
        <f>'3'!G107</f>
        <v>3</v>
      </c>
      <c r="G19" s="450">
        <f>'4'!G107</f>
        <v>9</v>
      </c>
      <c r="H19" s="450">
        <f>'5'!G107</f>
        <v>3</v>
      </c>
      <c r="I19" s="450">
        <f>'6'!G107</f>
        <v>3</v>
      </c>
      <c r="J19" s="450">
        <f>'7'!G107</f>
        <v>1</v>
      </c>
      <c r="K19" s="450">
        <f>'8'!G107</f>
        <v>8</v>
      </c>
      <c r="L19" s="450">
        <f>'9'!G107</f>
        <v>184</v>
      </c>
      <c r="M19" s="450">
        <f>'10'!G107</f>
        <v>1</v>
      </c>
      <c r="N19" s="450">
        <f>'11'!G107</f>
        <v>0</v>
      </c>
      <c r="O19" s="450">
        <f>'12'!G107</f>
        <v>5</v>
      </c>
      <c r="P19" s="450">
        <f>'13'!G107</f>
        <v>5</v>
      </c>
      <c r="Q19" s="450">
        <f>'14'!G107</f>
        <v>0</v>
      </c>
      <c r="R19" s="450">
        <f>'15'!G107</f>
        <v>3</v>
      </c>
      <c r="S19" s="450">
        <f>'16'!G107</f>
        <v>0</v>
      </c>
      <c r="T19" s="450">
        <f>'17'!G107</f>
        <v>6</v>
      </c>
      <c r="U19" s="450">
        <f>'18'!G107</f>
        <v>2</v>
      </c>
      <c r="V19" s="450">
        <f>'19'!G107</f>
        <v>0</v>
      </c>
      <c r="W19" s="450">
        <f>'20'!G107</f>
        <v>0</v>
      </c>
      <c r="X19" s="450">
        <f>'21'!G107</f>
        <v>5</v>
      </c>
      <c r="Y19" s="450">
        <f>'22'!G107</f>
        <v>4</v>
      </c>
      <c r="Z19" s="450">
        <f>'23'!G107</f>
        <v>2</v>
      </c>
      <c r="AA19" s="450">
        <f>'24'!G107</f>
        <v>3</v>
      </c>
      <c r="AB19" s="450">
        <f>'25'!G107</f>
        <v>0</v>
      </c>
      <c r="AC19" s="450">
        <f>'26'!G107</f>
        <v>7</v>
      </c>
      <c r="AD19" s="450">
        <f>'27'!G107</f>
        <v>2</v>
      </c>
      <c r="AE19" s="450">
        <f>'28'!G107</f>
        <v>5</v>
      </c>
      <c r="AF19" s="450">
        <f>'29'!G107</f>
        <v>0</v>
      </c>
      <c r="AG19" s="450">
        <f>'30'!G107</f>
        <v>3</v>
      </c>
      <c r="AH19" s="450">
        <f>'31'!G107</f>
        <v>6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19" t="s">
        <v>79</v>
      </c>
      <c r="C21" s="448" t="s">
        <v>80</v>
      </c>
      <c r="D21" s="448">
        <f>'1'!G110</f>
        <v>85</v>
      </c>
      <c r="E21" s="450">
        <f>'2'!G110</f>
        <v>40</v>
      </c>
      <c r="F21" s="450">
        <f>'3'!G110</f>
        <v>41</v>
      </c>
      <c r="G21" s="450">
        <f>'4'!G110</f>
        <v>60</v>
      </c>
      <c r="H21" s="450">
        <f>'5'!G110</f>
        <v>39</v>
      </c>
      <c r="I21" s="450">
        <f>'6'!G110</f>
        <v>40</v>
      </c>
      <c r="J21" s="450">
        <f>'7'!G110</f>
        <v>59</v>
      </c>
      <c r="K21" s="450">
        <f>'8'!G110</f>
        <v>41</v>
      </c>
      <c r="L21" s="450">
        <f>'9'!G110</f>
        <v>50</v>
      </c>
      <c r="M21" s="450">
        <f>'10'!G110</f>
        <v>40</v>
      </c>
      <c r="N21" s="450">
        <f>'11'!G110</f>
        <v>53</v>
      </c>
      <c r="O21" s="450">
        <f>'12'!G110</f>
        <v>48</v>
      </c>
      <c r="P21" s="450">
        <f>'13'!G110</f>
        <v>60</v>
      </c>
      <c r="Q21" s="450">
        <f>'14'!G110</f>
        <v>40</v>
      </c>
      <c r="R21" s="450">
        <f>'15'!G110</f>
        <v>42</v>
      </c>
      <c r="S21" s="450">
        <f>'16'!G110</f>
        <v>107</v>
      </c>
      <c r="T21" s="450">
        <f>'17'!G110</f>
        <v>20</v>
      </c>
      <c r="U21" s="450">
        <f>'18'!G110</f>
        <v>73</v>
      </c>
      <c r="V21" s="450">
        <f>'19'!G110</f>
        <v>40</v>
      </c>
      <c r="W21" s="450">
        <f>'20'!G110</f>
        <v>39</v>
      </c>
      <c r="X21" s="450">
        <f>'21'!G110</f>
        <v>39</v>
      </c>
      <c r="Y21" s="450">
        <f>'22'!G110</f>
        <v>40</v>
      </c>
      <c r="Z21" s="450">
        <f>'23'!G110</f>
        <v>60</v>
      </c>
      <c r="AA21" s="450">
        <f>'24'!G110</f>
        <v>40</v>
      </c>
      <c r="AB21" s="450">
        <f>'25'!G110</f>
        <v>50</v>
      </c>
      <c r="AC21" s="450">
        <f>'26'!G110</f>
        <v>98</v>
      </c>
      <c r="AD21" s="450">
        <f>'27'!G110</f>
        <v>71</v>
      </c>
      <c r="AE21" s="450">
        <f>'28'!G110</f>
        <v>56</v>
      </c>
      <c r="AF21" s="450">
        <f>'29'!G110</f>
        <v>66</v>
      </c>
      <c r="AG21" s="450">
        <f>'30'!G110</f>
        <v>59</v>
      </c>
      <c r="AH21" s="450">
        <f>'31'!G110</f>
        <v>64</v>
      </c>
      <c r="AI21" s="448"/>
    </row>
    <row r="22" spans="2:35">
      <c r="B22" s="1519"/>
      <c r="C22" s="448" t="s">
        <v>81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22</v>
      </c>
      <c r="I22" s="450">
        <f>'6'!G111</f>
        <v>0</v>
      </c>
      <c r="J22" s="450">
        <f>'7'!G111</f>
        <v>0</v>
      </c>
      <c r="K22" s="450">
        <f>'8'!G111</f>
        <v>12</v>
      </c>
      <c r="L22" s="450">
        <f>'9'!G111</f>
        <v>9</v>
      </c>
      <c r="M22" s="450">
        <f>'10'!G111</f>
        <v>11</v>
      </c>
      <c r="N22" s="450">
        <f>'11'!G111</f>
        <v>0</v>
      </c>
      <c r="O22" s="450">
        <f>'12'!G111</f>
        <v>25</v>
      </c>
      <c r="P22" s="450">
        <f>'13'!G111</f>
        <v>30</v>
      </c>
      <c r="Q22" s="450">
        <f>'14'!G111</f>
        <v>17</v>
      </c>
      <c r="R22" s="450">
        <f>'15'!G111</f>
        <v>30</v>
      </c>
      <c r="S22" s="450">
        <f>'16'!G111</f>
        <v>0</v>
      </c>
      <c r="T22" s="450">
        <f>'17'!G111</f>
        <v>0</v>
      </c>
      <c r="U22" s="450">
        <f>'18'!G111</f>
        <v>0</v>
      </c>
      <c r="V22" s="450">
        <f>'19'!G111</f>
        <v>11</v>
      </c>
      <c r="W22" s="450">
        <f>'20'!G111</f>
        <v>18</v>
      </c>
      <c r="X22" s="450">
        <f>'21'!G111</f>
        <v>3</v>
      </c>
      <c r="Y22" s="450">
        <f>'22'!G111</f>
        <v>26</v>
      </c>
      <c r="Z22" s="450">
        <f>'23'!G111</f>
        <v>19</v>
      </c>
      <c r="AA22" s="450">
        <f>'24'!G111</f>
        <v>40</v>
      </c>
      <c r="AB22" s="450">
        <f>'25'!G111</f>
        <v>0</v>
      </c>
      <c r="AC22" s="450">
        <f>'26'!G111</f>
        <v>24</v>
      </c>
      <c r="AD22" s="450">
        <f>'27'!G111</f>
        <v>0</v>
      </c>
      <c r="AE22" s="450">
        <f>'28'!G111</f>
        <v>0</v>
      </c>
      <c r="AF22" s="450">
        <f>'29'!G111</f>
        <v>18</v>
      </c>
      <c r="AG22" s="450">
        <f>'30'!G111</f>
        <v>18</v>
      </c>
      <c r="AH22" s="450">
        <f>'31'!G111</f>
        <v>0</v>
      </c>
      <c r="AI22" s="448"/>
    </row>
    <row r="23" spans="2:35">
      <c r="B23" s="1519"/>
      <c r="C23" s="448" t="s">
        <v>82</v>
      </c>
      <c r="D23" s="448">
        <f>'1'!G112</f>
        <v>27</v>
      </c>
      <c r="E23" s="450">
        <f>'2'!G112</f>
        <v>0</v>
      </c>
      <c r="F23" s="450">
        <f>'3'!G112</f>
        <v>22</v>
      </c>
      <c r="G23" s="450">
        <f>'4'!G112</f>
        <v>0</v>
      </c>
      <c r="H23" s="450">
        <f>'5'!G112</f>
        <v>24</v>
      </c>
      <c r="I23" s="450">
        <f>'6'!G112</f>
        <v>0</v>
      </c>
      <c r="J23" s="450">
        <f>'7'!G112</f>
        <v>19</v>
      </c>
      <c r="K23" s="450">
        <f>'8'!G112</f>
        <v>0</v>
      </c>
      <c r="L23" s="450">
        <f>'9'!G112</f>
        <v>0</v>
      </c>
      <c r="M23" s="450">
        <f>'10'!G112</f>
        <v>6</v>
      </c>
      <c r="N23" s="450">
        <f>'11'!G112</f>
        <v>12</v>
      </c>
      <c r="O23" s="450">
        <f>'12'!G112</f>
        <v>0</v>
      </c>
      <c r="P23" s="450">
        <f>'13'!G112</f>
        <v>14</v>
      </c>
      <c r="Q23" s="450">
        <f>'14'!G112</f>
        <v>0</v>
      </c>
      <c r="R23" s="450">
        <f>'15'!G112</f>
        <v>17</v>
      </c>
      <c r="S23" s="450">
        <f>'16'!G112</f>
        <v>0</v>
      </c>
      <c r="T23" s="450">
        <f>'17'!G112</f>
        <v>0</v>
      </c>
      <c r="U23" s="450">
        <f>'18'!G112</f>
        <v>4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14</v>
      </c>
      <c r="Z23" s="450">
        <f>'23'!G112</f>
        <v>0</v>
      </c>
      <c r="AA23" s="450">
        <f>'24'!G112</f>
        <v>0</v>
      </c>
      <c r="AB23" s="450">
        <f>'25'!G112</f>
        <v>16</v>
      </c>
      <c r="AC23" s="450">
        <f>'26'!G112</f>
        <v>0</v>
      </c>
      <c r="AD23" s="450">
        <f>'27'!G112</f>
        <v>16</v>
      </c>
      <c r="AE23" s="450">
        <f>'28'!G112</f>
        <v>0</v>
      </c>
      <c r="AF23" s="450">
        <f>'29'!G112</f>
        <v>17</v>
      </c>
      <c r="AG23" s="450">
        <f>'30'!G112</f>
        <v>0</v>
      </c>
      <c r="AH23" s="450">
        <f>'31'!G112</f>
        <v>0</v>
      </c>
      <c r="AI23" s="448"/>
    </row>
    <row r="24" spans="2:35" ht="30">
      <c r="B24" s="452" t="s">
        <v>338</v>
      </c>
      <c r="C24" s="448"/>
      <c r="D24" s="450">
        <f>SUM(D5:D6)</f>
        <v>136</v>
      </c>
      <c r="E24" s="450">
        <f t="shared" ref="E24:AH24" si="0">SUM(E5:E6)</f>
        <v>111</v>
      </c>
      <c r="F24" s="450">
        <f t="shared" si="0"/>
        <v>116</v>
      </c>
      <c r="G24" s="450">
        <f t="shared" si="0"/>
        <v>107</v>
      </c>
      <c r="H24" s="450">
        <f t="shared" si="0"/>
        <v>113</v>
      </c>
      <c r="I24" s="450">
        <f t="shared" si="0"/>
        <v>56</v>
      </c>
      <c r="J24" s="450">
        <f t="shared" si="0"/>
        <v>56</v>
      </c>
      <c r="K24" s="450">
        <f t="shared" si="0"/>
        <v>115</v>
      </c>
      <c r="L24" s="450">
        <f t="shared" si="0"/>
        <v>95</v>
      </c>
      <c r="M24" s="450">
        <f t="shared" si="0"/>
        <v>77</v>
      </c>
      <c r="N24" s="450">
        <f t="shared" si="0"/>
        <v>75</v>
      </c>
      <c r="O24" s="450">
        <f t="shared" si="0"/>
        <v>52</v>
      </c>
      <c r="P24" s="450">
        <f t="shared" si="0"/>
        <v>77</v>
      </c>
      <c r="Q24" s="450">
        <f t="shared" si="0"/>
        <v>77</v>
      </c>
      <c r="R24" s="450">
        <f t="shared" si="0"/>
        <v>116</v>
      </c>
      <c r="S24" s="450">
        <f t="shared" si="0"/>
        <v>117</v>
      </c>
      <c r="T24" s="450">
        <f t="shared" si="0"/>
        <v>76</v>
      </c>
      <c r="U24" s="450">
        <f t="shared" si="0"/>
        <v>105</v>
      </c>
      <c r="V24" s="450">
        <f t="shared" si="0"/>
        <v>60</v>
      </c>
      <c r="W24" s="450">
        <f t="shared" si="0"/>
        <v>57</v>
      </c>
      <c r="X24" s="450">
        <f t="shared" si="0"/>
        <v>96</v>
      </c>
      <c r="Y24" s="450">
        <f t="shared" si="0"/>
        <v>150</v>
      </c>
      <c r="Z24" s="450">
        <f t="shared" si="0"/>
        <v>140</v>
      </c>
      <c r="AA24" s="450">
        <f t="shared" si="0"/>
        <v>110</v>
      </c>
      <c r="AB24" s="450">
        <f t="shared" si="0"/>
        <v>120</v>
      </c>
      <c r="AC24" s="450">
        <f t="shared" si="0"/>
        <v>113</v>
      </c>
      <c r="AD24" s="450">
        <f t="shared" si="0"/>
        <v>121</v>
      </c>
      <c r="AE24" s="450">
        <f t="shared" si="0"/>
        <v>100</v>
      </c>
      <c r="AF24" s="450">
        <f t="shared" si="0"/>
        <v>117</v>
      </c>
      <c r="AG24" s="450">
        <f t="shared" si="0"/>
        <v>138</v>
      </c>
      <c r="AH24" s="450">
        <f t="shared" si="0"/>
        <v>121</v>
      </c>
      <c r="AI24" s="448"/>
    </row>
    <row r="25" spans="2:35" ht="30">
      <c r="B25" s="452" t="s">
        <v>83</v>
      </c>
      <c r="C25" s="448"/>
      <c r="D25" s="450">
        <f>SUM(D9:D11,D14:D15,)</f>
        <v>115</v>
      </c>
      <c r="E25" s="450">
        <f t="shared" ref="E25:AI25" si="1">SUM(E9:E11,E14:E15,)</f>
        <v>80</v>
      </c>
      <c r="F25" s="450">
        <f t="shared" si="1"/>
        <v>103</v>
      </c>
      <c r="G25" s="450">
        <f t="shared" si="1"/>
        <v>98</v>
      </c>
      <c r="H25" s="450">
        <f t="shared" si="1"/>
        <v>71</v>
      </c>
      <c r="I25" s="450">
        <f t="shared" si="1"/>
        <v>63</v>
      </c>
      <c r="J25" s="450">
        <f t="shared" si="1"/>
        <v>63</v>
      </c>
      <c r="K25" s="450">
        <f t="shared" si="1"/>
        <v>108</v>
      </c>
      <c r="L25" s="450">
        <f t="shared" si="1"/>
        <v>75</v>
      </c>
      <c r="M25" s="450">
        <f t="shared" si="1"/>
        <v>48</v>
      </c>
      <c r="N25" s="450">
        <f t="shared" si="1"/>
        <v>48</v>
      </c>
      <c r="O25" s="450">
        <f t="shared" si="1"/>
        <v>60</v>
      </c>
      <c r="P25" s="450">
        <f t="shared" si="1"/>
        <v>82</v>
      </c>
      <c r="Q25" s="450">
        <f t="shared" si="1"/>
        <v>83</v>
      </c>
      <c r="R25" s="450">
        <f t="shared" si="1"/>
        <v>93</v>
      </c>
      <c r="S25" s="450">
        <f t="shared" si="1"/>
        <v>95</v>
      </c>
      <c r="T25" s="450">
        <f>SUM(T9:T11,T14:T15,)</f>
        <v>88</v>
      </c>
      <c r="U25" s="450">
        <f t="shared" si="1"/>
        <v>59</v>
      </c>
      <c r="V25" s="450">
        <f t="shared" si="1"/>
        <v>51</v>
      </c>
      <c r="W25" s="450">
        <f t="shared" si="1"/>
        <v>71</v>
      </c>
      <c r="X25" s="450">
        <f t="shared" si="1"/>
        <v>89</v>
      </c>
      <c r="Y25" s="450">
        <f t="shared" si="1"/>
        <v>141</v>
      </c>
      <c r="Z25" s="450">
        <f t="shared" si="1"/>
        <v>99</v>
      </c>
      <c r="AA25" s="450">
        <f t="shared" si="1"/>
        <v>79</v>
      </c>
      <c r="AB25" s="450">
        <f t="shared" si="1"/>
        <v>120</v>
      </c>
      <c r="AC25" s="450">
        <f t="shared" si="1"/>
        <v>81</v>
      </c>
      <c r="AD25" s="450">
        <f t="shared" si="1"/>
        <v>93</v>
      </c>
      <c r="AE25" s="450">
        <f t="shared" si="1"/>
        <v>86</v>
      </c>
      <c r="AF25" s="450">
        <f t="shared" si="1"/>
        <v>103</v>
      </c>
      <c r="AG25" s="450">
        <f t="shared" si="1"/>
        <v>105</v>
      </c>
      <c r="AH25" s="450">
        <f t="shared" si="1"/>
        <v>99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117</v>
      </c>
      <c r="E27" s="450">
        <f t="shared" ref="E27:AH27" si="2">SUM(E13,E21,E23)</f>
        <v>45</v>
      </c>
      <c r="F27" s="450">
        <f>SUM(F13,F21,F23)</f>
        <v>67</v>
      </c>
      <c r="G27" s="450">
        <f t="shared" si="2"/>
        <v>66</v>
      </c>
      <c r="H27" s="450">
        <f t="shared" si="2"/>
        <v>70</v>
      </c>
      <c r="I27" s="450">
        <f t="shared" si="2"/>
        <v>48</v>
      </c>
      <c r="J27" s="450">
        <f t="shared" si="2"/>
        <v>83</v>
      </c>
      <c r="K27" s="450">
        <f t="shared" si="2"/>
        <v>55</v>
      </c>
      <c r="L27" s="450">
        <f t="shared" si="2"/>
        <v>60</v>
      </c>
      <c r="M27" s="450">
        <f t="shared" si="2"/>
        <v>58</v>
      </c>
      <c r="N27" s="450">
        <f t="shared" si="2"/>
        <v>71</v>
      </c>
      <c r="O27" s="450">
        <f t="shared" si="2"/>
        <v>75</v>
      </c>
      <c r="P27" s="450">
        <f t="shared" si="2"/>
        <v>101</v>
      </c>
      <c r="Q27" s="450">
        <f t="shared" si="2"/>
        <v>66</v>
      </c>
      <c r="R27" s="450">
        <f t="shared" si="2"/>
        <v>82</v>
      </c>
      <c r="S27" s="450">
        <f t="shared" si="2"/>
        <v>112</v>
      </c>
      <c r="T27" s="450">
        <f t="shared" si="2"/>
        <v>22</v>
      </c>
      <c r="U27" s="450">
        <f t="shared" si="2"/>
        <v>81</v>
      </c>
      <c r="V27" s="450">
        <f t="shared" si="2"/>
        <v>51</v>
      </c>
      <c r="W27" s="450">
        <f t="shared" si="2"/>
        <v>49</v>
      </c>
      <c r="X27" s="450">
        <f t="shared" si="2"/>
        <v>45</v>
      </c>
      <c r="Y27" s="450">
        <f t="shared" si="2"/>
        <v>67</v>
      </c>
      <c r="Z27" s="450">
        <f t="shared" si="2"/>
        <v>81</v>
      </c>
      <c r="AA27" s="450">
        <f t="shared" si="2"/>
        <v>68</v>
      </c>
      <c r="AB27" s="450">
        <f t="shared" si="2"/>
        <v>73</v>
      </c>
      <c r="AC27" s="450">
        <f t="shared" si="2"/>
        <v>103</v>
      </c>
      <c r="AD27" s="450">
        <f t="shared" si="2"/>
        <v>95</v>
      </c>
      <c r="AE27" s="450">
        <f t="shared" si="2"/>
        <v>60</v>
      </c>
      <c r="AF27" s="450">
        <f t="shared" si="2"/>
        <v>87</v>
      </c>
      <c r="AG27" s="450">
        <f t="shared" si="2"/>
        <v>61</v>
      </c>
      <c r="AH27" s="450">
        <f t="shared" si="2"/>
        <v>68</v>
      </c>
      <c r="AI27" s="450">
        <f t="shared" ref="AI27" si="3">SUM(AI13)</f>
        <v>0</v>
      </c>
    </row>
    <row r="28" spans="2:35">
      <c r="B28" s="1028"/>
      <c r="C28" s="1029"/>
      <c r="D28" s="1029"/>
      <c r="E28" s="1029"/>
      <c r="F28" s="1029"/>
      <c r="G28" s="1029"/>
      <c r="H28" s="1029"/>
      <c r="I28" s="1029"/>
      <c r="J28" s="1029"/>
      <c r="K28" s="1029"/>
      <c r="L28" s="1029"/>
      <c r="M28" s="1029"/>
      <c r="N28" s="1029"/>
      <c r="O28" s="1029"/>
      <c r="P28" s="1029"/>
      <c r="Q28" s="1029"/>
      <c r="R28" s="1029"/>
      <c r="S28" s="1029"/>
      <c r="T28" s="1029"/>
      <c r="U28" s="1029"/>
      <c r="V28" s="1029"/>
      <c r="W28" s="1029"/>
      <c r="X28" s="1029"/>
      <c r="Y28" s="1029"/>
      <c r="Z28" s="1029"/>
      <c r="AA28" s="1029"/>
      <c r="AB28" s="1029"/>
      <c r="AC28" s="1029"/>
      <c r="AD28" s="1029"/>
      <c r="AE28" s="1029"/>
      <c r="AF28" s="1029"/>
      <c r="AG28" s="1029"/>
      <c r="AH28" s="1029"/>
      <c r="AI28" s="1029"/>
    </row>
    <row r="29" spans="2:35">
      <c r="B29" s="1028" t="s">
        <v>85</v>
      </c>
      <c r="C29" s="1029"/>
      <c r="D29" s="1030">
        <f>D9</f>
        <v>72</v>
      </c>
      <c r="E29" s="1030">
        <f t="shared" ref="E29:AH29" si="4">E9</f>
        <v>42</v>
      </c>
      <c r="F29" s="1030">
        <f t="shared" si="4"/>
        <v>61</v>
      </c>
      <c r="G29" s="1030">
        <f t="shared" si="4"/>
        <v>62</v>
      </c>
      <c r="H29" s="1030">
        <f t="shared" si="4"/>
        <v>31</v>
      </c>
      <c r="I29" s="1030">
        <f t="shared" si="4"/>
        <v>39</v>
      </c>
      <c r="J29" s="1030">
        <f t="shared" si="4"/>
        <v>31</v>
      </c>
      <c r="K29" s="1030">
        <f t="shared" si="4"/>
        <v>78</v>
      </c>
      <c r="L29" s="1030">
        <f t="shared" si="4"/>
        <v>40</v>
      </c>
      <c r="M29" s="1030">
        <f t="shared" si="4"/>
        <v>24</v>
      </c>
      <c r="N29" s="1030">
        <f t="shared" si="4"/>
        <v>26</v>
      </c>
      <c r="O29" s="1030">
        <f t="shared" si="4"/>
        <v>35</v>
      </c>
      <c r="P29" s="1030">
        <f t="shared" si="4"/>
        <v>52</v>
      </c>
      <c r="Q29" s="1030">
        <f t="shared" si="4"/>
        <v>46</v>
      </c>
      <c r="R29" s="1030">
        <f t="shared" si="4"/>
        <v>42</v>
      </c>
      <c r="S29" s="1030">
        <f t="shared" si="4"/>
        <v>27</v>
      </c>
      <c r="T29" s="1030">
        <f t="shared" si="4"/>
        <v>45</v>
      </c>
      <c r="U29" s="1030">
        <f t="shared" si="4"/>
        <v>29</v>
      </c>
      <c r="V29" s="1030">
        <f t="shared" si="4"/>
        <v>23</v>
      </c>
      <c r="W29" s="1030">
        <f t="shared" si="4"/>
        <v>27</v>
      </c>
      <c r="X29" s="1030">
        <f t="shared" si="4"/>
        <v>49</v>
      </c>
      <c r="Y29" s="1030">
        <f t="shared" si="4"/>
        <v>80</v>
      </c>
      <c r="Z29" s="1030">
        <f t="shared" si="4"/>
        <v>37</v>
      </c>
      <c r="AA29" s="1030">
        <f t="shared" si="4"/>
        <v>40</v>
      </c>
      <c r="AB29" s="1030">
        <f t="shared" si="4"/>
        <v>78</v>
      </c>
      <c r="AC29" s="1030">
        <f t="shared" si="4"/>
        <v>43</v>
      </c>
      <c r="AD29" s="1030">
        <f t="shared" si="4"/>
        <v>49</v>
      </c>
      <c r="AE29" s="1030">
        <f t="shared" si="4"/>
        <v>51</v>
      </c>
      <c r="AF29" s="1030">
        <f t="shared" si="4"/>
        <v>46</v>
      </c>
      <c r="AG29" s="1030">
        <f t="shared" si="4"/>
        <v>38</v>
      </c>
      <c r="AH29" s="1030">
        <f t="shared" si="4"/>
        <v>54</v>
      </c>
      <c r="AI29" s="1029"/>
    </row>
    <row r="30" spans="2:35">
      <c r="B30" s="1028" t="s">
        <v>86</v>
      </c>
      <c r="C30" s="1029"/>
      <c r="D30" s="1030">
        <f>SUM(D10:D11,D14:D15)</f>
        <v>43</v>
      </c>
      <c r="E30" s="1030">
        <f t="shared" ref="E30:AH30" si="5">SUM(E10:E11,E14:E15)</f>
        <v>38</v>
      </c>
      <c r="F30" s="1030">
        <f t="shared" si="5"/>
        <v>42</v>
      </c>
      <c r="G30" s="1030">
        <f t="shared" si="5"/>
        <v>36</v>
      </c>
      <c r="H30" s="1030">
        <f t="shared" si="5"/>
        <v>40</v>
      </c>
      <c r="I30" s="1030">
        <f t="shared" si="5"/>
        <v>24</v>
      </c>
      <c r="J30" s="1030">
        <f t="shared" si="5"/>
        <v>32</v>
      </c>
      <c r="K30" s="1030">
        <f t="shared" si="5"/>
        <v>30</v>
      </c>
      <c r="L30" s="1030">
        <f t="shared" si="5"/>
        <v>35</v>
      </c>
      <c r="M30" s="1030">
        <f t="shared" si="5"/>
        <v>24</v>
      </c>
      <c r="N30" s="1030">
        <f t="shared" si="5"/>
        <v>22</v>
      </c>
      <c r="O30" s="1030">
        <f t="shared" si="5"/>
        <v>25</v>
      </c>
      <c r="P30" s="1030">
        <f t="shared" si="5"/>
        <v>30</v>
      </c>
      <c r="Q30" s="1030">
        <f t="shared" si="5"/>
        <v>37</v>
      </c>
      <c r="R30" s="1030">
        <f t="shared" si="5"/>
        <v>51</v>
      </c>
      <c r="S30" s="1030">
        <f t="shared" si="5"/>
        <v>68</v>
      </c>
      <c r="T30" s="1030">
        <f t="shared" si="5"/>
        <v>43</v>
      </c>
      <c r="U30" s="1030">
        <f t="shared" si="5"/>
        <v>30</v>
      </c>
      <c r="V30" s="1030">
        <f t="shared" si="5"/>
        <v>28</v>
      </c>
      <c r="W30" s="1030">
        <f t="shared" si="5"/>
        <v>44</v>
      </c>
      <c r="X30" s="1030">
        <f t="shared" si="5"/>
        <v>40</v>
      </c>
      <c r="Y30" s="1030">
        <f t="shared" si="5"/>
        <v>61</v>
      </c>
      <c r="Z30" s="1030">
        <f t="shared" si="5"/>
        <v>62</v>
      </c>
      <c r="AA30" s="1030">
        <f t="shared" si="5"/>
        <v>39</v>
      </c>
      <c r="AB30" s="1030">
        <f t="shared" si="5"/>
        <v>42</v>
      </c>
      <c r="AC30" s="1030">
        <f t="shared" si="5"/>
        <v>38</v>
      </c>
      <c r="AD30" s="1030">
        <f t="shared" si="5"/>
        <v>44</v>
      </c>
      <c r="AE30" s="1030">
        <f t="shared" si="5"/>
        <v>35</v>
      </c>
      <c r="AF30" s="1030">
        <f t="shared" si="5"/>
        <v>57</v>
      </c>
      <c r="AG30" s="1030">
        <f t="shared" si="5"/>
        <v>67</v>
      </c>
      <c r="AH30" s="1030">
        <f t="shared" si="5"/>
        <v>45</v>
      </c>
      <c r="AI30" s="1029"/>
    </row>
    <row r="31" spans="2:35">
      <c r="B31" s="1028" t="s">
        <v>87</v>
      </c>
      <c r="C31" s="1029"/>
      <c r="D31" s="1029">
        <f>D30/SUM(D29:D30)%</f>
        <v>37.391304347826093</v>
      </c>
      <c r="E31" s="1029">
        <f t="shared" ref="E31:AH31" si="6">E30/SUM(E29:E30)%</f>
        <v>47.5</v>
      </c>
      <c r="F31" s="1029">
        <f t="shared" si="6"/>
        <v>40.776699029126213</v>
      </c>
      <c r="G31" s="1029">
        <f t="shared" si="6"/>
        <v>36.734693877551024</v>
      </c>
      <c r="H31" s="1029">
        <f t="shared" si="6"/>
        <v>56.338028169014088</v>
      </c>
      <c r="I31" s="1029">
        <f t="shared" si="6"/>
        <v>38.095238095238095</v>
      </c>
      <c r="J31" s="1029">
        <f t="shared" si="6"/>
        <v>50.793650793650791</v>
      </c>
      <c r="K31" s="1029">
        <f t="shared" si="6"/>
        <v>27.777777777777775</v>
      </c>
      <c r="L31" s="1029">
        <f t="shared" si="6"/>
        <v>46.666666666666664</v>
      </c>
      <c r="M31" s="1029">
        <f t="shared" si="6"/>
        <v>50</v>
      </c>
      <c r="N31" s="1029">
        <f t="shared" si="6"/>
        <v>45.833333333333336</v>
      </c>
      <c r="O31" s="1029">
        <f t="shared" si="6"/>
        <v>41.666666666666671</v>
      </c>
      <c r="P31" s="1029">
        <f t="shared" si="6"/>
        <v>36.585365853658537</v>
      </c>
      <c r="Q31" s="1029">
        <f t="shared" si="6"/>
        <v>44.578313253012048</v>
      </c>
      <c r="R31" s="1029">
        <f t="shared" si="6"/>
        <v>54.838709677419352</v>
      </c>
      <c r="S31" s="1029">
        <f t="shared" si="6"/>
        <v>71.578947368421055</v>
      </c>
      <c r="T31" s="1029">
        <f t="shared" si="6"/>
        <v>48.863636363636367</v>
      </c>
      <c r="U31" s="1029">
        <f t="shared" si="6"/>
        <v>50.847457627118644</v>
      </c>
      <c r="V31" s="1029">
        <f t="shared" si="6"/>
        <v>54.901960784313722</v>
      </c>
      <c r="W31" s="1029">
        <f t="shared" si="6"/>
        <v>61.971830985915496</v>
      </c>
      <c r="X31" s="1029">
        <f t="shared" si="6"/>
        <v>44.943820224719097</v>
      </c>
      <c r="Y31" s="1029">
        <f t="shared" si="6"/>
        <v>43.262411347517734</v>
      </c>
      <c r="Z31" s="1029">
        <f t="shared" si="6"/>
        <v>62.62626262626263</v>
      </c>
      <c r="AA31" s="1029">
        <f t="shared" si="6"/>
        <v>49.367088607594937</v>
      </c>
      <c r="AB31" s="1029">
        <f t="shared" si="6"/>
        <v>35</v>
      </c>
      <c r="AC31" s="1029">
        <f t="shared" si="6"/>
        <v>46.913580246913575</v>
      </c>
      <c r="AD31" s="1029">
        <f t="shared" si="6"/>
        <v>47.311827956989248</v>
      </c>
      <c r="AE31" s="1029">
        <f t="shared" si="6"/>
        <v>40.697674418604649</v>
      </c>
      <c r="AF31" s="1029">
        <f t="shared" si="6"/>
        <v>55.339805825242721</v>
      </c>
      <c r="AG31" s="1029">
        <f t="shared" si="6"/>
        <v>63.80952380952381</v>
      </c>
      <c r="AH31" s="1029">
        <f t="shared" si="6"/>
        <v>45.454545454545453</v>
      </c>
      <c r="AI31" s="102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89"/>
  <sheetViews>
    <sheetView tabSelected="1" topLeftCell="A14" zoomScale="85" zoomScaleNormal="85" workbookViewId="0">
      <pane xSplit="1" topLeftCell="B1" activePane="topRight" state="frozen"/>
      <selection activeCell="A3" sqref="A3"/>
      <selection pane="topRight" activeCell="M5" sqref="M5:M35"/>
    </sheetView>
  </sheetViews>
  <sheetFormatPr defaultRowHeight="15.75"/>
  <cols>
    <col min="1" max="5" width="8.88671875" style="1039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9" customWidth="1"/>
    <col min="33" max="51" width="7" style="1039" customWidth="1"/>
    <col min="52" max="16384" width="8.88671875" style="1039"/>
  </cols>
  <sheetData>
    <row r="1" spans="1:53" ht="16.5" thickBot="1">
      <c r="F1" s="1039"/>
      <c r="G1" s="1039"/>
      <c r="H1" s="1039"/>
      <c r="I1" s="1039"/>
      <c r="J1" s="1039"/>
      <c r="K1" s="1039"/>
      <c r="L1" s="1039"/>
      <c r="M1" s="1039"/>
    </row>
    <row r="2" spans="1:53">
      <c r="F2" s="1523" t="s">
        <v>350</v>
      </c>
      <c r="G2" s="1517"/>
      <c r="H2" s="1517"/>
      <c r="I2" s="1517"/>
      <c r="J2" s="1517"/>
      <c r="K2" s="1517"/>
      <c r="L2" s="1517"/>
      <c r="M2" s="1518"/>
      <c r="N2" s="1522" t="s">
        <v>88</v>
      </c>
      <c r="O2" s="1522"/>
      <c r="P2" s="1522"/>
      <c r="Q2" s="1522"/>
      <c r="R2" s="1522"/>
      <c r="S2" s="1522"/>
      <c r="T2" s="1522"/>
      <c r="U2" s="1522"/>
      <c r="V2" s="1522"/>
      <c r="W2" s="1522"/>
      <c r="X2" s="1522"/>
      <c r="Y2" s="1522"/>
      <c r="Z2" s="1522"/>
      <c r="AA2" s="1522"/>
      <c r="AB2" s="1522"/>
      <c r="AC2" s="1522"/>
      <c r="AD2" s="1522"/>
      <c r="AE2" s="1522"/>
      <c r="AF2" s="1522"/>
      <c r="AG2" s="1522"/>
      <c r="AH2" s="1522"/>
      <c r="AI2" s="1522"/>
      <c r="AJ2" s="1522"/>
      <c r="AK2" s="1522"/>
      <c r="AL2" s="1522"/>
      <c r="AM2" s="1522"/>
      <c r="AN2" s="1521"/>
      <c r="AO2" s="1521"/>
      <c r="AP2" s="1521"/>
      <c r="AQ2" s="1521"/>
      <c r="AR2" s="1521"/>
      <c r="AS2" s="1521"/>
      <c r="AT2" s="1521"/>
      <c r="AU2" s="1118"/>
      <c r="AV2" s="1520" t="s">
        <v>89</v>
      </c>
      <c r="AW2" s="1520"/>
      <c r="AX2" s="1520"/>
      <c r="AY2" s="1520"/>
    </row>
    <row r="3" spans="1:53">
      <c r="F3" s="1289"/>
      <c r="G3" s="438"/>
      <c r="H3" s="438"/>
      <c r="I3" s="438"/>
      <c r="J3" s="438"/>
      <c r="K3" s="438"/>
      <c r="L3" s="438"/>
      <c r="M3" s="1290"/>
      <c r="N3" s="1288"/>
      <c r="O3" s="1288"/>
      <c r="P3" s="1288"/>
      <c r="Q3" s="1288"/>
      <c r="R3" s="1288"/>
      <c r="S3" s="1288"/>
      <c r="T3" s="1288"/>
      <c r="U3" s="1288"/>
      <c r="V3" s="1288"/>
      <c r="W3" s="1288"/>
      <c r="X3" s="1288"/>
      <c r="Y3" s="1288"/>
      <c r="Z3" s="1288"/>
      <c r="AA3" s="1291"/>
      <c r="AB3" s="1291"/>
      <c r="AC3" s="1291"/>
      <c r="AD3" s="1291"/>
      <c r="AE3" s="1291"/>
      <c r="AF3" s="1291"/>
      <c r="AG3" s="1291"/>
      <c r="AH3" s="1291"/>
      <c r="AI3" s="1291"/>
      <c r="AJ3" s="1291"/>
      <c r="AK3" s="1291"/>
      <c r="AL3" s="1291"/>
      <c r="AM3" s="1288"/>
      <c r="AN3" s="1524" t="s">
        <v>139</v>
      </c>
      <c r="AO3" s="1524"/>
      <c r="AP3" s="1524"/>
      <c r="AQ3" s="1524"/>
      <c r="AR3" s="1524"/>
      <c r="AS3" s="1524"/>
      <c r="AT3" s="1524"/>
      <c r="AU3" s="1525" t="s">
        <v>319</v>
      </c>
      <c r="AV3" s="1525"/>
      <c r="AW3" s="1525"/>
      <c r="AX3" s="1525"/>
      <c r="AY3" s="1525"/>
    </row>
    <row r="4" spans="1:53" ht="34.5" customHeight="1">
      <c r="A4" s="1040"/>
      <c r="B4" s="1384" t="s">
        <v>345</v>
      </c>
      <c r="C4" s="1384" t="s">
        <v>346</v>
      </c>
      <c r="D4" s="1384" t="s">
        <v>349</v>
      </c>
      <c r="E4" s="1384" t="s">
        <v>348</v>
      </c>
      <c r="F4" s="1292" t="s">
        <v>320</v>
      </c>
      <c r="G4" s="1293" t="s">
        <v>321</v>
      </c>
      <c r="H4" s="1293" t="s">
        <v>322</v>
      </c>
      <c r="I4" s="1293" t="s">
        <v>323</v>
      </c>
      <c r="J4" s="1293" t="s">
        <v>318</v>
      </c>
      <c r="K4" s="1293" t="s">
        <v>53</v>
      </c>
      <c r="L4" s="1294" t="s">
        <v>62</v>
      </c>
      <c r="M4" s="1294" t="s">
        <v>55</v>
      </c>
      <c r="N4" s="1040" t="s">
        <v>90</v>
      </c>
      <c r="O4" s="1040" t="s">
        <v>91</v>
      </c>
      <c r="P4" s="1040" t="s">
        <v>106</v>
      </c>
      <c r="Q4" s="1040" t="s">
        <v>324</v>
      </c>
      <c r="R4" s="1040" t="s">
        <v>325</v>
      </c>
      <c r="S4" s="1040" t="s">
        <v>326</v>
      </c>
      <c r="T4" s="1040" t="s">
        <v>327</v>
      </c>
      <c r="U4" s="1040" t="s">
        <v>92</v>
      </c>
      <c r="V4" s="1040" t="s">
        <v>328</v>
      </c>
      <c r="W4" s="1040" t="s">
        <v>329</v>
      </c>
      <c r="X4" s="1040" t="s">
        <v>313</v>
      </c>
      <c r="Y4" s="1040" t="s">
        <v>77</v>
      </c>
      <c r="Z4" s="1040" t="s">
        <v>330</v>
      </c>
      <c r="AA4" s="1041" t="s">
        <v>331</v>
      </c>
      <c r="AB4" s="1041" t="s">
        <v>102</v>
      </c>
      <c r="AC4" s="1041" t="s">
        <v>96</v>
      </c>
      <c r="AD4" s="1041" t="s">
        <v>97</v>
      </c>
      <c r="AE4" s="433" t="s">
        <v>332</v>
      </c>
      <c r="AF4" s="434" t="s">
        <v>99</v>
      </c>
      <c r="AG4" s="434" t="s">
        <v>99</v>
      </c>
      <c r="AH4" s="434" t="s">
        <v>100</v>
      </c>
      <c r="AI4" s="434" t="s">
        <v>312</v>
      </c>
      <c r="AJ4" s="434" t="s">
        <v>102</v>
      </c>
      <c r="AK4" s="434" t="s">
        <v>103</v>
      </c>
      <c r="AL4" s="434" t="s">
        <v>104</v>
      </c>
      <c r="AM4" s="1040" t="s">
        <v>200</v>
      </c>
      <c r="AN4" s="1040" t="s">
        <v>333</v>
      </c>
      <c r="AO4" s="1040" t="s">
        <v>105</v>
      </c>
      <c r="AP4" s="1040" t="s">
        <v>106</v>
      </c>
      <c r="AQ4" s="1040" t="s">
        <v>107</v>
      </c>
      <c r="AR4" s="1040" t="s">
        <v>108</v>
      </c>
      <c r="AS4" s="1040" t="s">
        <v>109</v>
      </c>
      <c r="AT4" s="1040" t="s">
        <v>334</v>
      </c>
      <c r="AU4" s="1040" t="s">
        <v>105</v>
      </c>
      <c r="AV4" s="1040" t="s">
        <v>41</v>
      </c>
      <c r="AW4" s="1040" t="s">
        <v>42</v>
      </c>
      <c r="AX4" s="1040" t="s">
        <v>310</v>
      </c>
      <c r="AY4" s="1040" t="s">
        <v>110</v>
      </c>
    </row>
    <row r="5" spans="1:53">
      <c r="A5" s="1042">
        <v>43952</v>
      </c>
      <c r="B5" s="261">
        <f>'1'!G7</f>
        <v>15988</v>
      </c>
      <c r="C5" s="261">
        <f>'1'!G8</f>
        <v>16053</v>
      </c>
      <c r="D5" s="261">
        <f>'1'!G15</f>
        <v>334</v>
      </c>
      <c r="E5" s="261">
        <f>'1'!G20</f>
        <v>136</v>
      </c>
      <c r="F5" s="261">
        <f>SUM('1'!G35,'1'!G49)</f>
        <v>2167.8699999999953</v>
      </c>
      <c r="G5" s="261">
        <f>SUM('1'!H37,'1'!H51)</f>
        <v>1282</v>
      </c>
      <c r="H5" s="261">
        <f>SUM('1'!G38,'1'!G52)</f>
        <v>1352</v>
      </c>
      <c r="I5" s="261">
        <f>SUM('1'!G39,'1'!G53)</f>
        <v>2595</v>
      </c>
      <c r="J5" s="261">
        <f>SUM('1'!G41,'1'!G42,'1'!G55,'1'!G56)</f>
        <v>4654.5300000000279</v>
      </c>
      <c r="K5" s="261">
        <f>SUM('1'!G43,'1'!G57)</f>
        <v>2319</v>
      </c>
      <c r="L5" s="1043">
        <f>'1'!G50</f>
        <v>949</v>
      </c>
      <c r="M5" s="1043">
        <v>634.79999999998836</v>
      </c>
      <c r="N5" s="1043">
        <f>'1'!G72</f>
        <v>17</v>
      </c>
      <c r="O5" s="1043">
        <f>'1'!$G$73</f>
        <v>2</v>
      </c>
      <c r="P5" s="1043">
        <f>'1'!$G$74</f>
        <v>30</v>
      </c>
      <c r="Q5" s="1043">
        <f>'1'!$G$75</f>
        <v>54</v>
      </c>
      <c r="R5" s="1043">
        <f>'1'!$G$76</f>
        <v>57</v>
      </c>
      <c r="S5" s="1043">
        <f>'1'!$G$77</f>
        <v>50</v>
      </c>
      <c r="T5" s="1043">
        <f>'1'!$G$78</f>
        <v>124</v>
      </c>
      <c r="U5" s="1043">
        <f>'1'!$G$79</f>
        <v>189</v>
      </c>
      <c r="V5" s="1043">
        <f>'1'!$G$80</f>
        <v>394</v>
      </c>
      <c r="W5" s="1043">
        <f>'1'!$G$81</f>
        <v>81</v>
      </c>
      <c r="X5" s="1043">
        <f>'1'!$G$82</f>
        <v>12</v>
      </c>
      <c r="Y5" s="1043">
        <f>'1'!$G$58</f>
        <v>0</v>
      </c>
      <c r="Z5" s="1043">
        <f>'1'!$G$83</f>
        <v>255</v>
      </c>
      <c r="AA5" s="1043">
        <f>'1'!G86</f>
        <v>51</v>
      </c>
      <c r="AB5" s="1043">
        <f>'1'!G87</f>
        <v>10</v>
      </c>
      <c r="AC5" s="1043">
        <f>'1'!G88</f>
        <v>28</v>
      </c>
      <c r="AD5" s="1043">
        <f>'1'!G89+'1'!G90</f>
        <v>7</v>
      </c>
      <c r="AE5" s="1043">
        <f>'1'!$G$62</f>
        <v>0</v>
      </c>
      <c r="AF5" s="1043">
        <f>'1'!$G$63</f>
        <v>4</v>
      </c>
      <c r="AG5" s="1043">
        <f>'1'!$G$64</f>
        <v>211</v>
      </c>
      <c r="AH5" s="1043">
        <f>'1'!$G$65</f>
        <v>208</v>
      </c>
      <c r="AI5" s="1043">
        <f>'1'!$G$66</f>
        <v>271</v>
      </c>
      <c r="AJ5" s="1043">
        <f>'1'!$G$67</f>
        <v>222</v>
      </c>
      <c r="AK5" s="1043">
        <f>'1'!$G$68</f>
        <v>0</v>
      </c>
      <c r="AL5" s="1043">
        <f>'1'!$G$69</f>
        <v>82</v>
      </c>
      <c r="AM5" s="1043">
        <f>'1'!$G$84</f>
        <v>715</v>
      </c>
      <c r="AN5" s="1043">
        <f>'1'!$G$15</f>
        <v>334</v>
      </c>
      <c r="AO5" s="1043">
        <f>'1'!$G$124</f>
        <v>232.54000000003725</v>
      </c>
      <c r="AP5" s="1043">
        <f>'1'!$G$125</f>
        <v>0</v>
      </c>
      <c r="AQ5" s="1043">
        <f>'1'!$G$126</f>
        <v>59.559999999997672</v>
      </c>
      <c r="AR5" s="1043">
        <f>'1'!$G$127</f>
        <v>0</v>
      </c>
      <c r="AS5" s="1043">
        <f>'1'!$G$128</f>
        <v>0.2999999999992724</v>
      </c>
      <c r="AT5" s="1043">
        <f>AN5-SUM(AO5:AS5)</f>
        <v>41.599999999965803</v>
      </c>
      <c r="AU5" s="1043">
        <f>SUM('1'!G140:G141)</f>
        <v>8.8800000000001091</v>
      </c>
      <c r="AV5" s="1043">
        <f>'1'!$G$137</f>
        <v>0</v>
      </c>
      <c r="AW5" s="1043">
        <f>'1'!$G$138</f>
        <v>0</v>
      </c>
      <c r="AX5" s="1043">
        <f>'1'!$G$139</f>
        <v>0</v>
      </c>
      <c r="AY5" s="1040">
        <f>SUM(AV5:AX5)</f>
        <v>0</v>
      </c>
    </row>
    <row r="6" spans="1:53">
      <c r="A6" s="1042">
        <v>43953</v>
      </c>
      <c r="B6" s="261">
        <f>'2'!G7</f>
        <v>15961</v>
      </c>
      <c r="C6" s="261">
        <f>'2'!G8</f>
        <v>16031</v>
      </c>
      <c r="D6" s="261">
        <f>'2'!G15</f>
        <v>445</v>
      </c>
      <c r="E6" s="261">
        <f>'2'!G20</f>
        <v>111</v>
      </c>
      <c r="F6" s="261">
        <f>SUM('2'!G35,'2'!G49)</f>
        <v>2008.1300000000047</v>
      </c>
      <c r="G6" s="261">
        <f>SUM('2'!G37,'2'!G51)</f>
        <v>1264</v>
      </c>
      <c r="H6" s="261">
        <f>SUM('2'!G38,'2'!G52)</f>
        <v>1301</v>
      </c>
      <c r="I6" s="261">
        <f>SUM('2'!G39,'2'!G53)</f>
        <v>2441</v>
      </c>
      <c r="J6" s="261">
        <f>SUM('2'!G41,'2'!G42,'2'!G55,'2'!G56)</f>
        <v>5001</v>
      </c>
      <c r="K6" s="261">
        <f>SUM('2'!G43,'2'!G57)</f>
        <v>2231</v>
      </c>
      <c r="L6" s="1043">
        <f>'2'!G50</f>
        <v>884</v>
      </c>
      <c r="M6" s="1043">
        <v>644.26000000000931</v>
      </c>
      <c r="N6" s="1043">
        <f>'2'!G72</f>
        <v>15</v>
      </c>
      <c r="O6" s="1043">
        <f>'2'!$G$73</f>
        <v>1</v>
      </c>
      <c r="P6" s="1043">
        <f>'2'!$G$74</f>
        <v>16</v>
      </c>
      <c r="Q6" s="1043">
        <f>'2'!$G$75</f>
        <v>52</v>
      </c>
      <c r="R6" s="1043">
        <f>'2'!$G$76</f>
        <v>56</v>
      </c>
      <c r="S6" s="1043">
        <f>'2'!$G$77</f>
        <v>47</v>
      </c>
      <c r="T6" s="1043">
        <f>'2'!$G$78</f>
        <v>95</v>
      </c>
      <c r="U6" s="1043">
        <f>'2'!$G$79</f>
        <v>177</v>
      </c>
      <c r="V6" s="1043">
        <f>'2'!$G$80</f>
        <v>380</v>
      </c>
      <c r="W6" s="1034">
        <f>'2'!$G$81</f>
        <v>66</v>
      </c>
      <c r="X6" s="1034">
        <f>'2'!$G$82</f>
        <v>14</v>
      </c>
      <c r="Y6" s="1034">
        <f>'2'!$G$58</f>
        <v>113</v>
      </c>
      <c r="Z6" s="1034">
        <f>'2'!$G$83</f>
        <v>241</v>
      </c>
      <c r="AA6" s="1034">
        <f>'2'!G86</f>
        <v>21</v>
      </c>
      <c r="AB6" s="1043">
        <f>'2'!G87</f>
        <v>6</v>
      </c>
      <c r="AC6" s="1043">
        <f>'2'!G88</f>
        <v>24</v>
      </c>
      <c r="AD6" s="1043">
        <f>'2'!G89+'2'!G90</f>
        <v>6</v>
      </c>
      <c r="AE6" s="1043">
        <f>'2'!$G$62</f>
        <v>0</v>
      </c>
      <c r="AF6" s="1043">
        <f>'2'!$G$63</f>
        <v>4</v>
      </c>
      <c r="AG6" s="1043">
        <f>'2'!$G$64</f>
        <v>208</v>
      </c>
      <c r="AH6" s="1043">
        <f>'2'!$G$65</f>
        <v>199</v>
      </c>
      <c r="AI6" s="1043">
        <f>'2'!$G$66</f>
        <v>272</v>
      </c>
      <c r="AJ6" s="1043">
        <f>'2'!$G$67</f>
        <v>214</v>
      </c>
      <c r="AK6" s="1043">
        <f>'2'!$G$68</f>
        <v>0</v>
      </c>
      <c r="AL6" s="1043">
        <f>'2'!$G$69</f>
        <v>93</v>
      </c>
      <c r="AM6" s="1043">
        <f>'2'!$G$84</f>
        <v>712</v>
      </c>
      <c r="AN6" s="1043">
        <f>'2'!$G$15</f>
        <v>445</v>
      </c>
      <c r="AO6" s="1043">
        <f>'2'!$G$124</f>
        <v>203</v>
      </c>
      <c r="AP6" s="1043">
        <f>'2'!$G$125</f>
        <v>0</v>
      </c>
      <c r="AQ6" s="1043">
        <f>'2'!$G$126</f>
        <v>73</v>
      </c>
      <c r="AR6" s="1043">
        <f>'2'!$G$127</f>
        <v>0</v>
      </c>
      <c r="AS6" s="1043">
        <f>'2'!$G$128</f>
        <v>0</v>
      </c>
      <c r="AT6" s="1043">
        <f t="shared" ref="AT6:AT34" si="0">AN6-SUM(AO6:AS6)</f>
        <v>169</v>
      </c>
      <c r="AU6" s="1043">
        <f>SUM('2'!G140:G141)</f>
        <v>7.8099999999999454</v>
      </c>
      <c r="AV6" s="1043">
        <f>'2'!$G$137</f>
        <v>2.7099999999991269</v>
      </c>
      <c r="AW6" s="1043">
        <f>'2'!$G$138</f>
        <v>0</v>
      </c>
      <c r="AX6" s="1043">
        <f>'2'!$G$139</f>
        <v>0</v>
      </c>
      <c r="AY6" s="1040">
        <f t="shared" ref="AY6:AY34" si="1">SUM(AV6:AX6)</f>
        <v>2.7099999999991269</v>
      </c>
    </row>
    <row r="7" spans="1:53" s="1045" customFormat="1">
      <c r="A7" s="1042">
        <v>43954</v>
      </c>
      <c r="B7" s="261">
        <f>'3'!G7</f>
        <v>16029</v>
      </c>
      <c r="C7" s="261">
        <f>'3'!G8</f>
        <v>16089</v>
      </c>
      <c r="D7" s="261">
        <f>'3'!G15</f>
        <v>438</v>
      </c>
      <c r="E7" s="261">
        <f>'3'!G20</f>
        <v>116</v>
      </c>
      <c r="F7" s="261">
        <f>SUM('3'!G35,'3'!G49)</f>
        <v>2173.8699999999953</v>
      </c>
      <c r="G7" s="261">
        <f>SUM('3'!G37,'3'!G51)</f>
        <v>1224</v>
      </c>
      <c r="H7" s="261">
        <f>SUM('3'!G38,'3'!G52)</f>
        <v>1342</v>
      </c>
      <c r="I7" s="261">
        <f>SUM('3'!G39,'3'!G53)</f>
        <v>2337</v>
      </c>
      <c r="J7" s="261">
        <f>SUM('3'!G41,'3'!G42,'3'!G55,'3'!G56)</f>
        <v>4821</v>
      </c>
      <c r="K7" s="261">
        <f>SUM('3'!G43,'3'!G57)</f>
        <v>2220</v>
      </c>
      <c r="L7" s="1034">
        <f>'3'!G50</f>
        <v>1056</v>
      </c>
      <c r="M7" s="1034">
        <v>662.69000000000233</v>
      </c>
      <c r="N7" s="1034">
        <f>'3'!G72</f>
        <v>15</v>
      </c>
      <c r="O7" s="1034">
        <f>'3'!$G$73</f>
        <v>1</v>
      </c>
      <c r="P7" s="1034">
        <f>'3'!$G$74</f>
        <v>15</v>
      </c>
      <c r="Q7" s="1034">
        <f>'3'!$G$75</f>
        <v>54</v>
      </c>
      <c r="R7" s="1034">
        <f>'3'!$G$76</f>
        <v>54</v>
      </c>
      <c r="S7" s="1034">
        <f>'3'!$G$77</f>
        <v>50</v>
      </c>
      <c r="T7" s="1034">
        <f>'3'!$G$78</f>
        <v>101</v>
      </c>
      <c r="U7" s="1034">
        <f>'3'!$G$79</f>
        <v>174</v>
      </c>
      <c r="V7" s="1034">
        <f>'3'!$G$80</f>
        <v>359</v>
      </c>
      <c r="W7" s="1034">
        <f>'3'!$G$81</f>
        <v>68</v>
      </c>
      <c r="X7" s="1034">
        <f>'3'!$G$82</f>
        <v>25</v>
      </c>
      <c r="Y7" s="1034">
        <f>'3'!$G$58</f>
        <v>91</v>
      </c>
      <c r="Z7" s="1034">
        <f>'3'!$G$83</f>
        <v>249</v>
      </c>
      <c r="AA7" s="1043">
        <f>'3'!G86</f>
        <v>184</v>
      </c>
      <c r="AB7" s="1043">
        <f>'1'!G87</f>
        <v>10</v>
      </c>
      <c r="AC7" s="1043">
        <f>'3'!G88</f>
        <v>146</v>
      </c>
      <c r="AD7" s="1043">
        <f>'3'!G89+'3'!G90</f>
        <v>6</v>
      </c>
      <c r="AE7" s="1034">
        <f>'3'!$G$62</f>
        <v>0</v>
      </c>
      <c r="AF7" s="1034">
        <f>'3'!$G$63</f>
        <v>3</v>
      </c>
      <c r="AG7" s="1034">
        <f>'3'!$G$64</f>
        <v>213</v>
      </c>
      <c r="AH7" s="1034">
        <f>'3'!$G$65</f>
        <v>198</v>
      </c>
      <c r="AI7" s="1034">
        <f>'3'!$G$66</f>
        <v>265</v>
      </c>
      <c r="AJ7" s="784">
        <f>'3'!$G$67</f>
        <v>185</v>
      </c>
      <c r="AK7" s="784">
        <f>'3'!$G$68</f>
        <v>0</v>
      </c>
      <c r="AL7" s="1034">
        <f>'3'!$G$69</f>
        <v>85</v>
      </c>
      <c r="AM7" s="1034">
        <f>'3'!$G$84</f>
        <v>818</v>
      </c>
      <c r="AN7" s="1034">
        <f>'3'!$G$15</f>
        <v>438</v>
      </c>
      <c r="AO7" s="1034">
        <f>'3'!$G$124</f>
        <v>197</v>
      </c>
      <c r="AP7" s="1034">
        <f>'3'!$G$125</f>
        <v>-0.39999999999417923</v>
      </c>
      <c r="AQ7" s="1034">
        <f>'3'!$G$126</f>
        <v>58</v>
      </c>
      <c r="AR7" s="1034">
        <f>'3'!$G$127</f>
        <v>0</v>
      </c>
      <c r="AS7" s="1034">
        <f>'3'!$G$128</f>
        <v>0</v>
      </c>
      <c r="AT7" s="1034">
        <f t="shared" si="0"/>
        <v>183.39999999999418</v>
      </c>
      <c r="AU7" s="1043">
        <f>SUM('3'!G140:G141)</f>
        <v>7.4000000000000909</v>
      </c>
      <c r="AV7" s="1034">
        <f>'3'!$G$137</f>
        <v>0</v>
      </c>
      <c r="AW7" s="1034">
        <f>'3'!$G$138</f>
        <v>0.40000000000145519</v>
      </c>
      <c r="AX7" s="1034">
        <f>'3'!$G$139</f>
        <v>9.0100000000093132</v>
      </c>
      <c r="AY7" s="1044">
        <f t="shared" si="1"/>
        <v>9.4100000000107684</v>
      </c>
    </row>
    <row r="8" spans="1:53">
      <c r="A8" s="1042">
        <v>43955</v>
      </c>
      <c r="B8" s="261">
        <f>'4'!G7</f>
        <v>16163</v>
      </c>
      <c r="C8" s="261">
        <f>'4'!G8</f>
        <v>16226</v>
      </c>
      <c r="D8" s="261">
        <f>'4'!G15</f>
        <v>584</v>
      </c>
      <c r="E8" s="261">
        <f>'4'!G20</f>
        <v>107</v>
      </c>
      <c r="F8" s="261">
        <f>SUM('4'!G35,'4'!G49)</f>
        <v>2161</v>
      </c>
      <c r="G8" s="261">
        <f>SUM('4'!G37,'4'!G51)</f>
        <v>1213</v>
      </c>
      <c r="H8" s="261">
        <f>SUM('4'!G38,'4'!G52)</f>
        <v>1255</v>
      </c>
      <c r="I8" s="261">
        <f>SUM('4'!G39,'4'!G53)</f>
        <v>2251</v>
      </c>
      <c r="J8" s="261">
        <f>SUM('4'!G41,'4'!G42,'4'!G55,'4'!G56)</f>
        <v>5147</v>
      </c>
      <c r="K8" s="261">
        <f>SUM('4'!G43,'4'!G57)</f>
        <v>2199</v>
      </c>
      <c r="L8" s="1043">
        <f>'4'!G50</f>
        <v>1029</v>
      </c>
      <c r="M8" s="1043">
        <v>860.89000000001397</v>
      </c>
      <c r="N8" s="1043">
        <f>'4'!G72</f>
        <v>17</v>
      </c>
      <c r="O8" s="1043">
        <f>'4'!$G$73</f>
        <v>1</v>
      </c>
      <c r="P8" s="1043">
        <f>'4'!$G$74</f>
        <v>11</v>
      </c>
      <c r="Q8" s="1043">
        <f>'4'!$G$74</f>
        <v>11</v>
      </c>
      <c r="R8" s="1043">
        <f>'4'!$G$76</f>
        <v>54</v>
      </c>
      <c r="S8" s="1043">
        <f>'4'!$G$77</f>
        <v>51</v>
      </c>
      <c r="T8" s="1043">
        <f>'4'!$G$78</f>
        <v>55</v>
      </c>
      <c r="U8" s="1043">
        <f>'4'!$G$79</f>
        <v>188</v>
      </c>
      <c r="V8" s="1034">
        <f>'4'!$G$80</f>
        <v>362</v>
      </c>
      <c r="W8" s="1034">
        <f>'4'!$G$81</f>
        <v>75</v>
      </c>
      <c r="X8" s="1043">
        <f>'4'!$G$82</f>
        <v>12</v>
      </c>
      <c r="Y8" s="1043">
        <f>'4'!$G$58</f>
        <v>218</v>
      </c>
      <c r="Z8" s="1043">
        <f>'4'!$G$83</f>
        <v>179</v>
      </c>
      <c r="AA8" s="1043">
        <f>'4'!G86</f>
        <v>243</v>
      </c>
      <c r="AB8" s="1043">
        <f>'4'!G87</f>
        <v>12</v>
      </c>
      <c r="AC8" s="1043">
        <f>'4'!G88</f>
        <v>30</v>
      </c>
      <c r="AD8" s="1043">
        <f>'4'!G89+'4'!G90</f>
        <v>7</v>
      </c>
      <c r="AE8" s="1043">
        <f>'4'!$G$62</f>
        <v>0</v>
      </c>
      <c r="AF8" s="1043">
        <f>'4'!$G$63</f>
        <v>4</v>
      </c>
      <c r="AG8" s="1043">
        <f>'4'!$G$64</f>
        <v>206</v>
      </c>
      <c r="AH8" s="1043">
        <f>'4'!$G$65</f>
        <v>202</v>
      </c>
      <c r="AI8" s="1043">
        <f>'4'!$G$66</f>
        <v>266</v>
      </c>
      <c r="AJ8" s="1043">
        <f>'4'!$G$67</f>
        <v>151</v>
      </c>
      <c r="AK8" s="1043">
        <f>'4'!$G$68</f>
        <v>0</v>
      </c>
      <c r="AL8" s="1043">
        <f>'4'!$G$69</f>
        <v>78</v>
      </c>
      <c r="AM8" s="1043">
        <f>'4'!$G$84</f>
        <v>816</v>
      </c>
      <c r="AN8" s="1043">
        <f>'4'!$G$15</f>
        <v>584</v>
      </c>
      <c r="AO8" s="1043">
        <f>'4'!$G$124</f>
        <v>189</v>
      </c>
      <c r="AP8" s="1043">
        <f>'4'!$G$125</f>
        <v>0</v>
      </c>
      <c r="AQ8" s="1043">
        <f>'4'!$G$126</f>
        <v>45</v>
      </c>
      <c r="AR8" s="1043">
        <f>'4'!$G$127</f>
        <v>0</v>
      </c>
      <c r="AS8" s="1043">
        <f>'4'!$G$128</f>
        <v>0</v>
      </c>
      <c r="AT8" s="1043">
        <f t="shared" si="0"/>
        <v>350</v>
      </c>
      <c r="AU8" s="1043">
        <f>SUM('4'!G140:G141)</f>
        <v>7.1299999999998818</v>
      </c>
      <c r="AV8" s="1043">
        <f>'4'!$G$137</f>
        <v>7.2099999999991269</v>
      </c>
      <c r="AW8" s="1043">
        <f>'4'!$G$138</f>
        <v>-0.40000000000145519</v>
      </c>
      <c r="AX8" s="1043">
        <f>'4'!$G$139</f>
        <v>0</v>
      </c>
      <c r="AY8" s="1040">
        <f t="shared" si="1"/>
        <v>6.8099999999976717</v>
      </c>
    </row>
    <row r="9" spans="1:53">
      <c r="A9" s="1042">
        <v>43956</v>
      </c>
      <c r="B9" s="261">
        <f>'5'!G7</f>
        <v>15754</v>
      </c>
      <c r="C9" s="261">
        <f>'5'!G8</f>
        <v>15811</v>
      </c>
      <c r="D9" s="261">
        <f>'5'!G15</f>
        <v>287</v>
      </c>
      <c r="E9" s="261">
        <f>'5'!G20</f>
        <v>113</v>
      </c>
      <c r="F9" s="261">
        <f>SUM('5'!G35,'5'!G49)</f>
        <v>2118</v>
      </c>
      <c r="G9" s="261">
        <f>SUM('5'!G37,'5'!G51)</f>
        <v>1190</v>
      </c>
      <c r="H9" s="261">
        <f>SUM('5'!G38,'5'!G52)</f>
        <v>1208</v>
      </c>
      <c r="I9" s="261">
        <f>SUM('5'!G39,'5'!G53)</f>
        <v>2239</v>
      </c>
      <c r="J9" s="261">
        <f>SUM('5'!G41,'5'!G42,'5'!G55,'5'!G56)</f>
        <v>4970</v>
      </c>
      <c r="K9" s="261">
        <f>SUM('5'!G43,'5'!G57)</f>
        <v>2244</v>
      </c>
      <c r="L9" s="1043">
        <f>'5'!G50</f>
        <v>990</v>
      </c>
      <c r="M9" s="1043">
        <v>693.10999999998603</v>
      </c>
      <c r="N9" s="1043">
        <f>'5'!G72</f>
        <v>15</v>
      </c>
      <c r="O9" s="1043">
        <f>'5'!$G$73</f>
        <v>1</v>
      </c>
      <c r="P9" s="1043">
        <f>'5'!$G$74</f>
        <v>22</v>
      </c>
      <c r="Q9" s="1054">
        <f>'5'!$G$75</f>
        <v>50</v>
      </c>
      <c r="R9" s="1043">
        <f>'5'!$G$76</f>
        <v>49</v>
      </c>
      <c r="S9" s="1034">
        <f>'5'!$G$77</f>
        <v>47</v>
      </c>
      <c r="T9" s="1053">
        <f>'5'!$G$78</f>
        <v>46</v>
      </c>
      <c r="U9" s="1053">
        <f>'5'!$G$79</f>
        <v>177</v>
      </c>
      <c r="V9" s="1046">
        <f>'5'!$G$80</f>
        <v>339</v>
      </c>
      <c r="W9" s="1053">
        <f>'5'!$G$81</f>
        <v>70</v>
      </c>
      <c r="X9" s="1043">
        <f>'5'!$G$82</f>
        <v>10</v>
      </c>
      <c r="Y9" s="1043">
        <f>'5'!$G$58</f>
        <v>43</v>
      </c>
      <c r="Z9" s="1043">
        <f>'5'!$G$83</f>
        <v>189</v>
      </c>
      <c r="AA9" s="1053">
        <f>'5'!G86</f>
        <v>198</v>
      </c>
      <c r="AB9" s="1043">
        <f>'5'!G87</f>
        <v>18</v>
      </c>
      <c r="AC9" s="1043">
        <f>'5'!G88</f>
        <v>23</v>
      </c>
      <c r="AD9" s="1043">
        <f>'5'!G89+'5'!G90</f>
        <v>6</v>
      </c>
      <c r="AE9" s="1043">
        <f>'5'!$G$62</f>
        <v>0</v>
      </c>
      <c r="AF9" s="1043">
        <f>'5'!$G$63</f>
        <v>4</v>
      </c>
      <c r="AG9" s="1043">
        <f>'5'!$G$64</f>
        <v>205</v>
      </c>
      <c r="AH9" s="1043">
        <f>'5'!$G$65</f>
        <v>200</v>
      </c>
      <c r="AI9" s="1043">
        <f>'5'!$G$66</f>
        <v>250</v>
      </c>
      <c r="AJ9" s="1043">
        <f>'5'!$G$67</f>
        <v>147</v>
      </c>
      <c r="AK9" s="1043">
        <f>'5'!$G$68</f>
        <v>0</v>
      </c>
      <c r="AL9" s="1043">
        <f>'5'!$G$69</f>
        <v>70</v>
      </c>
      <c r="AM9" s="1043">
        <f>'5'!$G$84</f>
        <v>782</v>
      </c>
      <c r="AN9" s="1053">
        <f>'5'!$G$15</f>
        <v>287</v>
      </c>
      <c r="AO9" s="1043">
        <f>'5'!$G$124</f>
        <v>202</v>
      </c>
      <c r="AP9" s="1043">
        <f>'5'!$G$125</f>
        <v>0</v>
      </c>
      <c r="AQ9" s="1043">
        <f>'5'!$G$126</f>
        <v>51</v>
      </c>
      <c r="AR9" s="1043">
        <f>'5'!$G$127</f>
        <v>0</v>
      </c>
      <c r="AS9" s="1043">
        <f>'5'!$G$128</f>
        <v>0</v>
      </c>
      <c r="AT9" s="1043">
        <f t="shared" si="0"/>
        <v>34</v>
      </c>
      <c r="AU9" s="1043">
        <f>SUM('5'!G140:G141)</f>
        <v>7.7400000000000091</v>
      </c>
      <c r="AV9" s="1043">
        <f>'5'!$G$137</f>
        <v>0</v>
      </c>
      <c r="AW9" s="1043">
        <f>'5'!$G$138</f>
        <v>0</v>
      </c>
      <c r="AX9" s="1043">
        <f>'5'!$G$139</f>
        <v>0</v>
      </c>
      <c r="AY9" s="1040">
        <f t="shared" si="1"/>
        <v>0</v>
      </c>
    </row>
    <row r="10" spans="1:53">
      <c r="A10" s="1042">
        <v>43957</v>
      </c>
      <c r="B10" s="261">
        <f>'6'!G7</f>
        <v>15577</v>
      </c>
      <c r="C10" s="261">
        <f>'6'!G8</f>
        <v>15655</v>
      </c>
      <c r="D10" s="261">
        <f>'6'!G15</f>
        <v>477</v>
      </c>
      <c r="E10" s="261">
        <f>'6'!G20</f>
        <v>56</v>
      </c>
      <c r="F10" s="261">
        <f>SUM('6'!G35,'6'!G49)</f>
        <v>2168</v>
      </c>
      <c r="G10" s="261">
        <f>SUM('6'!G37,'6'!G51)</f>
        <v>1189</v>
      </c>
      <c r="H10" s="261">
        <f>SUM('6'!G38,'6'!G52)</f>
        <v>1199</v>
      </c>
      <c r="I10" s="261">
        <f>SUM('6'!G39,'6'!G53)</f>
        <v>2160</v>
      </c>
      <c r="J10" s="261">
        <f>SUM('6'!G41,'6'!G42,'6'!G55,'6'!G56)</f>
        <v>4851</v>
      </c>
      <c r="K10" s="261">
        <f>SUM('6'!G43,'6'!G57)</f>
        <v>2297</v>
      </c>
      <c r="L10" s="1043">
        <f>'6'!G50</f>
        <v>848</v>
      </c>
      <c r="M10" s="1043">
        <v>613.85000000000582</v>
      </c>
      <c r="N10" s="1043">
        <f>'6'!G72</f>
        <v>31</v>
      </c>
      <c r="O10" s="1043">
        <f>'6'!$G$73</f>
        <v>1</v>
      </c>
      <c r="P10" s="1043">
        <f>'6'!$G$74</f>
        <v>15</v>
      </c>
      <c r="Q10" s="1043">
        <f>'6'!$G$75</f>
        <v>54</v>
      </c>
      <c r="R10" s="1043">
        <f>'6'!$G$76</f>
        <v>52</v>
      </c>
      <c r="S10" s="1043">
        <f>'6'!$G$77</f>
        <v>50</v>
      </c>
      <c r="T10" s="1034">
        <f>'6'!$G$78</f>
        <v>49</v>
      </c>
      <c r="U10" s="1034">
        <f>'6'!$G$79</f>
        <v>157</v>
      </c>
      <c r="V10" s="1034">
        <f>'6'!$G$80</f>
        <v>351</v>
      </c>
      <c r="W10" s="1034">
        <f>'6'!$G$81</f>
        <v>123</v>
      </c>
      <c r="X10" s="1034">
        <f>'6'!$G$82</f>
        <v>41</v>
      </c>
      <c r="Y10" s="1034">
        <f>'6'!$G$58</f>
        <v>123</v>
      </c>
      <c r="Z10" s="1034">
        <f>'6'!$G$83</f>
        <v>214</v>
      </c>
      <c r="AA10" s="1034">
        <f>'6'!G86</f>
        <v>29</v>
      </c>
      <c r="AB10" s="1034">
        <f>'6'!G87</f>
        <v>18</v>
      </c>
      <c r="AC10" s="1034">
        <f>'6'!G88</f>
        <v>23</v>
      </c>
      <c r="AD10" s="1034">
        <f>'6'!G89+'6'!G90</f>
        <v>6</v>
      </c>
      <c r="AE10" s="1043">
        <f>'6'!$G$62</f>
        <v>0</v>
      </c>
      <c r="AF10" s="1043">
        <f>'6'!$G$63</f>
        <v>4</v>
      </c>
      <c r="AG10" s="1043">
        <f>'6'!$G$64</f>
        <v>204</v>
      </c>
      <c r="AH10" s="1043">
        <f>'6'!$G$65</f>
        <v>175</v>
      </c>
      <c r="AI10" s="1043">
        <f>'6'!$G$66</f>
        <v>252</v>
      </c>
      <c r="AJ10" s="1043">
        <f>'6'!$G$67</f>
        <v>145</v>
      </c>
      <c r="AK10" s="1043">
        <f>'6'!$G$68</f>
        <v>0</v>
      </c>
      <c r="AL10" s="1043">
        <f>'6'!$G$69</f>
        <v>41</v>
      </c>
      <c r="AM10" s="1043">
        <f>'6'!$G$84</f>
        <v>830</v>
      </c>
      <c r="AN10" s="1043">
        <f>'6'!$G$15</f>
        <v>477</v>
      </c>
      <c r="AO10" s="1081">
        <f>'6'!$G$124</f>
        <v>206</v>
      </c>
      <c r="AP10" s="1043">
        <f>'6'!$G$125</f>
        <v>0</v>
      </c>
      <c r="AQ10" s="1043">
        <f>'6'!$G$126</f>
        <v>57</v>
      </c>
      <c r="AR10" s="1043">
        <f>'6'!$G$127</f>
        <v>0</v>
      </c>
      <c r="AS10" s="1043">
        <f>'6'!$G$128</f>
        <v>0</v>
      </c>
      <c r="AT10" s="1043">
        <f t="shared" si="0"/>
        <v>214</v>
      </c>
      <c r="AU10" s="1043">
        <f>SUM('6'!G140:G141)</f>
        <v>7.6600000000000819</v>
      </c>
      <c r="AV10" s="1043">
        <f>'6'!$G$137</f>
        <v>0</v>
      </c>
      <c r="AW10" s="1043">
        <f>'6'!$G$138</f>
        <v>0</v>
      </c>
      <c r="AX10" s="1043">
        <f>'6'!$G$139</f>
        <v>11.379999999990105</v>
      </c>
      <c r="AY10" s="1040">
        <f t="shared" si="1"/>
        <v>11.379999999990105</v>
      </c>
    </row>
    <row r="11" spans="1:53">
      <c r="A11" s="1042">
        <v>43958</v>
      </c>
      <c r="B11" s="261">
        <f>'7'!G7</f>
        <v>14931</v>
      </c>
      <c r="C11" s="261">
        <f>'7'!G8</f>
        <v>15022</v>
      </c>
      <c r="D11" s="261">
        <f>'7'!G15</f>
        <v>348</v>
      </c>
      <c r="E11" s="261">
        <f>'7'!G20</f>
        <v>56</v>
      </c>
      <c r="F11" s="261">
        <f>SUM('7'!G35,'7'!G49)</f>
        <v>2063</v>
      </c>
      <c r="G11" s="261">
        <f>SUM('7'!G37,'7'!G51)</f>
        <v>1225</v>
      </c>
      <c r="H11" s="261">
        <f>SUM('7'!G38,'7'!G52)</f>
        <v>1112</v>
      </c>
      <c r="I11" s="261">
        <f>SUM('7'!G39,'7'!G53)</f>
        <v>2122</v>
      </c>
      <c r="J11" s="261">
        <f>SUM('7'!G41,'7'!G42,'7'!G55,'7'!G56)</f>
        <v>4616</v>
      </c>
      <c r="K11" s="261">
        <f>SUM('7'!G43,'7'!G57)</f>
        <v>2190</v>
      </c>
      <c r="L11" s="1043">
        <f>'7'!G50</f>
        <v>857</v>
      </c>
      <c r="M11" s="1043">
        <v>538.95999999999185</v>
      </c>
      <c r="N11" s="1043">
        <f>'7'!G72</f>
        <v>2</v>
      </c>
      <c r="O11" s="1043">
        <f>'7'!$G$73</f>
        <v>1</v>
      </c>
      <c r="P11" s="1043">
        <f>'7'!$G$74</f>
        <v>12</v>
      </c>
      <c r="Q11" s="1043">
        <f>'7'!$G$75</f>
        <v>55</v>
      </c>
      <c r="R11" s="1043">
        <f>'7'!$G$76</f>
        <v>55</v>
      </c>
      <c r="S11" s="1043">
        <f>'7'!$G$77</f>
        <v>50</v>
      </c>
      <c r="T11" s="1034">
        <f>'7'!$G$78</f>
        <v>72</v>
      </c>
      <c r="U11" s="1034">
        <f>'7'!$G$79</f>
        <v>144</v>
      </c>
      <c r="V11" s="1034">
        <f>'7'!$G$80</f>
        <v>367</v>
      </c>
      <c r="W11" s="1034">
        <f>'7'!$G$81</f>
        <v>31</v>
      </c>
      <c r="X11" s="1034">
        <f>'7'!$G$82</f>
        <v>19</v>
      </c>
      <c r="Y11" s="1034">
        <f>'7'!$G$58</f>
        <v>0</v>
      </c>
      <c r="Z11" s="1046">
        <f>'7'!$G$83</f>
        <v>197</v>
      </c>
      <c r="AA11" s="1069">
        <f>'7'!G86</f>
        <v>32</v>
      </c>
      <c r="AB11" s="1034">
        <f>'7'!G87</f>
        <v>28</v>
      </c>
      <c r="AC11" s="1034">
        <f>'7'!G88</f>
        <v>24</v>
      </c>
      <c r="AD11" s="1034">
        <f>'7'!G89+'7'!G90</f>
        <v>7</v>
      </c>
      <c r="AE11" s="1043">
        <f>'7'!$G$62</f>
        <v>0</v>
      </c>
      <c r="AF11" s="1043">
        <f>'7'!$G$63</f>
        <v>4</v>
      </c>
      <c r="AG11" s="1043">
        <f>'7'!$G$64</f>
        <v>207</v>
      </c>
      <c r="AH11" s="1043">
        <f>'7'!$G$65</f>
        <v>170</v>
      </c>
      <c r="AI11" s="1043">
        <f>'7'!$G$66</f>
        <v>249</v>
      </c>
      <c r="AJ11" s="1043">
        <f>'7'!$G$67</f>
        <v>125</v>
      </c>
      <c r="AK11" s="1046">
        <f>'7'!$G$68</f>
        <v>0</v>
      </c>
      <c r="AL11" s="1043">
        <f>'7'!$G$69</f>
        <v>34</v>
      </c>
      <c r="AM11" s="1043">
        <f>'7'!$G$84</f>
        <v>846</v>
      </c>
      <c r="AN11" s="1043">
        <f>'7'!$G$15</f>
        <v>348</v>
      </c>
      <c r="AO11" s="1081">
        <f>'7'!$G$124</f>
        <v>204</v>
      </c>
      <c r="AP11" s="1043">
        <f>'7'!$G$125</f>
        <v>0</v>
      </c>
      <c r="AQ11" s="1043">
        <f>'7'!$G$126</f>
        <v>71</v>
      </c>
      <c r="AR11" s="1043">
        <f>'7'!$G$127</f>
        <v>0</v>
      </c>
      <c r="AS11" s="1043">
        <f>'7'!$G$128</f>
        <v>0</v>
      </c>
      <c r="AT11" s="1043">
        <f t="shared" si="0"/>
        <v>73</v>
      </c>
      <c r="AU11" s="1043">
        <f>SUM('7'!G140:G141)</f>
        <v>7.7699999999999818</v>
      </c>
      <c r="AV11" s="1043">
        <f>'7'!$G$137</f>
        <v>0</v>
      </c>
      <c r="AW11" s="1043">
        <f>'7'!$G$138</f>
        <v>0</v>
      </c>
      <c r="AX11" s="1043">
        <f>'7'!$G$139</f>
        <v>0</v>
      </c>
      <c r="AY11" s="1040">
        <f t="shared" si="1"/>
        <v>0</v>
      </c>
    </row>
    <row r="12" spans="1:53">
      <c r="A12" s="1042">
        <v>43959</v>
      </c>
      <c r="B12" s="261">
        <f>'8'!G7</f>
        <v>19453</v>
      </c>
      <c r="C12" s="261">
        <f>'8'!G8</f>
        <v>19564</v>
      </c>
      <c r="D12" s="261">
        <f>'8'!G15</f>
        <v>613.47999999998137</v>
      </c>
      <c r="E12" s="261">
        <f>'8'!G20</f>
        <v>115</v>
      </c>
      <c r="F12" s="261">
        <f>SUM('8'!G35,'8'!G49)</f>
        <v>2427.5999999999767</v>
      </c>
      <c r="G12" s="261">
        <f>SUM('8'!G37,'8'!G51)</f>
        <v>1346.8899999999994</v>
      </c>
      <c r="H12" s="261">
        <f>SUM('8'!G38,'8'!G52)</f>
        <v>1203.3399999999529</v>
      </c>
      <c r="I12" s="261">
        <f>SUM('8'!G39,'8'!G53)</f>
        <v>2445.820000000007</v>
      </c>
      <c r="J12" s="261">
        <f>SUM('8'!G41,'8'!G42,'8'!G55,'8'!G56)</f>
        <v>4895.3799999999901</v>
      </c>
      <c r="K12" s="261">
        <f>SUM('8'!G43,'8'!G57)</f>
        <v>2425.2700000000186</v>
      </c>
      <c r="L12" s="1043">
        <f>'8'!G50</f>
        <v>1386.3099999999977</v>
      </c>
      <c r="M12" s="1043">
        <v>599.72000000000116</v>
      </c>
      <c r="N12" s="1043">
        <f>'8'!G72</f>
        <v>15</v>
      </c>
      <c r="O12" s="1043">
        <f>'8'!$G$73</f>
        <v>1</v>
      </c>
      <c r="P12" s="1043">
        <f>'8'!$G$74</f>
        <v>11.699999999999818</v>
      </c>
      <c r="Q12" s="1043">
        <f>'8'!$G$75</f>
        <v>66.6299999999992</v>
      </c>
      <c r="R12" s="1043">
        <f>'8'!$G$76</f>
        <v>54.920000000000073</v>
      </c>
      <c r="S12" s="1043">
        <f>'8'!$G$77</f>
        <v>48</v>
      </c>
      <c r="T12" s="1034">
        <f>'8'!$G$78</f>
        <v>69</v>
      </c>
      <c r="U12" s="1034">
        <f>'8'!$G$79</f>
        <v>104</v>
      </c>
      <c r="V12" s="1034">
        <f>'8'!$G$80</f>
        <v>373.71999999997206</v>
      </c>
      <c r="W12" s="1034">
        <f>'8'!$G$81</f>
        <v>71.800000000046566</v>
      </c>
      <c r="X12" s="1034">
        <f>'8'!$G$82</f>
        <v>11.660000000003492</v>
      </c>
      <c r="Y12" s="1034">
        <f>'8'!$G$58</f>
        <v>205.12999999999738</v>
      </c>
      <c r="Z12" s="1034">
        <f>'8'!$G$83</f>
        <v>156</v>
      </c>
      <c r="AA12" s="1034">
        <f>'8'!G86</f>
        <v>28.71999999997206</v>
      </c>
      <c r="AB12" s="1034">
        <f>'8'!G87</f>
        <v>1.6999999999970896</v>
      </c>
      <c r="AC12" s="1034">
        <f>'8'!G88</f>
        <v>20.950000000011642</v>
      </c>
      <c r="AD12" s="1034">
        <f>'8'!G89+'8'!G90</f>
        <v>7.3000000000015461</v>
      </c>
      <c r="AE12" s="1043">
        <f>'8'!$G$62</f>
        <v>0</v>
      </c>
      <c r="AF12" s="1043">
        <f>'8'!$G$63</f>
        <v>3.5399999999999636</v>
      </c>
      <c r="AG12" s="1043">
        <f>'8'!$G$64</f>
        <v>207.58999999999651</v>
      </c>
      <c r="AH12" s="1043">
        <f>'8'!$G$65</f>
        <v>208.20000000001164</v>
      </c>
      <c r="AI12" s="1043">
        <f>'8'!$G$66</f>
        <v>277.48999999999796</v>
      </c>
      <c r="AJ12" s="1043">
        <f>'8'!$G$67</f>
        <v>166.26999999998952</v>
      </c>
      <c r="AK12" s="1043">
        <f>'8'!$G$68</f>
        <v>0</v>
      </c>
      <c r="AL12" s="1043">
        <f>'8'!$G$69</f>
        <v>141.39999999999418</v>
      </c>
      <c r="AM12" s="1043">
        <f>'8'!$G$84</f>
        <v>794</v>
      </c>
      <c r="AN12" s="1043">
        <f>'8'!$G$15</f>
        <v>613.47999999998137</v>
      </c>
      <c r="AO12" s="1043">
        <f>'8'!$G$124</f>
        <v>209.8399999999674</v>
      </c>
      <c r="AP12" s="1043">
        <f>'8'!$G$125</f>
        <v>0.39999999999417923</v>
      </c>
      <c r="AQ12" s="1043">
        <f>'8'!$G$126</f>
        <v>77.5</v>
      </c>
      <c r="AR12" s="1043">
        <f>'8'!$G$127</f>
        <v>0.2000000000007276</v>
      </c>
      <c r="AS12" s="1043">
        <f>'8'!$G$128</f>
        <v>0.6000000000003638</v>
      </c>
      <c r="AT12" s="1043">
        <f t="shared" si="0"/>
        <v>324.9400000000187</v>
      </c>
      <c r="AU12" s="1043">
        <f>SUM('8'!G140:G141)</f>
        <v>7.8700000000001182</v>
      </c>
      <c r="AV12" s="1043">
        <f>'8'!$G$137</f>
        <v>5.75</v>
      </c>
      <c r="AW12" s="1043">
        <f>'8'!$G$138</f>
        <v>0</v>
      </c>
      <c r="AX12" s="1043">
        <f>'8'!$G$139</f>
        <v>1.9400000000023283</v>
      </c>
      <c r="AY12" s="1040">
        <f t="shared" si="1"/>
        <v>7.6900000000023283</v>
      </c>
    </row>
    <row r="13" spans="1:53">
      <c r="A13" s="1042">
        <v>43960</v>
      </c>
      <c r="B13" s="261">
        <f>'9'!G7</f>
        <v>15329</v>
      </c>
      <c r="C13" s="261">
        <f>'9'!G8</f>
        <v>15397</v>
      </c>
      <c r="D13" s="261">
        <f>'9'!G15</f>
        <v>523.52000000001863</v>
      </c>
      <c r="E13" s="261">
        <f>'9'!G20</f>
        <v>95</v>
      </c>
      <c r="F13" s="261">
        <f>SUM('9'!G35,'9'!G49)</f>
        <v>2125.5300000000279</v>
      </c>
      <c r="G13" s="261">
        <f>SUM('9'!G37,'9'!G51)</f>
        <v>1183.9799999999959</v>
      </c>
      <c r="H13" s="261">
        <f>SUM('9'!G38,'9'!G52)</f>
        <v>1229.7299999999959</v>
      </c>
      <c r="I13" s="261">
        <f>SUM('9'!G39,'9'!G53)</f>
        <v>2303.179999999993</v>
      </c>
      <c r="J13" s="261">
        <f>SUM('9'!G41,'9'!G42,'9'!G55,'9'!G56)</f>
        <v>4766.7299999999959</v>
      </c>
      <c r="K13" s="261">
        <f>SUM('9'!G43,'9'!G57)</f>
        <v>2140.7299999999814</v>
      </c>
      <c r="L13" s="1043">
        <f>'9'!G50</f>
        <v>861.69000000000233</v>
      </c>
      <c r="M13" s="1043">
        <v>726.73999999999069</v>
      </c>
      <c r="N13" s="1043">
        <f>'9'!G72</f>
        <v>16</v>
      </c>
      <c r="O13" s="1043">
        <f>'9'!$G$73</f>
        <v>1</v>
      </c>
      <c r="P13" s="1043">
        <f>'9'!$G$74</f>
        <v>10.300000000000182</v>
      </c>
      <c r="Q13" s="1043">
        <f>'9'!$G$75</f>
        <v>51.3700000000008</v>
      </c>
      <c r="R13" s="1043">
        <f>'9'!$G$76</f>
        <v>55.079999999999927</v>
      </c>
      <c r="S13" s="1043">
        <f>'9'!$G$77</f>
        <v>48</v>
      </c>
      <c r="T13" s="1034">
        <f>'9'!$G$78</f>
        <v>66</v>
      </c>
      <c r="U13" s="1034">
        <f>'9'!$G$79</f>
        <v>106</v>
      </c>
      <c r="V13" s="1034">
        <f>'9'!$G$80</f>
        <v>389.28000000002794</v>
      </c>
      <c r="W13" s="1034">
        <f>'9'!$G$81</f>
        <v>76.199999999953434</v>
      </c>
      <c r="X13" s="1034">
        <f>'9'!$G$82</f>
        <v>33.339999999996508</v>
      </c>
      <c r="Y13" s="1034">
        <f>'9'!$G$58</f>
        <v>11.870000000002619</v>
      </c>
      <c r="Z13" s="1034">
        <f>'9'!$G$83</f>
        <v>232</v>
      </c>
      <c r="AA13" s="1034">
        <f>'9'!G86</f>
        <v>30.28000000002794</v>
      </c>
      <c r="AB13" s="1034">
        <f>'9'!G87</f>
        <v>10.30000000000291</v>
      </c>
      <c r="AC13" s="1034">
        <f>'9'!G88</f>
        <v>22.049999999988358</v>
      </c>
      <c r="AD13" s="1034">
        <f>'9'!G89+'9'!H90</f>
        <v>6.0999999999985448</v>
      </c>
      <c r="AE13" s="1043">
        <f>'9'!$G$62</f>
        <v>0</v>
      </c>
      <c r="AF13" s="1043">
        <f>'9'!$G$63</f>
        <v>3.4600000000000364</v>
      </c>
      <c r="AG13" s="1043">
        <f>'9'!$G$64</f>
        <v>195.41000000000349</v>
      </c>
      <c r="AH13" s="1053">
        <f>'9'!$G$65</f>
        <v>186.79999999998836</v>
      </c>
      <c r="AI13" s="1053">
        <f>'9'!$G$66</f>
        <v>253.51000000000204</v>
      </c>
      <c r="AJ13" s="1043">
        <f>'9'!$G$67</f>
        <v>170.73000000001048</v>
      </c>
      <c r="AK13" s="1043">
        <f>'9'!$G$68</f>
        <v>0</v>
      </c>
      <c r="AL13" s="1043">
        <f>'9'!$G$69</f>
        <v>112.60000000000582</v>
      </c>
      <c r="AM13" s="1043">
        <f>'9'!$G$84</f>
        <v>798</v>
      </c>
      <c r="AN13" s="1043">
        <f>'9'!$G$15</f>
        <v>523.52000000001863</v>
      </c>
      <c r="AO13" s="1043">
        <f>'9'!$G$124</f>
        <v>186.1600000000326</v>
      </c>
      <c r="AP13" s="1043">
        <f>'9'!$G$125</f>
        <v>0</v>
      </c>
      <c r="AQ13" s="1043">
        <f>'9'!$G$126</f>
        <v>62.5</v>
      </c>
      <c r="AR13" s="1043">
        <f>'9'!$G$127</f>
        <v>0</v>
      </c>
      <c r="AS13" s="1043">
        <f>'9'!$G$128</f>
        <v>0.3999999999996362</v>
      </c>
      <c r="AT13" s="1043">
        <f t="shared" si="0"/>
        <v>274.45999999998639</v>
      </c>
      <c r="AU13" s="1043">
        <f>SUM('9'!G140:G141)</f>
        <v>6.7400000000000091</v>
      </c>
      <c r="AV13" s="1043">
        <f>'9'!$G$137</f>
        <v>3.7400000000016007</v>
      </c>
      <c r="AW13" s="1043">
        <f>'9'!$G$138</f>
        <v>-0.33000000000174623</v>
      </c>
      <c r="AX13" s="1043">
        <f>'9'!$G$139</f>
        <v>3.6199999999953434</v>
      </c>
      <c r="AY13" s="1040">
        <f t="shared" si="1"/>
        <v>7.0299999999951979</v>
      </c>
    </row>
    <row r="14" spans="1:53">
      <c r="A14" s="1042">
        <v>43961</v>
      </c>
      <c r="B14" s="261">
        <f>'10'!G7</f>
        <v>15144</v>
      </c>
      <c r="C14" s="261">
        <f>'10'!G8</f>
        <v>15255</v>
      </c>
      <c r="D14" s="261">
        <f>'10'!G15</f>
        <v>243</v>
      </c>
      <c r="E14" s="261">
        <f>'10'!G20</f>
        <v>77</v>
      </c>
      <c r="F14" s="261">
        <f>SUM('10'!G35,'10'!G49)</f>
        <v>1851</v>
      </c>
      <c r="G14" s="261">
        <f>SUM('10'!G37,'10'!G51)</f>
        <v>1187</v>
      </c>
      <c r="H14" s="261">
        <f>SUM('10'!G38,'10'!G52)</f>
        <v>1067</v>
      </c>
      <c r="I14" s="261">
        <f>SUM('10'!G39,'10'!G53)</f>
        <v>2173</v>
      </c>
      <c r="J14" s="261">
        <f>SUM('10'!G41,'10'!G42,'10'!G55,'10'!G56)</f>
        <v>4860.890000000014</v>
      </c>
      <c r="K14" s="261">
        <f>SUM('10'!G43,'10'!G57)</f>
        <v>2128</v>
      </c>
      <c r="L14" s="1043">
        <f>'10'!G50</f>
        <v>939</v>
      </c>
      <c r="M14" s="1043">
        <v>558.20000000001164</v>
      </c>
      <c r="N14" s="1043">
        <f>'10'!G72</f>
        <v>17</v>
      </c>
      <c r="O14" s="1043">
        <f>'10'!$G$73</f>
        <v>1</v>
      </c>
      <c r="P14" s="1043">
        <f>'10'!$G$74</f>
        <v>12</v>
      </c>
      <c r="Q14" s="1043">
        <f>'10'!$G$75</f>
        <v>53</v>
      </c>
      <c r="R14" s="1043">
        <f>'10'!$G$76</f>
        <v>57</v>
      </c>
      <c r="S14" s="1043">
        <f>'10'!$G$77</f>
        <v>52</v>
      </c>
      <c r="T14" s="1034">
        <f>'10'!$G$78</f>
        <v>70</v>
      </c>
      <c r="U14" s="1034">
        <f>'10'!$G$79</f>
        <v>109</v>
      </c>
      <c r="V14" s="1047">
        <f>'10'!$G$80</f>
        <v>343</v>
      </c>
      <c r="W14" s="1047">
        <f>'10'!$G$81</f>
        <v>77</v>
      </c>
      <c r="X14" s="1034">
        <f>'10'!$G$82</f>
        <v>11</v>
      </c>
      <c r="Y14" s="1034">
        <f>'10'!$G$58</f>
        <v>49</v>
      </c>
      <c r="Z14" s="1034">
        <f>'10'!$G$83</f>
        <v>162</v>
      </c>
      <c r="AA14" s="1034">
        <f>'10'!G86</f>
        <v>93</v>
      </c>
      <c r="AB14" s="1034">
        <f>'10'!G87</f>
        <v>17</v>
      </c>
      <c r="AC14" s="1034">
        <f>'10'!G88</f>
        <v>119</v>
      </c>
      <c r="AD14" s="1034">
        <f>'10'!G87+'10'!H90</f>
        <v>17</v>
      </c>
      <c r="AE14" s="1043">
        <f>'10'!$G$62</f>
        <v>0</v>
      </c>
      <c r="AF14" s="1043">
        <f>'10'!$G$63</f>
        <v>4</v>
      </c>
      <c r="AG14" s="1043">
        <f>'10'!$G$64</f>
        <v>203</v>
      </c>
      <c r="AH14" s="1043">
        <f>'10'!$G$65</f>
        <v>134</v>
      </c>
      <c r="AI14" s="1043">
        <f>'10'!$G$66</f>
        <v>259</v>
      </c>
      <c r="AJ14" s="1043">
        <f>'10'!$G$67</f>
        <v>126</v>
      </c>
      <c r="AK14" s="1043">
        <f>'10'!$G$68</f>
        <v>0</v>
      </c>
      <c r="AL14" s="1043">
        <f>'10'!$G$69</f>
        <v>100</v>
      </c>
      <c r="AM14" s="1043">
        <f>'10'!$G$84</f>
        <v>636</v>
      </c>
      <c r="AN14" s="1043">
        <f>'10'!$G$15</f>
        <v>243</v>
      </c>
      <c r="AO14" s="1043">
        <f>'10'!$G$124</f>
        <v>200</v>
      </c>
      <c r="AP14" s="1043">
        <f>'10'!$G$125</f>
        <v>0</v>
      </c>
      <c r="AQ14" s="1043">
        <f>'10'!$G$126</f>
        <v>35</v>
      </c>
      <c r="AR14" s="1043">
        <f>'10'!$G$127</f>
        <v>0</v>
      </c>
      <c r="AS14" s="1043">
        <f>'10'!$G$128</f>
        <v>0</v>
      </c>
      <c r="AT14" s="1043">
        <f t="shared" si="0"/>
        <v>8</v>
      </c>
      <c r="AU14" s="1043">
        <f>SUM('10'!G140:G141)</f>
        <v>7.5799999999999272</v>
      </c>
      <c r="AV14" s="1043">
        <f>'10'!$G$137</f>
        <v>0</v>
      </c>
      <c r="AW14" s="1043">
        <f>'10'!$G$138</f>
        <v>0</v>
      </c>
      <c r="AX14" s="1043">
        <f>'10'!$G$139</f>
        <v>0.13000000000465661</v>
      </c>
      <c r="AY14" s="1040">
        <f t="shared" si="1"/>
        <v>0.13000000000465661</v>
      </c>
    </row>
    <row r="15" spans="1:53">
      <c r="A15" s="1042">
        <v>43962</v>
      </c>
      <c r="B15" s="261">
        <f>'11'!G7</f>
        <v>14482.59</v>
      </c>
      <c r="C15" s="261">
        <f>'11'!G8</f>
        <v>14613.82</v>
      </c>
      <c r="D15" s="261">
        <f>'11'!G15</f>
        <v>333.68999999994412</v>
      </c>
      <c r="E15" s="261">
        <f>'11'!G20</f>
        <v>75</v>
      </c>
      <c r="F15" s="261">
        <f>SUM('11'!G35,'11'!G49)</f>
        <v>1869.2299999999814</v>
      </c>
      <c r="G15" s="261">
        <f>SUM('11'!G37,'11'!G51)</f>
        <v>1191.5</v>
      </c>
      <c r="H15" s="261">
        <f>SUM('11'!G38,'11'!G52)</f>
        <v>998.36999999999534</v>
      </c>
      <c r="I15" s="261">
        <f>SUM('11'!G39,'11'!G53)</f>
        <v>2053.3999999999651</v>
      </c>
      <c r="J15" s="261">
        <f>SUM('11'!G41,'11'!G42,'11'!G55,'11'!G56)</f>
        <v>4824.339999999982</v>
      </c>
      <c r="K15" s="261">
        <f>SUM('11'!G43,'11'!G57)</f>
        <v>2093.1899999999441</v>
      </c>
      <c r="L15" s="1043">
        <f>'11'!G50</f>
        <v>771.95000000001164</v>
      </c>
      <c r="M15" s="1043">
        <v>528.52999999999884</v>
      </c>
      <c r="N15" s="1043">
        <f>'11'!G72</f>
        <v>14</v>
      </c>
      <c r="O15" s="1043">
        <f>'11'!$G$73</f>
        <v>1</v>
      </c>
      <c r="P15" s="1043">
        <f>'11'!$G$74</f>
        <v>11.75</v>
      </c>
      <c r="Q15" s="1043">
        <f>'11'!$G$75</f>
        <v>50.739999999999782</v>
      </c>
      <c r="R15" s="1043">
        <f>'11'!$G$76</f>
        <v>55.050000000000182</v>
      </c>
      <c r="S15" s="1043">
        <f>'11'!$G$77</f>
        <v>46</v>
      </c>
      <c r="T15" s="1034">
        <f>'11'!$G$78</f>
        <v>64</v>
      </c>
      <c r="U15" s="1034">
        <f>'11'!$G$79</f>
        <v>142</v>
      </c>
      <c r="V15" s="1034">
        <f>'11'!$G$80</f>
        <v>328.9199999999837</v>
      </c>
      <c r="W15" s="1034">
        <f>'11'!$G$81</f>
        <v>76</v>
      </c>
      <c r="X15" s="1034">
        <f>'11'!$G$82</f>
        <v>10</v>
      </c>
      <c r="Y15" s="1034">
        <f>'11'!$G$58</f>
        <v>0.25</v>
      </c>
      <c r="Z15" s="1034">
        <f>'11'!$G$83</f>
        <v>124</v>
      </c>
      <c r="AA15" s="1034">
        <f>'11'!G86</f>
        <v>31</v>
      </c>
      <c r="AB15" s="1034">
        <f>'11'!G87</f>
        <v>15</v>
      </c>
      <c r="AC15" s="1034">
        <f>'11'!G88</f>
        <v>22</v>
      </c>
      <c r="AD15" s="1034">
        <f>'11'!G87+'11'!H90</f>
        <v>15</v>
      </c>
      <c r="AE15" s="1043">
        <f>'11'!$G$62</f>
        <v>0</v>
      </c>
      <c r="AF15" s="1043">
        <f>'11'!$G$63</f>
        <v>3.8000000000001819</v>
      </c>
      <c r="AG15" s="1043">
        <f>'11'!$G$64</f>
        <v>207.76999999998952</v>
      </c>
      <c r="AH15" s="1043">
        <f>'11'!$G$65</f>
        <v>129.13000000000466</v>
      </c>
      <c r="AI15" s="1043">
        <f>'11'!$G$66</f>
        <v>244.79000000000087</v>
      </c>
      <c r="AJ15" s="1043">
        <f>'11'!$G$67</f>
        <v>117.95000000001164</v>
      </c>
      <c r="AK15" s="1043">
        <f>'11'!$G$68</f>
        <v>0</v>
      </c>
      <c r="AL15" s="1043">
        <f>'11'!$G$69</f>
        <v>39.610000000000582</v>
      </c>
      <c r="AM15" s="1043">
        <f>'11'!$G$84</f>
        <v>552</v>
      </c>
      <c r="AN15" s="1043">
        <f>'11'!$G$15</f>
        <v>333.68999999994412</v>
      </c>
      <c r="AO15" s="1043">
        <f>'11'!$G$124</f>
        <v>203</v>
      </c>
      <c r="AP15" s="1043">
        <f>'11'!$G$125</f>
        <v>0</v>
      </c>
      <c r="AQ15" s="1043">
        <f>'11'!$G$126</f>
        <v>60.799999999988358</v>
      </c>
      <c r="AR15" s="1043">
        <f>'11'!$G$127</f>
        <v>0</v>
      </c>
      <c r="AS15" s="1043">
        <f>'11'!$G$128</f>
        <v>0</v>
      </c>
      <c r="AT15" s="1043">
        <f t="shared" si="0"/>
        <v>69.889999999955762</v>
      </c>
      <c r="AU15" s="1043">
        <f>SUM('11'!G140:G141)</f>
        <v>7.6700000000000728</v>
      </c>
      <c r="AV15" s="1043">
        <f>'11'!$G$137</f>
        <v>0</v>
      </c>
      <c r="AW15" s="1043">
        <f>'11'!$G$138</f>
        <v>0.46300000000337604</v>
      </c>
      <c r="AX15" s="1043">
        <f>'11'!$G$139</f>
        <v>0</v>
      </c>
      <c r="AY15" s="1040">
        <f t="shared" si="1"/>
        <v>0.46300000000337604</v>
      </c>
    </row>
    <row r="16" spans="1:53">
      <c r="A16" s="1042">
        <v>43963</v>
      </c>
      <c r="B16" s="261">
        <f>'12'!G7</f>
        <v>15169.280000000002</v>
      </c>
      <c r="C16" s="261">
        <f>'12'!G8</f>
        <v>15259.89</v>
      </c>
      <c r="D16" s="261">
        <f>'12'!G15</f>
        <v>436.43000000016764</v>
      </c>
      <c r="E16" s="261">
        <f>'12'!G20</f>
        <v>52</v>
      </c>
      <c r="F16" s="261">
        <f>SUM('12'!G35,'12'!G49)</f>
        <v>1863.4400000000605</v>
      </c>
      <c r="G16" s="261">
        <f>SUM('12'!G37,'12'!G51)</f>
        <v>1184.3600000000006</v>
      </c>
      <c r="H16" s="261">
        <f>SUM('12'!G38,'12'!G52)</f>
        <v>1220.2700000000186</v>
      </c>
      <c r="I16" s="261">
        <f>SUM('12'!G39,'12'!G53)</f>
        <v>2176.7200000000303</v>
      </c>
      <c r="J16" s="261">
        <f>SUM('12'!G41,'12'!G42,'12'!G55,'12'!G56)</f>
        <v>5003.0000000000082</v>
      </c>
      <c r="K16" s="261">
        <f>SUM('12'!G43,'12'!G57)</f>
        <v>2094.1100000001024</v>
      </c>
      <c r="L16" s="1043">
        <f>'12'!G50</f>
        <v>814.39999999996508</v>
      </c>
      <c r="M16" s="1043">
        <v>549</v>
      </c>
      <c r="N16" s="1043">
        <f>'12'!G72</f>
        <v>9</v>
      </c>
      <c r="O16" s="1043">
        <f>'12'!$G$73</f>
        <v>1</v>
      </c>
      <c r="P16" s="1043">
        <f>'12'!$G$74</f>
        <v>9.9800000000000182</v>
      </c>
      <c r="Q16" s="1043">
        <f>'12'!$G$75</f>
        <v>50.729999999999563</v>
      </c>
      <c r="R16" s="1043">
        <f>'12'!$G$76</f>
        <v>51.409999999999854</v>
      </c>
      <c r="S16" s="1043">
        <f>'12'!$G$77</f>
        <v>49</v>
      </c>
      <c r="T16" s="1034">
        <f>'12'!$G$78</f>
        <v>65</v>
      </c>
      <c r="U16" s="1034">
        <f>'12'!$G$79</f>
        <v>112</v>
      </c>
      <c r="V16" s="1034">
        <f>'12'!$G$80</f>
        <v>315.11999999999534</v>
      </c>
      <c r="W16" s="1034">
        <f>'12'!$G$81</f>
        <v>74.959999999962747</v>
      </c>
      <c r="X16" s="1034">
        <f>'12'!$G$82</f>
        <v>37.520000000004075</v>
      </c>
      <c r="Y16" s="1034">
        <f>'12'!$G$58</f>
        <v>97.709999999999127</v>
      </c>
      <c r="Z16" s="1034">
        <f>'12'!$G$83</f>
        <v>222</v>
      </c>
      <c r="AA16" s="1034">
        <f>'12'!G86</f>
        <v>30.840000000025611</v>
      </c>
      <c r="AB16" s="1034">
        <f>'12'!G87</f>
        <v>11</v>
      </c>
      <c r="AC16" s="1034">
        <f>'12'!G88</f>
        <v>81.910000000003492</v>
      </c>
      <c r="AD16" s="1034">
        <f>'12'!G87+'12'!H90</f>
        <v>11.5</v>
      </c>
      <c r="AE16" s="1043">
        <f>'12'!$G$62</f>
        <v>0</v>
      </c>
      <c r="AF16" s="1043">
        <f>'12'!$G$63</f>
        <v>3.7799999999997453</v>
      </c>
      <c r="AG16" s="1043">
        <f>'12'!$G$64</f>
        <v>221.5800000000163</v>
      </c>
      <c r="AH16" s="1043">
        <f>'12'!$G$65</f>
        <v>176.35000000000582</v>
      </c>
      <c r="AI16" s="1043">
        <f>'12'!$G$66</f>
        <v>247.69000000000233</v>
      </c>
      <c r="AJ16" s="1043">
        <f>'12'!$G$67</f>
        <v>118.59999999997672</v>
      </c>
      <c r="AK16" s="1043">
        <f>'12'!$G$68</f>
        <v>0</v>
      </c>
      <c r="AL16" s="1043">
        <f>'12'!$G$69</f>
        <v>43.210000000006403</v>
      </c>
      <c r="AM16" s="1043">
        <f>'12'!$G$84</f>
        <v>552</v>
      </c>
      <c r="AN16" s="1043">
        <f>'12'!$G$15</f>
        <v>436.43000000016764</v>
      </c>
      <c r="AO16" s="1081">
        <f>'12'!$G$124</f>
        <v>200.90000000002328</v>
      </c>
      <c r="AP16" s="1043">
        <f>'12'!$G$125</f>
        <v>-0.39999999999417923</v>
      </c>
      <c r="AQ16" s="1070">
        <f>'12'!$G$126</f>
        <v>51.660000000003492</v>
      </c>
      <c r="AR16" s="1043">
        <f>'12'!$G$127</f>
        <v>0</v>
      </c>
      <c r="AS16" s="1043">
        <f>'12'!$G$128</f>
        <v>0</v>
      </c>
      <c r="AT16" s="1043">
        <f t="shared" si="0"/>
        <v>184.27000000013504</v>
      </c>
      <c r="AU16" s="1043">
        <f>SUM('12'!G140:G141)</f>
        <v>7.5199999999999818</v>
      </c>
      <c r="AV16" s="1043">
        <f>'12'!$G$137</f>
        <v>0</v>
      </c>
      <c r="AW16" s="1043">
        <f>'12'!$G$138</f>
        <v>-3.0000000006111804E-3</v>
      </c>
      <c r="AX16" s="1043">
        <f>'12'!$G$139</f>
        <v>10.05000000000291</v>
      </c>
      <c r="AY16" s="1040">
        <f t="shared" si="1"/>
        <v>10.047000000002299</v>
      </c>
      <c r="BA16" s="1048">
        <f>AO16-AQ16</f>
        <v>149.24000000001979</v>
      </c>
    </row>
    <row r="17" spans="1:53">
      <c r="A17" s="1042">
        <v>43964</v>
      </c>
      <c r="B17" s="261">
        <f>'13'!G7</f>
        <v>14565.96</v>
      </c>
      <c r="C17" s="261">
        <f>'13'!G8</f>
        <v>14671.020000000004</v>
      </c>
      <c r="D17" s="261">
        <f>'13'!G15</f>
        <v>650.87999999988824</v>
      </c>
      <c r="E17" s="261">
        <f>'13'!G20</f>
        <v>77</v>
      </c>
      <c r="F17" s="261">
        <f>SUM('13'!G35,'13'!G49)</f>
        <v>1794.5599999999395</v>
      </c>
      <c r="G17" s="261">
        <f>SUM('13'!G37,'13'!G51)</f>
        <v>1166.1399999999994</v>
      </c>
      <c r="H17" s="261">
        <f>SUM('13'!G38,'13'!G52)</f>
        <v>1148.2199999999721</v>
      </c>
      <c r="I17" s="261">
        <f>SUM('13'!G39,'13'!G53)</f>
        <v>2066.6200000000536</v>
      </c>
      <c r="J17" s="261">
        <f>SUM('13'!G41,'13'!G42,'13'!G55,'13'!G56)</f>
        <v>4621.0999999999631</v>
      </c>
      <c r="K17" s="261">
        <f>SUM('13'!G43,'13'!G57)</f>
        <v>2011.33</v>
      </c>
      <c r="L17" s="1043">
        <f>'13'!G50</f>
        <v>820.80000000004657</v>
      </c>
      <c r="M17" s="1043">
        <v>592</v>
      </c>
      <c r="N17" s="1043">
        <f>'13'!G72</f>
        <v>11</v>
      </c>
      <c r="O17" s="1043">
        <f>'13'!$G$73</f>
        <v>1</v>
      </c>
      <c r="P17" s="1043">
        <f>'13'!$G$74</f>
        <v>8.8099999999999454</v>
      </c>
      <c r="Q17" s="1043">
        <f>'13'!$G$75</f>
        <v>51.159999999999854</v>
      </c>
      <c r="R17" s="1043">
        <f>'13'!$G$76</f>
        <v>51.119999999999891</v>
      </c>
      <c r="S17" s="1043">
        <f>'13'!$G$77</f>
        <v>38</v>
      </c>
      <c r="T17" s="1034">
        <f>'13'!$G$78</f>
        <v>76</v>
      </c>
      <c r="U17" s="1034">
        <f>'13'!$G$79</f>
        <v>120</v>
      </c>
      <c r="V17" s="1034">
        <f>'13'!$G$80</f>
        <v>319.96000000002095</v>
      </c>
      <c r="W17" s="1034">
        <f>'13'!$G$81</f>
        <v>70.040000000037253</v>
      </c>
      <c r="X17" s="1034">
        <f>'13'!$G$82</f>
        <v>10.479999999995925</v>
      </c>
      <c r="Y17" s="1034">
        <f>'13'!$G$58</f>
        <v>248.16000000000349</v>
      </c>
      <c r="Z17" s="1034">
        <f>'13'!$G$83</f>
        <v>169</v>
      </c>
      <c r="AA17" s="1034">
        <f>'13'!G86</f>
        <v>71.159999999974389</v>
      </c>
      <c r="AB17" s="1034">
        <f>'13'!G87</f>
        <v>10</v>
      </c>
      <c r="AC17" s="1034">
        <f>'13'!G88</f>
        <v>20.720000000001164</v>
      </c>
      <c r="AD17" s="1034">
        <f>'13'!G87+'13'!H90</f>
        <v>10</v>
      </c>
      <c r="AE17" s="1043">
        <f>'13'!$G$62</f>
        <v>0.18000000000029104</v>
      </c>
      <c r="AF17" s="1043">
        <f>'13'!$G$63</f>
        <v>3.7800000000002001</v>
      </c>
      <c r="AG17" s="1043">
        <f>'13'!$G$64</f>
        <v>205.94000000000233</v>
      </c>
      <c r="AH17" s="1043">
        <f>'13'!$G$65</f>
        <v>150.03999999997905</v>
      </c>
      <c r="AI17" s="1043">
        <f>'13'!$G$66</f>
        <v>244.44999999999709</v>
      </c>
      <c r="AJ17" s="1043">
        <f>'13'!$G$67</f>
        <v>125.05999999999767</v>
      </c>
      <c r="AK17" s="1043">
        <f>'13'!$G$68</f>
        <v>0</v>
      </c>
      <c r="AL17" s="1043">
        <f>'13'!$G$69</f>
        <v>43.44999999999709</v>
      </c>
      <c r="AM17" s="1043">
        <f>'13'!$G$84</f>
        <v>551</v>
      </c>
      <c r="AN17" s="1043">
        <f>'13'!$G$15</f>
        <v>650.87999999988824</v>
      </c>
      <c r="AO17" s="1081">
        <f>'13'!$G$124</f>
        <v>204.88000000000466</v>
      </c>
      <c r="AP17" s="1043">
        <f>'13'!$G$125</f>
        <v>0</v>
      </c>
      <c r="AQ17" s="1043">
        <f>'13'!$G$126</f>
        <v>52.630000000004657</v>
      </c>
      <c r="AR17" s="1043">
        <f>'13'!$G$127</f>
        <v>-0.2000000000007276</v>
      </c>
      <c r="AS17" s="1043">
        <f>'13'!$G$128</f>
        <v>0</v>
      </c>
      <c r="AT17" s="1043">
        <f t="shared" si="0"/>
        <v>393.56999999987966</v>
      </c>
      <c r="AU17" s="1043">
        <f>SUM('13'!G140:G141)</f>
        <v>7.5599999999999454</v>
      </c>
      <c r="AV17" s="1043">
        <f>'13'!$G$137</f>
        <v>7.9199999999982538</v>
      </c>
      <c r="AW17" s="1043">
        <f>'13'!$G$138</f>
        <v>0</v>
      </c>
      <c r="AX17" s="1043">
        <f>'13'!$G$139</f>
        <v>0</v>
      </c>
      <c r="AY17" s="1040">
        <f t="shared" si="1"/>
        <v>7.9199999999982538</v>
      </c>
      <c r="BA17" s="1048">
        <f t="shared" ref="BA17:BA34" si="2">AO17-AT17</f>
        <v>-188.689999999875</v>
      </c>
    </row>
    <row r="18" spans="1:53">
      <c r="A18" s="1042">
        <v>43965</v>
      </c>
      <c r="B18" s="261">
        <f>'14'!G7</f>
        <v>14303.68</v>
      </c>
      <c r="C18" s="261">
        <f>'14'!G8</f>
        <v>14430.549999999996</v>
      </c>
      <c r="D18" s="261">
        <f>'14'!G15</f>
        <v>292.58000000007451</v>
      </c>
      <c r="E18" s="261">
        <f>'14'!G20</f>
        <v>77</v>
      </c>
      <c r="F18" s="261">
        <f>SUM('14'!G35,'14'!G49)</f>
        <v>1788.7199999999721</v>
      </c>
      <c r="G18" s="261">
        <f>SUM('14'!G37,'14'!G51)</f>
        <v>1194.9100000000035</v>
      </c>
      <c r="H18" s="261">
        <f>SUM('14'!G38,'14'!G52)</f>
        <v>1089.1100000000151</v>
      </c>
      <c r="I18" s="261">
        <f>SUM('14'!G39,'14'!G53)</f>
        <v>2207.4399999999441</v>
      </c>
      <c r="J18" s="261">
        <f>SUM('14'!G41,'14'!G42,'14'!G55,'14'!G56)</f>
        <v>4497.8899999999994</v>
      </c>
      <c r="K18" s="261">
        <f>SUM('14'!G43,'14'!G57)</f>
        <v>2007.8999999999069</v>
      </c>
      <c r="L18" s="1043">
        <f>'14'!G50</f>
        <v>785.8399999999674</v>
      </c>
      <c r="M18" s="1043">
        <v>573</v>
      </c>
      <c r="N18" s="1043">
        <f>'14'!G72</f>
        <v>10</v>
      </c>
      <c r="O18" s="1043">
        <f>'14'!$G$73</f>
        <v>1</v>
      </c>
      <c r="P18" s="1043">
        <f>'14'!$G$74</f>
        <v>8.6199999999998909</v>
      </c>
      <c r="Q18" s="1043">
        <f>'14'!$G$75</f>
        <v>50.960000000000946</v>
      </c>
      <c r="R18" s="1043">
        <f>'14'!$G$76</f>
        <v>53.989999999999782</v>
      </c>
      <c r="S18" s="1043">
        <f>'14'!$G$77</f>
        <v>23</v>
      </c>
      <c r="T18" s="1034">
        <f>'14'!$G$78</f>
        <v>146</v>
      </c>
      <c r="U18" s="1034">
        <f>'14'!$G$79</f>
        <v>122</v>
      </c>
      <c r="V18" s="1034">
        <f>'14'!$G$80</f>
        <v>353.32000000000698</v>
      </c>
      <c r="W18" s="1034">
        <f>'14'!$G$81</f>
        <v>80.839999999967404</v>
      </c>
      <c r="X18" s="1034">
        <f>'14'!$G$82</f>
        <v>12.05000000000291</v>
      </c>
      <c r="Y18" s="1034">
        <f>'14'!$G$58</f>
        <v>0.14999999999417923</v>
      </c>
      <c r="Z18" s="1034">
        <f>'14'!$G$83</f>
        <v>176</v>
      </c>
      <c r="AA18" s="1034">
        <f>'14'!G86</f>
        <v>23.400000000023283</v>
      </c>
      <c r="AB18" s="1034">
        <f>'14'!G87</f>
        <v>7.8000000000029104</v>
      </c>
      <c r="AC18" s="1034">
        <f>'14'!G88</f>
        <v>51.369999999995343</v>
      </c>
      <c r="AD18" s="1034">
        <f>'14'!G87+'14'!H90</f>
        <v>7.8000000000029104</v>
      </c>
      <c r="AE18" s="1043">
        <f>'14'!$G$62</f>
        <v>0</v>
      </c>
      <c r="AF18" s="1043">
        <f>'14'!$G$63</f>
        <v>3.7899999999999636</v>
      </c>
      <c r="AG18" s="1043">
        <f>'14'!$G$64</f>
        <v>206.75999999998021</v>
      </c>
      <c r="AH18" s="1043">
        <f>'14'!$G$65</f>
        <v>165.65000000002328</v>
      </c>
      <c r="AI18" s="1043">
        <f>'14'!$G$66</f>
        <v>252.61000000000058</v>
      </c>
      <c r="AJ18" s="1043">
        <f>'14'!$G$67</f>
        <v>213.98000000001048</v>
      </c>
      <c r="AK18" s="1043">
        <f>'14'!$G$68</f>
        <v>0</v>
      </c>
      <c r="AL18" s="1043">
        <f>'14'!$G$69</f>
        <v>42.80000000000291</v>
      </c>
      <c r="AM18" s="1043">
        <f>'14'!$G$84</f>
        <v>562</v>
      </c>
      <c r="AN18" s="1043">
        <f>'14'!$G$15</f>
        <v>292.58000000007451</v>
      </c>
      <c r="AO18" s="1043">
        <f>'14'!$G$124</f>
        <v>201.30999999993946</v>
      </c>
      <c r="AP18" s="1043">
        <f>'14'!$G$125</f>
        <v>0</v>
      </c>
      <c r="AQ18" s="1043">
        <f>'14'!$G$126</f>
        <v>48.910000000003492</v>
      </c>
      <c r="AR18" s="1043">
        <f>'14'!$G$127</f>
        <v>0</v>
      </c>
      <c r="AS18" s="1043">
        <f>'14'!$G$128</f>
        <v>0</v>
      </c>
      <c r="AT18" s="1043">
        <f t="shared" si="0"/>
        <v>42.360000000131549</v>
      </c>
      <c r="AU18" s="1043">
        <f>SUM('14'!G140:G141)</f>
        <v>7.5800000000001546</v>
      </c>
      <c r="AV18" s="1043">
        <f>'14'!$G$137</f>
        <v>0</v>
      </c>
      <c r="AW18" s="1043">
        <f>'14'!$G$138</f>
        <v>0</v>
      </c>
      <c r="AX18" s="1043">
        <f>'14'!$G$139</f>
        <v>0</v>
      </c>
      <c r="AY18" s="1040">
        <f t="shared" si="1"/>
        <v>0</v>
      </c>
      <c r="BA18" s="1048">
        <f>AO18-AT18</f>
        <v>158.94999999980791</v>
      </c>
    </row>
    <row r="19" spans="1:53">
      <c r="A19" s="1042">
        <v>43966</v>
      </c>
      <c r="B19" s="261">
        <f>'15'!G7</f>
        <v>17032.489999999998</v>
      </c>
      <c r="C19" s="261">
        <f>'15'!G8</f>
        <v>17116.72</v>
      </c>
      <c r="D19" s="1462">
        <f>'15'!G15</f>
        <v>437.41999999992549</v>
      </c>
      <c r="E19" s="261">
        <f>'15'!G20</f>
        <v>116</v>
      </c>
      <c r="F19" s="1462">
        <f>SUM('15'!G35,'15'!G49)</f>
        <v>2006.9200000000419</v>
      </c>
      <c r="G19" s="1462">
        <f>SUM('15'!G37,'15'!G51)</f>
        <v>1297.0899999999965</v>
      </c>
      <c r="H19" s="1462">
        <f>SUM('15'!G38,'15'!G52)</f>
        <v>1315.9600000000501</v>
      </c>
      <c r="I19" s="1462">
        <f>SUM('15'!G39,'15'!G53)</f>
        <v>2647.820000000007</v>
      </c>
      <c r="J19" s="1462">
        <f>SUM('15'!G41,'15'!G42,'15'!G55,'15'!G56)</f>
        <v>5855.1400000000194</v>
      </c>
      <c r="K19" s="261">
        <f>SUM('15'!G43,'15'!G57)</f>
        <v>2074.8000000000466</v>
      </c>
      <c r="L19" s="1463">
        <f>'15'!G50</f>
        <v>895.01000000000931</v>
      </c>
      <c r="M19" s="1043">
        <v>595</v>
      </c>
      <c r="N19" s="1043">
        <f>'15'!G72</f>
        <v>10</v>
      </c>
      <c r="O19" s="1043">
        <f>'15'!$G$73</f>
        <v>1</v>
      </c>
      <c r="P19" s="1043">
        <f>'15'!$G$74</f>
        <v>6.8400000000001455</v>
      </c>
      <c r="Q19" s="1043">
        <f>'15'!$G$75</f>
        <v>52.409999999999854</v>
      </c>
      <c r="R19" s="1043">
        <f>'15'!$G$76</f>
        <v>57.430000000000291</v>
      </c>
      <c r="S19" s="1043">
        <f>'15'!$G$77</f>
        <v>25</v>
      </c>
      <c r="T19" s="1034">
        <f>'15'!$G$78</f>
        <v>144</v>
      </c>
      <c r="U19" s="1034">
        <f>'15'!$G$79</f>
        <v>125</v>
      </c>
      <c r="V19" s="1034">
        <f>'15'!$G$80</f>
        <v>373.67999999999302</v>
      </c>
      <c r="W19" s="1034">
        <f>'15'!$G$81</f>
        <v>75.160000000032596</v>
      </c>
      <c r="X19" s="1034">
        <f>'15'!$G$82</f>
        <v>37.94999999999709</v>
      </c>
      <c r="Y19" s="1034">
        <f>'15'!$G$58</f>
        <v>36.730000000003201</v>
      </c>
      <c r="Z19" s="1034">
        <f>'15'!$G$83</f>
        <v>252</v>
      </c>
      <c r="AA19" s="1034">
        <f>'15'!G86</f>
        <v>80.599999999976717</v>
      </c>
      <c r="AB19" s="1034">
        <f>'15'!G87</f>
        <v>7.1999999999970896</v>
      </c>
      <c r="AC19" s="1034">
        <f>'15'!G88</f>
        <v>4</v>
      </c>
      <c r="AD19" s="1034">
        <f>'15'!G87+'15'!H90</f>
        <v>7.1999999999970896</v>
      </c>
      <c r="AE19" s="1043">
        <f>'15'!$G$62</f>
        <v>0.18000000000029104</v>
      </c>
      <c r="AF19" s="1043">
        <f>'15'!$G$63</f>
        <v>2.8499999999999091</v>
      </c>
      <c r="AG19" s="1043">
        <f>'15'!$G$64</f>
        <v>201.95000000001164</v>
      </c>
      <c r="AH19" s="1043">
        <f>'15'!$G$65</f>
        <v>270.82999999998719</v>
      </c>
      <c r="AI19" s="1043">
        <f>'15'!$G$66</f>
        <v>271.45999999999913</v>
      </c>
      <c r="AJ19" s="1043">
        <f>'15'!$G$67</f>
        <v>339.41000000000349</v>
      </c>
      <c r="AK19" s="1043">
        <f>'15'!$G$68</f>
        <v>0</v>
      </c>
      <c r="AL19" s="1043">
        <f>'15'!$G$69</f>
        <v>89.929999999993015</v>
      </c>
      <c r="AM19" s="1043">
        <f>'15'!$G$84</f>
        <v>599</v>
      </c>
      <c r="AN19" s="1043">
        <f>'15'!$G$15</f>
        <v>437.41999999992549</v>
      </c>
      <c r="AO19" s="1043">
        <f>'15'!$G$124</f>
        <v>200.9100000000326</v>
      </c>
      <c r="AP19" s="1043">
        <f>'15'!$G$125</f>
        <v>0.39999999999417923</v>
      </c>
      <c r="AQ19" s="1043">
        <f>'15'!$G$126</f>
        <v>45</v>
      </c>
      <c r="AR19" s="1043">
        <f>'15'!$G$127</f>
        <v>0</v>
      </c>
      <c r="AS19" s="1043">
        <f>'15'!$G$128</f>
        <v>0</v>
      </c>
      <c r="AT19" s="1043">
        <f t="shared" si="0"/>
        <v>191.10999999989872</v>
      </c>
      <c r="AU19" s="1043">
        <f>SUM('15'!G140:G141)</f>
        <v>7.6199999999998909</v>
      </c>
      <c r="AV19" s="1043">
        <f>'15'!$G$137</f>
        <v>0</v>
      </c>
      <c r="AW19" s="1043">
        <f>'15'!$G$138</f>
        <v>0</v>
      </c>
      <c r="AX19" s="1043">
        <f>'15'!$G$139</f>
        <v>9.5299999999988358</v>
      </c>
      <c r="AY19" s="1040">
        <f t="shared" si="1"/>
        <v>9.5299999999988358</v>
      </c>
      <c r="BA19" s="1048">
        <f t="shared" si="2"/>
        <v>9.8000000001338776</v>
      </c>
    </row>
    <row r="20" spans="1:53">
      <c r="A20" s="1042">
        <v>43967</v>
      </c>
      <c r="B20" s="261">
        <f>'16'!G7</f>
        <v>15022</v>
      </c>
      <c r="C20" s="261">
        <f>'16'!G8</f>
        <v>15155</v>
      </c>
      <c r="D20" s="261">
        <f>'16'!G15</f>
        <v>317</v>
      </c>
      <c r="E20" s="261">
        <f>'16'!G20</f>
        <v>117</v>
      </c>
      <c r="F20" s="261">
        <f>SUM('16'!G35,'16'!G49)</f>
        <v>1926.1300000000047</v>
      </c>
      <c r="G20" s="261">
        <f>SUM('16'!G37,'16'!G51)</f>
        <v>1239</v>
      </c>
      <c r="H20" s="261">
        <f>SUM('16'!G38,'16'!G52)</f>
        <v>1097</v>
      </c>
      <c r="I20" s="261">
        <f>SUM('16'!G39,'16'!G53)</f>
        <v>2608</v>
      </c>
      <c r="J20" s="261">
        <f>SUM('16'!G41,'16'!G42,'16'!G55,'16'!G56)</f>
        <v>4448</v>
      </c>
      <c r="K20" s="261">
        <f>SUM('16'!G43,'16'!G57)</f>
        <v>2126</v>
      </c>
      <c r="L20" s="1043">
        <f>'16'!G50</f>
        <v>821</v>
      </c>
      <c r="M20" s="1043">
        <v>668.82000000000698</v>
      </c>
      <c r="N20" s="1043">
        <f>'16'!G72</f>
        <v>7</v>
      </c>
      <c r="O20" s="1043">
        <f>'16'!$G$73</f>
        <v>0</v>
      </c>
      <c r="P20" s="1043">
        <f>'16'!$G$74</f>
        <v>9</v>
      </c>
      <c r="Q20" s="1043">
        <f>'16'!$G$75</f>
        <v>54</v>
      </c>
      <c r="R20" s="1043">
        <f>'16'!$G$76</f>
        <v>56</v>
      </c>
      <c r="S20" s="1043">
        <f>'16'!$G$77</f>
        <v>29</v>
      </c>
      <c r="T20" s="1034">
        <f>'16'!$G$78</f>
        <v>118</v>
      </c>
      <c r="U20" s="1034">
        <f>'16'!$G$79</f>
        <v>120</v>
      </c>
      <c r="V20" s="1034">
        <f>'16'!$G$80</f>
        <v>333</v>
      </c>
      <c r="W20" s="1034">
        <f>'16'!$G$81</f>
        <v>82</v>
      </c>
      <c r="X20" s="1034">
        <f>'16'!$G$82</f>
        <v>10</v>
      </c>
      <c r="Y20" s="1034">
        <f>'16'!$G$58</f>
        <v>0</v>
      </c>
      <c r="Z20" s="1034">
        <f>'16'!$G$83</f>
        <v>116</v>
      </c>
      <c r="AA20" s="1034">
        <f>'16'!G86</f>
        <v>28</v>
      </c>
      <c r="AB20" s="1034">
        <f>'16'!G87</f>
        <v>4</v>
      </c>
      <c r="AC20" s="1034">
        <f>'16'!G88</f>
        <v>9</v>
      </c>
      <c r="AD20" s="1034">
        <f>'16'!G87+'16'!H90</f>
        <v>4</v>
      </c>
      <c r="AE20" s="1043">
        <f>'16'!$G$62</f>
        <v>0</v>
      </c>
      <c r="AF20" s="1043">
        <f>'16'!$G$63</f>
        <v>4</v>
      </c>
      <c r="AG20" s="1043">
        <f>'16'!$G$64</f>
        <v>201</v>
      </c>
      <c r="AH20" s="1043">
        <f>'16'!$G$65</f>
        <v>295</v>
      </c>
      <c r="AI20" s="1043">
        <f>'16'!$G$66</f>
        <v>260</v>
      </c>
      <c r="AJ20" s="1043">
        <f>'16'!$G$67</f>
        <v>332</v>
      </c>
      <c r="AK20" s="1043">
        <f>'16'!$G$68</f>
        <v>0</v>
      </c>
      <c r="AL20" s="1043">
        <f>'16'!$G$69</f>
        <v>95</v>
      </c>
      <c r="AM20" s="1043">
        <f>'16'!$G$84</f>
        <v>511</v>
      </c>
      <c r="AN20" s="1043">
        <f>'16'!$G$15</f>
        <v>317</v>
      </c>
      <c r="AO20" s="1081">
        <f>'16'!$G$124</f>
        <v>209</v>
      </c>
      <c r="AP20" s="1043">
        <f>'16'!$G$125</f>
        <v>0</v>
      </c>
      <c r="AQ20" s="1043">
        <f>'16'!$G$126</f>
        <v>57</v>
      </c>
      <c r="AR20" s="1043">
        <f>'16'!$G$127</f>
        <v>0</v>
      </c>
      <c r="AS20" s="1043">
        <f>'16'!$G$128</f>
        <v>0</v>
      </c>
      <c r="AT20" s="1043">
        <f t="shared" si="0"/>
        <v>51</v>
      </c>
      <c r="AU20" s="1043">
        <f>SUM('16'!G140:G141)</f>
        <v>7.9700000000000273</v>
      </c>
      <c r="AV20" s="1043">
        <f>'16'!$G$137</f>
        <v>0</v>
      </c>
      <c r="AW20" s="1043">
        <f>'16'!$G$138</f>
        <v>0</v>
      </c>
      <c r="AX20" s="1043">
        <f>'16'!$G$139</f>
        <v>0</v>
      </c>
      <c r="AY20" s="1040">
        <f t="shared" si="1"/>
        <v>0</v>
      </c>
      <c r="BA20" s="1048">
        <f t="shared" si="2"/>
        <v>158</v>
      </c>
    </row>
    <row r="21" spans="1:53">
      <c r="A21" s="1042">
        <v>43968</v>
      </c>
      <c r="B21" s="261">
        <f>'17'!G7</f>
        <v>14872</v>
      </c>
      <c r="C21" s="261">
        <f>'17'!G8</f>
        <v>15048</v>
      </c>
      <c r="D21" s="261">
        <f>'17'!G15</f>
        <v>562</v>
      </c>
      <c r="E21" s="261">
        <f>'17'!G20</f>
        <v>76</v>
      </c>
      <c r="F21" s="261">
        <f>SUM('17'!G35,'17'!G49)</f>
        <v>1602</v>
      </c>
      <c r="G21" s="261">
        <f>SUM('17'!G37,'17'!G51)</f>
        <v>1338.1300000000047</v>
      </c>
      <c r="H21" s="261">
        <f>SUM('17'!G38,'17'!G52)</f>
        <v>1050</v>
      </c>
      <c r="I21" s="261">
        <f>SUM('17'!G39,'17'!G53)</f>
        <v>2646</v>
      </c>
      <c r="J21" s="261">
        <f>SUM('17'!G41,'17'!G42,'17'!G55,'17'!G56)</f>
        <v>4494</v>
      </c>
      <c r="K21" s="261">
        <f>SUM('17'!G43,'17'!G57)</f>
        <v>2036</v>
      </c>
      <c r="L21" s="1043">
        <f>'17'!G50</f>
        <v>762</v>
      </c>
      <c r="M21" s="1043">
        <v>615.79999999998836</v>
      </c>
      <c r="N21" s="1043">
        <f>'18'!G72</f>
        <v>6</v>
      </c>
      <c r="O21" s="1043">
        <f>'17'!$G$73</f>
        <v>1</v>
      </c>
      <c r="P21" s="1043">
        <f>'17'!$G$74</f>
        <v>6</v>
      </c>
      <c r="Q21" s="1043">
        <f>'17'!$G$75</f>
        <v>59</v>
      </c>
      <c r="R21" s="1043">
        <f>'17'!$G$76</f>
        <v>57</v>
      </c>
      <c r="S21" s="1043">
        <f>'17'!$G$77</f>
        <v>29</v>
      </c>
      <c r="T21" s="1034">
        <f>'17'!$G$78</f>
        <v>89</v>
      </c>
      <c r="U21" s="1034">
        <f>'17'!$G$79</f>
        <v>117</v>
      </c>
      <c r="V21" s="1034">
        <f>'17'!$G$80</f>
        <v>311</v>
      </c>
      <c r="W21" s="1034">
        <f>'17'!$G$81</f>
        <v>76</v>
      </c>
      <c r="X21" s="1034">
        <f>'17'!$G$82</f>
        <v>11</v>
      </c>
      <c r="Y21" s="1034">
        <f>'17'!$G$58</f>
        <v>199</v>
      </c>
      <c r="Z21" s="1034">
        <f>'17'!$G$83</f>
        <v>175</v>
      </c>
      <c r="AA21" s="1034">
        <f>'17'!G86</f>
        <v>36</v>
      </c>
      <c r="AB21" s="1034">
        <f>'17'!G87</f>
        <v>7</v>
      </c>
      <c r="AC21" s="1034">
        <f>'17'!G88</f>
        <v>66</v>
      </c>
      <c r="AD21" s="1034">
        <f>'17'!G87+'17'!H90</f>
        <v>7</v>
      </c>
      <c r="AE21" s="1043">
        <f>'17'!$G$62</f>
        <v>-0.18000000000029104</v>
      </c>
      <c r="AF21" s="1043">
        <f>'17'!$G$63</f>
        <v>4</v>
      </c>
      <c r="AG21" s="1043">
        <f>'17'!$G$64</f>
        <v>266</v>
      </c>
      <c r="AH21" s="1043">
        <f>'17'!$G$65</f>
        <v>284</v>
      </c>
      <c r="AI21" s="1043">
        <f>'17'!$G$66</f>
        <v>272</v>
      </c>
      <c r="AJ21" s="1043">
        <f>'17'!$G$67</f>
        <v>322</v>
      </c>
      <c r="AK21" s="1043">
        <f>'17'!$G$68</f>
        <v>0</v>
      </c>
      <c r="AL21" s="1043">
        <f>'17'!$G$69</f>
        <v>87</v>
      </c>
      <c r="AM21" s="1043">
        <f>'17'!$G$84</f>
        <v>419</v>
      </c>
      <c r="AN21" s="1043">
        <f>'17'!$G$15</f>
        <v>562</v>
      </c>
      <c r="AO21" s="1043">
        <f>'17'!$G$124</f>
        <v>214</v>
      </c>
      <c r="AP21" s="1043">
        <f>'17'!$G$125</f>
        <v>0</v>
      </c>
      <c r="AQ21" s="1043">
        <f>'17'!$G$126</f>
        <v>46</v>
      </c>
      <c r="AR21" s="1043">
        <f>'17'!$G$127</f>
        <v>0</v>
      </c>
      <c r="AS21" s="1043">
        <f>'17'!$G$128</f>
        <v>0</v>
      </c>
      <c r="AT21" s="1043">
        <f t="shared" si="0"/>
        <v>302</v>
      </c>
      <c r="AU21" s="1043">
        <f>SUM('17'!G140:G141)</f>
        <v>8.0499999999999545</v>
      </c>
      <c r="AV21" s="1043">
        <f>'17'!$G$137</f>
        <v>6.2800000000024738</v>
      </c>
      <c r="AW21" s="1043">
        <f>'17'!$G$138</f>
        <v>0</v>
      </c>
      <c r="AX21" s="1043">
        <f>'17'!$G$139</f>
        <v>0</v>
      </c>
      <c r="AY21" s="1040">
        <f t="shared" si="1"/>
        <v>6.2800000000024738</v>
      </c>
      <c r="BA21" s="1048">
        <f t="shared" si="2"/>
        <v>-88</v>
      </c>
    </row>
    <row r="22" spans="1:53">
      <c r="A22" s="1042">
        <v>43969</v>
      </c>
      <c r="B22" s="261">
        <f>'18'!G7</f>
        <v>15342</v>
      </c>
      <c r="C22" s="261">
        <f>'18'!G8</f>
        <v>15496</v>
      </c>
      <c r="D22" s="261">
        <f>'18'!G15</f>
        <v>400</v>
      </c>
      <c r="E22" s="261">
        <f>'18'!G20</f>
        <v>105</v>
      </c>
      <c r="F22" s="261">
        <f>SUM('18'!G35,'18'!G49)</f>
        <v>1530</v>
      </c>
      <c r="G22" s="261">
        <f>SUM('18'!G37,'18'!G51)</f>
        <v>1254</v>
      </c>
      <c r="H22" s="261">
        <f>SUM('18'!G38,'18'!G52)</f>
        <v>1081</v>
      </c>
      <c r="I22" s="261">
        <f>SUM('18'!G39,'18'!G53)</f>
        <v>2625</v>
      </c>
      <c r="J22" s="261">
        <f>SUM('18'!G41,'18'!G42,'18'!G55,'18'!G56)</f>
        <v>5084.5400000000009</v>
      </c>
      <c r="K22" s="261">
        <f>SUM('18'!G43,'18'!G57)</f>
        <v>2115</v>
      </c>
      <c r="L22" s="1043">
        <f>'18'!G50</f>
        <v>802</v>
      </c>
      <c r="M22" s="1043">
        <v>543.32000000000698</v>
      </c>
      <c r="N22" s="1043">
        <f>'18'!G72</f>
        <v>6</v>
      </c>
      <c r="O22" s="1043">
        <f>'18'!$G$73</f>
        <v>2</v>
      </c>
      <c r="P22" s="1043">
        <f>'18'!$G$74</f>
        <v>4</v>
      </c>
      <c r="Q22" s="1043">
        <f>'18'!$G$75</f>
        <v>53</v>
      </c>
      <c r="R22" s="1043">
        <f>'18'!$G$76</f>
        <v>56</v>
      </c>
      <c r="S22" s="1043">
        <f>'18'!$G$77</f>
        <v>30</v>
      </c>
      <c r="T22" s="1034">
        <f>'18'!$G$78</f>
        <v>75</v>
      </c>
      <c r="U22" s="1034">
        <f>'18'!$G$79</f>
        <v>128</v>
      </c>
      <c r="V22" s="1046">
        <f>'18'!$G$80</f>
        <v>300</v>
      </c>
      <c r="W22" s="1046">
        <f>'18'!$G$81</f>
        <v>80</v>
      </c>
      <c r="X22" s="1046">
        <f>'18'!$G$82</f>
        <v>26</v>
      </c>
      <c r="Y22" s="1046">
        <f>'18'!$G$58</f>
        <v>63</v>
      </c>
      <c r="Z22" s="1046">
        <f>'18'!$G$83</f>
        <v>240</v>
      </c>
      <c r="AA22" s="1046">
        <f>'18'!G86</f>
        <v>31</v>
      </c>
      <c r="AB22" s="1034">
        <f>'18'!G87</f>
        <v>14</v>
      </c>
      <c r="AC22" s="1034">
        <f>'18'!G88</f>
        <v>68</v>
      </c>
      <c r="AD22" s="1034">
        <f>'18'!G87+'18'!H90</f>
        <v>14.199999999999818</v>
      </c>
      <c r="AE22" s="1043">
        <f>'18'!$G$62</f>
        <v>0.18000000000029104</v>
      </c>
      <c r="AF22" s="1043">
        <f>'18'!$G$63</f>
        <v>4</v>
      </c>
      <c r="AG22" s="1043">
        <f>'18'!$G$64</f>
        <v>337</v>
      </c>
      <c r="AH22" s="1043">
        <f>'18'!$G$65</f>
        <v>268</v>
      </c>
      <c r="AI22" s="1043">
        <f>'18'!$G$66</f>
        <v>270</v>
      </c>
      <c r="AJ22" s="1043">
        <f>'18'!$G$67</f>
        <v>300</v>
      </c>
      <c r="AK22" s="1043">
        <f>'18'!$G$68</f>
        <v>0</v>
      </c>
      <c r="AL22" s="1043">
        <f>'18'!$G$69</f>
        <v>78</v>
      </c>
      <c r="AM22" s="1043">
        <f>'18'!$G$84</f>
        <v>353</v>
      </c>
      <c r="AN22" s="1043">
        <f>'18'!$G$15</f>
        <v>400</v>
      </c>
      <c r="AO22" s="1043">
        <f>'18'!$G$124</f>
        <v>195</v>
      </c>
      <c r="AP22" s="1043">
        <f>'18'!$G$125</f>
        <v>0</v>
      </c>
      <c r="AQ22" s="1043">
        <f>'18'!$G$126</f>
        <v>45</v>
      </c>
      <c r="AR22" s="1043">
        <f>'18'!$G$127</f>
        <v>0</v>
      </c>
      <c r="AS22" s="1043">
        <f>'18'!$G$128</f>
        <v>0</v>
      </c>
      <c r="AT22" s="1043">
        <f t="shared" si="0"/>
        <v>160</v>
      </c>
      <c r="AU22" s="1043">
        <f>SUM('18'!G140:G141)</f>
        <v>7.7400000000000091</v>
      </c>
      <c r="AV22" s="1043">
        <f>'18'!$G$137</f>
        <v>0</v>
      </c>
      <c r="AW22" s="1043">
        <f>'18'!$G$138</f>
        <v>0</v>
      </c>
      <c r="AX22" s="1043">
        <f>'18'!$G$139</f>
        <v>8.5299999999988358</v>
      </c>
      <c r="AY22" s="1040">
        <f t="shared" si="1"/>
        <v>8.5299999999988358</v>
      </c>
      <c r="BA22" s="1048">
        <f t="shared" si="2"/>
        <v>35</v>
      </c>
    </row>
    <row r="23" spans="1:53" s="1045" customFormat="1">
      <c r="A23" s="1042">
        <v>43970</v>
      </c>
      <c r="B23" s="261">
        <f>'19'!G7</f>
        <v>14419</v>
      </c>
      <c r="C23" s="261">
        <f>'19'!G8</f>
        <v>14549</v>
      </c>
      <c r="D23" s="261">
        <f>'19'!G15</f>
        <v>248</v>
      </c>
      <c r="E23" s="261">
        <f>'19'!G20</f>
        <v>60</v>
      </c>
      <c r="F23" s="261">
        <f>SUM('19'!G35,'19'!G49)</f>
        <v>1650.8699999999953</v>
      </c>
      <c r="G23" s="261">
        <f>SUM('19'!G37,'19'!G51)</f>
        <v>1200</v>
      </c>
      <c r="H23" s="261">
        <f>SUM('19'!G38,'19'!G52)</f>
        <v>999</v>
      </c>
      <c r="I23" s="261">
        <f>SUM('19'!G39,'19'!G53)</f>
        <v>2579</v>
      </c>
      <c r="J23" s="261">
        <f>SUM('19'!G41,'19'!G42,'19'!G55,'19'!G56)</f>
        <v>4451.9900000000271</v>
      </c>
      <c r="K23" s="261">
        <f>SUM('19'!G43,'19'!G57)</f>
        <v>2088.67</v>
      </c>
      <c r="L23" s="1034">
        <f>'19'!G50</f>
        <v>793</v>
      </c>
      <c r="M23" s="1043">
        <v>572.16000000000349</v>
      </c>
      <c r="N23" s="1034">
        <f>'19'!G72</f>
        <v>10</v>
      </c>
      <c r="O23" s="1034">
        <f>'19'!$G$73</f>
        <v>1</v>
      </c>
      <c r="P23" s="1034">
        <f>'19'!$G$74</f>
        <v>5</v>
      </c>
      <c r="Q23" s="1034">
        <f>'19'!$G$75</f>
        <v>56</v>
      </c>
      <c r="R23" s="1043">
        <f>'19'!G76</f>
        <v>58</v>
      </c>
      <c r="S23" s="1034">
        <f>'19'!$G$77</f>
        <v>29</v>
      </c>
      <c r="T23" s="1034">
        <f>'19'!$G$78</f>
        <v>82</v>
      </c>
      <c r="U23" s="1034">
        <f>'19'!$G$79</f>
        <v>123</v>
      </c>
      <c r="V23" s="1034">
        <f>'19'!$G$80</f>
        <v>293</v>
      </c>
      <c r="W23" s="1034">
        <f>'19'!$G$81</f>
        <v>77</v>
      </c>
      <c r="X23" s="1034">
        <f>'19'!$G$82</f>
        <v>11</v>
      </c>
      <c r="Y23" s="1034">
        <f>'19'!$G$58</f>
        <v>1</v>
      </c>
      <c r="Z23" s="1034">
        <f>'19'!$G$83</f>
        <v>153</v>
      </c>
      <c r="AA23" s="1034">
        <f>'19'!G86</f>
        <v>23</v>
      </c>
      <c r="AB23" s="1034">
        <f>'19'!G87</f>
        <v>21</v>
      </c>
      <c r="AC23" s="1034">
        <f>'19'!G88</f>
        <v>24</v>
      </c>
      <c r="AD23" s="1034">
        <f>'19'!G87+'19'!H90</f>
        <v>21</v>
      </c>
      <c r="AE23" s="1034">
        <f>'19'!$G$62</f>
        <v>2.0000000000436557E-2</v>
      </c>
      <c r="AF23" s="1034">
        <f>'19'!$G$63</f>
        <v>4</v>
      </c>
      <c r="AG23" s="1034">
        <f>'19'!$G$64</f>
        <v>323</v>
      </c>
      <c r="AH23" s="1034">
        <f>'19'!$G$65</f>
        <v>210</v>
      </c>
      <c r="AI23" s="1034">
        <f>'19'!$G$66</f>
        <v>234</v>
      </c>
      <c r="AJ23" s="1034">
        <f>'19'!$G$67</f>
        <v>236</v>
      </c>
      <c r="AK23" s="1034">
        <f>'19'!$G$68</f>
        <v>0</v>
      </c>
      <c r="AL23" s="1034">
        <f>'19'!$G$69</f>
        <v>104</v>
      </c>
      <c r="AM23" s="1034">
        <f>'19'!$G$84</f>
        <v>355</v>
      </c>
      <c r="AN23" s="1034">
        <f>'19'!$G$15</f>
        <v>248</v>
      </c>
      <c r="AO23" s="1034">
        <f>'19'!$G$124</f>
        <v>173</v>
      </c>
      <c r="AP23" s="1034">
        <f>'19'!$G$125</f>
        <v>0</v>
      </c>
      <c r="AQ23" s="1034">
        <f>'19'!$G$126</f>
        <v>42</v>
      </c>
      <c r="AR23" s="1034">
        <f>'19'!$G$127</f>
        <v>0</v>
      </c>
      <c r="AS23" s="1034">
        <f>'19'!$G$128</f>
        <v>0</v>
      </c>
      <c r="AT23" s="1034">
        <f t="shared" si="0"/>
        <v>33</v>
      </c>
      <c r="AU23" s="1034">
        <f>SUM('19'!G140:G141)</f>
        <v>7.2999999999999545</v>
      </c>
      <c r="AV23" s="1034">
        <f>'19'!$G$137</f>
        <v>0</v>
      </c>
      <c r="AW23" s="1034">
        <f>'19'!$G$138</f>
        <v>0</v>
      </c>
      <c r="AX23" s="1034">
        <f>'19'!$G$139</f>
        <v>2.0000000004074536E-2</v>
      </c>
      <c r="AY23" s="1044">
        <f t="shared" si="1"/>
        <v>2.0000000004074536E-2</v>
      </c>
      <c r="BA23" s="1049">
        <f t="shared" si="2"/>
        <v>140</v>
      </c>
    </row>
    <row r="24" spans="1:53">
      <c r="A24" s="1042">
        <v>43971</v>
      </c>
      <c r="B24" s="261">
        <f>'20'!G7</f>
        <v>15123</v>
      </c>
      <c r="C24" s="261">
        <f>'20'!G8</f>
        <v>15231</v>
      </c>
      <c r="D24" s="261">
        <f>'20'!G15</f>
        <v>288</v>
      </c>
      <c r="E24" s="261">
        <f>'20'!G20</f>
        <v>57</v>
      </c>
      <c r="F24" s="261">
        <f>SUM('20'!G35,'20'!G49)</f>
        <v>1818</v>
      </c>
      <c r="G24" s="261">
        <f>SUM('20'!G37,'20'!G51)</f>
        <v>1255</v>
      </c>
      <c r="H24" s="261">
        <f>SUM('20'!G38,'20'!G52)</f>
        <v>978</v>
      </c>
      <c r="I24" s="261">
        <f>SUM('20'!G39,'20'!G53)</f>
        <v>2517</v>
      </c>
      <c r="J24" s="261">
        <f>SUM('20'!G41,'20'!G42,'20'!G55,'20'!G56)</f>
        <v>4744</v>
      </c>
      <c r="K24" s="261">
        <f>SUM('20'!G43,'20'!G57)</f>
        <v>2118</v>
      </c>
      <c r="L24" s="1043">
        <f>'20'!G50</f>
        <v>870</v>
      </c>
      <c r="M24" s="1043">
        <v>538.38000000000466</v>
      </c>
      <c r="N24" s="1043">
        <f>'20'!G72</f>
        <v>9</v>
      </c>
      <c r="O24" s="1043">
        <f>'20'!$G$73</f>
        <v>0</v>
      </c>
      <c r="P24" s="1043">
        <f>'20'!$G$74</f>
        <v>8</v>
      </c>
      <c r="Q24" s="1043">
        <f>'20'!$G$75</f>
        <v>52</v>
      </c>
      <c r="R24" s="1043">
        <f>'20'!$G$76</f>
        <v>57</v>
      </c>
      <c r="S24" s="1043">
        <f>'20'!$G$77</f>
        <v>33</v>
      </c>
      <c r="T24" s="1034">
        <f>'20'!$G$78</f>
        <v>50</v>
      </c>
      <c r="U24" s="1034">
        <f>'20'!$G$79</f>
        <v>117</v>
      </c>
      <c r="V24" s="1034">
        <f>'20'!$G$80</f>
        <v>357</v>
      </c>
      <c r="W24" s="1034">
        <f>'20'!$G$81</f>
        <v>76</v>
      </c>
      <c r="X24" s="1034">
        <f>'20'!$G$82</f>
        <v>10</v>
      </c>
      <c r="Y24" s="1034">
        <f>'20'!$G$58</f>
        <v>15</v>
      </c>
      <c r="Z24" s="1034">
        <f>'20'!$G$83</f>
        <v>94</v>
      </c>
      <c r="AA24" s="1034">
        <f>'20'!G86</f>
        <v>24</v>
      </c>
      <c r="AB24" s="1034">
        <f>'20'!G87</f>
        <v>27</v>
      </c>
      <c r="AC24" s="1034">
        <f>'20'!G88</f>
        <v>23</v>
      </c>
      <c r="AD24" s="1034">
        <f>'20'!G87+'20'!H90</f>
        <v>27</v>
      </c>
      <c r="AE24" s="1043">
        <f>'20'!$G$62</f>
        <v>0</v>
      </c>
      <c r="AF24" s="1043">
        <f>'20'!$G$63</f>
        <v>4</v>
      </c>
      <c r="AG24" s="1043">
        <f>'20'!$G$64</f>
        <v>267</v>
      </c>
      <c r="AH24" s="1043">
        <f>'20'!$G$65</f>
        <v>205</v>
      </c>
      <c r="AI24" s="1043">
        <f>'20'!$G$66</f>
        <v>256</v>
      </c>
      <c r="AJ24" s="1043">
        <f>'20'!$G$67</f>
        <v>279</v>
      </c>
      <c r="AK24" s="1043">
        <f>'20'!$G$68</f>
        <v>0</v>
      </c>
      <c r="AL24" s="1043">
        <f>'20'!$G$69</f>
        <v>67</v>
      </c>
      <c r="AM24" s="1043">
        <f>'20'!$G$84</f>
        <v>365</v>
      </c>
      <c r="AN24" s="1043">
        <f>'20'!$G$15</f>
        <v>288</v>
      </c>
      <c r="AO24" s="1043">
        <f>'20'!$G$124</f>
        <v>204</v>
      </c>
      <c r="AP24" s="1043">
        <f>'20'!$G$125</f>
        <v>0</v>
      </c>
      <c r="AQ24" s="1043">
        <f>'20'!$G$126</f>
        <v>48</v>
      </c>
      <c r="AR24" s="1043">
        <f>'20'!$G$127</f>
        <v>0</v>
      </c>
      <c r="AS24" s="1043">
        <f>'20'!$G$128</f>
        <v>0</v>
      </c>
      <c r="AT24" s="1043">
        <f t="shared" si="0"/>
        <v>36</v>
      </c>
      <c r="AU24" s="1043">
        <f>SUM('20'!G140:G141)</f>
        <v>8.1900000000000546</v>
      </c>
      <c r="AV24" s="1043">
        <f>'20'!$G$137</f>
        <v>0</v>
      </c>
      <c r="AW24" s="1043">
        <f>'20'!$G$138</f>
        <v>0</v>
      </c>
      <c r="AX24" s="1043">
        <f>'20'!$G$139</f>
        <v>0</v>
      </c>
      <c r="AY24" s="1040">
        <f t="shared" si="1"/>
        <v>0</v>
      </c>
      <c r="BA24" s="1048">
        <f t="shared" si="2"/>
        <v>168</v>
      </c>
    </row>
    <row r="25" spans="1:53">
      <c r="A25" s="1042">
        <v>43972</v>
      </c>
      <c r="B25" s="261">
        <f>'21'!G7</f>
        <v>16012</v>
      </c>
      <c r="C25" s="261">
        <f>'21'!G8</f>
        <v>16096</v>
      </c>
      <c r="D25" s="261">
        <f>'21'!G15</f>
        <v>534</v>
      </c>
      <c r="E25" s="261">
        <f>'21'!G20</f>
        <v>96</v>
      </c>
      <c r="F25" s="261">
        <f>SUM('21'!G35,'21'!G49)</f>
        <v>1843.1300000000047</v>
      </c>
      <c r="G25" s="261">
        <f>SUM('21'!G37,'21'!G51)</f>
        <v>1333</v>
      </c>
      <c r="H25" s="261">
        <f>SUM('21'!G38,'21'!G52)</f>
        <v>1150.0699999999488</v>
      </c>
      <c r="I25" s="261">
        <f>SUM('21'!G39,'21'!G53)</f>
        <v>2103</v>
      </c>
      <c r="J25" s="261">
        <f>SUM('21'!G41,'21'!G42,'21'!G55,'21'!G56)</f>
        <v>5144</v>
      </c>
      <c r="K25" s="261">
        <f>SUM('21'!G43,'21'!G57)</f>
        <v>2133</v>
      </c>
      <c r="L25" s="1043">
        <f>'21'!G50</f>
        <v>800</v>
      </c>
      <c r="M25" s="1043">
        <v>623.17999999999302</v>
      </c>
      <c r="N25" s="1043">
        <f>'21'!G72</f>
        <v>10</v>
      </c>
      <c r="O25" s="1043">
        <f>'21'!$G$73</f>
        <v>2</v>
      </c>
      <c r="P25" s="1043">
        <f>'21'!$G$74</f>
        <v>6</v>
      </c>
      <c r="Q25" s="1043">
        <f>'21'!$G$75</f>
        <v>53</v>
      </c>
      <c r="R25" s="1043">
        <f>'21'!$G$76</f>
        <v>55</v>
      </c>
      <c r="S25" s="1043">
        <f>'21'!$G$77</f>
        <v>34</v>
      </c>
      <c r="T25" s="1034">
        <f>'21'!$G$78</f>
        <v>184</v>
      </c>
      <c r="U25" s="1034">
        <f>'21'!$G$79</f>
        <v>136</v>
      </c>
      <c r="V25" s="1034">
        <f>'21'!$G$80</f>
        <v>331</v>
      </c>
      <c r="W25" s="1034">
        <f>'21'!$G$81</f>
        <v>79</v>
      </c>
      <c r="X25" s="1034">
        <f>'21'!$G$82</f>
        <v>26</v>
      </c>
      <c r="Y25" s="1034">
        <f>'21'!$G$58</f>
        <v>133</v>
      </c>
      <c r="Z25" s="1034">
        <f>'21'!$G$83</f>
        <v>145</v>
      </c>
      <c r="AA25" s="1034">
        <f>'21'!G86</f>
        <v>21</v>
      </c>
      <c r="AB25" s="1034">
        <f>'21'!G87</f>
        <v>22</v>
      </c>
      <c r="AC25" s="1034">
        <f>'21'!G88</f>
        <v>25</v>
      </c>
      <c r="AD25" s="1034">
        <f>'21'!G87+'21'!H90</f>
        <v>22</v>
      </c>
      <c r="AE25" s="1043">
        <f>'21'!$G$62</f>
        <v>0</v>
      </c>
      <c r="AF25" s="1043">
        <f>'21'!$G$63</f>
        <v>3</v>
      </c>
      <c r="AG25" s="1043">
        <f>'21'!$G$64</f>
        <v>175</v>
      </c>
      <c r="AH25" s="1043">
        <f>'21'!$G$65</f>
        <v>206</v>
      </c>
      <c r="AI25" s="1043">
        <f>'21'!$G$66</f>
        <v>261</v>
      </c>
      <c r="AJ25" s="1043">
        <f>'21'!$G$67</f>
        <v>481</v>
      </c>
      <c r="AK25" s="1043">
        <f>'21'!$G$68</f>
        <v>0</v>
      </c>
      <c r="AL25" s="1043">
        <f>'21'!$G$69</f>
        <v>76</v>
      </c>
      <c r="AM25" s="1043">
        <f>'21'!$G$84</f>
        <v>379</v>
      </c>
      <c r="AN25" s="1043">
        <f>'21'!$G$15</f>
        <v>534</v>
      </c>
      <c r="AO25" s="1043">
        <f>'21'!$G$124</f>
        <v>194</v>
      </c>
      <c r="AP25" s="1043">
        <f>'21'!$G$125</f>
        <v>0</v>
      </c>
      <c r="AQ25" s="1043">
        <f>'21'!$G$126</f>
        <v>67</v>
      </c>
      <c r="AR25" s="1043">
        <f>'21'!$G$127</f>
        <v>0</v>
      </c>
      <c r="AS25" s="1043">
        <f>'21'!$G$128</f>
        <v>0</v>
      </c>
      <c r="AT25" s="1043">
        <f t="shared" si="0"/>
        <v>273</v>
      </c>
      <c r="AU25" s="1043">
        <f>SUM('21'!G140:G141)</f>
        <v>7.0199999999999818</v>
      </c>
      <c r="AV25" s="1043">
        <f>'21'!$G$137</f>
        <v>2.7099999999991269</v>
      </c>
      <c r="AW25" s="1043">
        <f>'21'!$G$138</f>
        <v>0</v>
      </c>
      <c r="AX25" s="1043">
        <f>'21'!$G$139</f>
        <v>6.6299999999901047</v>
      </c>
      <c r="AY25" s="1040">
        <f t="shared" si="1"/>
        <v>9.3399999999892316</v>
      </c>
      <c r="BA25" s="1048">
        <f t="shared" si="2"/>
        <v>-79</v>
      </c>
    </row>
    <row r="26" spans="1:53">
      <c r="A26" s="1042">
        <v>43973</v>
      </c>
      <c r="B26" s="261">
        <f>'22'!G7</f>
        <v>17759</v>
      </c>
      <c r="C26" s="261">
        <f>'22'!G8</f>
        <v>17814</v>
      </c>
      <c r="D26" s="261">
        <f>'22'!G15</f>
        <v>632</v>
      </c>
      <c r="E26" s="261">
        <f>'22'!G20</f>
        <v>150</v>
      </c>
      <c r="F26" s="261">
        <f>SUM('22'!G35,'22'!G49)</f>
        <v>1920</v>
      </c>
      <c r="G26" s="261">
        <f>SUM('22'!G37,'22'!G51)</f>
        <v>1372</v>
      </c>
      <c r="H26" s="261">
        <f>SUM('22'!G38,'22'!G52)</f>
        <v>1280</v>
      </c>
      <c r="I26" s="261">
        <f>SUM('22'!G39,'22'!G53)</f>
        <v>3496</v>
      </c>
      <c r="J26" s="261">
        <f>SUM('22'!G41,'22'!G42,'22'!G55,'22'!G56)</f>
        <v>6030</v>
      </c>
      <c r="K26" s="261">
        <f>SUM('22'!G43,'22'!G57)</f>
        <v>2210</v>
      </c>
      <c r="L26" s="1043">
        <f>'22'!G50</f>
        <v>918</v>
      </c>
      <c r="M26" s="1043">
        <v>600</v>
      </c>
      <c r="N26" s="1043">
        <f>'22'!G72</f>
        <v>10</v>
      </c>
      <c r="O26" s="1043">
        <f>'22'!$G$73</f>
        <v>1</v>
      </c>
      <c r="P26" s="1043">
        <f>'22'!$G$74</f>
        <v>8</v>
      </c>
      <c r="Q26" s="1043">
        <f>'22'!$G$75</f>
        <v>54</v>
      </c>
      <c r="R26" s="1043">
        <f>'22'!$G$76</f>
        <v>56</v>
      </c>
      <c r="S26" s="1043">
        <f>'22'!$G$77</f>
        <v>42</v>
      </c>
      <c r="T26" s="1034">
        <f>'22'!$G$78</f>
        <v>197</v>
      </c>
      <c r="U26" s="1034">
        <f>'22'!$G$79</f>
        <v>129</v>
      </c>
      <c r="V26" s="1034">
        <f>'22'!$G$80</f>
        <v>377</v>
      </c>
      <c r="W26" s="1034">
        <f>'22'!$G$81</f>
        <v>76</v>
      </c>
      <c r="X26" s="1034">
        <f>'22'!$G$82</f>
        <v>11</v>
      </c>
      <c r="Y26" s="1034">
        <f>'22'!$G$58</f>
        <v>244</v>
      </c>
      <c r="Z26" s="1034">
        <f>'22'!$G$83</f>
        <v>174</v>
      </c>
      <c r="AA26" s="1034">
        <f>'22'!G86</f>
        <v>88</v>
      </c>
      <c r="AB26" s="1034">
        <f>'22'!G87</f>
        <v>13</v>
      </c>
      <c r="AC26" s="1034">
        <f>'22'!G88</f>
        <v>23</v>
      </c>
      <c r="AD26" s="1034">
        <f>'22'!G87+'22'!H90</f>
        <v>13.800000000000182</v>
      </c>
      <c r="AE26" s="1043">
        <f>'22'!$G$62</f>
        <v>0</v>
      </c>
      <c r="AF26" s="1043">
        <f>'22'!$G$63</f>
        <v>4</v>
      </c>
      <c r="AG26" s="1043">
        <f>'22'!$G$64</f>
        <v>209</v>
      </c>
      <c r="AH26" s="1043">
        <f>'22'!$G$65</f>
        <v>203</v>
      </c>
      <c r="AI26" s="1043">
        <f>'22'!$G$66</f>
        <v>311</v>
      </c>
      <c r="AJ26" s="1043">
        <f>'22'!$G$67</f>
        <v>522</v>
      </c>
      <c r="AK26" s="1043">
        <f>'22'!$G$68</f>
        <v>0</v>
      </c>
      <c r="AL26" s="1043">
        <f>'22'!$G$69</f>
        <v>106</v>
      </c>
      <c r="AM26" s="1043">
        <f>'22'!$G$84</f>
        <v>451</v>
      </c>
      <c r="AN26" s="1043">
        <f>'22'!$G$15</f>
        <v>632</v>
      </c>
      <c r="AO26" s="1081">
        <f>'22'!$G$124</f>
        <v>194</v>
      </c>
      <c r="AP26" s="1043">
        <f>'22'!$G$125</f>
        <v>0</v>
      </c>
      <c r="AQ26" s="1043">
        <f>'22'!$G$126</f>
        <v>64</v>
      </c>
      <c r="AR26" s="1043">
        <f>'22'!$G$127</f>
        <v>0</v>
      </c>
      <c r="AS26" s="1043">
        <f>'22'!$G$128</f>
        <v>0</v>
      </c>
      <c r="AT26" s="1043">
        <f t="shared" si="0"/>
        <v>374</v>
      </c>
      <c r="AU26" s="1043">
        <f>SUM('22'!G140:G141)</f>
        <v>7.3600000000001273</v>
      </c>
      <c r="AV26" s="1043">
        <f>'22'!$G$137</f>
        <v>7.5400000000008731</v>
      </c>
      <c r="AW26" s="1043">
        <f>'22'!$G$138</f>
        <v>0</v>
      </c>
      <c r="AX26" s="1043">
        <f>'22'!$G$139</f>
        <v>0</v>
      </c>
      <c r="AY26" s="1040">
        <f t="shared" si="1"/>
        <v>7.5400000000008731</v>
      </c>
      <c r="BA26" s="1048">
        <f t="shared" si="2"/>
        <v>-180</v>
      </c>
    </row>
    <row r="27" spans="1:53">
      <c r="A27" s="1042">
        <v>43974</v>
      </c>
      <c r="B27" s="261">
        <f>'23'!G7</f>
        <v>16907.049999999988</v>
      </c>
      <c r="C27" s="261">
        <f>'23'!G8</f>
        <v>16981.75</v>
      </c>
      <c r="D27" s="261">
        <f>'23'!G15</f>
        <v>366.93500000005588</v>
      </c>
      <c r="E27" s="261">
        <f>'23'!G20</f>
        <v>140</v>
      </c>
      <c r="F27" s="261">
        <f>SUM('23'!G35,'23'!G49)</f>
        <v>2173.4300000000512</v>
      </c>
      <c r="G27" s="261">
        <f>SUM('23'!G37,'23'!G51)</f>
        <v>1310.3799999999901</v>
      </c>
      <c r="H27" s="261">
        <f>SUM('23'!G38,'23'!G52)</f>
        <v>1286.429999999993</v>
      </c>
      <c r="I27" s="261">
        <f>SUM('23'!G39,'23'!G53)</f>
        <v>2942.6599999999744</v>
      </c>
      <c r="J27" s="261">
        <f>SUM('23'!G41,'23'!G42,'23'!G55,'23'!G56)</f>
        <v>5435.8999999999505</v>
      </c>
      <c r="K27" s="261">
        <f>SUM('23'!G43,'23'!G57)</f>
        <v>2171.5999999999767</v>
      </c>
      <c r="L27" s="1043">
        <f>'23'!G50</f>
        <v>854.15000000002328</v>
      </c>
      <c r="M27" s="1043">
        <v>607.26000000000931</v>
      </c>
      <c r="N27" s="1043">
        <f>'23'!G72</f>
        <v>10</v>
      </c>
      <c r="O27" s="1043">
        <f>'23'!G73</f>
        <v>0</v>
      </c>
      <c r="P27" s="1043">
        <f>'23'!$G$74</f>
        <v>6.6500000000000909</v>
      </c>
      <c r="Q27" s="1043">
        <f>'23'!$G$75</f>
        <v>58.1200000000008</v>
      </c>
      <c r="R27" s="1043">
        <f>'23'!$G$76</f>
        <v>54.300000000000182</v>
      </c>
      <c r="S27" s="1043">
        <f>'23'!$G$77</f>
        <v>38</v>
      </c>
      <c r="T27" s="1034">
        <f>'23'!$G$78</f>
        <v>127</v>
      </c>
      <c r="U27" s="1034">
        <f>'23'!$G$79</f>
        <v>131</v>
      </c>
      <c r="V27" s="1034">
        <f>'23'!$G$80</f>
        <v>357.64000000001397</v>
      </c>
      <c r="W27" s="1034">
        <f>'23'!$G$81</f>
        <v>79.560000000055879</v>
      </c>
      <c r="X27" s="1034">
        <f>'23'!$G$82</f>
        <v>11.070000000006985</v>
      </c>
      <c r="Y27" s="1034">
        <f>'23'!$G$58</f>
        <v>29.150000000001455</v>
      </c>
      <c r="Z27" s="1079">
        <f>'23'!$G$83</f>
        <v>211</v>
      </c>
      <c r="AA27" s="1034">
        <f>'23'!$G$86</f>
        <v>22.559999999997672</v>
      </c>
      <c r="AB27" s="1034">
        <f>'23'!G87</f>
        <v>6.3000000000029104</v>
      </c>
      <c r="AC27" s="1034">
        <f>'23'!G88</f>
        <v>23.730000000010477</v>
      </c>
      <c r="AD27" s="1034">
        <f>'23'!G87+'23'!H90</f>
        <v>6.4000000000028194</v>
      </c>
      <c r="AE27" s="1043">
        <f>'23'!$G$62</f>
        <v>-0.2000000000007276</v>
      </c>
      <c r="AF27" s="1043">
        <f>'23'!$G$63</f>
        <v>3.8699999999998909</v>
      </c>
      <c r="AG27" s="1043">
        <f>'23'!$G$64</f>
        <v>204.73999999999069</v>
      </c>
      <c r="AH27" s="1043">
        <f>'23'!$G$65</f>
        <v>208.10000000000582</v>
      </c>
      <c r="AI27" s="1043">
        <f>'23'!$G$66</f>
        <v>312.41999999999825</v>
      </c>
      <c r="AJ27" s="1043">
        <f>'23'!$G$67</f>
        <v>495.17000000001281</v>
      </c>
      <c r="AK27" s="1043">
        <f>'23'!$G$68</f>
        <v>0</v>
      </c>
      <c r="AL27" s="1043">
        <f>'23'!$G$69</f>
        <v>192.10000000000582</v>
      </c>
      <c r="AM27" s="1043">
        <f>'23'!$G$84</f>
        <v>556</v>
      </c>
      <c r="AN27" s="1043">
        <f>'23'!$G$15</f>
        <v>366.93500000005588</v>
      </c>
      <c r="AO27" s="1043">
        <f>'23'!$G$124</f>
        <v>214.8399999999674</v>
      </c>
      <c r="AP27" s="1043">
        <f>'23'!$G$125</f>
        <v>0</v>
      </c>
      <c r="AQ27" s="1043">
        <f>'23'!$G$126</f>
        <v>60.839999999996508</v>
      </c>
      <c r="AR27" s="1043">
        <f>'23'!$G$127</f>
        <v>0.2000000000007276</v>
      </c>
      <c r="AS27" s="1043">
        <f>'23'!$G$128</f>
        <v>-0.3999999999996362</v>
      </c>
      <c r="AT27" s="1043">
        <f t="shared" si="0"/>
        <v>91.455000000090877</v>
      </c>
      <c r="AU27" s="1043">
        <f>SUM('23'!G140:G141)</f>
        <v>8.0499999999999545</v>
      </c>
      <c r="AV27" s="1043">
        <f>'23'!$G$137</f>
        <v>0</v>
      </c>
      <c r="AW27" s="1043">
        <f>'23'!$G$138</f>
        <v>0</v>
      </c>
      <c r="AX27" s="1043">
        <f>'23'!$G$139</f>
        <v>2.4500000000116415</v>
      </c>
      <c r="AY27" s="1040">
        <f t="shared" si="1"/>
        <v>2.4500000000116415</v>
      </c>
      <c r="BA27" s="1048">
        <f t="shared" si="2"/>
        <v>123.38499999987653</v>
      </c>
    </row>
    <row r="28" spans="1:53" s="1082" customFormat="1">
      <c r="A28" s="1042">
        <v>43975</v>
      </c>
      <c r="B28" s="261">
        <f>'24'!G7</f>
        <v>16547.620000000024</v>
      </c>
      <c r="C28" s="261">
        <f>'24'!G8</f>
        <v>16604.880000000005</v>
      </c>
      <c r="D28" s="261">
        <f>'24'!G15</f>
        <v>510.69499999983236</v>
      </c>
      <c r="E28" s="261">
        <f>'24'!G20</f>
        <v>110</v>
      </c>
      <c r="F28" s="261">
        <f>SUM('24'!G35,'24'!G49)</f>
        <v>2126.4799999999814</v>
      </c>
      <c r="G28" s="261">
        <f>SUM('24'!G37,'24'!G51)</f>
        <v>1287.3700000000099</v>
      </c>
      <c r="H28" s="261">
        <f>SUM('24'!G38,'24'!G52)</f>
        <v>1238.2799999999988</v>
      </c>
      <c r="I28" s="261">
        <f>SUM('24'!G39,'24'!G53)</f>
        <v>2764.8800000000629</v>
      </c>
      <c r="J28" s="261">
        <f>SUM('24'!G41,'24'!G42,'24'!G55,'24'!G56)</f>
        <v>5182.0400000000445</v>
      </c>
      <c r="K28" s="261">
        <f>SUM('24'!G43,'24'!G57)</f>
        <v>2226.2000000000698</v>
      </c>
      <c r="L28" s="1043">
        <f>'24'!G50</f>
        <v>864.44000000000233</v>
      </c>
      <c r="M28" s="1043">
        <v>578.92000000001281</v>
      </c>
      <c r="N28" s="1034">
        <f>'24'!G72</f>
        <v>9</v>
      </c>
      <c r="O28" s="1034">
        <f>'24'!G73</f>
        <v>2</v>
      </c>
      <c r="P28" s="1034">
        <f>'24'!$G$74</f>
        <v>7.0299999999997453</v>
      </c>
      <c r="Q28" s="1034">
        <f>'24'!$G$75</f>
        <v>58.089999999998327</v>
      </c>
      <c r="R28" s="1034">
        <f>'24'!$G$76</f>
        <v>57.529999999999745</v>
      </c>
      <c r="S28" s="1034">
        <f>'24'!$G$77</f>
        <v>42</v>
      </c>
      <c r="T28" s="1034">
        <f>'24'!$G$78</f>
        <v>92</v>
      </c>
      <c r="U28" s="1034">
        <f>'24'!$G$79</f>
        <v>123</v>
      </c>
      <c r="V28" s="1034">
        <f>'24'!$G$80</f>
        <v>342.40000000002328</v>
      </c>
      <c r="W28" s="1034">
        <f>'24'!$G$81</f>
        <v>80.479999999981374</v>
      </c>
      <c r="X28" s="1034">
        <f>'24'!$G$82</f>
        <v>30.079999999987194</v>
      </c>
      <c r="Y28" s="1034">
        <f>'24'!$G$58</f>
        <v>98.220000000001164</v>
      </c>
      <c r="Z28" s="1034">
        <f>'24'!$G$83</f>
        <v>135</v>
      </c>
      <c r="AA28" s="1034">
        <f>'24'!G86</f>
        <v>25.28000000002794</v>
      </c>
      <c r="AB28" s="1034">
        <f>'24'!G87</f>
        <v>18</v>
      </c>
      <c r="AC28" s="1034">
        <f>'24'!G88</f>
        <v>125.29999999998836</v>
      </c>
      <c r="AD28" s="1034">
        <f>'24'!G87+'24'!H90</f>
        <v>18</v>
      </c>
      <c r="AE28" s="1034">
        <f>'24'!$G$62</f>
        <v>0</v>
      </c>
      <c r="AF28" s="1034">
        <f>'24'!$G$63</f>
        <v>3.8499999999999091</v>
      </c>
      <c r="AG28" s="1034">
        <f>'24'!$G$64</f>
        <v>214.25</v>
      </c>
      <c r="AH28" s="1034">
        <f>'24'!$G$65</f>
        <v>219.75</v>
      </c>
      <c r="AI28" s="1034">
        <f>'24'!$G$66</f>
        <v>302.76000000000204</v>
      </c>
      <c r="AJ28" s="1034">
        <f>'24'!$G$67</f>
        <v>430.22999999998137</v>
      </c>
      <c r="AK28" s="1034">
        <f>'24'!$G$68</f>
        <v>0</v>
      </c>
      <c r="AL28" s="1034">
        <f>'24'!$G$69</f>
        <v>85.279999999998836</v>
      </c>
      <c r="AM28" s="1034">
        <f>'24'!$G$84</f>
        <v>653</v>
      </c>
      <c r="AN28" s="1034">
        <f>'24'!$G$15</f>
        <v>510.69499999983236</v>
      </c>
      <c r="AO28" s="1081">
        <f>'24'!$G$124</f>
        <v>230.1600000000326</v>
      </c>
      <c r="AP28" s="1081">
        <f>'24'!$G$125</f>
        <v>0</v>
      </c>
      <c r="AQ28" s="1081">
        <f>'24'!$G$126</f>
        <v>71.790000000008149</v>
      </c>
      <c r="AR28" s="1034">
        <f>'24'!$G$127</f>
        <v>0</v>
      </c>
      <c r="AS28" s="1034">
        <f>'24'!$G$128</f>
        <v>0</v>
      </c>
      <c r="AT28" s="1081">
        <f>AN28-SUM(AO28:AS28)</f>
        <v>208.74499999979162</v>
      </c>
      <c r="AU28" s="1034">
        <f>SUM('24'!G140:G141)</f>
        <v>8.2199999999997999</v>
      </c>
      <c r="AV28" s="1034">
        <f>'24'!$G$137</f>
        <v>0</v>
      </c>
      <c r="AW28" s="1034">
        <f>'24'!$G$138</f>
        <v>0</v>
      </c>
      <c r="AX28" s="1034">
        <f>'24'!$G$139</f>
        <v>10.25</v>
      </c>
      <c r="AY28" s="1044">
        <f t="shared" si="1"/>
        <v>10.25</v>
      </c>
      <c r="BA28" s="1083">
        <f t="shared" si="2"/>
        <v>21.41500000024098</v>
      </c>
    </row>
    <row r="29" spans="1:53">
      <c r="A29" s="1042">
        <v>43976</v>
      </c>
      <c r="B29" s="261">
        <f>'25'!G7</f>
        <v>16235.399999999994</v>
      </c>
      <c r="C29" s="261">
        <f>'25'!G8</f>
        <v>16299.040000000008</v>
      </c>
      <c r="D29" s="261">
        <f>'25'!G15</f>
        <v>675.28900000010617</v>
      </c>
      <c r="E29" s="261">
        <f>'25'!G20</f>
        <v>120</v>
      </c>
      <c r="F29" s="261">
        <f>SUM('25'!G35,'25'!G49)</f>
        <v>2110.8800000000047</v>
      </c>
      <c r="G29" s="261">
        <f>SUM('25'!G37,'25'!G51)</f>
        <v>1247.8499999999913</v>
      </c>
      <c r="H29" s="261">
        <f>SUM('25'!G38,'25'!G52)</f>
        <v>1212.3300000000163</v>
      </c>
      <c r="I29" s="261">
        <f>SUM('25'!G39,'25'!G53)</f>
        <v>2568.5999999999767</v>
      </c>
      <c r="J29" s="261">
        <f>SUM('25'!G41,'25'!G42,'25'!G55,'25'!G56)</f>
        <v>5004.3399999999747</v>
      </c>
      <c r="K29" s="261">
        <f>SUM('25'!G43,'25'!G57)</f>
        <v>2198.6999999999534</v>
      </c>
      <c r="L29" s="1043">
        <f>'25'!G50</f>
        <v>860.51999999996042</v>
      </c>
      <c r="M29" s="1043">
        <v>844.16000000000349</v>
      </c>
      <c r="N29" s="1043">
        <f>'25'!G72</f>
        <v>9</v>
      </c>
      <c r="O29" s="1043">
        <f>'25'!$G$73</f>
        <v>14</v>
      </c>
      <c r="P29" s="1043">
        <f>'25'!$G$74</f>
        <v>6.1100000000001273</v>
      </c>
      <c r="Q29" s="1043">
        <f>'25'!$G$75</f>
        <v>54.400000000001455</v>
      </c>
      <c r="R29" s="1043">
        <f>'25'!$G$76</f>
        <v>57.020000000000437</v>
      </c>
      <c r="S29" s="1043">
        <f>'25'!$G$77</f>
        <v>46</v>
      </c>
      <c r="T29" s="1034">
        <f>'25'!$G$78</f>
        <v>101</v>
      </c>
      <c r="U29" s="1034">
        <f>'25'!$G$79</f>
        <v>121</v>
      </c>
      <c r="V29" s="1034">
        <f>'25'!$G$80</f>
        <v>365.07999999995809</v>
      </c>
      <c r="W29" s="1034">
        <f>'25'!$G$81</f>
        <v>89.119999999995343</v>
      </c>
      <c r="X29" s="1034">
        <f>'25'!$G$82</f>
        <v>10.590000000011059</v>
      </c>
      <c r="Y29" s="1034">
        <f>'25'!$G$58</f>
        <v>244.13999999999942</v>
      </c>
      <c r="Z29" s="1034">
        <f>'25'!$G$83</f>
        <v>183</v>
      </c>
      <c r="AA29" s="1034">
        <f>'25'!G86</f>
        <v>24</v>
      </c>
      <c r="AB29" s="1034">
        <f>'25'!G87</f>
        <v>33.399999999994179</v>
      </c>
      <c r="AC29" s="1034">
        <f>'25'!G88</f>
        <v>23.929999999993015</v>
      </c>
      <c r="AD29" s="1034">
        <f>'25'!G87+'25'!H90</f>
        <v>33.399999999994179</v>
      </c>
      <c r="AE29" s="1043">
        <f>'25'!$G$62</f>
        <v>0</v>
      </c>
      <c r="AF29" s="1043">
        <f>'25'!$G$63</f>
        <v>3.75</v>
      </c>
      <c r="AG29" s="1043">
        <f>'25'!$G$64</f>
        <v>198.07000000000698</v>
      </c>
      <c r="AH29" s="1043">
        <f>'25'!$G$65</f>
        <v>259.14999999999418</v>
      </c>
      <c r="AI29" s="1043">
        <f>'25'!$G$66</f>
        <v>252.61000000000058</v>
      </c>
      <c r="AJ29" s="1043">
        <f>'25'!$G$67</f>
        <v>362.61000000001513</v>
      </c>
      <c r="AK29" s="1043">
        <f>'25'!$G$68</f>
        <v>0</v>
      </c>
      <c r="AL29" s="1043">
        <f>'25'!$G$69</f>
        <v>71.589999999996508</v>
      </c>
      <c r="AM29" s="1043">
        <f>'25'!$G$84</f>
        <v>649</v>
      </c>
      <c r="AN29" s="1043">
        <f>'25'!$G$15</f>
        <v>675.28900000010617</v>
      </c>
      <c r="AO29" s="1043">
        <f>'25'!$G$124</f>
        <v>208.40000000002328</v>
      </c>
      <c r="AP29" s="1043">
        <f>'25'!$G$125</f>
        <v>0</v>
      </c>
      <c r="AQ29" s="1043">
        <f>'25'!$G$126</f>
        <v>74.119999999995343</v>
      </c>
      <c r="AR29" s="1043">
        <f>'25'!$G$127</f>
        <v>0</v>
      </c>
      <c r="AS29" s="1043">
        <f>'25'!$G$128</f>
        <v>0</v>
      </c>
      <c r="AT29" s="1043">
        <f t="shared" si="0"/>
        <v>392.76900000008754</v>
      </c>
      <c r="AU29" s="1043">
        <f>SUM('25'!G140:G141)</f>
        <v>7.9900000000002365</v>
      </c>
      <c r="AV29" s="1043">
        <f>'25'!$G$137</f>
        <v>7.8999999999978172</v>
      </c>
      <c r="AW29" s="1043">
        <f>'25'!$G$138</f>
        <v>9.9999999983992893E-3</v>
      </c>
      <c r="AX29" s="1043">
        <f>'25'!$G$139</f>
        <v>0</v>
      </c>
      <c r="AY29" s="1040">
        <f t="shared" si="1"/>
        <v>7.9099999999962165</v>
      </c>
      <c r="BA29" s="1048">
        <f t="shared" si="2"/>
        <v>-184.36900000006426</v>
      </c>
    </row>
    <row r="30" spans="1:53">
      <c r="A30" s="1042">
        <v>43977</v>
      </c>
      <c r="B30" s="261">
        <f>'26'!G7</f>
        <v>19224.559999999998</v>
      </c>
      <c r="C30" s="261">
        <f>'26'!G8</f>
        <v>19361.72</v>
      </c>
      <c r="D30" s="261">
        <f>'26'!G15</f>
        <v>374.08100000000559</v>
      </c>
      <c r="E30" s="261">
        <f>'26'!G20</f>
        <v>113</v>
      </c>
      <c r="F30" s="261">
        <f>SUM('26'!G35,'26'!G49)</f>
        <v>2644.9599999999627</v>
      </c>
      <c r="G30" s="261">
        <f>SUM('26'!G37,'26'!G51)</f>
        <v>1344</v>
      </c>
      <c r="H30" s="261">
        <f>SUM('26'!G38,'26'!G52)</f>
        <v>1226.3500000000058</v>
      </c>
      <c r="I30" s="261">
        <f>SUM('26'!G39,'26'!G53)</f>
        <v>2690.8799999999464</v>
      </c>
      <c r="J30" s="261">
        <f>SUM('26'!G41,'26'!G42,'26'!G55,'26'!G56)</f>
        <v>5995.2500000000291</v>
      </c>
      <c r="K30" s="261">
        <f>SUM('26'!G43,'26'!G57)</f>
        <v>2602.8000000000466</v>
      </c>
      <c r="L30" s="1043">
        <f>'26'!G50</f>
        <v>1413.7200000000303</v>
      </c>
      <c r="M30" s="1043">
        <v>613.89999999999418</v>
      </c>
      <c r="N30" s="1043">
        <f>'26'!G72</f>
        <v>13</v>
      </c>
      <c r="O30" s="1043">
        <f>'26'!$G$73</f>
        <v>17</v>
      </c>
      <c r="P30" s="1043">
        <f>'26'!$G$74</f>
        <v>7.2800000000002001</v>
      </c>
      <c r="Q30" s="1043">
        <f>'26'!$G$75</f>
        <v>68.889999999999418</v>
      </c>
      <c r="R30" s="1043">
        <f>'26'!$G$76</f>
        <v>53.149999999999636</v>
      </c>
      <c r="S30" s="1043">
        <f>'26'!$G$77</f>
        <v>41</v>
      </c>
      <c r="T30" s="1034">
        <f>'26'!$G$78</f>
        <v>9</v>
      </c>
      <c r="U30" s="1034">
        <f>'26'!$G$79</f>
        <v>132</v>
      </c>
      <c r="V30" s="1034">
        <f>'26'!$G$80</f>
        <v>383.92000000004191</v>
      </c>
      <c r="W30" s="1034">
        <f>'26'!$G$81</f>
        <v>78.559999999939464</v>
      </c>
      <c r="X30" s="1034">
        <f>'26'!$G$82</f>
        <v>10.679999999993015</v>
      </c>
      <c r="Y30" s="1034">
        <f>'26'!$G$58</f>
        <v>37.169999999998254</v>
      </c>
      <c r="Z30" s="1034">
        <f>'26'!$G$83</f>
        <v>190</v>
      </c>
      <c r="AA30" s="1034">
        <f>'26'!G86</f>
        <v>30.479999999981374</v>
      </c>
      <c r="AB30" s="1034">
        <f>'26'!G87</f>
        <v>18.80000000000291</v>
      </c>
      <c r="AC30" s="1034">
        <f>'26'!G88</f>
        <v>22.050000000017462</v>
      </c>
      <c r="AD30" s="1034">
        <f>'26'!G87+'26'!H90</f>
        <v>18.80000000000291</v>
      </c>
      <c r="AE30" s="1043">
        <f>'26'!$G$62</f>
        <v>0</v>
      </c>
      <c r="AF30" s="1043">
        <f>'26'!$G$63</f>
        <v>3.6300000000001091</v>
      </c>
      <c r="AG30" s="1043">
        <f>'26'!$G$64</f>
        <v>174.64000000001397</v>
      </c>
      <c r="AH30" s="1043">
        <f>'26'!$G$65</f>
        <v>185.88000000000466</v>
      </c>
      <c r="AI30" s="1043">
        <f>'26'!$G$66</f>
        <v>245.62999999999738</v>
      </c>
      <c r="AJ30" s="1043">
        <f>'26'!$G$67</f>
        <v>385.55999999999767</v>
      </c>
      <c r="AK30" s="1043">
        <f>'26'!$G$68</f>
        <v>0</v>
      </c>
      <c r="AL30" s="1043">
        <f>'26'!$G$69</f>
        <v>139.5399999999936</v>
      </c>
      <c r="AM30" s="1043">
        <f>'26'!$G$84</f>
        <v>786</v>
      </c>
      <c r="AN30" s="1043">
        <f>'26'!$G$15</f>
        <v>374.08100000000559</v>
      </c>
      <c r="AO30" s="1043">
        <f>'26'!$G$124</f>
        <v>207.51000000000931</v>
      </c>
      <c r="AP30" s="1043">
        <f>'26'!$G$125</f>
        <v>0</v>
      </c>
      <c r="AQ30" s="1043">
        <f>'26'!$G$126</f>
        <v>71.220000000001164</v>
      </c>
      <c r="AR30" s="1043">
        <f>'26'!$G$127</f>
        <v>0</v>
      </c>
      <c r="AS30" s="1043">
        <f>'26'!$G$128</f>
        <v>0</v>
      </c>
      <c r="AT30" s="1043">
        <f t="shared" si="0"/>
        <v>95.350999999995111</v>
      </c>
      <c r="AU30" s="1043">
        <f>SUM('26'!G140:G141)</f>
        <v>7.7799999999999727</v>
      </c>
      <c r="AV30" s="1043">
        <f>'26'!$G$137</f>
        <v>1.0000000002037268E-2</v>
      </c>
      <c r="AW30" s="1043">
        <f>'26'!$G$138</f>
        <v>-9.9999999983992893E-3</v>
      </c>
      <c r="AX30" s="1043">
        <f>'26'!$G$139</f>
        <v>2.8299999999871943</v>
      </c>
      <c r="AY30" s="1040">
        <f t="shared" si="1"/>
        <v>2.8299999999908323</v>
      </c>
      <c r="BA30" s="1048">
        <f t="shared" si="2"/>
        <v>112.1590000000142</v>
      </c>
    </row>
    <row r="31" spans="1:53">
      <c r="A31" s="1042">
        <v>43978</v>
      </c>
      <c r="B31" s="261">
        <f>'27'!G7</f>
        <v>16772.369999999995</v>
      </c>
      <c r="C31" s="261">
        <f>'27'!G8</f>
        <v>16839.609999999986</v>
      </c>
      <c r="D31" s="261">
        <f>'27'!G15</f>
        <v>615</v>
      </c>
      <c r="E31" s="261">
        <f>'27'!G20</f>
        <v>121</v>
      </c>
      <c r="F31" s="261">
        <f>SUM('27'!G35,'27'!G49)</f>
        <v>2481.25</v>
      </c>
      <c r="G31" s="261">
        <f>SUM('27'!G37,'27'!G51)</f>
        <v>1296.4000000000087</v>
      </c>
      <c r="H31" s="261">
        <f>SUM('27'!G38,'27'!G52)</f>
        <v>1176.5400000000373</v>
      </c>
      <c r="I31" s="261">
        <f>SUM('27'!G39,'27'!G53)</f>
        <v>2773.9800000000396</v>
      </c>
      <c r="J31" s="261">
        <f>SUM('27'!G41,'27'!G42,'27'!G55,'27'!G56)</f>
        <v>4767.4700000000012</v>
      </c>
      <c r="K31" s="261">
        <f>SUM('27'!G43,'27'!G57)</f>
        <v>2345.6999999999534</v>
      </c>
      <c r="L31" s="1043">
        <f>'27'!G50</f>
        <v>845.1699999999837</v>
      </c>
      <c r="M31" s="1043">
        <v>766.83999999999651</v>
      </c>
      <c r="N31" s="1043">
        <f>'27'!G72</f>
        <v>10</v>
      </c>
      <c r="O31" s="1043">
        <f>'27'!$G$73</f>
        <v>1</v>
      </c>
      <c r="P31" s="1043">
        <f>'27'!$G$74</f>
        <v>5.9299999999998363</v>
      </c>
      <c r="Q31" s="1043">
        <f>'27'!$G$75</f>
        <v>59.5</v>
      </c>
      <c r="R31" s="1043">
        <f>'27'!$G$76</f>
        <v>54</v>
      </c>
      <c r="S31" s="1043">
        <f>'27'!$G$77</f>
        <v>44</v>
      </c>
      <c r="T31" s="1034">
        <f>'27'!$G$78</f>
        <v>64</v>
      </c>
      <c r="U31" s="1034">
        <f>'27'!$G$79</f>
        <v>112</v>
      </c>
      <c r="V31" s="1034">
        <f>'27'!$G$80</f>
        <v>342.95999999996275</v>
      </c>
      <c r="W31" s="1034">
        <f>'27'!$G$81</f>
        <v>80.28000000002794</v>
      </c>
      <c r="X31" s="1034">
        <f>'27'!$G$82</f>
        <v>24.580000000001746</v>
      </c>
      <c r="Y31" s="1034">
        <f>'27'!$G$58</f>
        <v>82.319999999999709</v>
      </c>
      <c r="Z31" s="1034">
        <f>'27'!$G$83</f>
        <v>167</v>
      </c>
      <c r="AA31" s="1034">
        <f>'27'!G86</f>
        <v>34.679999999993015</v>
      </c>
      <c r="AB31" s="1034">
        <f>'27'!G87</f>
        <v>17.5</v>
      </c>
      <c r="AC31" s="1034">
        <f>'27'!G88</f>
        <v>21.989999999990687</v>
      </c>
      <c r="AD31" s="1034">
        <f>'27'!G87+'27'!H90</f>
        <v>17.900000000000091</v>
      </c>
      <c r="AE31" s="1043">
        <f>'27'!$G$62</f>
        <v>0</v>
      </c>
      <c r="AF31" s="1043">
        <f>'27'!$G$63</f>
        <v>2.9000000000000909</v>
      </c>
      <c r="AG31" s="1043">
        <f>'27'!$G$64</f>
        <v>196.29999999998836</v>
      </c>
      <c r="AH31" s="1043">
        <f>'27'!$G$65</f>
        <v>214.11999999999534</v>
      </c>
      <c r="AI31" s="1043">
        <f>'27'!$G$66</f>
        <v>267.58000000000175</v>
      </c>
      <c r="AJ31" s="1043">
        <f>'27'!$G$67</f>
        <v>446.42999999999302</v>
      </c>
      <c r="AK31" s="1043">
        <f>'27'!$G$68</f>
        <v>0</v>
      </c>
      <c r="AL31" s="1043">
        <f>'27'!$G$69</f>
        <v>100.49000000000524</v>
      </c>
      <c r="AM31" s="1043">
        <f>'27'!$G$84</f>
        <v>763</v>
      </c>
      <c r="AN31" s="1043">
        <f>'27'!$G$15</f>
        <v>615</v>
      </c>
      <c r="AO31" s="1043">
        <f>'27'!$G$124</f>
        <v>205.0899999999674</v>
      </c>
      <c r="AP31" s="1043">
        <f>'27'!$G$125</f>
        <v>0</v>
      </c>
      <c r="AQ31" s="1043">
        <f>'27'!$G$126</f>
        <v>53.029999999998836</v>
      </c>
      <c r="AR31" s="1043">
        <f>'27'!$G$127</f>
        <v>0</v>
      </c>
      <c r="AS31" s="1043">
        <f>'27'!$G$128</f>
        <v>0</v>
      </c>
      <c r="AT31" s="1043">
        <f t="shared" si="0"/>
        <v>356.88000000003376</v>
      </c>
      <c r="AU31" s="1043">
        <f>SUM('27'!G140:G141)</f>
        <v>7.6299999999998818</v>
      </c>
      <c r="AV31" s="1043">
        <f>'27'!$G$137</f>
        <v>0</v>
      </c>
      <c r="AW31" s="1043">
        <f>'27'!$G$138</f>
        <v>0</v>
      </c>
      <c r="AX31" s="1043">
        <f>'27'!$G$139</f>
        <v>9.7800000000133878</v>
      </c>
      <c r="AY31" s="1040">
        <f t="shared" si="1"/>
        <v>9.7800000000133878</v>
      </c>
      <c r="BA31" s="1048">
        <f t="shared" si="2"/>
        <v>-151.79000000006636</v>
      </c>
    </row>
    <row r="32" spans="1:53">
      <c r="A32" s="1042">
        <v>43979</v>
      </c>
      <c r="B32" s="261">
        <f>'28'!G7</f>
        <v>16848</v>
      </c>
      <c r="C32" s="261">
        <f>'28'!G8</f>
        <v>16930</v>
      </c>
      <c r="D32" s="261">
        <f>'28'!G15</f>
        <v>458</v>
      </c>
      <c r="E32" s="261">
        <f>'28'!G20</f>
        <v>100</v>
      </c>
      <c r="F32" s="261">
        <f>SUM('28'!G35,'28'!G49)</f>
        <v>2485</v>
      </c>
      <c r="G32" s="261">
        <f>SUM('28'!G37,'28'!G51)</f>
        <v>1279</v>
      </c>
      <c r="H32" s="261">
        <f>SUM('28'!G38,'28'!G52)</f>
        <v>1195.0699999999488</v>
      </c>
      <c r="I32" s="261">
        <f>SUM('28'!G39,'28'!G53)</f>
        <v>2711</v>
      </c>
      <c r="J32" s="261">
        <f>SUM('28'!G41,'28'!G42,'28'!G55,'28'!G56)</f>
        <v>4796</v>
      </c>
      <c r="K32" s="261">
        <f>SUM('28'!G43,'28'!G57)</f>
        <v>2329.33</v>
      </c>
      <c r="L32" s="1043">
        <f>'28'!G50</f>
        <v>832</v>
      </c>
      <c r="M32" s="1043">
        <v>600.26000000000931</v>
      </c>
      <c r="N32" s="1043">
        <f>'28'!G72</f>
        <v>14</v>
      </c>
      <c r="O32" s="1043">
        <f>'28'!$G$73</f>
        <v>1</v>
      </c>
      <c r="P32" s="1043">
        <f>'28'!$G$74</f>
        <v>7</v>
      </c>
      <c r="Q32" s="1043">
        <f>'28'!$G$75</f>
        <v>58</v>
      </c>
      <c r="R32" s="1043">
        <f>'28'!$G$76</f>
        <v>57</v>
      </c>
      <c r="S32" s="1043">
        <f>'28'!$G$77</f>
        <v>39</v>
      </c>
      <c r="T32" s="1034">
        <f>'28'!$G$78</f>
        <v>110</v>
      </c>
      <c r="U32" s="1034">
        <f>'28'!$G$79</f>
        <v>134</v>
      </c>
      <c r="V32" s="1034">
        <f>'28'!$G$80</f>
        <v>345</v>
      </c>
      <c r="W32" s="1034">
        <f>'28'!$G$81</f>
        <v>77</v>
      </c>
      <c r="X32" s="1034">
        <f>'28'!$G$82</f>
        <v>11</v>
      </c>
      <c r="Y32" s="1034">
        <f>'28'!$G$58</f>
        <v>213</v>
      </c>
      <c r="Z32" s="1034">
        <f>'28'!$G$83</f>
        <v>149</v>
      </c>
      <c r="AA32" s="1034">
        <f>'28'!G86</f>
        <v>34</v>
      </c>
      <c r="AB32" s="1034">
        <f>'28'!G87</f>
        <v>18</v>
      </c>
      <c r="AC32" s="1034">
        <f>'28'!G88</f>
        <v>23</v>
      </c>
      <c r="AD32" s="1034">
        <f>'28'!G87+'28'!H90</f>
        <v>18</v>
      </c>
      <c r="AE32" s="1043">
        <f>'28'!$G$62</f>
        <v>0</v>
      </c>
      <c r="AF32" s="1043">
        <f>'28'!$G$63</f>
        <v>4</v>
      </c>
      <c r="AG32" s="1043">
        <f>'28'!$G$64</f>
        <v>191</v>
      </c>
      <c r="AH32" s="1043">
        <f>'28'!$G$65</f>
        <v>218</v>
      </c>
      <c r="AI32" s="1043">
        <f>'28'!$G$66</f>
        <v>248</v>
      </c>
      <c r="AJ32" s="1043">
        <f>'28'!$G$67</f>
        <v>372</v>
      </c>
      <c r="AK32" s="1043">
        <f>'28'!$G$68</f>
        <v>0</v>
      </c>
      <c r="AL32" s="1043">
        <f>'28'!$G$69</f>
        <v>126</v>
      </c>
      <c r="AM32" s="1043">
        <f>'28'!$G$84</f>
        <v>879</v>
      </c>
      <c r="AN32" s="1043">
        <f>'28'!$G$15</f>
        <v>458</v>
      </c>
      <c r="AO32" s="1043">
        <f>'28'!$G$124</f>
        <v>197</v>
      </c>
      <c r="AP32" s="1043">
        <f>'28'!$G$125</f>
        <v>0</v>
      </c>
      <c r="AQ32" s="1043">
        <f>'28'!$G$126</f>
        <v>66</v>
      </c>
      <c r="AR32" s="1043">
        <f>'28'!$G$127</f>
        <v>-0.2000000000007276</v>
      </c>
      <c r="AS32" s="1043">
        <f>'28'!$G$128</f>
        <v>0.3999999999996362</v>
      </c>
      <c r="AT32" s="1043">
        <f t="shared" si="0"/>
        <v>194.80000000000109</v>
      </c>
      <c r="AU32" s="1043">
        <f>SUM('28'!G140:G141)</f>
        <v>7.1900000000000546</v>
      </c>
      <c r="AV32" s="1043">
        <f>'28'!$G$137</f>
        <v>7.6399999999994179</v>
      </c>
      <c r="AW32" s="1043">
        <f>'28'!$G$138</f>
        <v>9.9999999998544808E-2</v>
      </c>
      <c r="AX32" s="1043">
        <f>'28'!$G$139</f>
        <v>3.9999999993597157E-2</v>
      </c>
      <c r="AY32" s="1040">
        <f t="shared" si="1"/>
        <v>7.7799999999915599</v>
      </c>
      <c r="BA32" s="1048">
        <f t="shared" si="2"/>
        <v>2.1999999999989086</v>
      </c>
    </row>
    <row r="33" spans="1:53">
      <c r="A33" s="1042">
        <v>43980</v>
      </c>
      <c r="B33" s="261">
        <f>'29'!G7</f>
        <v>16913</v>
      </c>
      <c r="C33" s="261">
        <f>'29'!G8</f>
        <v>16984</v>
      </c>
      <c r="D33" s="261">
        <f>'29'!G15</f>
        <v>318</v>
      </c>
      <c r="E33" s="261">
        <f>'29'!G20</f>
        <v>117</v>
      </c>
      <c r="F33" s="261">
        <f>SUM('29'!G35,'29'!G49)</f>
        <v>2408</v>
      </c>
      <c r="G33" s="261">
        <f>SUM('29'!G37,'29'!G51)</f>
        <v>1353.8699999999953</v>
      </c>
      <c r="H33" s="261">
        <f>SUM('29'!G38,'29'!G52)</f>
        <v>1218</v>
      </c>
      <c r="I33" s="261">
        <f>SUM('29'!G39,'29'!G53)</f>
        <v>2918</v>
      </c>
      <c r="J33" s="261">
        <f>SUM('29'!G41,'29'!G42,'29'!G55,'29'!G56)</f>
        <v>4832</v>
      </c>
      <c r="K33" s="261">
        <f>SUM('29'!G43,'29'!G57)</f>
        <v>2325.67</v>
      </c>
      <c r="L33" s="1043">
        <f>'29'!G50</f>
        <v>866</v>
      </c>
      <c r="M33" s="1043">
        <v>525.63999999998487</v>
      </c>
      <c r="N33" s="1043">
        <f>'29'!G72</f>
        <v>11</v>
      </c>
      <c r="O33" s="1043">
        <f>'29'!$G$73</f>
        <v>1</v>
      </c>
      <c r="P33" s="1043">
        <f>'29'!$G$74</f>
        <v>7</v>
      </c>
      <c r="Q33" s="1043">
        <f>'29'!$G$75</f>
        <v>56</v>
      </c>
      <c r="R33" s="1043">
        <f>'29'!$G$76</f>
        <v>58</v>
      </c>
      <c r="S33" s="1043">
        <f>'29'!$G$77</f>
        <v>38</v>
      </c>
      <c r="T33" s="1043">
        <f>'29'!$G$78</f>
        <v>195</v>
      </c>
      <c r="U33" s="1043">
        <f>'29'!$G$79</f>
        <v>138</v>
      </c>
      <c r="V33" s="1043">
        <f>'29'!$G$80</f>
        <v>392</v>
      </c>
      <c r="W33" s="1043">
        <f>'29'!$G$81</f>
        <v>86</v>
      </c>
      <c r="X33" s="1043">
        <f>'29'!$G$82</f>
        <v>11</v>
      </c>
      <c r="Y33" s="1043">
        <f>'29'!$G$58</f>
        <v>0</v>
      </c>
      <c r="Z33" s="1043">
        <f>'29'!$G$83</f>
        <v>169</v>
      </c>
      <c r="AA33" s="1043">
        <f>'29'!G86</f>
        <v>35</v>
      </c>
      <c r="AB33" s="1043">
        <f>'29'!G87</f>
        <v>15</v>
      </c>
      <c r="AC33" s="1043">
        <f>'29'!G88</f>
        <v>23</v>
      </c>
      <c r="AD33" s="1043">
        <f>'29'!G87+'29'!H90</f>
        <v>15</v>
      </c>
      <c r="AE33" s="1043">
        <f>'29'!$G$62</f>
        <v>0</v>
      </c>
      <c r="AF33" s="1043">
        <f>'29'!$G$63</f>
        <v>4</v>
      </c>
      <c r="AG33" s="1043">
        <f>'29'!$G$64</f>
        <v>193</v>
      </c>
      <c r="AH33" s="1043">
        <f>'29'!$G$65</f>
        <v>213</v>
      </c>
      <c r="AI33" s="1043">
        <f>'29'!$G$66</f>
        <v>281</v>
      </c>
      <c r="AJ33" s="1043">
        <f>'29'!$G$67</f>
        <v>539</v>
      </c>
      <c r="AK33" s="1043">
        <f>'29'!$G$68</f>
        <v>0</v>
      </c>
      <c r="AL33" s="1043">
        <f>'29'!$G$69</f>
        <v>89</v>
      </c>
      <c r="AM33" s="1043">
        <f>'29'!$G$84</f>
        <v>872</v>
      </c>
      <c r="AN33" s="1043">
        <f>'29'!$G$15</f>
        <v>318</v>
      </c>
      <c r="AO33" s="1043">
        <f>'29'!$G$124</f>
        <v>197</v>
      </c>
      <c r="AP33" s="1043">
        <f>'29'!$G$125</f>
        <v>-0.39999999999417923</v>
      </c>
      <c r="AQ33" s="1043">
        <f>'29'!$G$126</f>
        <v>66</v>
      </c>
      <c r="AR33" s="1043">
        <f>'29'!$G$127</f>
        <v>0</v>
      </c>
      <c r="AS33" s="1043">
        <f>'29'!$G$128</f>
        <v>0</v>
      </c>
      <c r="AT33" s="1043">
        <f t="shared" si="0"/>
        <v>55.399999999994179</v>
      </c>
      <c r="AU33" s="1043">
        <f>SUM('29'!G140:G141)</f>
        <v>7.5599999999999454</v>
      </c>
      <c r="AV33" s="1043">
        <f>'29'!$G$137</f>
        <v>0</v>
      </c>
      <c r="AW33" s="1043">
        <f>'29'!$G$138</f>
        <v>0.18000000000029104</v>
      </c>
      <c r="AX33" s="1043">
        <f>'29'!$G$139</f>
        <v>0</v>
      </c>
      <c r="AY33" s="1040">
        <f t="shared" si="1"/>
        <v>0.18000000000029104</v>
      </c>
      <c r="BA33" s="1048">
        <f t="shared" si="2"/>
        <v>141.60000000000582</v>
      </c>
    </row>
    <row r="34" spans="1:53" s="1045" customFormat="1">
      <c r="A34" s="1042">
        <v>43981</v>
      </c>
      <c r="B34" s="261">
        <f>'30'!G7</f>
        <v>17872</v>
      </c>
      <c r="C34" s="261">
        <f>'30'!G8</f>
        <v>17940</v>
      </c>
      <c r="D34" s="261">
        <f>'30'!G15</f>
        <v>484</v>
      </c>
      <c r="E34" s="261">
        <f>'30'!G20</f>
        <v>138</v>
      </c>
      <c r="F34" s="1470">
        <f>SUM('30'!G35,'30'!G49)</f>
        <v>2377</v>
      </c>
      <c r="G34" s="1470">
        <f>SUM('30'!G37,'30'!G51)</f>
        <v>1302.1300000000047</v>
      </c>
      <c r="H34" s="1470">
        <f>SUM('30'!G38,'30'!G52)</f>
        <v>1330.9300000000512</v>
      </c>
      <c r="I34" s="261">
        <f>SUM('30'!G39,'30'!G53)</f>
        <v>2954</v>
      </c>
      <c r="J34" s="1470">
        <f>SUM('30'!G41,'30'!G42,'30'!G55,'30'!G56)</f>
        <v>5573</v>
      </c>
      <c r="K34" s="1470">
        <f>SUM('30'!G43,'30'!G57)</f>
        <v>2307</v>
      </c>
      <c r="L34" s="784">
        <f>'30'!G50</f>
        <v>926</v>
      </c>
      <c r="M34" s="1043">
        <v>572.66000000000349</v>
      </c>
      <c r="N34" s="1034">
        <f>'30'!G72</f>
        <v>14</v>
      </c>
      <c r="O34" s="1034">
        <f>'30'!$G$73</f>
        <v>1</v>
      </c>
      <c r="P34" s="1034">
        <f>'30'!$G$74</f>
        <v>6</v>
      </c>
      <c r="Q34" s="1034">
        <f>'30'!$G$75</f>
        <v>54</v>
      </c>
      <c r="R34" s="1034">
        <f>'30'!$G$76</f>
        <v>55</v>
      </c>
      <c r="S34" s="1034">
        <f>'30'!$G$77</f>
        <v>41</v>
      </c>
      <c r="T34" s="1034">
        <f>'30'!$G$78</f>
        <v>194</v>
      </c>
      <c r="U34" s="1034">
        <f>'30'!$G$79</f>
        <v>161</v>
      </c>
      <c r="V34" s="1034">
        <f>'30'!$G$80</f>
        <v>381</v>
      </c>
      <c r="W34" s="1034">
        <f>'30'!$G$81</f>
        <v>98</v>
      </c>
      <c r="X34" s="1034">
        <f>'30'!$G$82</f>
        <v>23</v>
      </c>
      <c r="Y34" s="1034">
        <f>'30'!$G$58</f>
        <v>91</v>
      </c>
      <c r="Z34" s="1034">
        <f>'30'!$G$83</f>
        <v>224</v>
      </c>
      <c r="AA34" s="1034">
        <f>'30'!G86</f>
        <v>36</v>
      </c>
      <c r="AB34" s="1034">
        <f>'30'!G87</f>
        <v>12</v>
      </c>
      <c r="AC34" s="1034">
        <f>'30'!G88</f>
        <v>24</v>
      </c>
      <c r="AD34" s="1034">
        <f>'30'!G87+'30'!H90</f>
        <v>12</v>
      </c>
      <c r="AE34" s="1034">
        <f>'30'!$G$62</f>
        <v>0</v>
      </c>
      <c r="AF34" s="1034">
        <f>'30'!$G$63</f>
        <v>4</v>
      </c>
      <c r="AG34" s="1034">
        <f>'30'!$G$64</f>
        <v>192</v>
      </c>
      <c r="AH34" s="1034">
        <f>'30'!$G$65</f>
        <v>216</v>
      </c>
      <c r="AI34" s="1034">
        <f>'30'!$G$66</f>
        <v>301</v>
      </c>
      <c r="AJ34" s="1034">
        <f>'30'!$G$67</f>
        <v>526</v>
      </c>
      <c r="AK34" s="1034">
        <f>'30'!$G$68</f>
        <v>0</v>
      </c>
      <c r="AL34" s="1034">
        <f>'30'!$G$69</f>
        <v>138</v>
      </c>
      <c r="AM34" s="1034">
        <f>'30'!$G$84</f>
        <v>802</v>
      </c>
      <c r="AN34" s="1034">
        <f>'30'!$G$15</f>
        <v>484</v>
      </c>
      <c r="AO34" s="1034">
        <f>'30'!$G$124</f>
        <v>217</v>
      </c>
      <c r="AP34" s="1034">
        <f>'30'!$G$125</f>
        <v>0.39999999999417923</v>
      </c>
      <c r="AQ34" s="1034">
        <f>'30'!$G$126</f>
        <v>65</v>
      </c>
      <c r="AR34" s="1034">
        <f>'30'!$G$127</f>
        <v>0</v>
      </c>
      <c r="AS34" s="1034">
        <f>'30'!$G$128</f>
        <v>0</v>
      </c>
      <c r="AT34" s="1034">
        <f t="shared" si="0"/>
        <v>201.60000000000582</v>
      </c>
      <c r="AU34" s="1034">
        <f>SUM('30'!G140:G141)</f>
        <v>8.0899999999999181</v>
      </c>
      <c r="AV34" s="1034">
        <f>'30'!$G$137</f>
        <v>0</v>
      </c>
      <c r="AW34" s="1034">
        <f>'30'!$G$138</f>
        <v>-0.18000000000029104</v>
      </c>
      <c r="AX34" s="1034">
        <f>'30'!$G$139</f>
        <v>9.7400000000052387</v>
      </c>
      <c r="AY34" s="1044">
        <f t="shared" si="1"/>
        <v>9.5600000000049477</v>
      </c>
      <c r="BA34" s="1049">
        <f t="shared" si="2"/>
        <v>15.399999999994179</v>
      </c>
    </row>
    <row r="35" spans="1:53">
      <c r="A35" s="1042">
        <v>43982</v>
      </c>
      <c r="B35" s="261">
        <f>'31'!G7</f>
        <v>17683</v>
      </c>
      <c r="C35" s="261">
        <f>'31'!G8</f>
        <v>17744</v>
      </c>
      <c r="D35" s="261">
        <f>'31'!G15</f>
        <v>640</v>
      </c>
      <c r="E35" s="261">
        <f>'31'!G20</f>
        <v>121</v>
      </c>
      <c r="F35" s="1470">
        <f>SUM('31'!G35,'31'!G49)</f>
        <v>2344.8699999999953</v>
      </c>
      <c r="G35" s="1470">
        <f>SUM('31'!G37,'31'!G51)</f>
        <v>1260</v>
      </c>
      <c r="H35" s="1470">
        <f>SUM('31'!G38,'31'!G52)</f>
        <v>1249</v>
      </c>
      <c r="I35" s="261">
        <f>SUM('31'!G39,'31'!G53)</f>
        <v>2684</v>
      </c>
      <c r="J35" s="1470">
        <f>SUM('31'!G41,'31'!G42,'31'!G55,'31'!G56)</f>
        <v>5603</v>
      </c>
      <c r="K35" s="1470">
        <f>SUM('31'!G43,'31'!G57)</f>
        <v>2277</v>
      </c>
      <c r="L35" s="784">
        <f>'31'!G50</f>
        <v>884</v>
      </c>
      <c r="M35" s="1043">
        <v>528.20000000001164</v>
      </c>
      <c r="N35" s="1034">
        <f>'31'!G72</f>
        <v>12</v>
      </c>
      <c r="O35" s="1034">
        <f>'31'!$G$73</f>
        <v>1</v>
      </c>
      <c r="P35" s="1034">
        <f>'31'!$G$74</f>
        <v>7</v>
      </c>
      <c r="Q35" s="1034">
        <f>'31'!$G$75</f>
        <v>54</v>
      </c>
      <c r="R35" s="1034">
        <f>'31'!$G$76</f>
        <v>56</v>
      </c>
      <c r="S35" s="1034">
        <f>'31'!$G$77</f>
        <v>48</v>
      </c>
      <c r="T35" s="1034">
        <f>'31'!$G$78</f>
        <v>78</v>
      </c>
      <c r="U35" s="1034">
        <f>'31'!$G$79</f>
        <v>158</v>
      </c>
      <c r="V35" s="1034">
        <f>'31'!$G$80</f>
        <v>359</v>
      </c>
      <c r="W35" s="1034">
        <f>'31'!$G$81</f>
        <v>89</v>
      </c>
      <c r="X35" s="1034">
        <f>'31'!$G$82</f>
        <v>12</v>
      </c>
      <c r="Y35" s="1034">
        <f>'31'!$G$58</f>
        <v>270</v>
      </c>
      <c r="Z35" s="1034">
        <f>'31'!$G$83</f>
        <v>193</v>
      </c>
      <c r="AA35" s="1034">
        <f>'31'!G87</f>
        <v>23</v>
      </c>
      <c r="AB35" s="1034">
        <f>'31'!G88</f>
        <v>94</v>
      </c>
      <c r="AC35" s="1034">
        <f>'31'!G89</f>
        <v>10.599999999998545</v>
      </c>
      <c r="AD35" s="1034">
        <f>'31'!G88+'31'!H92</f>
        <v>94</v>
      </c>
      <c r="AE35" s="1034">
        <f>'31'!$G$62</f>
        <v>0</v>
      </c>
      <c r="AF35" s="1034">
        <f>'31'!$G$63</f>
        <v>0</v>
      </c>
      <c r="AG35" s="1034">
        <f>'31'!$G$64</f>
        <v>187</v>
      </c>
      <c r="AH35" s="1034">
        <f>'31'!$G$65</f>
        <v>221</v>
      </c>
      <c r="AI35" s="1034">
        <f>'31'!$G$66</f>
        <v>283</v>
      </c>
      <c r="AJ35" s="1034">
        <f>'31'!$G$67</f>
        <v>422</v>
      </c>
      <c r="AK35" s="1034">
        <f>'31'!$G$68</f>
        <v>0</v>
      </c>
      <c r="AL35" s="1034">
        <f>'31'!$G$69</f>
        <v>104</v>
      </c>
      <c r="AM35" s="1034">
        <f>'31'!$G$84</f>
        <v>805</v>
      </c>
      <c r="AN35" s="1034">
        <f>'31'!$G$15</f>
        <v>640</v>
      </c>
      <c r="AO35" s="1034">
        <f>'31'!$G$124</f>
        <v>177</v>
      </c>
      <c r="AP35" s="1034">
        <f>'31'!$G$125</f>
        <v>0</v>
      </c>
      <c r="AQ35" s="1034">
        <f>'31'!$G$126</f>
        <v>58</v>
      </c>
      <c r="AR35" s="1034">
        <f>'31'!$G$127</f>
        <v>2</v>
      </c>
      <c r="AS35" s="1034">
        <f>'31'!$G$128</f>
        <v>1</v>
      </c>
      <c r="AT35" s="1034">
        <f t="shared" ref="AT35" si="3">AN35-SUM(AO35:AS35)</f>
        <v>402</v>
      </c>
      <c r="AU35" s="1034">
        <f>SUM('31'!G141:G142)</f>
        <v>0</v>
      </c>
      <c r="AV35" s="1034">
        <f>'31'!$G$137</f>
        <v>8.2400000000016007</v>
      </c>
      <c r="AW35" s="1034">
        <f>'31'!$G$138</f>
        <v>0</v>
      </c>
      <c r="AX35" s="1034">
        <f>'30'!$G$139</f>
        <v>9.7400000000052387</v>
      </c>
      <c r="AY35" s="1044">
        <f t="shared" ref="AY35" si="4">SUM(AV35:AX35)</f>
        <v>17.980000000006839</v>
      </c>
      <c r="BA35" s="1048"/>
    </row>
    <row r="36" spans="1:53" s="1468" customFormat="1">
      <c r="A36" s="1467" t="s">
        <v>360</v>
      </c>
      <c r="B36" s="1469">
        <f>AVERAGE(B5:B35)</f>
        <v>16110.806451612905</v>
      </c>
      <c r="C36" s="1467">
        <f t="shared" ref="C36:AY36" si="5">AVERAGE(C5:C35)</f>
        <v>16202.225806451614</v>
      </c>
      <c r="D36" s="1467">
        <f t="shared" si="5"/>
        <v>447.32258064516128</v>
      </c>
      <c r="E36" s="1467">
        <f t="shared" si="5"/>
        <v>100.64516129032258</v>
      </c>
      <c r="F36" s="1467">
        <f t="shared" si="5"/>
        <v>2065.4474193548385</v>
      </c>
      <c r="G36" s="1467">
        <f t="shared" si="5"/>
        <v>1258.4193548387098</v>
      </c>
      <c r="H36" s="1467">
        <f t="shared" si="5"/>
        <v>1187.3870967741937</v>
      </c>
      <c r="I36" s="1467">
        <f t="shared" si="5"/>
        <v>2509.7096774193546</v>
      </c>
      <c r="J36" s="1467">
        <f t="shared" si="5"/>
        <v>4999.0493548387103</v>
      </c>
      <c r="K36" s="1467">
        <f t="shared" si="5"/>
        <v>2202.7741935483873</v>
      </c>
      <c r="L36" s="1467">
        <f t="shared" si="5"/>
        <v>903.22580645161293</v>
      </c>
      <c r="M36" s="1467">
        <f t="shared" si="5"/>
        <v>618.39516129032347</v>
      </c>
      <c r="N36" s="1467">
        <f t="shared" si="5"/>
        <v>12.064516129032258</v>
      </c>
      <c r="O36" s="1467">
        <f t="shared" si="5"/>
        <v>1.967741935483871</v>
      </c>
      <c r="P36" s="1467">
        <f t="shared" si="5"/>
        <v>9.9032258064516121</v>
      </c>
      <c r="Q36" s="1467">
        <f t="shared" si="5"/>
        <v>53.516129032258064</v>
      </c>
      <c r="R36" s="1467">
        <f t="shared" si="5"/>
        <v>55.161290322580648</v>
      </c>
      <c r="S36" s="1467">
        <f t="shared" si="5"/>
        <v>41.193548387096776</v>
      </c>
      <c r="T36" s="1467">
        <f t="shared" si="5"/>
        <v>97</v>
      </c>
      <c r="U36" s="1467">
        <f t="shared" si="5"/>
        <v>136.32258064516128</v>
      </c>
      <c r="V36" s="1467">
        <f t="shared" si="5"/>
        <v>352.25806451612902</v>
      </c>
      <c r="W36" s="1467">
        <f t="shared" si="5"/>
        <v>78.064516129032256</v>
      </c>
      <c r="X36" s="1467">
        <f t="shared" si="5"/>
        <v>17.612903225806452</v>
      </c>
      <c r="Y36" s="1467">
        <f t="shared" si="5"/>
        <v>95.387096774193552</v>
      </c>
      <c r="Z36" s="1467">
        <f t="shared" si="5"/>
        <v>185</v>
      </c>
      <c r="AA36" s="1467">
        <f t="shared" si="5"/>
        <v>53.645161290322584</v>
      </c>
      <c r="AB36" s="1467">
        <f t="shared" si="5"/>
        <v>16.870967741935484</v>
      </c>
      <c r="AC36" s="1467">
        <f t="shared" si="5"/>
        <v>37.92258064516124</v>
      </c>
      <c r="AD36" s="1467">
        <f t="shared" si="5"/>
        <v>15.14193548387097</v>
      </c>
      <c r="AE36" s="1467">
        <f t="shared" si="5"/>
        <v>5.8064516129126146E-3</v>
      </c>
      <c r="AF36" s="1467">
        <f t="shared" si="5"/>
        <v>3.6451612903225805</v>
      </c>
      <c r="AG36" s="1467">
        <f t="shared" si="5"/>
        <v>213.96774193548387</v>
      </c>
      <c r="AH36" s="1467">
        <f t="shared" si="5"/>
        <v>206.41935483870967</v>
      </c>
      <c r="AI36" s="1467">
        <f t="shared" si="5"/>
        <v>265.61290322580646</v>
      </c>
      <c r="AJ36" s="1467">
        <f t="shared" si="5"/>
        <v>290.90322580645159</v>
      </c>
      <c r="AK36" s="1467">
        <f t="shared" si="5"/>
        <v>0</v>
      </c>
      <c r="AL36" s="1467">
        <f t="shared" si="5"/>
        <v>88.870967741935488</v>
      </c>
      <c r="AM36" s="1467">
        <f t="shared" si="5"/>
        <v>650.35483870967744</v>
      </c>
      <c r="AN36" s="1467">
        <f t="shared" si="5"/>
        <v>447.32258064516128</v>
      </c>
      <c r="AO36" s="1467">
        <f t="shared" si="5"/>
        <v>202.50129032258184</v>
      </c>
      <c r="AP36" s="1467">
        <f t="shared" si="5"/>
        <v>0</v>
      </c>
      <c r="AQ36" s="1467">
        <f t="shared" si="5"/>
        <v>58.1793548387096</v>
      </c>
      <c r="AR36" s="1467">
        <f t="shared" si="5"/>
        <v>6.4516129032258063E-2</v>
      </c>
      <c r="AS36" s="1467">
        <f t="shared" si="5"/>
        <v>7.4193548387073302E-2</v>
      </c>
      <c r="AT36" s="1467">
        <f t="shared" si="5"/>
        <v>186.5032258064505</v>
      </c>
      <c r="AU36" s="1467">
        <f t="shared" si="5"/>
        <v>7.440967741935486</v>
      </c>
      <c r="AV36" s="1467">
        <f t="shared" si="5"/>
        <v>2.182258064516176</v>
      </c>
      <c r="AW36" s="1467">
        <f t="shared" si="5"/>
        <v>7.4193548386955951E-3</v>
      </c>
      <c r="AX36" s="1467">
        <f t="shared" si="5"/>
        <v>3.4087096774197678</v>
      </c>
      <c r="AY36" s="1467">
        <f t="shared" si="5"/>
        <v>5.5983870967746396</v>
      </c>
    </row>
    <row r="37" spans="1:53" s="1468" customFormat="1">
      <c r="A37" s="1506" t="s">
        <v>110</v>
      </c>
      <c r="B37" s="1506">
        <f>SUM(B5:B35)</f>
        <v>499435.00000000006</v>
      </c>
      <c r="C37" s="1506">
        <f t="shared" ref="C37:AY37" si="6">SUM(C5:C35)</f>
        <v>502269</v>
      </c>
      <c r="D37" s="1506">
        <f t="shared" si="6"/>
        <v>13867</v>
      </c>
      <c r="E37" s="1506">
        <f t="shared" si="6"/>
        <v>3120</v>
      </c>
      <c r="F37" s="1506">
        <f t="shared" si="6"/>
        <v>64028.869999999995</v>
      </c>
      <c r="G37" s="1506">
        <f t="shared" si="6"/>
        <v>39011</v>
      </c>
      <c r="H37" s="1506">
        <f t="shared" si="6"/>
        <v>36809</v>
      </c>
      <c r="I37" s="1506">
        <f t="shared" si="6"/>
        <v>77801</v>
      </c>
      <c r="J37" s="1506">
        <f t="shared" si="6"/>
        <v>154970.53000000003</v>
      </c>
      <c r="K37" s="1506">
        <f t="shared" si="6"/>
        <v>68286</v>
      </c>
      <c r="L37" s="1506">
        <f t="shared" si="6"/>
        <v>28000</v>
      </c>
      <c r="M37" s="1506">
        <f t="shared" si="6"/>
        <v>19170.250000000029</v>
      </c>
      <c r="N37" s="1506">
        <f t="shared" si="6"/>
        <v>374</v>
      </c>
      <c r="O37" s="1506">
        <f t="shared" si="6"/>
        <v>61</v>
      </c>
      <c r="P37" s="1506">
        <f t="shared" si="6"/>
        <v>307</v>
      </c>
      <c r="Q37" s="1506">
        <f t="shared" si="6"/>
        <v>1659</v>
      </c>
      <c r="R37" s="1506">
        <f t="shared" si="6"/>
        <v>1710</v>
      </c>
      <c r="S37" s="1506">
        <f t="shared" si="6"/>
        <v>1277</v>
      </c>
      <c r="T37" s="1506">
        <f t="shared" si="6"/>
        <v>3007</v>
      </c>
      <c r="U37" s="1506">
        <f t="shared" si="6"/>
        <v>4226</v>
      </c>
      <c r="V37" s="1506">
        <f t="shared" si="6"/>
        <v>10920</v>
      </c>
      <c r="W37" s="1506">
        <f t="shared" si="6"/>
        <v>2420</v>
      </c>
      <c r="X37" s="1506">
        <f t="shared" si="6"/>
        <v>546</v>
      </c>
      <c r="Y37" s="1506">
        <f t="shared" si="6"/>
        <v>2957</v>
      </c>
      <c r="Z37" s="1506">
        <f t="shared" si="6"/>
        <v>5735</v>
      </c>
      <c r="AA37" s="1506">
        <f t="shared" si="6"/>
        <v>1663</v>
      </c>
      <c r="AB37" s="1506">
        <f t="shared" si="6"/>
        <v>523</v>
      </c>
      <c r="AC37" s="1506">
        <f t="shared" si="6"/>
        <v>1175.5999999999985</v>
      </c>
      <c r="AD37" s="1506">
        <f t="shared" si="6"/>
        <v>469.40000000000009</v>
      </c>
      <c r="AE37" s="1506">
        <f t="shared" si="6"/>
        <v>0.18000000000029104</v>
      </c>
      <c r="AF37" s="1506">
        <f t="shared" si="6"/>
        <v>113</v>
      </c>
      <c r="AG37" s="1506">
        <f t="shared" si="6"/>
        <v>6633</v>
      </c>
      <c r="AH37" s="1506">
        <f t="shared" si="6"/>
        <v>6399</v>
      </c>
      <c r="AI37" s="1506">
        <f t="shared" si="6"/>
        <v>8234</v>
      </c>
      <c r="AJ37" s="1506">
        <f t="shared" si="6"/>
        <v>9018</v>
      </c>
      <c r="AK37" s="1506">
        <f t="shared" si="6"/>
        <v>0</v>
      </c>
      <c r="AL37" s="1506">
        <f t="shared" si="6"/>
        <v>2755</v>
      </c>
      <c r="AM37" s="1506">
        <f t="shared" si="6"/>
        <v>20161</v>
      </c>
      <c r="AN37" s="1506">
        <f t="shared" si="6"/>
        <v>13867</v>
      </c>
      <c r="AO37" s="1506">
        <f t="shared" si="6"/>
        <v>6277.5400000000373</v>
      </c>
      <c r="AP37" s="1506">
        <f t="shared" si="6"/>
        <v>0</v>
      </c>
      <c r="AQ37" s="1506">
        <f t="shared" si="6"/>
        <v>1803.5599999999977</v>
      </c>
      <c r="AR37" s="1506">
        <f t="shared" si="6"/>
        <v>2</v>
      </c>
      <c r="AS37" s="1506">
        <f t="shared" si="6"/>
        <v>2.2999999999992724</v>
      </c>
      <c r="AT37" s="1506">
        <f t="shared" si="6"/>
        <v>5781.5999999999658</v>
      </c>
      <c r="AU37" s="1506">
        <f t="shared" si="6"/>
        <v>230.67000000000007</v>
      </c>
      <c r="AV37" s="1506">
        <f t="shared" si="6"/>
        <v>67.650000000001455</v>
      </c>
      <c r="AW37" s="1506">
        <f t="shared" si="6"/>
        <v>0.22999999999956344</v>
      </c>
      <c r="AX37" s="1506">
        <f t="shared" si="6"/>
        <v>105.67000000001281</v>
      </c>
      <c r="AY37" s="1506">
        <f t="shared" si="6"/>
        <v>173.55000000001382</v>
      </c>
    </row>
    <row r="38" spans="1:53">
      <c r="A38" s="1084"/>
      <c r="B38" s="1084"/>
      <c r="C38" s="1084"/>
      <c r="D38" s="1084"/>
      <c r="E38" s="1084"/>
      <c r="AO38" s="1087"/>
      <c r="AP38" s="1088">
        <f>SUM(AP37:AP37)</f>
        <v>0</v>
      </c>
      <c r="AQ38" s="1089" t="s">
        <v>111</v>
      </c>
      <c r="AR38" s="1089">
        <v>335</v>
      </c>
    </row>
    <row r="39" spans="1:53">
      <c r="A39" s="1084"/>
      <c r="B39" s="1084"/>
      <c r="C39" s="1084"/>
      <c r="D39" s="1084"/>
      <c r="E39" s="1084"/>
      <c r="AO39" s="1087"/>
      <c r="AP39" s="1087"/>
      <c r="AQ39" s="1087"/>
      <c r="AR39" s="1087"/>
    </row>
    <row r="40" spans="1:53">
      <c r="A40" s="1084"/>
      <c r="B40" s="1084"/>
      <c r="C40" s="1084"/>
      <c r="D40" s="1084"/>
      <c r="E40" s="1084"/>
      <c r="N40" s="1048"/>
      <c r="O40" s="1048"/>
      <c r="P40" s="1048"/>
      <c r="Q40" s="1048"/>
      <c r="R40" s="1048"/>
      <c r="S40" s="1048"/>
      <c r="T40" s="1048"/>
      <c r="U40" s="1048"/>
      <c r="V40" s="1048"/>
      <c r="W40" s="1048"/>
      <c r="X40" s="1048"/>
      <c r="Y40" s="1048"/>
      <c r="Z40" s="1048"/>
      <c r="AA40" s="1048"/>
      <c r="AB40" s="1048"/>
      <c r="AC40" s="1048"/>
      <c r="AD40" s="1048"/>
      <c r="AE40" s="1048"/>
      <c r="AF40" s="1048"/>
      <c r="AG40" s="1048"/>
      <c r="AH40" s="1048"/>
      <c r="AI40" s="1048"/>
      <c r="AJ40" s="1048"/>
      <c r="AK40" s="1048"/>
      <c r="AL40" s="1048"/>
      <c r="AN40" s="1048"/>
      <c r="AO40" s="1086" t="s">
        <v>112</v>
      </c>
      <c r="AP40" s="1088">
        <v>168</v>
      </c>
      <c r="AQ40" s="1087"/>
      <c r="AR40" s="1087"/>
    </row>
    <row r="41" spans="1:53">
      <c r="A41" s="1084"/>
      <c r="B41" s="1084"/>
      <c r="C41" s="1084"/>
      <c r="D41" s="1084"/>
      <c r="E41" s="1084"/>
      <c r="AO41" s="1087"/>
      <c r="AP41" s="1087"/>
      <c r="AQ41" s="1089" t="s">
        <v>113</v>
      </c>
      <c r="AR41" s="1087"/>
    </row>
    <row r="42" spans="1:53">
      <c r="A42" s="1084"/>
      <c r="B42" s="1084"/>
      <c r="C42" s="1084"/>
      <c r="D42" s="1084"/>
      <c r="E42" s="1084"/>
      <c r="AO42" s="1087" t="s">
        <v>114</v>
      </c>
      <c r="AP42" s="1087">
        <f>20*38.68</f>
        <v>773.6</v>
      </c>
      <c r="AQ42" s="1087" t="s">
        <v>115</v>
      </c>
      <c r="AR42" s="1087"/>
    </row>
    <row r="43" spans="1:53">
      <c r="A43" s="1084"/>
      <c r="B43" s="1084"/>
      <c r="C43" s="1084"/>
      <c r="D43" s="1084"/>
      <c r="E43" s="1084"/>
    </row>
    <row r="44" spans="1:53">
      <c r="A44" s="1084"/>
      <c r="B44" s="1084"/>
      <c r="C44" s="1084"/>
      <c r="D44" s="1084"/>
      <c r="E44" s="1084"/>
    </row>
    <row r="45" spans="1:53">
      <c r="A45" s="1084"/>
      <c r="B45" s="1084"/>
      <c r="C45" s="1084"/>
      <c r="D45" s="1084"/>
      <c r="E45" s="1084"/>
    </row>
    <row r="46" spans="1:53">
      <c r="A46" s="1084"/>
      <c r="B46" s="1084"/>
      <c r="C46" s="1084"/>
      <c r="D46" s="1084"/>
      <c r="E46" s="1084"/>
    </row>
    <row r="47" spans="1:53">
      <c r="A47" s="1084"/>
      <c r="B47" s="1084"/>
      <c r="C47" s="1084"/>
      <c r="D47" s="1084"/>
      <c r="E47" s="1084"/>
    </row>
    <row r="48" spans="1:53">
      <c r="A48" s="1084"/>
      <c r="B48" s="1084"/>
      <c r="C48" s="1084"/>
      <c r="D48" s="1084"/>
      <c r="E48" s="1084"/>
    </row>
    <row r="49" spans="1:5">
      <c r="A49" s="1084"/>
      <c r="B49" s="1084"/>
      <c r="C49" s="1084"/>
      <c r="D49" s="1084"/>
      <c r="E49" s="1084"/>
    </row>
    <row r="50" spans="1:5">
      <c r="A50" s="1084"/>
      <c r="B50" s="1084"/>
      <c r="C50" s="1084"/>
      <c r="D50" s="1084"/>
      <c r="E50" s="1084"/>
    </row>
    <row r="51" spans="1:5">
      <c r="A51" s="1084"/>
      <c r="B51" s="1084"/>
      <c r="C51" s="1084"/>
      <c r="D51" s="1084"/>
      <c r="E51" s="1084"/>
    </row>
    <row r="52" spans="1:5">
      <c r="A52" s="1084"/>
      <c r="B52" s="1084"/>
      <c r="C52" s="1084"/>
      <c r="D52" s="1084"/>
      <c r="E52" s="1084"/>
    </row>
    <row r="53" spans="1:5">
      <c r="A53" s="1084"/>
      <c r="B53" s="1084"/>
      <c r="C53" s="1084"/>
      <c r="D53" s="1084"/>
      <c r="E53" s="1084"/>
    </row>
    <row r="54" spans="1:5">
      <c r="A54" s="1084"/>
      <c r="B54" s="1084"/>
      <c r="C54" s="1084"/>
      <c r="D54" s="1084"/>
      <c r="E54" s="1084"/>
    </row>
    <row r="55" spans="1:5">
      <c r="A55" s="1084"/>
      <c r="B55" s="1084"/>
      <c r="C55" s="1084"/>
      <c r="D55" s="1084"/>
      <c r="E55" s="1084"/>
    </row>
    <row r="56" spans="1:5">
      <c r="A56" s="1084"/>
      <c r="B56" s="1084"/>
      <c r="C56" s="1084"/>
      <c r="D56" s="1084"/>
      <c r="E56" s="1084"/>
    </row>
    <row r="57" spans="1:5">
      <c r="A57" s="1084"/>
      <c r="B57" s="1084"/>
      <c r="C57" s="1084"/>
      <c r="D57" s="1084"/>
      <c r="E57" s="1084"/>
    </row>
    <row r="58" spans="1:5">
      <c r="A58" s="1084"/>
      <c r="B58" s="1084"/>
      <c r="C58" s="1084"/>
      <c r="D58" s="1084"/>
      <c r="E58" s="1084"/>
    </row>
    <row r="59" spans="1:5">
      <c r="A59" s="1084"/>
      <c r="B59" s="1084"/>
      <c r="C59" s="1084"/>
      <c r="D59" s="1084"/>
      <c r="E59" s="1084"/>
    </row>
    <row r="60" spans="1:5">
      <c r="A60" s="1084"/>
      <c r="B60" s="1084"/>
      <c r="C60" s="1084"/>
      <c r="D60" s="1084"/>
      <c r="E60" s="1084"/>
    </row>
    <row r="61" spans="1:5">
      <c r="A61" s="1084"/>
      <c r="B61" s="1084"/>
      <c r="C61" s="1084"/>
      <c r="D61" s="1084"/>
      <c r="E61" s="1084"/>
    </row>
    <row r="62" spans="1:5">
      <c r="A62" s="1084"/>
      <c r="B62" s="1084"/>
      <c r="C62" s="1084"/>
      <c r="D62" s="1084"/>
      <c r="E62" s="1084"/>
    </row>
    <row r="63" spans="1:5">
      <c r="A63" s="1084"/>
      <c r="B63" s="1084"/>
      <c r="C63" s="1084"/>
      <c r="D63" s="1084"/>
      <c r="E63" s="1084"/>
    </row>
    <row r="64" spans="1:5">
      <c r="A64" s="1084"/>
      <c r="B64" s="1084"/>
      <c r="C64" s="1084"/>
      <c r="D64" s="1084"/>
      <c r="E64" s="1084"/>
    </row>
    <row r="65" spans="1:5">
      <c r="A65" s="1084"/>
      <c r="B65" s="1084"/>
      <c r="C65" s="1084"/>
      <c r="D65" s="1084"/>
      <c r="E65" s="1084"/>
    </row>
    <row r="66" spans="1:5">
      <c r="A66" s="1084"/>
      <c r="B66" s="1084"/>
      <c r="C66" s="1084"/>
      <c r="D66" s="1084"/>
      <c r="E66" s="1084"/>
    </row>
    <row r="67" spans="1:5">
      <c r="A67" s="1084"/>
      <c r="B67" s="1084"/>
      <c r="C67" s="1084"/>
      <c r="D67" s="1084"/>
      <c r="E67" s="1084"/>
    </row>
    <row r="68" spans="1:5">
      <c r="A68" s="1084"/>
      <c r="B68" s="1084"/>
      <c r="C68" s="1084"/>
      <c r="D68" s="1084"/>
      <c r="E68" s="1084"/>
    </row>
    <row r="69" spans="1:5">
      <c r="A69" s="1084"/>
      <c r="B69" s="1084"/>
      <c r="C69" s="1084"/>
      <c r="D69" s="1084"/>
      <c r="E69" s="1084"/>
    </row>
    <row r="70" spans="1:5">
      <c r="A70" s="1084"/>
      <c r="B70" s="1084"/>
      <c r="C70" s="1084"/>
      <c r="D70" s="1084"/>
      <c r="E70" s="1084"/>
    </row>
    <row r="71" spans="1:5">
      <c r="A71" s="1084"/>
      <c r="B71" s="1084"/>
      <c r="C71" s="1084"/>
      <c r="D71" s="1084"/>
      <c r="E71" s="1084"/>
    </row>
    <row r="72" spans="1:5">
      <c r="A72" s="1084"/>
      <c r="B72" s="1084"/>
      <c r="C72" s="1084"/>
      <c r="D72" s="1084"/>
      <c r="E72" s="1084"/>
    </row>
    <row r="73" spans="1:5">
      <c r="A73" s="1084"/>
      <c r="B73" s="1084"/>
      <c r="C73" s="1084"/>
      <c r="D73" s="1084"/>
      <c r="E73" s="1084"/>
    </row>
    <row r="74" spans="1:5">
      <c r="A74" s="1084"/>
      <c r="B74" s="1084"/>
      <c r="C74" s="1084"/>
      <c r="D74" s="1084"/>
      <c r="E74" s="1084"/>
    </row>
    <row r="75" spans="1:5">
      <c r="A75" s="1084"/>
      <c r="B75" s="1084"/>
      <c r="C75" s="1084"/>
      <c r="D75" s="1084"/>
      <c r="E75" s="1084"/>
    </row>
    <row r="76" spans="1:5">
      <c r="A76" s="1084"/>
      <c r="B76" s="1084"/>
      <c r="C76" s="1084"/>
      <c r="D76" s="1084"/>
      <c r="E76" s="1084"/>
    </row>
    <row r="77" spans="1:5">
      <c r="A77" s="1084"/>
      <c r="B77" s="1084"/>
      <c r="C77" s="1084"/>
      <c r="D77" s="1084"/>
      <c r="E77" s="1084"/>
    </row>
    <row r="78" spans="1:5">
      <c r="A78" s="1084"/>
      <c r="B78" s="1084"/>
      <c r="C78" s="1084"/>
      <c r="D78" s="1084"/>
      <c r="E78" s="1084"/>
    </row>
    <row r="79" spans="1:5">
      <c r="A79" s="1084"/>
      <c r="B79" s="1084"/>
      <c r="C79" s="1084"/>
      <c r="D79" s="1084"/>
      <c r="E79" s="1084"/>
    </row>
    <row r="80" spans="1:5">
      <c r="A80" s="1084"/>
      <c r="B80" s="1084"/>
      <c r="C80" s="1084"/>
      <c r="D80" s="1084"/>
      <c r="E80" s="1084"/>
    </row>
    <row r="81" spans="1:5">
      <c r="A81" s="1084"/>
      <c r="B81" s="1084"/>
      <c r="C81" s="1084"/>
      <c r="D81" s="1084"/>
      <c r="E81" s="1084"/>
    </row>
    <row r="82" spans="1:5">
      <c r="A82" s="1084"/>
      <c r="B82" s="1084"/>
      <c r="C82" s="1084"/>
      <c r="D82" s="1084"/>
      <c r="E82" s="1084"/>
    </row>
    <row r="83" spans="1:5">
      <c r="A83" s="1084"/>
      <c r="B83" s="1084"/>
      <c r="C83" s="1084"/>
      <c r="D83" s="1084"/>
      <c r="E83" s="1084"/>
    </row>
    <row r="84" spans="1:5">
      <c r="A84" s="1084"/>
      <c r="B84" s="1084"/>
      <c r="C84" s="1084"/>
      <c r="D84" s="1084"/>
      <c r="E84" s="1084"/>
    </row>
    <row r="85" spans="1:5">
      <c r="A85" s="1084"/>
      <c r="B85" s="1084"/>
      <c r="C85" s="1084"/>
      <c r="D85" s="1084"/>
      <c r="E85" s="1084"/>
    </row>
    <row r="86" spans="1:5">
      <c r="A86" s="1085"/>
      <c r="B86" s="1085"/>
      <c r="C86" s="1085"/>
      <c r="D86" s="1085"/>
      <c r="E86" s="1085"/>
    </row>
    <row r="87" spans="1:5">
      <c r="A87" s="1085"/>
      <c r="B87" s="1085"/>
      <c r="C87" s="1085"/>
      <c r="D87" s="1085"/>
      <c r="E87" s="1085"/>
    </row>
    <row r="88" spans="1:5">
      <c r="A88" s="1085"/>
      <c r="B88" s="1085"/>
      <c r="C88" s="1085"/>
      <c r="D88" s="1085"/>
      <c r="E88" s="1085"/>
    </row>
    <row r="89" spans="1:5">
      <c r="A89" s="1085"/>
      <c r="B89" s="1085"/>
      <c r="C89" s="1085"/>
      <c r="D89" s="1085"/>
      <c r="E89" s="1085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3" zoomScale="55" zoomScaleNormal="61" zoomScaleSheetLayoutView="55" zoomScalePageLayoutView="70" workbookViewId="0">
      <selection activeCell="E9" sqref="E9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8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362</v>
      </c>
      <c r="B2" s="1035">
        <v>44317</v>
      </c>
      <c r="C2" s="1310" t="s">
        <v>69</v>
      </c>
      <c r="D2" s="611">
        <v>0.84</v>
      </c>
      <c r="E2" s="739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10" t="s">
        <v>119</v>
      </c>
      <c r="D3" s="612">
        <v>30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0" t="s">
        <v>121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514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2" t="s">
        <v>129</v>
      </c>
      <c r="B6" s="1563"/>
      <c r="C6" s="1564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v>5727433</v>
      </c>
      <c r="F7" s="455">
        <v>5743421</v>
      </c>
      <c r="G7" s="473">
        <f>F7-E7</f>
        <v>15988</v>
      </c>
      <c r="H7" s="460">
        <f>G7</f>
        <v>15988</v>
      </c>
      <c r="I7" s="474">
        <v>12000</v>
      </c>
      <c r="J7" s="552">
        <f>H7/DAY(B2)</f>
        <v>15988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v>5761244</v>
      </c>
      <c r="F8" s="475">
        <v>5777297</v>
      </c>
      <c r="G8" s="476">
        <f>F8-E8</f>
        <v>16053</v>
      </c>
      <c r="H8" s="460">
        <f>G8</f>
        <v>16053</v>
      </c>
      <c r="I8" s="477">
        <v>12000</v>
      </c>
      <c r="J8" s="552">
        <f>H8/DAY(B2)</f>
        <v>16053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v>990714</v>
      </c>
      <c r="F9" s="478">
        <v>1006183</v>
      </c>
      <c r="G9" s="473">
        <f>F9-E9</f>
        <v>15469</v>
      </c>
      <c r="H9" s="460">
        <f t="shared" ref="H9:H13" si="0">G9</f>
        <v>15469</v>
      </c>
      <c r="I9" s="479">
        <f>I8-J8</f>
        <v>-4053</v>
      </c>
      <c r="J9" s="552">
        <f>H9/DAY(B2)</f>
        <v>15469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v>2322.58</v>
      </c>
      <c r="F10" s="478">
        <v>2322.58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15469</v>
      </c>
      <c r="H13" s="460">
        <f t="shared" si="0"/>
        <v>15469</v>
      </c>
      <c r="I13" s="482">
        <f>G7-G13</f>
        <v>519</v>
      </c>
      <c r="J13" s="552">
        <f>H13/DAY(B2)</f>
        <v>15469</v>
      </c>
      <c r="K13" s="428"/>
      <c r="L13" s="377"/>
      <c r="N13" s="382"/>
      <c r="O13" s="382"/>
    </row>
    <row r="14" spans="1:15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8" t="s">
        <v>139</v>
      </c>
      <c r="B15" s="589"/>
      <c r="C15" s="589"/>
      <c r="D15" s="523" t="s">
        <v>140</v>
      </c>
      <c r="E15" s="522">
        <v>1670657</v>
      </c>
      <c r="F15" s="484">
        <v>1670991</v>
      </c>
      <c r="G15" s="782">
        <f>(F15-E15)</f>
        <v>334</v>
      </c>
      <c r="H15" s="460">
        <f>G15</f>
        <v>334</v>
      </c>
      <c r="I15" s="474">
        <v>800</v>
      </c>
      <c r="J15" s="552">
        <f>H15/DAY(B2)</f>
        <v>334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466</v>
      </c>
      <c r="J16" s="553"/>
      <c r="K16" s="428"/>
      <c r="L16" s="377"/>
      <c r="N16" s="382"/>
      <c r="O16" s="382"/>
    </row>
    <row r="17" spans="1:15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1" t="s">
        <v>142</v>
      </c>
      <c r="B18" s="1552"/>
      <c r="C18" s="1553"/>
      <c r="D18" s="523" t="s">
        <v>143</v>
      </c>
      <c r="E18" s="484">
        <v>6</v>
      </c>
      <c r="F18" s="484">
        <v>8</v>
      </c>
      <c r="G18" s="481">
        <f>F18*10</f>
        <v>80</v>
      </c>
      <c r="H18" s="460">
        <f>G18</f>
        <v>80</v>
      </c>
      <c r="I18" s="474">
        <v>65</v>
      </c>
      <c r="J18" s="552">
        <f>H18/DAY(B2)</f>
        <v>80</v>
      </c>
      <c r="K18" s="428"/>
      <c r="L18" s="377"/>
      <c r="N18" s="382"/>
      <c r="O18" s="382"/>
    </row>
    <row r="19" spans="1:15" ht="27.75">
      <c r="A19" s="1551" t="s">
        <v>71</v>
      </c>
      <c r="B19" s="1552"/>
      <c r="C19" s="1553"/>
      <c r="D19" s="523" t="s">
        <v>143</v>
      </c>
      <c r="E19" s="484">
        <v>137812</v>
      </c>
      <c r="F19" s="484">
        <v>137868</v>
      </c>
      <c r="G19" s="473">
        <f t="shared" ref="G19" si="2">F19-E19</f>
        <v>56</v>
      </c>
      <c r="H19" s="460">
        <f t="shared" ref="H19" si="3">G19</f>
        <v>56</v>
      </c>
      <c r="I19" s="489"/>
      <c r="J19" s="552">
        <f>H19/DAY(B2)</f>
        <v>56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136</v>
      </c>
      <c r="H20" s="460">
        <f>G20</f>
        <v>136</v>
      </c>
      <c r="I20" s="492">
        <f>I18-J20</f>
        <v>-71</v>
      </c>
      <c r="J20" s="552">
        <f>H20/DAY(B2)</f>
        <v>136</v>
      </c>
      <c r="K20" s="428"/>
      <c r="L20" s="377"/>
      <c r="N20" s="382"/>
      <c r="O20" s="382"/>
    </row>
    <row r="21" spans="1:15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8" t="s">
        <v>146</v>
      </c>
      <c r="B22" s="589"/>
      <c r="C22" s="589"/>
      <c r="D22" s="523" t="s">
        <v>147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8" t="s">
        <v>148</v>
      </c>
      <c r="B23" s="589"/>
      <c r="C23" s="589"/>
      <c r="D23" s="523" t="s">
        <v>147</v>
      </c>
      <c r="E23" s="484">
        <v>2000</v>
      </c>
      <c r="F23" s="484">
        <v>2000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v>4970</v>
      </c>
      <c r="F24" s="493">
        <v>4970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16053</v>
      </c>
      <c r="F27" s="501">
        <v>9</v>
      </c>
      <c r="G27" s="502">
        <f>E27*F27</f>
        <v>144477</v>
      </c>
      <c r="H27" s="460">
        <f>G27</f>
        <v>144477</v>
      </c>
      <c r="I27" s="503"/>
      <c r="J27" s="552">
        <f>H27/DAY(B2)</f>
        <v>144477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v>334</v>
      </c>
      <c r="F28" s="501">
        <v>49</v>
      </c>
      <c r="G28" s="502">
        <f>E28*F28</f>
        <v>16366</v>
      </c>
      <c r="H28" s="460">
        <f>G28</f>
        <v>16366</v>
      </c>
      <c r="I28" s="505"/>
      <c r="J28" s="552">
        <f>H28/DAY(B2)</f>
        <v>16366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v>56</v>
      </c>
      <c r="F30" s="501">
        <v>134</v>
      </c>
      <c r="G30" s="502">
        <f>E30*F30</f>
        <v>7504</v>
      </c>
      <c r="H30" s="460">
        <f>G30</f>
        <v>7504</v>
      </c>
      <c r="I30" s="505"/>
      <c r="J30" s="552">
        <f>H30/DAY(B2)</f>
        <v>7504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v>80</v>
      </c>
      <c r="F31" s="501">
        <v>80</v>
      </c>
      <c r="G31" s="502">
        <f>E31*F31</f>
        <v>6400</v>
      </c>
      <c r="H31" s="460">
        <f>G31</f>
        <v>6400</v>
      </c>
      <c r="I31" s="505"/>
      <c r="J31" s="552">
        <f>H31/DAY(B2)</f>
        <v>6400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174747</v>
      </c>
      <c r="H32" s="460">
        <f t="shared" ref="H32" si="5">G32</f>
        <v>174747</v>
      </c>
      <c r="I32" s="509"/>
      <c r="J32" s="552">
        <f>H32/DAY(B2)</f>
        <v>174747</v>
      </c>
      <c r="K32" s="373"/>
      <c r="L32" s="443"/>
      <c r="N32" s="444"/>
      <c r="O32" s="382"/>
    </row>
    <row r="33" spans="1:15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  <c r="O33" s="382"/>
    </row>
    <row r="34" spans="1:15">
      <c r="A34" s="598" t="s">
        <v>162</v>
      </c>
      <c r="B34" s="1313"/>
      <c r="C34" s="1313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v>886459</v>
      </c>
      <c r="F35" s="510">
        <v>888627</v>
      </c>
      <c r="G35" s="473">
        <f>F35-E35</f>
        <v>2168</v>
      </c>
      <c r="H35" s="460">
        <f>G35</f>
        <v>2168</v>
      </c>
      <c r="I35" s="455"/>
      <c r="J35" s="552">
        <f>H35/DAY(B2)</f>
        <v>2168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v>344608</v>
      </c>
      <c r="F36" s="510">
        <v>344999</v>
      </c>
      <c r="G36" s="473">
        <f t="shared" ref="G36:G46" si="6">F36-E36</f>
        <v>391</v>
      </c>
      <c r="H36" s="460">
        <f t="shared" ref="H36:H47" si="7">G36</f>
        <v>391</v>
      </c>
      <c r="I36" s="455"/>
      <c r="J36" s="552">
        <f>H36/DAY(B2)</f>
        <v>391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v>95225</v>
      </c>
      <c r="F37" s="510">
        <v>96507</v>
      </c>
      <c r="G37" s="473">
        <f t="shared" si="6"/>
        <v>1282</v>
      </c>
      <c r="H37" s="460">
        <f t="shared" si="7"/>
        <v>1282</v>
      </c>
      <c r="I37" s="455"/>
      <c r="J37" s="552">
        <f>H37/DAY(B2)</f>
        <v>1282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v>119596</v>
      </c>
      <c r="F38" s="469">
        <v>120948</v>
      </c>
      <c r="G38" s="473">
        <f t="shared" si="6"/>
        <v>1352</v>
      </c>
      <c r="H38" s="460">
        <f t="shared" si="7"/>
        <v>1352</v>
      </c>
      <c r="I38" s="455"/>
      <c r="J38" s="552">
        <f>H38/DAY(B2)</f>
        <v>1352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v>246653</v>
      </c>
      <c r="F39" s="510">
        <v>248577</v>
      </c>
      <c r="G39" s="473">
        <f t="shared" si="6"/>
        <v>1924</v>
      </c>
      <c r="H39" s="460">
        <f t="shared" si="7"/>
        <v>1924</v>
      </c>
      <c r="I39" s="455"/>
      <c r="J39" s="552">
        <f>H39/DAY(B2)</f>
        <v>1924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v>0.23</v>
      </c>
      <c r="F40" s="510">
        <v>0.23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v>181528</v>
      </c>
      <c r="F41" s="510">
        <v>186183</v>
      </c>
      <c r="G41" s="473">
        <f t="shared" si="6"/>
        <v>4655</v>
      </c>
      <c r="H41" s="460">
        <f t="shared" si="7"/>
        <v>4655</v>
      </c>
      <c r="I41" s="455"/>
      <c r="J41" s="552">
        <f>H41/DAY(B2)</f>
        <v>4655</v>
      </c>
      <c r="K41" s="428"/>
      <c r="L41" s="377"/>
      <c r="N41" s="382"/>
      <c r="O41" s="724"/>
    </row>
    <row r="42" spans="1:15">
      <c r="A42" s="578" t="s">
        <v>170</v>
      </c>
      <c r="B42" s="579"/>
      <c r="C42" s="579"/>
      <c r="D42" s="523" t="s">
        <v>131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v>973958</v>
      </c>
      <c r="F43" s="510">
        <v>976277</v>
      </c>
      <c r="G43" s="473">
        <f t="shared" si="6"/>
        <v>2319</v>
      </c>
      <c r="H43" s="460">
        <f t="shared" si="7"/>
        <v>2319</v>
      </c>
      <c r="I43" s="455"/>
      <c r="J43" s="552">
        <f>H43/DAY(B2)</f>
        <v>2319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14091</v>
      </c>
      <c r="H47" s="460">
        <f t="shared" si="7"/>
        <v>14091</v>
      </c>
      <c r="I47" s="455"/>
      <c r="J47" s="552">
        <f>H47/DAY(B2)</f>
        <v>14091</v>
      </c>
      <c r="K47" s="428"/>
      <c r="L47" s="377"/>
      <c r="N47" s="382"/>
      <c r="O47" s="382"/>
    </row>
    <row r="48" spans="1:15">
      <c r="A48" s="598" t="s">
        <v>176</v>
      </c>
      <c r="B48" s="1313"/>
      <c r="C48" s="1313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v>260732.13</v>
      </c>
      <c r="F49" s="510">
        <v>260732</v>
      </c>
      <c r="G49" s="473">
        <f t="shared" ref="G49:G58" si="8">F49-E49</f>
        <v>-0.13000000000465661</v>
      </c>
      <c r="H49" s="460">
        <f>G49</f>
        <v>-0.13000000000465661</v>
      </c>
      <c r="I49" s="455"/>
      <c r="J49" s="552">
        <f>H49/DAY(B2)</f>
        <v>-0.13000000000465661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v>474536</v>
      </c>
      <c r="F50" s="510">
        <v>475485</v>
      </c>
      <c r="G50" s="473">
        <f t="shared" si="8"/>
        <v>949</v>
      </c>
      <c r="H50" s="460">
        <f t="shared" ref="H50:H60" si="9">G50</f>
        <v>949</v>
      </c>
      <c r="I50" s="455"/>
      <c r="J50" s="552">
        <f>H50/DAY(B2)</f>
        <v>949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167</v>
      </c>
      <c r="B53" s="601"/>
      <c r="C53" s="601"/>
      <c r="D53" s="523" t="s">
        <v>131</v>
      </c>
      <c r="E53" s="510">
        <v>416311</v>
      </c>
      <c r="F53" s="510">
        <v>416982</v>
      </c>
      <c r="G53" s="473">
        <f t="shared" si="8"/>
        <v>671</v>
      </c>
      <c r="H53" s="460">
        <f t="shared" si="9"/>
        <v>671</v>
      </c>
      <c r="I53" s="455"/>
      <c r="J53" s="552">
        <f>H53/DAY(B2)</f>
        <v>671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v>11378</v>
      </c>
      <c r="F54" s="510">
        <v>11452</v>
      </c>
      <c r="G54" s="473">
        <f t="shared" si="8"/>
        <v>74</v>
      </c>
      <c r="H54" s="460">
        <f t="shared" si="9"/>
        <v>74</v>
      </c>
      <c r="I54" s="455"/>
      <c r="J54" s="552">
        <f>H54/DAY(B2)</f>
        <v>74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1059">
        <v>346926</v>
      </c>
      <c r="F55" s="510">
        <v>346926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v>589288.47</v>
      </c>
      <c r="F56" s="510">
        <v>589288</v>
      </c>
      <c r="G56" s="473">
        <f t="shared" si="8"/>
        <v>-0.46999999997206032</v>
      </c>
      <c r="H56" s="460">
        <f t="shared" si="9"/>
        <v>-0.46999999997206032</v>
      </c>
      <c r="I56" s="455"/>
      <c r="J56" s="552">
        <f>H56/DAY(B2)</f>
        <v>-0.46999999997206032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v>46668</v>
      </c>
      <c r="F58" s="510">
        <v>46668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1693.4000000000233</v>
      </c>
      <c r="H59" s="460">
        <f t="shared" si="9"/>
        <v>1693.4000000000233</v>
      </c>
      <c r="I59" s="455">
        <f>G7-G60</f>
        <v>203.59999999997672</v>
      </c>
      <c r="J59" s="552">
        <f>H59/DAY(B2)</f>
        <v>1693.4000000000233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15784.400000000023</v>
      </c>
      <c r="H60" s="460">
        <f t="shared" si="9"/>
        <v>15784.400000000023</v>
      </c>
      <c r="I60" s="455">
        <f>G13-G60</f>
        <v>-315.40000000002328</v>
      </c>
      <c r="J60" s="552">
        <f>H60/DAY(B2)</f>
        <v>15784.400000000023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v>2359</v>
      </c>
      <c r="F63" s="514">
        <v>2363</v>
      </c>
      <c r="G63" s="473">
        <f t="shared" si="10"/>
        <v>4</v>
      </c>
      <c r="H63" s="460">
        <f t="shared" ref="H63:H70" si="11">G63</f>
        <v>4</v>
      </c>
      <c r="I63" s="515"/>
      <c r="J63" s="552">
        <f>H63/DAY(B2)</f>
        <v>4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186</v>
      </c>
      <c r="E64" s="484">
        <v>153299</v>
      </c>
      <c r="F64" s="484">
        <v>153510</v>
      </c>
      <c r="G64" s="473">
        <f t="shared" si="10"/>
        <v>211</v>
      </c>
      <c r="H64" s="460">
        <f t="shared" si="11"/>
        <v>211</v>
      </c>
      <c r="I64" s="480"/>
      <c r="J64" s="552">
        <f>H64/DAY(B2)</f>
        <v>211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186</v>
      </c>
      <c r="E65" s="484">
        <v>154599</v>
      </c>
      <c r="F65" s="484">
        <v>154807</v>
      </c>
      <c r="G65" s="473">
        <f t="shared" si="10"/>
        <v>208</v>
      </c>
      <c r="H65" s="460">
        <f t="shared" si="11"/>
        <v>208</v>
      </c>
      <c r="I65" s="489"/>
      <c r="J65" s="552">
        <f>H65/DAY(B2)</f>
        <v>208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186</v>
      </c>
      <c r="E66" s="484">
        <v>48571</v>
      </c>
      <c r="F66" s="484">
        <v>48842</v>
      </c>
      <c r="G66" s="473">
        <f t="shared" si="10"/>
        <v>271</v>
      </c>
      <c r="H66" s="460">
        <f t="shared" si="11"/>
        <v>271</v>
      </c>
      <c r="I66" s="480"/>
      <c r="J66" s="552">
        <f>H66/DAY(B2)</f>
        <v>271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186</v>
      </c>
      <c r="E67" s="484">
        <v>243174</v>
      </c>
      <c r="F67" s="484">
        <v>243396</v>
      </c>
      <c r="G67" s="473">
        <f t="shared" si="10"/>
        <v>222</v>
      </c>
      <c r="H67" s="460">
        <f t="shared" si="11"/>
        <v>222</v>
      </c>
      <c r="I67" s="489"/>
      <c r="J67" s="552">
        <f>H67/DAY(B2)</f>
        <v>222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186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186</v>
      </c>
      <c r="E69" s="484">
        <v>78994</v>
      </c>
      <c r="F69" s="484">
        <v>79076</v>
      </c>
      <c r="G69" s="473">
        <f t="shared" si="10"/>
        <v>82</v>
      </c>
      <c r="H69" s="460">
        <f t="shared" si="11"/>
        <v>82</v>
      </c>
      <c r="I69" s="516"/>
      <c r="J69" s="552">
        <f>H69/DAY(B2)</f>
        <v>82</v>
      </c>
      <c r="K69" s="431"/>
      <c r="L69" s="377"/>
      <c r="N69" s="382"/>
      <c r="O69" s="382"/>
    </row>
    <row r="70" spans="1:15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  <c r="O71" s="382"/>
    </row>
    <row r="72" spans="1:15" ht="27.75">
      <c r="A72" s="1530" t="s">
        <v>190</v>
      </c>
      <c r="B72" s="1531"/>
      <c r="C72" s="1532"/>
      <c r="D72" s="523" t="s">
        <v>186</v>
      </c>
      <c r="E72" s="519">
        <v>855461</v>
      </c>
      <c r="F72" s="519">
        <v>855478</v>
      </c>
      <c r="G72" s="473">
        <f t="shared" ref="G72:G84" si="12">F72-E72</f>
        <v>17</v>
      </c>
      <c r="H72" s="460">
        <f>G72</f>
        <v>17</v>
      </c>
      <c r="I72" s="480"/>
      <c r="J72" s="552">
        <f>H72/DAY(B2)</f>
        <v>17</v>
      </c>
      <c r="K72" s="431"/>
      <c r="L72" s="377"/>
      <c r="N72" s="382"/>
      <c r="O72" s="382"/>
    </row>
    <row r="73" spans="1:15" ht="27.75">
      <c r="A73" s="1530" t="s">
        <v>191</v>
      </c>
      <c r="B73" s="1531"/>
      <c r="C73" s="1532"/>
      <c r="D73" s="523" t="s">
        <v>186</v>
      </c>
      <c r="E73" s="520">
        <v>885876</v>
      </c>
      <c r="F73" s="520">
        <v>885878</v>
      </c>
      <c r="G73" s="473">
        <f t="shared" si="12"/>
        <v>2</v>
      </c>
      <c r="H73" s="460">
        <f t="shared" ref="H73:H88" si="13">G73</f>
        <v>2</v>
      </c>
      <c r="I73" s="480"/>
      <c r="J73" s="552">
        <f>H73/DAY(B2)</f>
        <v>2</v>
      </c>
      <c r="K73" s="430"/>
      <c r="L73" s="377"/>
      <c r="N73" s="382"/>
      <c r="O73" s="382"/>
    </row>
    <row r="74" spans="1:15" ht="27.75">
      <c r="A74" s="1536" t="s">
        <v>192</v>
      </c>
      <c r="B74" s="1537"/>
      <c r="C74" s="1538"/>
      <c r="D74" s="523" t="s">
        <v>186</v>
      </c>
      <c r="E74" s="521">
        <v>2279</v>
      </c>
      <c r="F74" s="521">
        <v>2309</v>
      </c>
      <c r="G74" s="473">
        <f t="shared" si="12"/>
        <v>30</v>
      </c>
      <c r="H74" s="460">
        <f t="shared" si="13"/>
        <v>30</v>
      </c>
      <c r="I74" s="480"/>
      <c r="J74" s="552">
        <f>H74/DAY(B2)</f>
        <v>30</v>
      </c>
      <c r="K74" s="431"/>
      <c r="L74" s="377"/>
      <c r="N74" s="382"/>
      <c r="O74" s="382"/>
    </row>
    <row r="75" spans="1:15" ht="27.75">
      <c r="A75" s="1527" t="s">
        <v>193</v>
      </c>
      <c r="B75" s="1528"/>
      <c r="C75" s="1529"/>
      <c r="D75" s="523" t="s">
        <v>186</v>
      </c>
      <c r="E75" s="521">
        <v>10970</v>
      </c>
      <c r="F75" s="521">
        <v>11024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>
      <c r="A76" s="1527" t="s">
        <v>194</v>
      </c>
      <c r="B76" s="1528"/>
      <c r="C76" s="1529"/>
      <c r="D76" s="523" t="s">
        <v>186</v>
      </c>
      <c r="E76" s="520">
        <v>5709</v>
      </c>
      <c r="F76" s="520">
        <v>5766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>
      <c r="A77" s="1530" t="s">
        <v>195</v>
      </c>
      <c r="B77" s="1531"/>
      <c r="C77" s="1532"/>
      <c r="D77" s="523" t="s">
        <v>186</v>
      </c>
      <c r="E77" s="521">
        <v>701562</v>
      </c>
      <c r="F77" s="521">
        <v>701612</v>
      </c>
      <c r="G77" s="473">
        <f t="shared" si="12"/>
        <v>50</v>
      </c>
      <c r="H77" s="460">
        <f t="shared" si="13"/>
        <v>50</v>
      </c>
      <c r="I77" s="505"/>
      <c r="J77" s="552">
        <f>H77/DAY(B2)</f>
        <v>50</v>
      </c>
      <c r="K77" s="430"/>
      <c r="L77" s="377"/>
      <c r="N77" s="382"/>
      <c r="O77" s="382"/>
    </row>
    <row r="78" spans="1:15" ht="27.75">
      <c r="A78" s="1311" t="s">
        <v>196</v>
      </c>
      <c r="B78" s="1304"/>
      <c r="C78" s="1304"/>
      <c r="D78" s="523" t="s">
        <v>186</v>
      </c>
      <c r="E78" s="521">
        <v>670025</v>
      </c>
      <c r="F78" s="521">
        <v>670149</v>
      </c>
      <c r="G78" s="473">
        <f t="shared" si="12"/>
        <v>124</v>
      </c>
      <c r="H78" s="460">
        <f t="shared" si="13"/>
        <v>124</v>
      </c>
      <c r="I78" s="505"/>
      <c r="J78" s="552">
        <f>H78/DAY(B2)</f>
        <v>124</v>
      </c>
      <c r="K78" s="430"/>
      <c r="L78" s="377"/>
      <c r="N78" s="382"/>
      <c r="O78" s="382"/>
    </row>
    <row r="79" spans="1:15" ht="27.75">
      <c r="A79" s="1527" t="s">
        <v>92</v>
      </c>
      <c r="B79" s="1528"/>
      <c r="C79" s="1529"/>
      <c r="D79" s="524" t="s">
        <v>186</v>
      </c>
      <c r="E79" s="521">
        <v>826784</v>
      </c>
      <c r="F79" s="785">
        <v>826973</v>
      </c>
      <c r="G79" s="473">
        <f t="shared" si="12"/>
        <v>189</v>
      </c>
      <c r="H79" s="460">
        <f t="shared" si="13"/>
        <v>189</v>
      </c>
      <c r="I79" s="505"/>
      <c r="J79" s="552">
        <f>H79/DAY(B2)</f>
        <v>189</v>
      </c>
      <c r="K79" s="430"/>
      <c r="L79" s="377"/>
      <c r="N79" s="382"/>
      <c r="O79" s="382"/>
    </row>
    <row r="80" spans="1:15" ht="27.75">
      <c r="A80" s="1527" t="s">
        <v>197</v>
      </c>
      <c r="B80" s="1528"/>
      <c r="C80" s="1529"/>
      <c r="D80" s="524" t="s">
        <v>186</v>
      </c>
      <c r="E80" s="520">
        <v>516738</v>
      </c>
      <c r="F80" s="520">
        <v>517132</v>
      </c>
      <c r="G80" s="473">
        <f t="shared" si="12"/>
        <v>394</v>
      </c>
      <c r="H80" s="460">
        <f t="shared" si="13"/>
        <v>394</v>
      </c>
      <c r="I80" s="505"/>
      <c r="J80" s="552">
        <f>H80/DAY(B2)</f>
        <v>394</v>
      </c>
      <c r="K80" s="430"/>
      <c r="L80" s="377"/>
      <c r="N80" s="382"/>
      <c r="O80" s="382"/>
    </row>
    <row r="81" spans="1:15" ht="27.75">
      <c r="A81" s="1527" t="s">
        <v>198</v>
      </c>
      <c r="B81" s="1528"/>
      <c r="C81" s="1529"/>
      <c r="D81" s="524" t="s">
        <v>186</v>
      </c>
      <c r="E81" s="520">
        <v>636478</v>
      </c>
      <c r="F81" s="520">
        <v>636559</v>
      </c>
      <c r="G81" s="473">
        <f t="shared" si="12"/>
        <v>81</v>
      </c>
      <c r="H81" s="460">
        <f t="shared" si="13"/>
        <v>81</v>
      </c>
      <c r="I81" s="505"/>
      <c r="J81" s="552">
        <f>H81/DAY(B2)</f>
        <v>81</v>
      </c>
      <c r="K81" s="430"/>
      <c r="L81" s="377"/>
      <c r="N81" s="382"/>
      <c r="O81" s="382"/>
    </row>
    <row r="82" spans="1:15" ht="27.75">
      <c r="A82" s="1527" t="s">
        <v>93</v>
      </c>
      <c r="B82" s="1528"/>
      <c r="C82" s="1529"/>
      <c r="D82" s="485" t="s">
        <v>131</v>
      </c>
      <c r="E82" s="522">
        <v>107612</v>
      </c>
      <c r="F82" s="522">
        <v>107624</v>
      </c>
      <c r="G82" s="473">
        <f t="shared" si="12"/>
        <v>12</v>
      </c>
      <c r="H82" s="460">
        <f t="shared" si="13"/>
        <v>12</v>
      </c>
      <c r="I82" s="486"/>
      <c r="J82" s="552">
        <f>H82/DAY(B2)</f>
        <v>12</v>
      </c>
      <c r="K82" s="430"/>
      <c r="L82" s="377"/>
      <c r="N82" s="382"/>
      <c r="O82" s="382"/>
    </row>
    <row r="83" spans="1:15" ht="27.75">
      <c r="A83" s="1527" t="s">
        <v>199</v>
      </c>
      <c r="B83" s="1528"/>
      <c r="C83" s="1529"/>
      <c r="D83" s="620" t="s">
        <v>131</v>
      </c>
      <c r="E83" s="511">
        <v>14771</v>
      </c>
      <c r="F83" s="1318">
        <v>15026</v>
      </c>
      <c r="G83" s="473">
        <f t="shared" si="12"/>
        <v>255</v>
      </c>
      <c r="H83" s="460">
        <f t="shared" si="13"/>
        <v>255</v>
      </c>
      <c r="I83" s="481"/>
      <c r="J83" s="552">
        <f>H83/DAY(B2)</f>
        <v>255</v>
      </c>
      <c r="K83" s="429"/>
      <c r="L83" s="377"/>
      <c r="N83" s="382"/>
      <c r="O83" s="724"/>
    </row>
    <row r="84" spans="1:15">
      <c r="A84" s="1312" t="s">
        <v>200</v>
      </c>
      <c r="B84" s="571"/>
      <c r="C84" s="571"/>
      <c r="D84" s="478" t="s">
        <v>131</v>
      </c>
      <c r="E84" s="523">
        <v>480133</v>
      </c>
      <c r="F84" s="627">
        <v>480848</v>
      </c>
      <c r="G84" s="473">
        <f t="shared" si="12"/>
        <v>715</v>
      </c>
      <c r="H84" s="460">
        <f t="shared" si="13"/>
        <v>715</v>
      </c>
      <c r="I84" s="481"/>
      <c r="J84" s="552">
        <f>H84/DAY(B2)</f>
        <v>715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1980</v>
      </c>
      <c r="H85" s="460">
        <f t="shared" si="13"/>
        <v>1980</v>
      </c>
      <c r="I85" s="481"/>
      <c r="J85" s="552">
        <f>H85/DAY(B2)</f>
        <v>1980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182</v>
      </c>
      <c r="E86" s="650">
        <v>459267</v>
      </c>
      <c r="F86" s="650">
        <v>459318</v>
      </c>
      <c r="G86" s="708">
        <f t="shared" ref="G86:G91" si="14">F86-E86</f>
        <v>51</v>
      </c>
      <c r="H86" s="708">
        <f t="shared" si="13"/>
        <v>51</v>
      </c>
      <c r="I86" s="655"/>
      <c r="J86" s="710">
        <f>H86/DAY(B2)</f>
        <v>51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182</v>
      </c>
      <c r="E87" s="650">
        <v>80919</v>
      </c>
      <c r="F87" s="650">
        <v>80929</v>
      </c>
      <c r="G87" s="708">
        <f t="shared" si="14"/>
        <v>10</v>
      </c>
      <c r="H87" s="708">
        <f t="shared" si="13"/>
        <v>10</v>
      </c>
      <c r="I87" s="655"/>
      <c r="J87" s="710">
        <f>H87/DAY(B2)</f>
        <v>10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182</v>
      </c>
      <c r="E88" s="650">
        <v>151805</v>
      </c>
      <c r="F88" s="650">
        <v>151833</v>
      </c>
      <c r="G88" s="708">
        <f t="shared" si="14"/>
        <v>28</v>
      </c>
      <c r="H88" s="708">
        <f t="shared" si="13"/>
        <v>28</v>
      </c>
      <c r="I88" s="655"/>
      <c r="J88" s="710">
        <f>H88/DAY(B2)</f>
        <v>28</v>
      </c>
      <c r="K88" s="736"/>
      <c r="L88" s="737"/>
      <c r="N88" s="780"/>
      <c r="O88" s="382"/>
    </row>
    <row r="89" spans="1:15" s="738" customFormat="1">
      <c r="A89" s="733" t="s">
        <v>202</v>
      </c>
      <c r="B89" s="734"/>
      <c r="C89" s="734"/>
      <c r="D89" s="735" t="s">
        <v>182</v>
      </c>
      <c r="E89" s="650">
        <v>64834</v>
      </c>
      <c r="F89" s="650">
        <v>64841</v>
      </c>
      <c r="G89" s="708">
        <f t="shared" si="14"/>
        <v>7</v>
      </c>
      <c r="H89" s="708">
        <f>G89</f>
        <v>7</v>
      </c>
      <c r="I89" s="655"/>
      <c r="J89" s="710">
        <f>H89/DAY(B2)</f>
        <v>7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50">
        <v>3272</v>
      </c>
      <c r="F90" s="650">
        <v>3272</v>
      </c>
      <c r="G90" s="708">
        <f t="shared" si="14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50">
        <v>27907</v>
      </c>
      <c r="F91" s="650">
        <v>27910</v>
      </c>
      <c r="G91" s="708">
        <f t="shared" si="14"/>
        <v>3</v>
      </c>
      <c r="H91" s="708">
        <f>G91</f>
        <v>3</v>
      </c>
      <c r="I91" s="655"/>
      <c r="J91" s="710"/>
      <c r="K91" s="736"/>
      <c r="L91" s="737"/>
      <c r="N91" s="780"/>
      <c r="O91" s="382"/>
    </row>
    <row r="92" spans="1:15" s="379" customFormat="1">
      <c r="A92" s="606" t="s">
        <v>204</v>
      </c>
      <c r="B92" s="1314"/>
      <c r="C92" s="1314"/>
      <c r="D92" s="472"/>
      <c r="E92" s="472"/>
      <c r="F92" s="472"/>
      <c r="G92" s="488"/>
      <c r="H92" s="472"/>
      <c r="I92" s="472"/>
      <c r="J92" s="551"/>
      <c r="K92" s="380"/>
      <c r="L92" s="378"/>
      <c r="N92" s="779"/>
      <c r="O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v>244524</v>
      </c>
      <c r="F93" s="484">
        <v>244576</v>
      </c>
      <c r="G93" s="473">
        <f t="shared" ref="G93:G94" si="15">F93-E93</f>
        <v>52</v>
      </c>
      <c r="H93" s="460">
        <f t="shared" ref="H93" si="16">G93</f>
        <v>52</v>
      </c>
      <c r="I93" s="480"/>
      <c r="J93" s="552">
        <f>H93/DAY(B2)</f>
        <v>52</v>
      </c>
      <c r="K93" s="429"/>
      <c r="L93" s="377"/>
      <c r="N93" s="382"/>
      <c r="O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v>183531</v>
      </c>
      <c r="F94" s="704">
        <v>183626</v>
      </c>
      <c r="G94" s="473">
        <f t="shared" si="15"/>
        <v>95</v>
      </c>
      <c r="H94" s="460">
        <f>G94</f>
        <v>95</v>
      </c>
      <c r="I94" s="480"/>
      <c r="J94" s="552">
        <f>H94/DAY(B2)</f>
        <v>95</v>
      </c>
      <c r="K94" s="380"/>
      <c r="L94" s="377"/>
      <c r="N94" s="382"/>
      <c r="O94" s="382"/>
    </row>
    <row r="95" spans="1:15">
      <c r="A95" s="1579" t="s">
        <v>207</v>
      </c>
      <c r="B95" s="1580"/>
      <c r="C95" s="1581"/>
      <c r="D95" s="523"/>
      <c r="E95" s="484"/>
      <c r="F95" s="484"/>
      <c r="G95" s="473">
        <f>G93+G94</f>
        <v>147</v>
      </c>
      <c r="H95" s="460"/>
      <c r="I95" s="480"/>
      <c r="J95" s="552"/>
      <c r="K95" s="380"/>
      <c r="L95" s="377"/>
      <c r="N95" s="382"/>
      <c r="O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v>412886</v>
      </c>
      <c r="F96" s="484">
        <v>412958</v>
      </c>
      <c r="G96" s="473">
        <f t="shared" ref="G96:G101" si="17">F96-E96</f>
        <v>72</v>
      </c>
      <c r="H96" s="460">
        <f t="shared" ref="H96:H102" si="18">G96</f>
        <v>72</v>
      </c>
      <c r="I96" s="480"/>
      <c r="J96" s="552">
        <f>H96/DAY(B2)</f>
        <v>72</v>
      </c>
      <c r="K96" s="380"/>
      <c r="L96" s="377"/>
      <c r="N96" s="382"/>
      <c r="O96" s="382"/>
    </row>
    <row r="97" spans="1:15" ht="27.75">
      <c r="A97" s="1308" t="s">
        <v>209</v>
      </c>
      <c r="B97" s="1309"/>
      <c r="C97" s="1309"/>
      <c r="D97" s="523" t="s">
        <v>143</v>
      </c>
      <c r="E97" s="484">
        <v>102343</v>
      </c>
      <c r="F97" s="484">
        <v>102355</v>
      </c>
      <c r="G97" s="473">
        <f t="shared" si="17"/>
        <v>12</v>
      </c>
      <c r="H97" s="460">
        <f t="shared" si="18"/>
        <v>12</v>
      </c>
      <c r="I97" s="480"/>
      <c r="J97" s="552">
        <f>H97/DAY(B2)</f>
        <v>12</v>
      </c>
      <c r="K97" s="427"/>
      <c r="L97" s="377"/>
      <c r="N97" s="382"/>
      <c r="O97" s="382"/>
    </row>
    <row r="98" spans="1:15" ht="27.75">
      <c r="A98" s="1308" t="s">
        <v>210</v>
      </c>
      <c r="B98" s="1309"/>
      <c r="C98" s="1309"/>
      <c r="D98" s="523" t="s">
        <v>143</v>
      </c>
      <c r="E98" s="484">
        <v>97427</v>
      </c>
      <c r="F98" s="484">
        <v>97444</v>
      </c>
      <c r="G98" s="473">
        <f t="shared" si="17"/>
        <v>17</v>
      </c>
      <c r="H98" s="460">
        <f t="shared" si="18"/>
        <v>17</v>
      </c>
      <c r="I98" s="480"/>
      <c r="J98" s="552">
        <f>H98/DAY(B2)</f>
        <v>17</v>
      </c>
      <c r="K98" s="432"/>
      <c r="L98" s="377"/>
      <c r="N98" s="382"/>
      <c r="O98" s="382"/>
    </row>
    <row r="99" spans="1:15" ht="27.75">
      <c r="A99" s="1308" t="s">
        <v>211</v>
      </c>
      <c r="B99" s="1309"/>
      <c r="C99" s="1309"/>
      <c r="D99" s="523" t="s">
        <v>143</v>
      </c>
      <c r="E99" s="484">
        <v>149533</v>
      </c>
      <c r="F99" s="484">
        <v>149538</v>
      </c>
      <c r="G99" s="473">
        <f t="shared" si="17"/>
        <v>5</v>
      </c>
      <c r="H99" s="460">
        <f t="shared" si="18"/>
        <v>5</v>
      </c>
      <c r="I99" s="480"/>
      <c r="J99" s="552">
        <f>H99/DAY(B2)</f>
        <v>5</v>
      </c>
      <c r="K99" s="380"/>
      <c r="L99" s="377"/>
      <c r="N99" s="382"/>
      <c r="O99" s="382"/>
    </row>
    <row r="100" spans="1:15" ht="27.75">
      <c r="A100" s="1308" t="s">
        <v>212</v>
      </c>
      <c r="B100" s="1309"/>
      <c r="C100" s="1309"/>
      <c r="D100" s="523" t="s">
        <v>143</v>
      </c>
      <c r="E100" s="484">
        <v>7185</v>
      </c>
      <c r="F100" s="484">
        <v>7190</v>
      </c>
      <c r="G100" s="473">
        <f t="shared" si="17"/>
        <v>5</v>
      </c>
      <c r="H100" s="460">
        <f t="shared" si="18"/>
        <v>5</v>
      </c>
      <c r="I100" s="480"/>
      <c r="J100" s="552">
        <f>H100/DAY(B2)</f>
        <v>5</v>
      </c>
      <c r="K100" s="380"/>
      <c r="L100" s="377"/>
      <c r="N100" s="382"/>
      <c r="O100" s="382"/>
    </row>
    <row r="101" spans="1:15" ht="27.75">
      <c r="A101" s="1308" t="s">
        <v>213</v>
      </c>
      <c r="B101" s="1309"/>
      <c r="C101" s="1309"/>
      <c r="D101" s="523" t="s">
        <v>143</v>
      </c>
      <c r="E101" s="484">
        <v>5138</v>
      </c>
      <c r="F101" s="484">
        <v>5144</v>
      </c>
      <c r="G101" s="473">
        <f t="shared" si="17"/>
        <v>6</v>
      </c>
      <c r="H101" s="460">
        <f t="shared" si="18"/>
        <v>6</v>
      </c>
      <c r="I101" s="480" t="s">
        <v>214</v>
      </c>
      <c r="J101" s="552">
        <f>H101/DAY(B2)</f>
        <v>6</v>
      </c>
      <c r="K101" s="380"/>
      <c r="L101" s="377"/>
      <c r="N101" s="382"/>
      <c r="O101" s="382"/>
    </row>
    <row r="102" spans="1:15">
      <c r="A102" s="1579" t="s">
        <v>215</v>
      </c>
      <c r="B102" s="1580"/>
      <c r="C102" s="1581"/>
      <c r="D102" s="524"/>
      <c r="E102" s="524"/>
      <c r="F102" s="524"/>
      <c r="G102" s="525">
        <f>SUM(G96:G101)</f>
        <v>117</v>
      </c>
      <c r="H102" s="460">
        <f t="shared" si="18"/>
        <v>117</v>
      </c>
      <c r="I102" s="526"/>
      <c r="J102" s="552">
        <f>H102/DAY(B2)</f>
        <v>117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82" t="s">
        <v>217</v>
      </c>
      <c r="B104" s="1583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3" t="s">
        <v>218</v>
      </c>
      <c r="B105" s="1544"/>
      <c r="C105" s="1306"/>
      <c r="D105" s="622" t="s">
        <v>143</v>
      </c>
      <c r="E105" s="532">
        <v>7431</v>
      </c>
      <c r="F105" s="532">
        <v>7431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43" t="s">
        <v>77</v>
      </c>
      <c r="B106" s="1544"/>
      <c r="C106" s="1306"/>
      <c r="D106" s="622" t="s">
        <v>143</v>
      </c>
      <c r="E106" s="534">
        <v>35828</v>
      </c>
      <c r="F106" s="1471">
        <v>35828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>
      <c r="A107" s="1543" t="s">
        <v>78</v>
      </c>
      <c r="B107" s="1584"/>
      <c r="C107" s="1544"/>
      <c r="D107" s="622" t="s">
        <v>143</v>
      </c>
      <c r="E107" s="532">
        <v>19617</v>
      </c>
      <c r="F107" s="532">
        <v>19617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85</v>
      </c>
      <c r="N107" s="444"/>
      <c r="O107" s="382"/>
    </row>
    <row r="108" spans="1:15" s="442" customFormat="1" ht="27.75">
      <c r="A108" s="1545" t="s">
        <v>201</v>
      </c>
      <c r="B108" s="1546"/>
      <c r="C108" s="1306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>
      <c r="A109" s="1549" t="s">
        <v>79</v>
      </c>
      <c r="B109" s="1550"/>
      <c r="C109" s="1306"/>
      <c r="D109" s="622" t="s">
        <v>143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>
      <c r="A110" s="1543" t="s">
        <v>219</v>
      </c>
      <c r="B110" s="1544"/>
      <c r="C110" s="1306"/>
      <c r="D110" s="622" t="s">
        <v>143</v>
      </c>
      <c r="E110" s="532">
        <v>61174</v>
      </c>
      <c r="F110" s="532">
        <v>61259</v>
      </c>
      <c r="G110" s="532">
        <f>F110-E110</f>
        <v>85</v>
      </c>
      <c r="H110" s="533">
        <f t="shared" si="20"/>
        <v>85</v>
      </c>
      <c r="I110" s="532"/>
      <c r="J110" s="558">
        <f>H110/DAY(B2)</f>
        <v>85</v>
      </c>
      <c r="N110" s="444"/>
      <c r="O110" s="382"/>
    </row>
    <row r="111" spans="1:15" s="442" customFormat="1" ht="27.75">
      <c r="A111" s="1543" t="s">
        <v>220</v>
      </c>
      <c r="B111" s="1544"/>
      <c r="C111" s="1306"/>
      <c r="D111" s="622" t="s">
        <v>143</v>
      </c>
      <c r="E111" s="532">
        <v>32235</v>
      </c>
      <c r="F111" s="1471">
        <v>32235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>
      <c r="A112" s="1543" t="s">
        <v>221</v>
      </c>
      <c r="B112" s="1544"/>
      <c r="C112" s="1306"/>
      <c r="D112" s="622" t="s">
        <v>143</v>
      </c>
      <c r="E112" s="532">
        <v>4368</v>
      </c>
      <c r="F112" s="1471">
        <v>4395</v>
      </c>
      <c r="G112" s="532">
        <f>F112-E112</f>
        <v>27</v>
      </c>
      <c r="H112" s="533">
        <f t="shared" si="20"/>
        <v>27</v>
      </c>
      <c r="I112" s="532"/>
      <c r="J112" s="558">
        <f>H112/DAY(B2)</f>
        <v>27</v>
      </c>
      <c r="N112" s="444"/>
      <c r="O112" s="382"/>
    </row>
    <row r="113" spans="1:15" s="442" customFormat="1" ht="27.75">
      <c r="A113" s="1547" t="s">
        <v>110</v>
      </c>
      <c r="B113" s="1548"/>
      <c r="C113" s="1306"/>
      <c r="D113" s="622"/>
      <c r="E113" s="532"/>
      <c r="F113" s="532"/>
      <c r="G113" s="532">
        <f>SUM(G110:G112)</f>
        <v>112</v>
      </c>
      <c r="H113" s="533">
        <f t="shared" si="20"/>
        <v>112</v>
      </c>
      <c r="I113" s="532"/>
      <c r="J113" s="558">
        <f>H113/DAY(B2)</f>
        <v>112</v>
      </c>
      <c r="N113" s="444"/>
      <c r="O113" s="382"/>
    </row>
    <row r="114" spans="1:15" s="442" customFormat="1" ht="27.75">
      <c r="A114" s="1549" t="s">
        <v>222</v>
      </c>
      <c r="B114" s="1550"/>
      <c r="C114" s="1306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43" t="s">
        <v>223</v>
      </c>
      <c r="B115" s="1544"/>
      <c r="C115" s="574"/>
      <c r="D115" s="622" t="s">
        <v>143</v>
      </c>
      <c r="E115" s="534">
        <v>11259</v>
      </c>
      <c r="F115" s="534">
        <v>11268</v>
      </c>
      <c r="G115" s="534">
        <f>F115-E115</f>
        <v>9</v>
      </c>
      <c r="H115" s="533">
        <f t="shared" si="20"/>
        <v>9</v>
      </c>
      <c r="I115" s="532"/>
      <c r="J115" s="558">
        <f>H115/DAY(B2)</f>
        <v>9</v>
      </c>
      <c r="N115" s="444"/>
      <c r="O115" s="382"/>
    </row>
    <row r="116" spans="1:15" s="442" customFormat="1" ht="27.75">
      <c r="A116" s="1543" t="s">
        <v>224</v>
      </c>
      <c r="B116" s="1544"/>
      <c r="C116" s="574"/>
      <c r="D116" s="622" t="s">
        <v>143</v>
      </c>
      <c r="E116" s="534">
        <v>8126</v>
      </c>
      <c r="F116" s="534">
        <v>8131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>
      <c r="A117" s="1543" t="s">
        <v>225</v>
      </c>
      <c r="B117" s="1544"/>
      <c r="C117" s="574"/>
      <c r="D117" s="622" t="s">
        <v>143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534">
        <f>SUM(G115:G117)</f>
        <v>14</v>
      </c>
      <c r="H118" s="533">
        <f t="shared" si="20"/>
        <v>14</v>
      </c>
      <c r="I118" s="534"/>
      <c r="J118" s="558">
        <f>H118/DAY(B2)</f>
        <v>14</v>
      </c>
      <c r="N118" s="447"/>
      <c r="O118" s="382"/>
    </row>
    <row r="119" spans="1:15" s="446" customFormat="1" ht="27.75">
      <c r="A119" s="1539" t="s">
        <v>226</v>
      </c>
      <c r="B119" s="1540"/>
      <c r="C119" s="1305"/>
      <c r="D119" s="624" t="s">
        <v>143</v>
      </c>
      <c r="E119" s="536"/>
      <c r="F119" s="536">
        <f>SUM(G19+G93)</f>
        <v>108</v>
      </c>
      <c r="G119" s="536">
        <f>SUM(G19+G93)</f>
        <v>108</v>
      </c>
      <c r="H119" s="533">
        <f t="shared" si="20"/>
        <v>108</v>
      </c>
      <c r="I119" s="535"/>
      <c r="J119" s="559">
        <f>H119/DAY(B2)</f>
        <v>108</v>
      </c>
      <c r="N119" s="781"/>
      <c r="O119" s="382"/>
    </row>
    <row r="120" spans="1:15" s="446" customFormat="1" ht="27.75">
      <c r="A120" s="1539" t="s">
        <v>227</v>
      </c>
      <c r="B120" s="1540"/>
      <c r="C120" s="1305"/>
      <c r="D120" s="624" t="s">
        <v>143</v>
      </c>
      <c r="E120" s="536"/>
      <c r="F120" s="536">
        <f>SUM(G96,G97,G98,G100,G101)</f>
        <v>112</v>
      </c>
      <c r="G120" s="536">
        <f>SUM(G96,G97,G98,G100,G101)</f>
        <v>112</v>
      </c>
      <c r="H120" s="533">
        <f t="shared" si="20"/>
        <v>112</v>
      </c>
      <c r="I120" s="535"/>
      <c r="J120" s="559">
        <f>H120/DAY(B2)</f>
        <v>112</v>
      </c>
      <c r="N120" s="781"/>
      <c r="O120" s="382"/>
    </row>
    <row r="121" spans="1:15" s="446" customFormat="1" ht="27.75">
      <c r="A121" s="1539" t="s">
        <v>228</v>
      </c>
      <c r="B121" s="1540"/>
      <c r="C121" s="1305"/>
      <c r="D121" s="624" t="s">
        <v>143</v>
      </c>
      <c r="E121" s="534"/>
      <c r="F121" s="534">
        <f>SUM(G113)</f>
        <v>112</v>
      </c>
      <c r="G121" s="534">
        <f>SUM(G113)</f>
        <v>112</v>
      </c>
      <c r="H121" s="533">
        <f t="shared" si="20"/>
        <v>112</v>
      </c>
      <c r="I121" s="535"/>
      <c r="J121" s="559">
        <f>H121/DAY(B2)</f>
        <v>112</v>
      </c>
      <c r="N121" s="781"/>
      <c r="O121" s="382"/>
    </row>
    <row r="122" spans="1:15" s="442" customFormat="1" ht="27.75">
      <c r="A122" s="1541"/>
      <c r="B122" s="1542"/>
      <c r="C122" s="1306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8" t="s">
        <v>230</v>
      </c>
      <c r="B124" s="1309"/>
      <c r="C124" s="1309"/>
      <c r="D124" s="523" t="s">
        <v>140</v>
      </c>
      <c r="E124" s="478">
        <v>826088.46</v>
      </c>
      <c r="F124" s="478">
        <v>826321</v>
      </c>
      <c r="G124" s="473">
        <f>F124-E124</f>
        <v>232.54000000003725</v>
      </c>
      <c r="H124" s="460">
        <f>G124</f>
        <v>232.54000000003725</v>
      </c>
      <c r="I124" s="526"/>
      <c r="J124" s="552">
        <f>H124/DAY(B2)</f>
        <v>232.54000000003725</v>
      </c>
      <c r="K124" s="380"/>
      <c r="L124" s="377"/>
      <c r="N124" s="382"/>
      <c r="O124" s="382"/>
    </row>
    <row r="125" spans="1:15" ht="27.75">
      <c r="A125" s="1308" t="s">
        <v>231</v>
      </c>
      <c r="B125" s="1309"/>
      <c r="C125" s="1309"/>
      <c r="D125" s="523" t="s">
        <v>140</v>
      </c>
      <c r="E125" s="478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0" t="s">
        <v>232</v>
      </c>
      <c r="B126" s="1531"/>
      <c r="C126" s="1532"/>
      <c r="D126" s="523" t="s">
        <v>140</v>
      </c>
      <c r="E126" s="478">
        <v>144687.44</v>
      </c>
      <c r="F126" s="626">
        <v>144747</v>
      </c>
      <c r="G126" s="473">
        <f t="shared" si="22"/>
        <v>59.559999999997672</v>
      </c>
      <c r="H126" s="460">
        <f t="shared" si="23"/>
        <v>59.559999999997672</v>
      </c>
      <c r="I126" s="526"/>
      <c r="J126" s="552">
        <f>H126/DAY(B2)</f>
        <v>59.559999999997672</v>
      </c>
      <c r="K126" s="380"/>
      <c r="L126" s="377"/>
      <c r="N126" s="382"/>
      <c r="O126" s="382"/>
    </row>
    <row r="127" spans="1:15" ht="27.75">
      <c r="A127" s="609" t="s">
        <v>233</v>
      </c>
      <c r="B127" s="1309"/>
      <c r="C127" s="1309"/>
      <c r="D127" s="523" t="s">
        <v>140</v>
      </c>
      <c r="E127" s="478">
        <v>31404</v>
      </c>
      <c r="F127" s="626">
        <v>31404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234</v>
      </c>
      <c r="B128" s="1309"/>
      <c r="C128" s="1309"/>
      <c r="D128" s="523" t="s">
        <v>140</v>
      </c>
      <c r="E128" s="478">
        <v>8969.7000000000007</v>
      </c>
      <c r="F128" s="626">
        <v>8970</v>
      </c>
      <c r="G128" s="473">
        <f t="shared" si="22"/>
        <v>0.2999999999992724</v>
      </c>
      <c r="H128" s="460">
        <f t="shared" si="23"/>
        <v>0.2999999999992724</v>
      </c>
      <c r="I128" s="480"/>
      <c r="J128" s="552">
        <f>H128/DAY(B2)</f>
        <v>0.2999999999992724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09"/>
      <c r="C129" s="1309"/>
      <c r="D129" s="523"/>
      <c r="E129" s="478"/>
      <c r="F129" s="478"/>
      <c r="G129" s="473">
        <f>G15-SUM(G124:G128)</f>
        <v>41.599999999965803</v>
      </c>
      <c r="H129" s="460">
        <f t="shared" si="23"/>
        <v>41.599999999965803</v>
      </c>
      <c r="I129" s="480"/>
      <c r="J129" s="552">
        <f>H129/DAY(B2)</f>
        <v>41.599999999965803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8" t="s">
        <v>237</v>
      </c>
      <c r="B131" s="1309"/>
      <c r="C131" s="1309"/>
      <c r="D131" s="523" t="s">
        <v>238</v>
      </c>
      <c r="E131" s="484"/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8" t="s">
        <v>239</v>
      </c>
      <c r="B132" s="1309"/>
      <c r="C132" s="1309"/>
      <c r="D132" s="523" t="s">
        <v>238</v>
      </c>
      <c r="E132" s="484"/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8" t="s">
        <v>240</v>
      </c>
      <c r="B133" s="1309"/>
      <c r="C133" s="1309"/>
      <c r="D133" s="523" t="s">
        <v>238</v>
      </c>
      <c r="E133" s="541">
        <v>39746.480000000003</v>
      </c>
      <c r="F133" s="541">
        <v>39770.33</v>
      </c>
      <c r="G133" s="473">
        <f t="shared" si="24"/>
        <v>23.849999999998545</v>
      </c>
      <c r="H133" s="460">
        <f t="shared" si="25"/>
        <v>23.849999999998545</v>
      </c>
      <c r="I133" s="480"/>
      <c r="J133" s="552">
        <f>H133/DAY(B2)</f>
        <v>23.849999999998545</v>
      </c>
      <c r="N133" s="382"/>
      <c r="O133" s="382"/>
    </row>
    <row r="134" spans="1:15" s="778" customFormat="1" ht="27.75">
      <c r="A134" s="795" t="s">
        <v>241</v>
      </c>
      <c r="B134" s="1240"/>
      <c r="C134" s="1240"/>
      <c r="D134" s="524" t="s">
        <v>238</v>
      </c>
      <c r="E134" s="541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41"/>
      <c r="J134" s="553">
        <f>H134/DAY(B2)</f>
        <v>0</v>
      </c>
      <c r="N134" s="724"/>
      <c r="O134" s="382"/>
    </row>
    <row r="135" spans="1:15" ht="27.75">
      <c r="A135" s="1308" t="s">
        <v>242</v>
      </c>
      <c r="B135" s="1309"/>
      <c r="C135" s="1309"/>
      <c r="D135" s="523" t="s">
        <v>238</v>
      </c>
      <c r="E135" s="541">
        <v>41385</v>
      </c>
      <c r="F135" s="541">
        <v>41385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>
      <c r="A136" s="1308" t="s">
        <v>243</v>
      </c>
      <c r="B136" s="1309"/>
      <c r="C136" s="1309"/>
      <c r="D136" s="523" t="s">
        <v>238</v>
      </c>
      <c r="E136" s="541">
        <v>32583</v>
      </c>
      <c r="F136" s="541">
        <v>32583</v>
      </c>
      <c r="G136" s="473">
        <f t="shared" si="24"/>
        <v>0</v>
      </c>
      <c r="H136" s="460">
        <f t="shared" si="25"/>
        <v>0</v>
      </c>
      <c r="I136" s="480">
        <f>G133+G134+G135+G136</f>
        <v>23.849999999998545</v>
      </c>
      <c r="J136" s="552">
        <f>H136/DAY(B2)</f>
        <v>0</v>
      </c>
      <c r="N136" s="382"/>
      <c r="O136" s="382"/>
    </row>
    <row r="137" spans="1:15" ht="27.75">
      <c r="A137" s="1308" t="s">
        <v>244</v>
      </c>
      <c r="B137" s="1309"/>
      <c r="C137" s="1309"/>
      <c r="D137" s="523" t="s">
        <v>238</v>
      </c>
      <c r="E137" s="541">
        <v>22739.59</v>
      </c>
      <c r="F137" s="541">
        <v>22739.59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08" t="s">
        <v>245</v>
      </c>
      <c r="B138" s="1309"/>
      <c r="C138" s="1309"/>
      <c r="D138" s="523" t="s">
        <v>238</v>
      </c>
      <c r="E138" s="541">
        <v>25051.59</v>
      </c>
      <c r="F138" s="541">
        <v>25051.59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>
      <c r="A139" s="1308" t="s">
        <v>246</v>
      </c>
      <c r="B139" s="1309"/>
      <c r="C139" s="1309"/>
      <c r="D139" s="523" t="s">
        <v>238</v>
      </c>
      <c r="E139" s="541">
        <v>70315.81</v>
      </c>
      <c r="F139" s="541">
        <v>70315.81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>
      <c r="A140" s="1308" t="s">
        <v>247</v>
      </c>
      <c r="B140" s="1309"/>
      <c r="C140" s="1309"/>
      <c r="D140" s="523" t="s">
        <v>238</v>
      </c>
      <c r="E140" s="484">
        <v>1616.86</v>
      </c>
      <c r="F140" s="484">
        <v>1625.74</v>
      </c>
      <c r="G140" s="473">
        <f t="shared" si="24"/>
        <v>8.8800000000001091</v>
      </c>
      <c r="H140" s="460">
        <f t="shared" si="25"/>
        <v>8.8800000000001091</v>
      </c>
      <c r="I140" s="542"/>
      <c r="J140" s="552">
        <f>H140/DAY(B2)</f>
        <v>8.8800000000001091</v>
      </c>
      <c r="N140" s="382"/>
      <c r="O140" s="382"/>
    </row>
    <row r="141" spans="1:15" ht="27.75">
      <c r="A141" s="1308" t="s">
        <v>248</v>
      </c>
      <c r="B141" s="1309"/>
      <c r="C141" s="1309"/>
      <c r="D141" s="523" t="s">
        <v>238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8.8800000000001091</v>
      </c>
      <c r="J141" s="552">
        <f>H141/DAY(B2)</f>
        <v>0</v>
      </c>
      <c r="N141" s="382"/>
      <c r="O141" s="382"/>
    </row>
    <row r="142" spans="1:15">
      <c r="A142" s="1557" t="s">
        <v>249</v>
      </c>
      <c r="B142" s="1558"/>
      <c r="C142" s="1314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4486.8699999999953</v>
      </c>
      <c r="H143" s="460">
        <f>G143</f>
        <v>4486.8699999999953</v>
      </c>
      <c r="I143" s="480"/>
      <c r="J143" s="552">
        <f>H143/DAY(B2)</f>
        <v>4486.8699999999953</v>
      </c>
      <c r="K143" s="380"/>
      <c r="L143" s="377"/>
      <c r="N143" s="382"/>
      <c r="O143" s="382"/>
    </row>
    <row r="144" spans="1:15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0.28063985489116811</v>
      </c>
      <c r="H144" s="460">
        <f t="shared" ref="H144:H154" si="26">G144</f>
        <v>0.28063985489116811</v>
      </c>
      <c r="I144" s="544"/>
      <c r="J144" s="552">
        <f>H144/DAY(B2)</f>
        <v>0.28063985489116811</v>
      </c>
      <c r="K144" s="380"/>
      <c r="L144" s="377"/>
      <c r="N144" s="382"/>
      <c r="O144" s="382"/>
    </row>
    <row r="145" spans="1:15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4654.5300000000279</v>
      </c>
      <c r="H145" s="460">
        <f t="shared" si="26"/>
        <v>4654.5300000000279</v>
      </c>
      <c r="I145" s="480"/>
      <c r="J145" s="552">
        <f>H145/DAY(B2)</f>
        <v>4654.5300000000279</v>
      </c>
      <c r="K145" s="380"/>
      <c r="L145" s="377"/>
      <c r="N145" s="382"/>
      <c r="O145" s="382"/>
    </row>
    <row r="146" spans="1:15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0.29112646985239105</v>
      </c>
      <c r="H146" s="460">
        <f t="shared" si="26"/>
        <v>0.29112646985239105</v>
      </c>
      <c r="I146" s="544"/>
      <c r="J146" s="552">
        <f>H146/DAY(B2)</f>
        <v>0.29112646985239105</v>
      </c>
      <c r="K146" s="380"/>
      <c r="L146" s="377"/>
      <c r="N146" s="382"/>
      <c r="O146" s="382"/>
    </row>
    <row r="147" spans="1:15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2595</v>
      </c>
      <c r="H147" s="460">
        <f t="shared" si="26"/>
        <v>2595</v>
      </c>
      <c r="I147" s="545"/>
      <c r="J147" s="552">
        <f>H147/DAY(B2)</f>
        <v>2595</v>
      </c>
      <c r="K147" s="380"/>
      <c r="L147" s="377"/>
      <c r="N147" s="382"/>
      <c r="O147" s="382"/>
    </row>
    <row r="148" spans="1:15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0.16230923192394295</v>
      </c>
      <c r="H148" s="460">
        <f t="shared" si="26"/>
        <v>0.16230923192394295</v>
      </c>
      <c r="I148" s="545"/>
      <c r="J148" s="552">
        <f>H148/DAY(B2)</f>
        <v>0.16230923192394295</v>
      </c>
      <c r="N148" s="382"/>
      <c r="O148" s="382"/>
    </row>
    <row r="149" spans="1:15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1352</v>
      </c>
      <c r="H149" s="460">
        <f t="shared" si="26"/>
        <v>1352</v>
      </c>
      <c r="I149" s="480"/>
      <c r="J149" s="552">
        <f>H149/DAY(B2)</f>
        <v>1352</v>
      </c>
      <c r="K149" s="381"/>
      <c r="N149" s="382"/>
      <c r="O149" s="382"/>
    </row>
    <row r="150" spans="1:15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8.45634225669252E-2</v>
      </c>
      <c r="H150" s="460">
        <f t="shared" si="26"/>
        <v>8.45634225669252E-2</v>
      </c>
      <c r="I150" s="545"/>
      <c r="J150" s="552">
        <f>H150/DAY(B2)</f>
        <v>8.45634225669252E-2</v>
      </c>
      <c r="N150" s="382"/>
      <c r="O150" s="382"/>
    </row>
    <row r="151" spans="1:15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1340</v>
      </c>
      <c r="H151" s="460">
        <f t="shared" si="26"/>
        <v>1340</v>
      </c>
      <c r="I151" s="545"/>
      <c r="J151" s="552">
        <f>H151/DAY(B2)</f>
        <v>1340</v>
      </c>
      <c r="N151" s="382"/>
      <c r="O151" s="382"/>
    </row>
    <row r="152" spans="1:15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8.3812859644733548E-2</v>
      </c>
      <c r="H152" s="460">
        <f t="shared" si="26"/>
        <v>8.3812859644733548E-2</v>
      </c>
      <c r="I152" s="480"/>
      <c r="J152" s="552">
        <f>H152/DAY(B2)</f>
        <v>8.3812859644733548E-2</v>
      </c>
      <c r="N152" s="382"/>
      <c r="O152" s="382"/>
    </row>
    <row r="153" spans="1:15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1282</v>
      </c>
      <c r="H153" s="460">
        <f t="shared" si="26"/>
        <v>1282</v>
      </c>
      <c r="I153" s="480"/>
      <c r="J153" s="552">
        <f>H153/DAY(B2)</f>
        <v>1282</v>
      </c>
      <c r="N153" s="382"/>
      <c r="O153" s="382"/>
    </row>
    <row r="154" spans="1:15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8.0185138854140608E-2</v>
      </c>
      <c r="H154" s="460">
        <f t="shared" si="26"/>
        <v>8.0185138854140608E-2</v>
      </c>
      <c r="I154" s="568"/>
      <c r="J154" s="569">
        <f>H154/DAY(B2)</f>
        <v>8.0185138854140608E-2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7">
      <c r="A161" s="787" t="s">
        <v>262</v>
      </c>
      <c r="B161" s="788"/>
      <c r="C161" s="788"/>
      <c r="D161" s="511" t="s">
        <v>186</v>
      </c>
      <c r="E161" s="661">
        <v>35932</v>
      </c>
      <c r="F161" s="661">
        <v>36012</v>
      </c>
      <c r="G161" s="473">
        <f t="shared" ref="G161:G172" si="27">F161-E161</f>
        <v>80</v>
      </c>
    </row>
    <row r="162" spans="1:7">
      <c r="A162" s="787" t="s">
        <v>263</v>
      </c>
      <c r="B162" s="788"/>
      <c r="C162" s="788"/>
      <c r="D162" s="511" t="s">
        <v>186</v>
      </c>
      <c r="E162" s="661">
        <v>82358</v>
      </c>
      <c r="F162" s="661">
        <v>82806</v>
      </c>
      <c r="G162" s="473">
        <f t="shared" si="27"/>
        <v>448</v>
      </c>
    </row>
    <row r="163" spans="1:7">
      <c r="A163" s="787" t="s">
        <v>264</v>
      </c>
      <c r="B163" s="788"/>
      <c r="C163" s="788"/>
      <c r="D163" s="511" t="s">
        <v>186</v>
      </c>
      <c r="E163" s="661">
        <v>38300</v>
      </c>
      <c r="F163" s="661">
        <v>38569</v>
      </c>
      <c r="G163" s="473">
        <f t="shared" si="27"/>
        <v>269</v>
      </c>
    </row>
    <row r="164" spans="1:7">
      <c r="A164" s="787" t="s">
        <v>265</v>
      </c>
      <c r="B164" s="788"/>
      <c r="C164" s="788"/>
      <c r="D164" s="511" t="s">
        <v>186</v>
      </c>
      <c r="E164" s="661">
        <v>6219</v>
      </c>
      <c r="F164" s="661">
        <v>6241</v>
      </c>
      <c r="G164" s="473">
        <f t="shared" si="27"/>
        <v>22</v>
      </c>
    </row>
    <row r="165" spans="1:7">
      <c r="A165" s="789" t="s">
        <v>98</v>
      </c>
      <c r="B165" s="604"/>
      <c r="C165" s="604"/>
      <c r="D165" s="511" t="s">
        <v>186</v>
      </c>
      <c r="E165" s="514">
        <f>E62</f>
        <v>20419</v>
      </c>
      <c r="F165" s="514">
        <v>20419</v>
      </c>
      <c r="G165" s="473">
        <f>F165-E165</f>
        <v>0</v>
      </c>
    </row>
    <row r="166" spans="1:7">
      <c r="A166" s="789" t="s">
        <v>187</v>
      </c>
      <c r="B166" s="604"/>
      <c r="C166" s="604"/>
      <c r="D166" s="511" t="s">
        <v>186</v>
      </c>
      <c r="E166" s="514">
        <f t="shared" ref="E166:E172" si="28">E63</f>
        <v>2359</v>
      </c>
      <c r="F166" s="514">
        <f t="shared" ref="F166:F172" si="29">F63</f>
        <v>2363</v>
      </c>
      <c r="G166" s="473">
        <f t="shared" si="27"/>
        <v>4</v>
      </c>
    </row>
    <row r="167" spans="1:7" ht="27.75">
      <c r="A167" s="1526" t="s">
        <v>99</v>
      </c>
      <c r="B167" s="1526"/>
      <c r="C167" s="1526"/>
      <c r="D167" s="523" t="s">
        <v>186</v>
      </c>
      <c r="E167" s="514">
        <f t="shared" si="28"/>
        <v>153299</v>
      </c>
      <c r="F167" s="514">
        <f t="shared" si="29"/>
        <v>153510</v>
      </c>
      <c r="G167" s="473">
        <f t="shared" si="27"/>
        <v>211</v>
      </c>
    </row>
    <row r="168" spans="1:7" ht="27.75">
      <c r="A168" s="1526" t="s">
        <v>100</v>
      </c>
      <c r="B168" s="1526"/>
      <c r="C168" s="1526"/>
      <c r="D168" s="523" t="s">
        <v>186</v>
      </c>
      <c r="E168" s="514">
        <f t="shared" si="28"/>
        <v>154599</v>
      </c>
      <c r="F168" s="514">
        <f t="shared" si="29"/>
        <v>154807</v>
      </c>
      <c r="G168" s="473">
        <f t="shared" si="27"/>
        <v>208</v>
      </c>
    </row>
    <row r="169" spans="1:7" ht="27.75">
      <c r="A169" s="1526" t="s">
        <v>101</v>
      </c>
      <c r="B169" s="1526"/>
      <c r="C169" s="1526"/>
      <c r="D169" s="523" t="s">
        <v>186</v>
      </c>
      <c r="E169" s="514">
        <f t="shared" si="28"/>
        <v>48571</v>
      </c>
      <c r="F169" s="514">
        <f t="shared" si="29"/>
        <v>48842</v>
      </c>
      <c r="G169" s="473">
        <f t="shared" si="27"/>
        <v>271</v>
      </c>
    </row>
    <row r="170" spans="1:7" ht="27.75">
      <c r="A170" s="1526" t="s">
        <v>102</v>
      </c>
      <c r="B170" s="1526"/>
      <c r="C170" s="1526"/>
      <c r="D170" s="523" t="s">
        <v>186</v>
      </c>
      <c r="E170" s="514">
        <f t="shared" si="28"/>
        <v>243174</v>
      </c>
      <c r="F170" s="514">
        <f t="shared" si="29"/>
        <v>243396</v>
      </c>
      <c r="G170" s="473">
        <f t="shared" si="27"/>
        <v>222</v>
      </c>
    </row>
    <row r="171" spans="1:7" ht="27.75">
      <c r="A171" s="1526" t="s">
        <v>103</v>
      </c>
      <c r="B171" s="1526"/>
      <c r="C171" s="1526"/>
      <c r="D171" s="523" t="s">
        <v>186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514">
        <f t="shared" si="28"/>
        <v>78994</v>
      </c>
      <c r="F172" s="514">
        <f t="shared" si="29"/>
        <v>79076</v>
      </c>
      <c r="G172" s="473">
        <f t="shared" si="27"/>
        <v>82</v>
      </c>
    </row>
    <row r="173" spans="1:7">
      <c r="G173" s="539">
        <f>SUM(G161:G172)</f>
        <v>1817</v>
      </c>
    </row>
  </sheetData>
  <mergeCells count="74"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11:B111"/>
    <mergeCell ref="A112:B112"/>
    <mergeCell ref="A113:B113"/>
    <mergeCell ref="A114:B114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31" zoomScale="50" zoomScaleSheetLayoutView="50" workbookViewId="0">
      <selection activeCell="E7" sqref="E7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352</v>
      </c>
      <c r="B2" s="1035">
        <v>44318</v>
      </c>
      <c r="C2" s="1310" t="s">
        <v>69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10" t="s">
        <v>119</v>
      </c>
      <c r="D3" s="612">
        <v>30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0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'1'!F7</f>
        <v>5743421</v>
      </c>
      <c r="F7" s="455">
        <v>5759382</v>
      </c>
      <c r="G7" s="473">
        <f>F7-E7</f>
        <v>15961</v>
      </c>
      <c r="H7" s="460">
        <f>G7+'1'!H7</f>
        <v>31949</v>
      </c>
      <c r="I7" s="474">
        <f>'[2]1'!I7</f>
        <v>12000</v>
      </c>
      <c r="J7" s="552">
        <f>H7/DAY(B2)</f>
        <v>15974.5</v>
      </c>
      <c r="K7" s="549"/>
      <c r="L7" s="377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f>'1'!F8</f>
        <v>5777297</v>
      </c>
      <c r="F8" s="475">
        <v>5793328</v>
      </c>
      <c r="G8" s="476">
        <f>F8-E8</f>
        <v>16031</v>
      </c>
      <c r="H8" s="460">
        <f>G8+'1'!H8</f>
        <v>32084</v>
      </c>
      <c r="I8" s="477">
        <v>12000</v>
      </c>
      <c r="J8" s="552">
        <f>H8/DAY(B2)</f>
        <v>16042</v>
      </c>
      <c r="K8" s="549"/>
      <c r="L8" s="425"/>
      <c r="M8" s="440"/>
      <c r="O8" s="382"/>
    </row>
    <row r="9" spans="1:15">
      <c r="A9" s="583" t="s">
        <v>133</v>
      </c>
      <c r="B9" s="584"/>
      <c r="C9" s="584"/>
      <c r="D9" s="523" t="s">
        <v>131</v>
      </c>
      <c r="E9" s="455">
        <f>'1'!F9</f>
        <v>1006183</v>
      </c>
      <c r="F9" s="478">
        <v>1021632</v>
      </c>
      <c r="G9" s="473">
        <f t="shared" ref="G9:G11" si="0">F9-E9</f>
        <v>15449</v>
      </c>
      <c r="H9" s="460">
        <f>G9+'1'!H9</f>
        <v>30918</v>
      </c>
      <c r="I9" s="479">
        <f>I8-J8</f>
        <v>-4042</v>
      </c>
      <c r="J9" s="552">
        <f>H9/DAY(B2)</f>
        <v>15459</v>
      </c>
      <c r="K9" s="428"/>
      <c r="L9" s="377"/>
      <c r="O9" s="382"/>
    </row>
    <row r="10" spans="1:15">
      <c r="A10" s="578" t="s">
        <v>134</v>
      </c>
      <c r="B10" s="579"/>
      <c r="C10" s="579"/>
      <c r="D10" s="523" t="s">
        <v>131</v>
      </c>
      <c r="E10" s="455">
        <f>'1'!F10</f>
        <v>2322.58</v>
      </c>
      <c r="F10" s="478">
        <v>2322.58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136</v>
      </c>
      <c r="B12" s="579"/>
      <c r="C12" s="579"/>
      <c r="D12" s="523" t="s">
        <v>131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15449</v>
      </c>
      <c r="H13" s="460">
        <f>G13+'1'!H13</f>
        <v>30918</v>
      </c>
      <c r="I13" s="482">
        <f>G7-G13</f>
        <v>512</v>
      </c>
      <c r="J13" s="552">
        <f>H13/DAY(B2)</f>
        <v>15459</v>
      </c>
      <c r="K13" s="428"/>
      <c r="L13" s="377"/>
      <c r="O13" s="382"/>
    </row>
    <row r="14" spans="1:15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8" t="s">
        <v>139</v>
      </c>
      <c r="B15" s="589"/>
      <c r="C15" s="589"/>
      <c r="D15" s="523" t="s">
        <v>140</v>
      </c>
      <c r="E15" s="455">
        <f>'1'!F15</f>
        <v>1670991</v>
      </c>
      <c r="F15" s="654">
        <v>1671436</v>
      </c>
      <c r="G15" s="782">
        <f>(F15-E15)</f>
        <v>445</v>
      </c>
      <c r="H15" s="460">
        <f>G15+'1'!H15</f>
        <v>779</v>
      </c>
      <c r="I15" s="474">
        <v>800</v>
      </c>
      <c r="J15" s="552">
        <f>H15/DAY(B2)</f>
        <v>389.5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410.5</v>
      </c>
      <c r="J16" s="553"/>
      <c r="K16" s="428"/>
      <c r="L16" s="377"/>
      <c r="O16" s="382">
        <f>G15-150</f>
        <v>295</v>
      </c>
    </row>
    <row r="17" spans="1:15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51" t="s">
        <v>142</v>
      </c>
      <c r="B18" s="1552"/>
      <c r="C18" s="1553"/>
      <c r="D18" s="523" t="s">
        <v>143</v>
      </c>
      <c r="E18" s="484">
        <v>8</v>
      </c>
      <c r="F18" s="478">
        <v>6</v>
      </c>
      <c r="G18" s="481">
        <f>F18*10</f>
        <v>60</v>
      </c>
      <c r="H18" s="460">
        <f>G18+'1'!H18</f>
        <v>140</v>
      </c>
      <c r="I18" s="474">
        <f>'[2]1'!I18</f>
        <v>65</v>
      </c>
      <c r="J18" s="552">
        <f>H18/DAY(B2)</f>
        <v>70</v>
      </c>
      <c r="K18" s="428"/>
      <c r="L18" s="377"/>
      <c r="O18" s="382"/>
    </row>
    <row r="19" spans="1:15" ht="27.75">
      <c r="A19" s="1551" t="s">
        <v>71</v>
      </c>
      <c r="B19" s="1552"/>
      <c r="C19" s="1553"/>
      <c r="D19" s="523" t="s">
        <v>143</v>
      </c>
      <c r="E19" s="455">
        <f>'1'!F19</f>
        <v>137868</v>
      </c>
      <c r="F19" s="478">
        <v>137919</v>
      </c>
      <c r="G19" s="473">
        <f>F19-E19</f>
        <v>51</v>
      </c>
      <c r="H19" s="460">
        <f>G19+'1'!H19</f>
        <v>107</v>
      </c>
      <c r="I19" s="489"/>
      <c r="J19" s="552">
        <f>H19/DAY(B2)</f>
        <v>53.5</v>
      </c>
      <c r="K19" s="428"/>
      <c r="L19" s="377"/>
      <c r="O19" s="382"/>
    </row>
    <row r="20" spans="1:15">
      <c r="A20" s="585" t="s">
        <v>144</v>
      </c>
      <c r="B20" s="586"/>
      <c r="C20" s="586"/>
      <c r="D20" s="490"/>
      <c r="E20" s="490"/>
      <c r="F20" s="523"/>
      <c r="G20" s="1037">
        <f>G18+G19</f>
        <v>111</v>
      </c>
      <c r="H20" s="460">
        <f>G20+'1'!H20</f>
        <v>247</v>
      </c>
      <c r="I20" s="492">
        <f>I18-J20</f>
        <v>-58.5</v>
      </c>
      <c r="J20" s="552">
        <f>H20/DAY(B2)</f>
        <v>123.5</v>
      </c>
      <c r="K20" s="428"/>
      <c r="L20" s="377"/>
      <c r="O20" s="382"/>
    </row>
    <row r="21" spans="1:15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8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8" t="s">
        <v>148</v>
      </c>
      <c r="B23" s="589"/>
      <c r="C23" s="589"/>
      <c r="D23" s="523" t="s">
        <v>147</v>
      </c>
      <c r="E23" s="484">
        <f>'1'!F23</f>
        <v>2000</v>
      </c>
      <c r="F23" s="478">
        <v>1900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4970</v>
      </c>
      <c r="F24" s="485">
        <v>4970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16031</v>
      </c>
      <c r="F27" s="501">
        <v>9</v>
      </c>
      <c r="G27" s="502">
        <f>E27*F27</f>
        <v>144279</v>
      </c>
      <c r="H27" s="460">
        <f>G27+'1'!H27</f>
        <v>288756</v>
      </c>
      <c r="I27" s="503"/>
      <c r="J27" s="552">
        <f>H27/DAY(B2)</f>
        <v>144378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445</v>
      </c>
      <c r="F28" s="501">
        <v>49</v>
      </c>
      <c r="G28" s="502">
        <f>E28*F28</f>
        <v>21805</v>
      </c>
      <c r="H28" s="460">
        <f>G28+'1'!H28</f>
        <v>38171</v>
      </c>
      <c r="I28" s="505"/>
      <c r="J28" s="552">
        <f>H28/DAY(B2)</f>
        <v>19085.5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51</v>
      </c>
      <c r="F30" s="501">
        <v>134</v>
      </c>
      <c r="G30" s="502">
        <f>E30*F30</f>
        <v>6834</v>
      </c>
      <c r="H30" s="460">
        <f>G30+'1'!H30</f>
        <v>14338</v>
      </c>
      <c r="I30" s="505"/>
      <c r="J30" s="552">
        <f>H30/DAY(B2)</f>
        <v>7169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11200</v>
      </c>
      <c r="I31" s="505"/>
      <c r="J31" s="552">
        <f>H31/DAY(B2)</f>
        <v>5600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177718</v>
      </c>
      <c r="H32" s="460">
        <f>G32+'1'!H32</f>
        <v>352465</v>
      </c>
      <c r="I32" s="509"/>
      <c r="J32" s="552">
        <f>H32/DAY(B2)</f>
        <v>176232.5</v>
      </c>
      <c r="K32" s="373"/>
      <c r="L32" s="443"/>
      <c r="O32" s="382"/>
    </row>
    <row r="33" spans="1:15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O33" s="382"/>
    </row>
    <row r="34" spans="1:15">
      <c r="A34" s="598" t="s">
        <v>162</v>
      </c>
      <c r="B34" s="1313"/>
      <c r="C34" s="1313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'1'!F35</f>
        <v>888627</v>
      </c>
      <c r="F35" s="510">
        <v>890635</v>
      </c>
      <c r="G35" s="473">
        <f t="shared" ref="G35:G46" si="2">F35-E35</f>
        <v>2008</v>
      </c>
      <c r="H35" s="460">
        <f>G35+'1'!H35</f>
        <v>4176</v>
      </c>
      <c r="I35" s="455"/>
      <c r="J35" s="552">
        <f>H35/DAY(B2)</f>
        <v>2088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'1'!F36</f>
        <v>344999</v>
      </c>
      <c r="F36" s="510">
        <v>345384</v>
      </c>
      <c r="G36" s="473">
        <f t="shared" si="2"/>
        <v>385</v>
      </c>
      <c r="H36" s="460">
        <f>G36+'1'!H36</f>
        <v>776</v>
      </c>
      <c r="I36" s="455"/>
      <c r="J36" s="552">
        <f>H36/DAY(B2)</f>
        <v>388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'1'!F37</f>
        <v>96507</v>
      </c>
      <c r="F37" s="510">
        <v>97771</v>
      </c>
      <c r="G37" s="473">
        <f t="shared" si="2"/>
        <v>1264</v>
      </c>
      <c r="H37" s="460">
        <f>G37+'1'!H37</f>
        <v>2546</v>
      </c>
      <c r="I37" s="455"/>
      <c r="J37" s="552">
        <f>H37/DAY(B2)</f>
        <v>1273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'1'!F38</f>
        <v>120948</v>
      </c>
      <c r="F38" s="469">
        <v>122249</v>
      </c>
      <c r="G38" s="473">
        <f t="shared" si="2"/>
        <v>1301</v>
      </c>
      <c r="H38" s="460">
        <f>G38+'1'!H38</f>
        <v>2653</v>
      </c>
      <c r="I38" s="455"/>
      <c r="J38" s="552">
        <f>H38/DAY(B2)</f>
        <v>1326.5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'1'!F39</f>
        <v>248577</v>
      </c>
      <c r="F39" s="510">
        <v>250465</v>
      </c>
      <c r="G39" s="473">
        <f t="shared" si="2"/>
        <v>1888</v>
      </c>
      <c r="H39" s="460">
        <f>G39+'1'!H39</f>
        <v>3812</v>
      </c>
      <c r="I39" s="455"/>
      <c r="J39" s="552">
        <f>H39/DAY(B2)</f>
        <v>1906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'1'!F40</f>
        <v>0.23</v>
      </c>
      <c r="F40" s="510">
        <v>0.23</v>
      </c>
      <c r="G40" s="473">
        <f t="shared" si="2"/>
        <v>0</v>
      </c>
      <c r="H40" s="460">
        <f>G40+'1'!H40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'1'!F41</f>
        <v>186183</v>
      </c>
      <c r="F41" s="510">
        <v>191184</v>
      </c>
      <c r="G41" s="473">
        <f t="shared" si="2"/>
        <v>5001</v>
      </c>
      <c r="H41" s="460">
        <f>G41+'1'!H41</f>
        <v>9656</v>
      </c>
      <c r="I41" s="455"/>
      <c r="J41" s="552">
        <f>H41/DAY(B2)</f>
        <v>4828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f>'1'!F42</f>
        <v>59200</v>
      </c>
      <c r="F42" s="510">
        <v>59200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'1'!F43</f>
        <v>976277</v>
      </c>
      <c r="F43" s="510">
        <v>978508</v>
      </c>
      <c r="G43" s="473">
        <f t="shared" si="2"/>
        <v>2231</v>
      </c>
      <c r="H43" s="460">
        <f>G43+'1'!H43</f>
        <v>4550</v>
      </c>
      <c r="I43" s="455"/>
      <c r="J43" s="552">
        <f>H43/DAY(B2)</f>
        <v>2275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14078</v>
      </c>
      <c r="H47" s="460">
        <f>G47+'1'!H47</f>
        <v>28169</v>
      </c>
      <c r="I47" s="455"/>
      <c r="J47" s="552">
        <f>H47/DAY(B2)</f>
        <v>14084.5</v>
      </c>
      <c r="K47" s="428"/>
      <c r="L47" s="377"/>
      <c r="N47" s="382"/>
      <c r="O47" s="382"/>
    </row>
    <row r="48" spans="1:15">
      <c r="A48" s="598" t="s">
        <v>176</v>
      </c>
      <c r="B48" s="1313"/>
      <c r="C48" s="1313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</v>
      </c>
      <c r="I49" s="455"/>
      <c r="J49" s="552">
        <f>H49/DAY(B2)</f>
        <v>0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'1'!F50</f>
        <v>475485</v>
      </c>
      <c r="F50" s="510">
        <v>476369</v>
      </c>
      <c r="G50" s="473">
        <f t="shared" si="3"/>
        <v>884</v>
      </c>
      <c r="H50" s="460">
        <f>G50+'1'!H50</f>
        <v>1833</v>
      </c>
      <c r="I50" s="455"/>
      <c r="J50" s="552">
        <f>H50/DAY(B2)</f>
        <v>916.5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'1'!F51</f>
        <v>144640</v>
      </c>
      <c r="F51" s="510">
        <v>144640</v>
      </c>
      <c r="G51" s="473">
        <f t="shared" si="3"/>
        <v>0</v>
      </c>
      <c r="H51" s="460">
        <f>G51+'1'!H51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'1'!F53</f>
        <v>416982</v>
      </c>
      <c r="F53" s="510">
        <v>417535</v>
      </c>
      <c r="G53" s="473">
        <f t="shared" si="3"/>
        <v>553</v>
      </c>
      <c r="H53" s="460">
        <f>G53+'1'!H53</f>
        <v>1224</v>
      </c>
      <c r="I53" s="455"/>
      <c r="J53" s="552">
        <f>H53/DAY(B2)</f>
        <v>612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'1'!F54</f>
        <v>11452</v>
      </c>
      <c r="F54" s="510">
        <v>11526</v>
      </c>
      <c r="G54" s="473">
        <f t="shared" si="3"/>
        <v>74</v>
      </c>
      <c r="H54" s="460">
        <f>G54+'1'!H54</f>
        <v>148</v>
      </c>
      <c r="I54" s="455"/>
      <c r="J54" s="552">
        <f>H54/DAY(B2)</f>
        <v>74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'1'!F55</f>
        <v>346926</v>
      </c>
      <c r="F55" s="1036">
        <v>346926</v>
      </c>
      <c r="G55" s="473">
        <f t="shared" si="3"/>
        <v>0</v>
      </c>
      <c r="H55" s="460">
        <f>G55+'1'!H55</f>
        <v>0</v>
      </c>
      <c r="I55" s="455"/>
      <c r="J55" s="552">
        <f>H55/DAY(B2)</f>
        <v>0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'1'!F56</f>
        <v>589288</v>
      </c>
      <c r="F56" s="1036">
        <v>589288</v>
      </c>
      <c r="G56" s="473">
        <f t="shared" si="3"/>
        <v>0</v>
      </c>
      <c r="H56" s="460">
        <f>G56+'1'!H56</f>
        <v>-0.46999999997206032</v>
      </c>
      <c r="I56" s="455"/>
      <c r="J56" s="552">
        <f>H56/DAY(B2)</f>
        <v>-0.23499999998603016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'1'!F58</f>
        <v>46668</v>
      </c>
      <c r="F58" s="656">
        <v>46781</v>
      </c>
      <c r="G58" s="473">
        <f t="shared" si="3"/>
        <v>113</v>
      </c>
      <c r="H58" s="460">
        <f>G58+'1'!H58</f>
        <v>113</v>
      </c>
      <c r="I58" s="455"/>
      <c r="J58" s="552">
        <f>H58/DAY(B2)</f>
        <v>56.5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1624.1300000000047</v>
      </c>
      <c r="H59" s="460">
        <f>G59+'1'!H59</f>
        <v>3317.5300000000279</v>
      </c>
      <c r="I59" s="455">
        <f>G7-G60</f>
        <v>258.86999999999534</v>
      </c>
      <c r="J59" s="552">
        <f>H59/DAY(B2)</f>
        <v>1658.765000000014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15702.130000000005</v>
      </c>
      <c r="H60" s="460">
        <f>G60+'1'!H60</f>
        <v>31486.530000000028</v>
      </c>
      <c r="I60" s="455">
        <f>G13-G60</f>
        <v>-253.13000000000466</v>
      </c>
      <c r="J60" s="552">
        <f>H60/DAY(B2)</f>
        <v>15743.265000000014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186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'1'!F63</f>
        <v>2363</v>
      </c>
      <c r="F63" s="514">
        <v>2367</v>
      </c>
      <c r="G63" s="473">
        <f t="shared" si="4"/>
        <v>4</v>
      </c>
      <c r="H63" s="460">
        <f>G63+'1'!H63</f>
        <v>8</v>
      </c>
      <c r="I63" s="515"/>
      <c r="J63" s="552">
        <f>H63/DAY(B2)</f>
        <v>4</v>
      </c>
      <c r="K63" s="428"/>
      <c r="L63" s="377"/>
      <c r="O63" s="382"/>
    </row>
    <row r="64" spans="1:15" ht="27.75">
      <c r="A64" s="1530" t="s">
        <v>99</v>
      </c>
      <c r="B64" s="1531"/>
      <c r="C64" s="1532"/>
      <c r="D64" s="523" t="s">
        <v>186</v>
      </c>
      <c r="E64" s="455">
        <f>'1'!F64</f>
        <v>153510</v>
      </c>
      <c r="F64" s="478">
        <v>153718</v>
      </c>
      <c r="G64" s="473">
        <f t="shared" si="4"/>
        <v>208</v>
      </c>
      <c r="H64" s="460">
        <f>G64+'1'!H64</f>
        <v>419</v>
      </c>
      <c r="I64" s="480"/>
      <c r="J64" s="552">
        <f>H64/DAY(B2)</f>
        <v>209.5</v>
      </c>
      <c r="K64" s="428"/>
      <c r="L64" s="377"/>
      <c r="O64" s="382"/>
    </row>
    <row r="65" spans="1:15" ht="27.75">
      <c r="A65" s="1530" t="s">
        <v>100</v>
      </c>
      <c r="B65" s="1531"/>
      <c r="C65" s="1532"/>
      <c r="D65" s="523" t="s">
        <v>186</v>
      </c>
      <c r="E65" s="455">
        <f>'1'!F65</f>
        <v>154807</v>
      </c>
      <c r="F65" s="654">
        <v>155006</v>
      </c>
      <c r="G65" s="473">
        <f t="shared" si="4"/>
        <v>199</v>
      </c>
      <c r="H65" s="460">
        <f>G65+'1'!H65</f>
        <v>407</v>
      </c>
      <c r="I65" s="489"/>
      <c r="J65" s="552">
        <f>H65/DAY(B2)</f>
        <v>203.5</v>
      </c>
      <c r="K65" s="428"/>
      <c r="L65" s="377"/>
      <c r="O65" s="382"/>
    </row>
    <row r="66" spans="1:15" ht="27.75">
      <c r="A66" s="1530" t="s">
        <v>101</v>
      </c>
      <c r="B66" s="1531"/>
      <c r="C66" s="1532"/>
      <c r="D66" s="523" t="s">
        <v>186</v>
      </c>
      <c r="E66" s="455">
        <f>'1'!F66</f>
        <v>48842</v>
      </c>
      <c r="F66" s="478">
        <v>49114</v>
      </c>
      <c r="G66" s="473">
        <f t="shared" si="4"/>
        <v>272</v>
      </c>
      <c r="H66" s="460">
        <f>G66+'1'!H66</f>
        <v>543</v>
      </c>
      <c r="I66" s="480"/>
      <c r="J66" s="552">
        <f>H66/DAY(B2)</f>
        <v>271.5</v>
      </c>
      <c r="K66" s="428"/>
      <c r="L66" s="377"/>
      <c r="O66" s="382"/>
    </row>
    <row r="67" spans="1:15" ht="27.75">
      <c r="A67" s="1530" t="s">
        <v>102</v>
      </c>
      <c r="B67" s="1531"/>
      <c r="C67" s="1532"/>
      <c r="D67" s="523" t="s">
        <v>186</v>
      </c>
      <c r="E67" s="455">
        <f>'1'!F67</f>
        <v>243396</v>
      </c>
      <c r="F67" s="478">
        <v>243610</v>
      </c>
      <c r="G67" s="473">
        <f t="shared" si="4"/>
        <v>214</v>
      </c>
      <c r="H67" s="460">
        <f>G67+'1'!H67</f>
        <v>436</v>
      </c>
      <c r="I67" s="489"/>
      <c r="J67" s="552">
        <f>H67/DAY(B2)</f>
        <v>218</v>
      </c>
      <c r="K67" s="429"/>
      <c r="L67" s="377"/>
      <c r="O67" s="382"/>
    </row>
    <row r="68" spans="1:15" ht="27.75">
      <c r="A68" s="1530" t="s">
        <v>103</v>
      </c>
      <c r="B68" s="1531"/>
      <c r="C68" s="1532"/>
      <c r="D68" s="523" t="s">
        <v>186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30" t="s">
        <v>104</v>
      </c>
      <c r="B69" s="1531"/>
      <c r="C69" s="1532"/>
      <c r="D69" s="523" t="s">
        <v>186</v>
      </c>
      <c r="E69" s="455">
        <f>'1'!F69</f>
        <v>79076</v>
      </c>
      <c r="F69" s="478">
        <v>79169</v>
      </c>
      <c r="G69" s="473">
        <f t="shared" si="4"/>
        <v>93</v>
      </c>
      <c r="H69" s="460">
        <f>G69+'1'!H69</f>
        <v>175</v>
      </c>
      <c r="I69" s="516"/>
      <c r="J69" s="552">
        <f>H69/DAY(B2)</f>
        <v>87.5</v>
      </c>
      <c r="K69" s="431"/>
      <c r="L69" s="377"/>
      <c r="O69" s="382"/>
    </row>
    <row r="70" spans="1:15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O71" s="382"/>
    </row>
    <row r="72" spans="1:15" ht="27.75">
      <c r="A72" s="1530" t="s">
        <v>190</v>
      </c>
      <c r="B72" s="1531"/>
      <c r="C72" s="1532"/>
      <c r="D72" s="523" t="s">
        <v>186</v>
      </c>
      <c r="E72" s="455">
        <f>'1'!F72</f>
        <v>855478</v>
      </c>
      <c r="F72" s="657">
        <v>855493</v>
      </c>
      <c r="G72" s="473">
        <f t="shared" ref="G72:G84" si="5">F72-E72</f>
        <v>15</v>
      </c>
      <c r="H72" s="460">
        <f>G72+'1'!H72</f>
        <v>32</v>
      </c>
      <c r="I72" s="480"/>
      <c r="J72" s="552">
        <f>H72/DAY(B2)</f>
        <v>16</v>
      </c>
      <c r="K72" s="431"/>
      <c r="L72" s="377"/>
      <c r="O72" s="382"/>
    </row>
    <row r="73" spans="1:15" ht="27.75">
      <c r="A73" s="1530" t="s">
        <v>191</v>
      </c>
      <c r="B73" s="1531"/>
      <c r="C73" s="1532"/>
      <c r="D73" s="523" t="s">
        <v>186</v>
      </c>
      <c r="E73" s="455">
        <f>'1'!F73</f>
        <v>885878</v>
      </c>
      <c r="F73" s="658">
        <v>885879</v>
      </c>
      <c r="G73" s="655">
        <f t="shared" si="5"/>
        <v>1</v>
      </c>
      <c r="H73" s="460">
        <f>G73+'1'!H73</f>
        <v>3</v>
      </c>
      <c r="I73" s="480"/>
      <c r="J73" s="552">
        <f>H73/DAY(B2)</f>
        <v>1.5</v>
      </c>
      <c r="K73" s="430"/>
      <c r="L73" s="377"/>
      <c r="O73" s="382"/>
    </row>
    <row r="74" spans="1:15" ht="27.75">
      <c r="A74" s="1530" t="s">
        <v>192</v>
      </c>
      <c r="B74" s="1531"/>
      <c r="C74" s="1532"/>
      <c r="D74" s="523" t="s">
        <v>186</v>
      </c>
      <c r="E74" s="455">
        <f>'1'!F74</f>
        <v>2309</v>
      </c>
      <c r="F74" s="657">
        <v>2325</v>
      </c>
      <c r="G74" s="473">
        <f t="shared" si="5"/>
        <v>16</v>
      </c>
      <c r="H74" s="460">
        <f>G74+'1'!H74</f>
        <v>46</v>
      </c>
      <c r="I74" s="480"/>
      <c r="J74" s="552">
        <f>H74/DAY(B2)</f>
        <v>23</v>
      </c>
      <c r="K74" s="431"/>
      <c r="L74" s="377"/>
      <c r="O74" s="382"/>
    </row>
    <row r="75" spans="1:15" ht="27.75">
      <c r="A75" s="1527" t="s">
        <v>193</v>
      </c>
      <c r="B75" s="1528"/>
      <c r="C75" s="1529"/>
      <c r="D75" s="523" t="s">
        <v>186</v>
      </c>
      <c r="E75" s="455">
        <f>'1'!F75</f>
        <v>11024</v>
      </c>
      <c r="F75" s="659">
        <v>11076</v>
      </c>
      <c r="G75" s="473">
        <f t="shared" si="5"/>
        <v>52</v>
      </c>
      <c r="H75" s="460">
        <f>G75+'1'!H75</f>
        <v>106</v>
      </c>
      <c r="I75" s="480"/>
      <c r="J75" s="552">
        <f>H75/DAY(B2)</f>
        <v>53</v>
      </c>
      <c r="K75" s="430"/>
      <c r="L75" s="377"/>
      <c r="O75" s="382"/>
    </row>
    <row r="76" spans="1:15" ht="27.75">
      <c r="A76" s="1527" t="s">
        <v>194</v>
      </c>
      <c r="B76" s="1528"/>
      <c r="C76" s="1529"/>
      <c r="D76" s="523" t="s">
        <v>186</v>
      </c>
      <c r="E76" s="455">
        <f>'1'!F76</f>
        <v>5766</v>
      </c>
      <c r="F76" s="658">
        <v>5822</v>
      </c>
      <c r="G76" s="473">
        <f t="shared" si="5"/>
        <v>56</v>
      </c>
      <c r="H76" s="460">
        <f>G76+'1'!H76</f>
        <v>113</v>
      </c>
      <c r="I76" s="505"/>
      <c r="J76" s="552">
        <f>H76/DAY(B2)</f>
        <v>56.5</v>
      </c>
      <c r="K76" s="430"/>
      <c r="L76" s="377"/>
      <c r="O76" s="382"/>
    </row>
    <row r="77" spans="1:15" ht="27.75">
      <c r="A77" s="1530" t="s">
        <v>195</v>
      </c>
      <c r="B77" s="1531"/>
      <c r="C77" s="1532"/>
      <c r="D77" s="523" t="s">
        <v>186</v>
      </c>
      <c r="E77" s="455">
        <f>'1'!F77</f>
        <v>701612</v>
      </c>
      <c r="F77" s="658">
        <v>701659</v>
      </c>
      <c r="G77" s="655">
        <f t="shared" si="5"/>
        <v>47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11" t="s">
        <v>196</v>
      </c>
      <c r="B78" s="1304"/>
      <c r="C78" s="1304"/>
      <c r="D78" s="523" t="s">
        <v>186</v>
      </c>
      <c r="E78" s="455">
        <f>'1'!F78</f>
        <v>670149</v>
      </c>
      <c r="F78" s="659">
        <v>670244</v>
      </c>
      <c r="G78" s="473">
        <f t="shared" si="5"/>
        <v>95</v>
      </c>
      <c r="H78" s="460">
        <f>G78+'1'!H78</f>
        <v>219</v>
      </c>
      <c r="I78" s="505"/>
      <c r="J78" s="552">
        <f>H78/DAY(B2)</f>
        <v>109.5</v>
      </c>
      <c r="K78" s="430"/>
      <c r="L78" s="377"/>
      <c r="O78" s="382"/>
    </row>
    <row r="79" spans="1:15" ht="27.75">
      <c r="A79" s="1527" t="s">
        <v>92</v>
      </c>
      <c r="B79" s="1528"/>
      <c r="C79" s="1529"/>
      <c r="D79" s="524" t="s">
        <v>186</v>
      </c>
      <c r="E79" s="455">
        <f>'1'!F79</f>
        <v>826973</v>
      </c>
      <c r="F79" s="659">
        <v>827150</v>
      </c>
      <c r="G79" s="473">
        <f t="shared" si="5"/>
        <v>177</v>
      </c>
      <c r="H79" s="460">
        <f>G79+'1'!H79</f>
        <v>366</v>
      </c>
      <c r="I79" s="505"/>
      <c r="J79" s="552">
        <f>H79/DAY(B2)</f>
        <v>183</v>
      </c>
      <c r="K79" s="430"/>
      <c r="L79" s="377"/>
      <c r="O79" s="382"/>
    </row>
    <row r="80" spans="1:15" ht="27.75">
      <c r="A80" s="1527" t="s">
        <v>197</v>
      </c>
      <c r="B80" s="1528"/>
      <c r="C80" s="1529"/>
      <c r="D80" s="524" t="s">
        <v>186</v>
      </c>
      <c r="E80" s="455">
        <f>'1'!F80</f>
        <v>517132</v>
      </c>
      <c r="F80" s="658">
        <v>517512</v>
      </c>
      <c r="G80" s="473">
        <f t="shared" si="5"/>
        <v>380</v>
      </c>
      <c r="H80" s="460">
        <f>G80+'1'!H80</f>
        <v>774</v>
      </c>
      <c r="I80" s="505"/>
      <c r="J80" s="552">
        <f>H80/DAY(B2)</f>
        <v>387</v>
      </c>
      <c r="K80" s="430"/>
      <c r="L80" s="377"/>
      <c r="O80" s="382"/>
    </row>
    <row r="81" spans="1:15" ht="27.75">
      <c r="A81" s="1527" t="s">
        <v>198</v>
      </c>
      <c r="B81" s="1528"/>
      <c r="C81" s="1529"/>
      <c r="D81" s="524" t="s">
        <v>186</v>
      </c>
      <c r="E81" s="455">
        <f>'1'!F81</f>
        <v>636559</v>
      </c>
      <c r="F81" s="658">
        <v>636625</v>
      </c>
      <c r="G81" s="473">
        <f t="shared" si="5"/>
        <v>66</v>
      </c>
      <c r="H81" s="460">
        <f>G81+'1'!H81</f>
        <v>147</v>
      </c>
      <c r="I81" s="505"/>
      <c r="J81" s="552">
        <f>H81/DAY(B2)</f>
        <v>73.5</v>
      </c>
      <c r="K81" s="430"/>
      <c r="L81" s="377"/>
      <c r="O81" s="382"/>
    </row>
    <row r="82" spans="1:15" ht="27.75">
      <c r="A82" s="1527" t="s">
        <v>93</v>
      </c>
      <c r="B82" s="1528"/>
      <c r="C82" s="1529"/>
      <c r="D82" s="485" t="s">
        <v>131</v>
      </c>
      <c r="E82" s="455">
        <f>'1'!F82</f>
        <v>107624</v>
      </c>
      <c r="F82" s="654">
        <v>107638</v>
      </c>
      <c r="G82" s="473">
        <f t="shared" si="5"/>
        <v>14</v>
      </c>
      <c r="H82" s="460">
        <f>G82+'1'!H82</f>
        <v>26</v>
      </c>
      <c r="I82" s="486"/>
      <c r="J82" s="552">
        <f>H82/DAY(B2)</f>
        <v>13</v>
      </c>
      <c r="K82" s="430"/>
      <c r="L82" s="377"/>
      <c r="O82" s="382"/>
    </row>
    <row r="83" spans="1:15" ht="27.75">
      <c r="A83" s="1527" t="s">
        <v>199</v>
      </c>
      <c r="B83" s="1528"/>
      <c r="C83" s="1529"/>
      <c r="D83" s="620" t="s">
        <v>131</v>
      </c>
      <c r="E83" s="455">
        <f>'1'!F83</f>
        <v>15026</v>
      </c>
      <c r="F83" s="511">
        <v>15267</v>
      </c>
      <c r="G83" s="473">
        <f t="shared" si="5"/>
        <v>241</v>
      </c>
      <c r="H83" s="460">
        <f>G83+'1'!H83</f>
        <v>496</v>
      </c>
      <c r="I83" s="481"/>
      <c r="J83" s="552">
        <f>H83/DAY(B2)</f>
        <v>248</v>
      </c>
      <c r="K83" s="429"/>
      <c r="L83" s="377"/>
      <c r="O83" s="382"/>
    </row>
    <row r="84" spans="1:15">
      <c r="A84" s="1312" t="s">
        <v>200</v>
      </c>
      <c r="B84" s="571"/>
      <c r="C84" s="571"/>
      <c r="D84" s="478" t="s">
        <v>131</v>
      </c>
      <c r="E84" s="455">
        <f>'1'!F84</f>
        <v>480848</v>
      </c>
      <c r="F84" s="627">
        <v>481560</v>
      </c>
      <c r="G84" s="473">
        <f t="shared" si="5"/>
        <v>712</v>
      </c>
      <c r="H84" s="460">
        <f>G84+'1'!H84</f>
        <v>1427</v>
      </c>
      <c r="I84" s="481"/>
      <c r="J84" s="552">
        <f>H84/DAY(B2)</f>
        <v>713.5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1872</v>
      </c>
      <c r="H85" s="460">
        <f>G85+'1'!H85</f>
        <v>3852</v>
      </c>
      <c r="I85" s="481"/>
      <c r="J85" s="552">
        <f>H85/DAY(B2)</f>
        <v>1926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182</v>
      </c>
      <c r="E86" s="455">
        <f>'1'!F86</f>
        <v>459318</v>
      </c>
      <c r="F86" s="650">
        <v>459339</v>
      </c>
      <c r="G86" s="708">
        <f t="shared" ref="G86:G91" si="6">F86-E86</f>
        <v>21</v>
      </c>
      <c r="H86" s="460">
        <f>G86+'1'!H86</f>
        <v>72</v>
      </c>
      <c r="I86" s="655"/>
      <c r="J86" s="710">
        <f>H86/DAY(B2)</f>
        <v>36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182</v>
      </c>
      <c r="E87" s="455">
        <f>'1'!F87</f>
        <v>80929</v>
      </c>
      <c r="F87" s="650">
        <v>80935</v>
      </c>
      <c r="G87" s="708">
        <f t="shared" si="6"/>
        <v>6</v>
      </c>
      <c r="H87" s="460">
        <f>G87+'1'!H87</f>
        <v>16</v>
      </c>
      <c r="I87" s="655"/>
      <c r="J87" s="710">
        <f>H87/DAY(B2)</f>
        <v>8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182</v>
      </c>
      <c r="E88" s="455">
        <f>'1'!F88</f>
        <v>151833</v>
      </c>
      <c r="F88" s="650">
        <v>151857</v>
      </c>
      <c r="G88" s="708">
        <f t="shared" si="6"/>
        <v>24</v>
      </c>
      <c r="H88" s="460">
        <f>G88+'1'!H88</f>
        <v>52</v>
      </c>
      <c r="I88" s="655"/>
      <c r="J88" s="710">
        <f>H88/DAY(B2)</f>
        <v>26</v>
      </c>
      <c r="K88" s="736"/>
      <c r="L88" s="737"/>
      <c r="O88" s="716"/>
    </row>
    <row r="89" spans="1:15" s="738" customFormat="1">
      <c r="A89" s="733" t="s">
        <v>203</v>
      </c>
      <c r="B89" s="734"/>
      <c r="C89" s="734"/>
      <c r="D89" s="735" t="s">
        <v>182</v>
      </c>
      <c r="E89" s="455">
        <f>'1'!F89</f>
        <v>64841</v>
      </c>
      <c r="F89" s="650">
        <v>64847</v>
      </c>
      <c r="G89" s="708">
        <f t="shared" si="6"/>
        <v>6</v>
      </c>
      <c r="H89" s="460">
        <f>G89+'1'!H89</f>
        <v>13</v>
      </c>
      <c r="I89" s="655"/>
      <c r="J89" s="710">
        <f>H89/DAY(B2)</f>
        <v>6.5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455">
        <f>'1'!F90</f>
        <v>3272</v>
      </c>
      <c r="F90" s="650">
        <v>3272</v>
      </c>
      <c r="G90" s="708">
        <f t="shared" si="6"/>
        <v>0</v>
      </c>
      <c r="H90" s="460">
        <f>G90+'1'!H90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455">
        <f>'1'!F91</f>
        <v>27910</v>
      </c>
      <c r="F91" s="650">
        <v>27911.65</v>
      </c>
      <c r="G91" s="708">
        <f t="shared" si="6"/>
        <v>1.6500000000014552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204</v>
      </c>
      <c r="B92" s="1314"/>
      <c r="C92" s="1314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1" t="s">
        <v>205</v>
      </c>
      <c r="B93" s="1552"/>
      <c r="C93" s="1553"/>
      <c r="D93" s="523" t="s">
        <v>143</v>
      </c>
      <c r="E93" s="455">
        <f>'1'!F93</f>
        <v>244576</v>
      </c>
      <c r="F93" s="478">
        <v>244612</v>
      </c>
      <c r="G93" s="473">
        <f t="shared" ref="G93:G94" si="7">F93-E93</f>
        <v>36</v>
      </c>
      <c r="H93" s="460">
        <f>G93+'1'!H93</f>
        <v>88</v>
      </c>
      <c r="I93" s="480"/>
      <c r="J93" s="552">
        <f>H93/DAY(B2)</f>
        <v>44</v>
      </c>
      <c r="K93" s="429"/>
      <c r="L93" s="377"/>
      <c r="O93" s="382"/>
    </row>
    <row r="94" spans="1:15" ht="27.75">
      <c r="A94" s="1551" t="s">
        <v>206</v>
      </c>
      <c r="B94" s="1552"/>
      <c r="C94" s="1553"/>
      <c r="D94" s="523" t="s">
        <v>143</v>
      </c>
      <c r="E94" s="455">
        <f>'1'!F94</f>
        <v>183626</v>
      </c>
      <c r="F94" s="478">
        <v>183727</v>
      </c>
      <c r="G94" s="473">
        <f t="shared" si="7"/>
        <v>101</v>
      </c>
      <c r="H94" s="460">
        <f>G94+'1'!H94</f>
        <v>196</v>
      </c>
      <c r="I94" s="480"/>
      <c r="J94" s="552">
        <f>H94/DAY(B2)</f>
        <v>98</v>
      </c>
      <c r="K94" s="380"/>
      <c r="L94" s="377"/>
      <c r="O94" s="382"/>
    </row>
    <row r="95" spans="1:15">
      <c r="A95" s="1579" t="s">
        <v>207</v>
      </c>
      <c r="B95" s="1580"/>
      <c r="C95" s="1581"/>
      <c r="D95" s="523"/>
      <c r="E95" s="455">
        <f>'1'!F95</f>
        <v>0</v>
      </c>
      <c r="F95" s="478"/>
      <c r="G95" s="473">
        <f>G93+G94</f>
        <v>137</v>
      </c>
      <c r="H95" s="460">
        <f>G95+'1'!H95</f>
        <v>137</v>
      </c>
      <c r="I95" s="480"/>
      <c r="J95" s="552">
        <f>H95/DAY(B2)</f>
        <v>68.5</v>
      </c>
      <c r="K95" s="380"/>
      <c r="L95" s="377"/>
      <c r="O95" s="382"/>
    </row>
    <row r="96" spans="1:15" ht="27.75">
      <c r="A96" s="1551" t="s">
        <v>208</v>
      </c>
      <c r="B96" s="1552"/>
      <c r="C96" s="1553"/>
      <c r="D96" s="523" t="s">
        <v>143</v>
      </c>
      <c r="E96" s="455">
        <f>'1'!F96</f>
        <v>412958</v>
      </c>
      <c r="F96" s="478">
        <v>413000</v>
      </c>
      <c r="G96" s="473">
        <f t="shared" ref="G96:G101" si="8">F96-E96</f>
        <v>42</v>
      </c>
      <c r="H96" s="460">
        <f>G96+'1'!H96</f>
        <v>114</v>
      </c>
      <c r="I96" s="480"/>
      <c r="J96" s="552">
        <f>H96/DAY(B2)</f>
        <v>57</v>
      </c>
      <c r="K96" s="380"/>
      <c r="L96" s="377"/>
      <c r="O96" s="382"/>
    </row>
    <row r="97" spans="1:15" ht="27.75">
      <c r="A97" s="1308" t="s">
        <v>209</v>
      </c>
      <c r="B97" s="1309"/>
      <c r="C97" s="1309"/>
      <c r="D97" s="523" t="s">
        <v>143</v>
      </c>
      <c r="E97" s="455">
        <f>'1'!F97</f>
        <v>102355</v>
      </c>
      <c r="F97" s="478">
        <v>102367</v>
      </c>
      <c r="G97" s="473">
        <f t="shared" si="8"/>
        <v>12</v>
      </c>
      <c r="H97" s="460">
        <f>G97+'1'!H97</f>
        <v>24</v>
      </c>
      <c r="I97" s="480"/>
      <c r="J97" s="552">
        <f>H97/DAY(B2)</f>
        <v>12</v>
      </c>
      <c r="K97" s="427"/>
      <c r="L97" s="377"/>
      <c r="O97" s="382"/>
    </row>
    <row r="98" spans="1:15" ht="27.75">
      <c r="A98" s="1308" t="s">
        <v>210</v>
      </c>
      <c r="B98" s="1309"/>
      <c r="C98" s="1309"/>
      <c r="D98" s="523" t="s">
        <v>143</v>
      </c>
      <c r="E98" s="455">
        <f>'1'!F98</f>
        <v>97444</v>
      </c>
      <c r="F98" s="478">
        <v>97462</v>
      </c>
      <c r="G98" s="473">
        <f t="shared" si="8"/>
        <v>18</v>
      </c>
      <c r="H98" s="460">
        <f>G98+'1'!H98</f>
        <v>35</v>
      </c>
      <c r="I98" s="480"/>
      <c r="J98" s="552">
        <f>H98/DAY(B2)</f>
        <v>17.5</v>
      </c>
      <c r="K98" s="432"/>
      <c r="L98" s="377"/>
      <c r="O98" s="382"/>
    </row>
    <row r="99" spans="1:15" ht="27.75">
      <c r="A99" s="1308" t="s">
        <v>211</v>
      </c>
      <c r="B99" s="1309"/>
      <c r="C99" s="1309"/>
      <c r="D99" s="523" t="s">
        <v>143</v>
      </c>
      <c r="E99" s="455">
        <f>'1'!F99</f>
        <v>149538</v>
      </c>
      <c r="F99" s="478">
        <v>149543</v>
      </c>
      <c r="G99" s="473">
        <f t="shared" si="8"/>
        <v>5</v>
      </c>
      <c r="H99" s="460">
        <f>G99+'1'!H99</f>
        <v>10</v>
      </c>
      <c r="I99" s="480"/>
      <c r="J99" s="552">
        <f>H99/DAY(B2)</f>
        <v>5</v>
      </c>
      <c r="K99" s="380"/>
      <c r="L99" s="377"/>
      <c r="O99" s="382"/>
    </row>
    <row r="100" spans="1:15" ht="27.75">
      <c r="A100" s="1308" t="s">
        <v>212</v>
      </c>
      <c r="B100" s="1309"/>
      <c r="C100" s="1309"/>
      <c r="D100" s="523" t="s">
        <v>143</v>
      </c>
      <c r="E100" s="455">
        <f>'1'!F100</f>
        <v>7190</v>
      </c>
      <c r="F100" s="478">
        <v>7195</v>
      </c>
      <c r="G100" s="473">
        <f t="shared" si="8"/>
        <v>5</v>
      </c>
      <c r="H100" s="460">
        <f>G100+'1'!H100</f>
        <v>10</v>
      </c>
      <c r="I100" s="480"/>
      <c r="J100" s="552">
        <f>H100/DAY(B2)</f>
        <v>5</v>
      </c>
      <c r="K100" s="380"/>
      <c r="L100" s="377"/>
      <c r="O100" s="382"/>
    </row>
    <row r="101" spans="1:15" ht="27.75">
      <c r="A101" s="1308" t="s">
        <v>213</v>
      </c>
      <c r="B101" s="1309"/>
      <c r="C101" s="1309"/>
      <c r="D101" s="523" t="s">
        <v>143</v>
      </c>
      <c r="E101" s="455">
        <f>'1'!F101</f>
        <v>5144</v>
      </c>
      <c r="F101" s="478">
        <v>5150</v>
      </c>
      <c r="G101" s="473">
        <f t="shared" si="8"/>
        <v>6</v>
      </c>
      <c r="H101" s="460">
        <f>G101+'1'!H101</f>
        <v>12</v>
      </c>
      <c r="I101" s="480"/>
      <c r="J101" s="552">
        <f>H101/DAY(B2)</f>
        <v>6</v>
      </c>
      <c r="K101" s="380"/>
      <c r="L101" s="377"/>
      <c r="O101" s="382"/>
    </row>
    <row r="102" spans="1:15">
      <c r="A102" s="1579" t="s">
        <v>215</v>
      </c>
      <c r="B102" s="1580"/>
      <c r="C102" s="1581"/>
      <c r="D102" s="524"/>
      <c r="E102" s="524"/>
      <c r="F102" s="524"/>
      <c r="G102" s="525">
        <f>SUM(G96:G101)</f>
        <v>88</v>
      </c>
      <c r="H102" s="460">
        <f>G102+'1'!H102</f>
        <v>205</v>
      </c>
      <c r="I102" s="526"/>
      <c r="J102" s="552">
        <f>H102/DAY(B2)</f>
        <v>102.5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O103" s="382"/>
    </row>
    <row r="104" spans="1:15" s="442" customFormat="1" ht="27.75">
      <c r="A104" s="1582" t="s">
        <v>217</v>
      </c>
      <c r="B104" s="1583"/>
      <c r="C104" s="573"/>
      <c r="D104" s="622"/>
      <c r="E104" s="532"/>
      <c r="F104" s="661"/>
      <c r="G104" s="532"/>
      <c r="H104" s="533"/>
      <c r="I104" s="532"/>
      <c r="J104" s="558"/>
      <c r="O104" s="382"/>
    </row>
    <row r="105" spans="1:15" s="442" customFormat="1" ht="27.75">
      <c r="A105" s="1543" t="s">
        <v>218</v>
      </c>
      <c r="B105" s="1544"/>
      <c r="C105" s="1306"/>
      <c r="D105" s="622" t="s">
        <v>143</v>
      </c>
      <c r="E105" s="455">
        <f>'1'!F105</f>
        <v>7431</v>
      </c>
      <c r="F105" s="661">
        <v>7431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>
      <c r="A106" s="1543" t="s">
        <v>77</v>
      </c>
      <c r="B106" s="1544"/>
      <c r="C106" s="1306"/>
      <c r="D106" s="622" t="s">
        <v>143</v>
      </c>
      <c r="E106" s="455">
        <f>'1'!F106</f>
        <v>35828</v>
      </c>
      <c r="F106" s="662">
        <v>35836</v>
      </c>
      <c r="G106" s="532">
        <f t="shared" ref="G106:G107" si="9">F106-E106</f>
        <v>8</v>
      </c>
      <c r="H106" s="460">
        <f>G106+'1'!H106</f>
        <v>8</v>
      </c>
      <c r="I106" s="532"/>
      <c r="J106" s="558">
        <f>H106/DAY(B2)</f>
        <v>4</v>
      </c>
      <c r="O106" s="382"/>
    </row>
    <row r="107" spans="1:15" s="442" customFormat="1" ht="27.75">
      <c r="A107" s="1543" t="s">
        <v>78</v>
      </c>
      <c r="B107" s="1584"/>
      <c r="C107" s="1544"/>
      <c r="D107" s="622" t="s">
        <v>143</v>
      </c>
      <c r="E107" s="455">
        <f>'1'!F107</f>
        <v>19617</v>
      </c>
      <c r="F107" s="661">
        <v>19620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>
      <c r="A108" s="1545" t="s">
        <v>201</v>
      </c>
      <c r="B108" s="1546"/>
      <c r="C108" s="1306"/>
      <c r="D108" s="622"/>
      <c r="E108" s="532"/>
      <c r="F108" s="661"/>
      <c r="G108" s="532">
        <f>SUM(G105:G107)</f>
        <v>11</v>
      </c>
      <c r="H108" s="460">
        <f>G108+'1'!H108</f>
        <v>11</v>
      </c>
      <c r="I108" s="532"/>
      <c r="J108" s="558">
        <f>H108/DAY(B2)</f>
        <v>5.5</v>
      </c>
      <c r="O108" s="382"/>
    </row>
    <row r="109" spans="1:15" s="442" customFormat="1" ht="27.75">
      <c r="A109" s="1549" t="s">
        <v>79</v>
      </c>
      <c r="B109" s="1550"/>
      <c r="C109" s="1306"/>
      <c r="D109" s="622" t="s">
        <v>143</v>
      </c>
      <c r="E109" s="532"/>
      <c r="F109" s="661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43" t="s">
        <v>219</v>
      </c>
      <c r="B110" s="1544"/>
      <c r="C110" s="1306"/>
      <c r="D110" s="622" t="s">
        <v>143</v>
      </c>
      <c r="E110" s="455">
        <f>'1'!F110</f>
        <v>61259</v>
      </c>
      <c r="F110" s="661">
        <v>61299</v>
      </c>
      <c r="G110" s="532">
        <f>F110-E110</f>
        <v>40</v>
      </c>
      <c r="H110" s="460">
        <f>G110+'1'!H110</f>
        <v>125</v>
      </c>
      <c r="I110" s="532"/>
      <c r="J110" s="558">
        <f>H110/DAY(B2)</f>
        <v>62.5</v>
      </c>
      <c r="O110" s="382"/>
    </row>
    <row r="111" spans="1:15" s="442" customFormat="1" ht="27.75">
      <c r="A111" s="1543" t="s">
        <v>220</v>
      </c>
      <c r="B111" s="1544"/>
      <c r="C111" s="1306"/>
      <c r="D111" s="622" t="s">
        <v>143</v>
      </c>
      <c r="E111" s="455">
        <f>'1'!F111</f>
        <v>32235</v>
      </c>
      <c r="F111" s="661">
        <v>32235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>
      <c r="A112" s="1543" t="s">
        <v>221</v>
      </c>
      <c r="B112" s="1544"/>
      <c r="C112" s="1306"/>
      <c r="D112" s="622" t="s">
        <v>143</v>
      </c>
      <c r="E112" s="455">
        <f>'1'!F112</f>
        <v>4395</v>
      </c>
      <c r="F112" s="661">
        <v>4395</v>
      </c>
      <c r="G112" s="532">
        <f t="shared" si="10"/>
        <v>0</v>
      </c>
      <c r="H112" s="460">
        <f>G112+'1'!H112</f>
        <v>27</v>
      </c>
      <c r="I112" s="532"/>
      <c r="J112" s="558">
        <f>H112/DAY(B2)</f>
        <v>13.5</v>
      </c>
      <c r="O112" s="382"/>
    </row>
    <row r="113" spans="1:15" s="442" customFormat="1" ht="27.75">
      <c r="A113" s="1547" t="s">
        <v>110</v>
      </c>
      <c r="B113" s="1548"/>
      <c r="C113" s="1306"/>
      <c r="D113" s="622"/>
      <c r="E113" s="532"/>
      <c r="F113" s="661"/>
      <c r="G113" s="532">
        <f>SUM(G110:G112)</f>
        <v>40</v>
      </c>
      <c r="H113" s="460">
        <f>G113+'1'!H113</f>
        <v>152</v>
      </c>
      <c r="I113" s="532"/>
      <c r="J113" s="558">
        <f>H113/DAY(B2)</f>
        <v>76</v>
      </c>
      <c r="O113" s="382"/>
    </row>
    <row r="114" spans="1:15" s="442" customFormat="1" ht="27.75">
      <c r="A114" s="1549" t="s">
        <v>222</v>
      </c>
      <c r="B114" s="1550"/>
      <c r="C114" s="1306"/>
      <c r="D114" s="622"/>
      <c r="E114" s="532"/>
      <c r="F114" s="661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3" t="s">
        <v>223</v>
      </c>
      <c r="B115" s="1544"/>
      <c r="C115" s="574"/>
      <c r="D115" s="622" t="s">
        <v>143</v>
      </c>
      <c r="E115" s="455">
        <f>'1'!F115</f>
        <v>11268</v>
      </c>
      <c r="F115" s="662">
        <v>11272</v>
      </c>
      <c r="G115" s="534">
        <f>F115-E115</f>
        <v>4</v>
      </c>
      <c r="H115" s="460">
        <f>G115+'1'!H115</f>
        <v>13</v>
      </c>
      <c r="I115" s="532"/>
      <c r="J115" s="558">
        <f>H115/DAY(B2)</f>
        <v>6.5</v>
      </c>
      <c r="O115" s="382"/>
    </row>
    <row r="116" spans="1:15" s="442" customFormat="1" ht="27.75">
      <c r="A116" s="1543" t="s">
        <v>224</v>
      </c>
      <c r="B116" s="1544"/>
      <c r="C116" s="574"/>
      <c r="D116" s="622" t="s">
        <v>143</v>
      </c>
      <c r="E116" s="455">
        <f>'1'!F116</f>
        <v>8131</v>
      </c>
      <c r="F116" s="662">
        <v>8135</v>
      </c>
      <c r="G116" s="534">
        <f t="shared" ref="G116:G117" si="11">F116-E116</f>
        <v>4</v>
      </c>
      <c r="H116" s="460">
        <f>G116+'1'!H116</f>
        <v>9</v>
      </c>
      <c r="I116" s="532"/>
      <c r="J116" s="558">
        <f>H116/DAY(B2)</f>
        <v>4.5</v>
      </c>
      <c r="O116" s="382"/>
    </row>
    <row r="117" spans="1:15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8</v>
      </c>
      <c r="H118" s="460">
        <f>G118+'1'!H118</f>
        <v>22</v>
      </c>
      <c r="I118" s="534"/>
      <c r="J118" s="558">
        <f>H118/DAY(B2)</f>
        <v>11</v>
      </c>
      <c r="O118" s="382"/>
    </row>
    <row r="119" spans="1:15" s="446" customFormat="1" ht="27.75">
      <c r="A119" s="1539" t="s">
        <v>226</v>
      </c>
      <c r="B119" s="1540"/>
      <c r="C119" s="1305"/>
      <c r="D119" s="624" t="s">
        <v>143</v>
      </c>
      <c r="E119" s="536"/>
      <c r="F119" s="663">
        <f>SUM(G19+G93)</f>
        <v>87</v>
      </c>
      <c r="G119" s="536">
        <f>SUM(G19+G93)</f>
        <v>87</v>
      </c>
      <c r="H119" s="460">
        <f>G119+'1'!H119</f>
        <v>195</v>
      </c>
      <c r="I119" s="535"/>
      <c r="J119" s="559">
        <f>H119/DAY(B2)</f>
        <v>97.5</v>
      </c>
      <c r="O119" s="382"/>
    </row>
    <row r="120" spans="1:15" s="446" customFormat="1" ht="27.75">
      <c r="A120" s="1539" t="s">
        <v>227</v>
      </c>
      <c r="B120" s="1540"/>
      <c r="C120" s="1305"/>
      <c r="D120" s="624" t="s">
        <v>143</v>
      </c>
      <c r="E120" s="536"/>
      <c r="F120" s="663">
        <f>SUM(G96,G97,G98,G100,G101)</f>
        <v>83</v>
      </c>
      <c r="G120" s="536">
        <f>SUM(G96,G97,G98,G100,G101)</f>
        <v>83</v>
      </c>
      <c r="H120" s="460">
        <f>G120+'1'!H120</f>
        <v>195</v>
      </c>
      <c r="I120" s="535"/>
      <c r="J120" s="559">
        <f>H120/DAY(B2)</f>
        <v>97.5</v>
      </c>
      <c r="O120" s="382"/>
    </row>
    <row r="121" spans="1:15" s="446" customFormat="1" ht="27.75">
      <c r="A121" s="1539" t="s">
        <v>228</v>
      </c>
      <c r="B121" s="1540"/>
      <c r="C121" s="1305"/>
      <c r="D121" s="624" t="s">
        <v>143</v>
      </c>
      <c r="E121" s="534"/>
      <c r="F121" s="662">
        <f>SUM(G113)</f>
        <v>40</v>
      </c>
      <c r="G121" s="534">
        <f>SUM(G113)</f>
        <v>40</v>
      </c>
      <c r="H121" s="460">
        <f>G121+'1'!H121</f>
        <v>152</v>
      </c>
      <c r="I121" s="535"/>
      <c r="J121" s="559">
        <f>H121/DAY(B2)</f>
        <v>76</v>
      </c>
      <c r="O121" s="382"/>
    </row>
    <row r="122" spans="1:15" s="442" customFormat="1" ht="27.75">
      <c r="A122" s="1541"/>
      <c r="B122" s="1542"/>
      <c r="C122" s="1306"/>
      <c r="D122" s="560"/>
      <c r="E122" s="560"/>
      <c r="F122" s="664" t="s">
        <v>214</v>
      </c>
      <c r="G122" s="560"/>
      <c r="H122" s="561"/>
      <c r="I122" s="560"/>
      <c r="J122" s="562"/>
      <c r="O122" s="382"/>
    </row>
    <row r="123" spans="1:15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8" t="s">
        <v>230</v>
      </c>
      <c r="B124" s="1309"/>
      <c r="C124" s="1309"/>
      <c r="D124" s="523" t="s">
        <v>140</v>
      </c>
      <c r="E124" s="455">
        <f>'1'!F124</f>
        <v>826321</v>
      </c>
      <c r="F124" s="478">
        <v>826524</v>
      </c>
      <c r="G124" s="473">
        <f t="shared" ref="G124:G128" si="12">F124-E124</f>
        <v>203</v>
      </c>
      <c r="H124" s="460">
        <f>G124+'1'!H124</f>
        <v>435.54000000003725</v>
      </c>
      <c r="I124" s="526"/>
      <c r="J124" s="552">
        <f>H124/DAY(B2)</f>
        <v>217.77000000001863</v>
      </c>
      <c r="K124" s="380"/>
      <c r="L124" s="377"/>
      <c r="O124" s="382"/>
    </row>
    <row r="125" spans="1:15" ht="27.75">
      <c r="A125" s="1308" t="s">
        <v>231</v>
      </c>
      <c r="B125" s="1309"/>
      <c r="C125" s="1309"/>
      <c r="D125" s="523" t="s">
        <v>140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30" t="s">
        <v>232</v>
      </c>
      <c r="B126" s="1531"/>
      <c r="C126" s="1532"/>
      <c r="D126" s="523" t="s">
        <v>140</v>
      </c>
      <c r="E126" s="455">
        <f>'1'!F126</f>
        <v>144747</v>
      </c>
      <c r="F126" s="478">
        <v>144820</v>
      </c>
      <c r="G126" s="473">
        <f t="shared" si="12"/>
        <v>73</v>
      </c>
      <c r="H126" s="460">
        <f>G126+'1'!H126</f>
        <v>132.55999999999767</v>
      </c>
      <c r="I126" s="526"/>
      <c r="J126" s="552">
        <f>H126/DAY(B2)</f>
        <v>66.279999999998836</v>
      </c>
      <c r="K126" s="380"/>
      <c r="L126" s="377"/>
      <c r="O126" s="382"/>
    </row>
    <row r="127" spans="1:15" ht="27.75">
      <c r="A127" s="609" t="s">
        <v>233</v>
      </c>
      <c r="B127" s="1309"/>
      <c r="C127" s="1309"/>
      <c r="D127" s="523" t="s">
        <v>140</v>
      </c>
      <c r="E127" s="455">
        <f>'1'!F127</f>
        <v>31404</v>
      </c>
      <c r="F127" s="626">
        <v>31404</v>
      </c>
      <c r="G127" s="473">
        <f t="shared" si="12"/>
        <v>0</v>
      </c>
      <c r="H127" s="460">
        <f>G127+'1'!H127</f>
        <v>0</v>
      </c>
      <c r="I127" s="526"/>
      <c r="J127" s="552">
        <f>H127/DAY(B2)</f>
        <v>0</v>
      </c>
      <c r="K127" s="380"/>
      <c r="L127" s="377"/>
      <c r="O127" s="382"/>
    </row>
    <row r="128" spans="1:15" ht="27.75">
      <c r="A128" s="609" t="s">
        <v>234</v>
      </c>
      <c r="B128" s="1309"/>
      <c r="C128" s="1309"/>
      <c r="D128" s="523" t="s">
        <v>140</v>
      </c>
      <c r="E128" s="455">
        <f>'1'!F128</f>
        <v>8970</v>
      </c>
      <c r="F128" s="626">
        <v>8970</v>
      </c>
      <c r="G128" s="473">
        <f t="shared" si="12"/>
        <v>0</v>
      </c>
      <c r="H128" s="460">
        <f>G128+'1'!H128</f>
        <v>0.2999999999992724</v>
      </c>
      <c r="I128" s="480"/>
      <c r="J128" s="552">
        <f>H128/DAY(B2)</f>
        <v>0.1499999999996362</v>
      </c>
      <c r="K128" s="380"/>
      <c r="L128" s="377"/>
      <c r="O128" s="382"/>
    </row>
    <row r="129" spans="1:15" s="281" customFormat="1" ht="27.75">
      <c r="A129" s="609" t="s">
        <v>235</v>
      </c>
      <c r="B129" s="1309"/>
      <c r="C129" s="1309"/>
      <c r="D129" s="523"/>
      <c r="E129" s="478"/>
      <c r="F129" s="478"/>
      <c r="G129" s="473">
        <f>G15-SUM(G124:G128)</f>
        <v>169</v>
      </c>
      <c r="H129" s="460">
        <f>G129+'1'!H129</f>
        <v>210.5999999999658</v>
      </c>
      <c r="I129" s="480"/>
      <c r="J129" s="552">
        <f>H129/DAY(B2)</f>
        <v>105.2999999999829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8" t="s">
        <v>237</v>
      </c>
      <c r="B131" s="1309"/>
      <c r="C131" s="1309"/>
      <c r="D131" s="523" t="s">
        <v>238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8" t="s">
        <v>239</v>
      </c>
      <c r="B132" s="1309"/>
      <c r="C132" s="1309"/>
      <c r="D132" s="523" t="s">
        <v>238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8" t="s">
        <v>240</v>
      </c>
      <c r="B133" s="1309"/>
      <c r="C133" s="1309"/>
      <c r="D133" s="523" t="s">
        <v>238</v>
      </c>
      <c r="E133" s="455">
        <f>'1'!F133</f>
        <v>39770.33</v>
      </c>
      <c r="F133" s="654">
        <v>39794.31</v>
      </c>
      <c r="G133" s="473">
        <f t="shared" si="13"/>
        <v>23.979999999995925</v>
      </c>
      <c r="H133" s="460">
        <f>G133+'1'!H133</f>
        <v>47.82999999999447</v>
      </c>
      <c r="I133" s="480"/>
      <c r="J133" s="552">
        <f>H133/DAY(B2)</f>
        <v>23.914999999997235</v>
      </c>
      <c r="O133" s="382"/>
    </row>
    <row r="134" spans="1:15" ht="27.75">
      <c r="A134" s="1308" t="s">
        <v>241</v>
      </c>
      <c r="B134" s="1309"/>
      <c r="C134" s="1309"/>
      <c r="D134" s="523" t="s">
        <v>238</v>
      </c>
      <c r="E134" s="455">
        <f>'1'!F134</f>
        <v>300</v>
      </c>
      <c r="F134" s="654">
        <v>300</v>
      </c>
      <c r="G134" s="473">
        <f t="shared" si="13"/>
        <v>0</v>
      </c>
      <c r="H134" s="460">
        <f>G134+'1'!H134</f>
        <v>0</v>
      </c>
      <c r="I134" s="480">
        <f>G133+G134+G135+G136</f>
        <v>23.979999999995925</v>
      </c>
      <c r="J134" s="552">
        <f>H134/DAY(B2)</f>
        <v>0</v>
      </c>
      <c r="O134" s="382"/>
    </row>
    <row r="135" spans="1:15" ht="27.75">
      <c r="A135" s="1308" t="s">
        <v>242</v>
      </c>
      <c r="B135" s="1309"/>
      <c r="C135" s="1309"/>
      <c r="D135" s="523" t="s">
        <v>238</v>
      </c>
      <c r="E135" s="455">
        <f>'1'!F135</f>
        <v>41385</v>
      </c>
      <c r="F135" s="654">
        <v>41385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8" t="s">
        <v>243</v>
      </c>
      <c r="B136" s="1309"/>
      <c r="C136" s="1309"/>
      <c r="D136" s="523" t="s">
        <v>238</v>
      </c>
      <c r="E136" s="455">
        <f>'1'!F136</f>
        <v>32583</v>
      </c>
      <c r="F136" s="654">
        <v>32583</v>
      </c>
      <c r="G136" s="473">
        <f t="shared" si="13"/>
        <v>0</v>
      </c>
      <c r="H136" s="460">
        <f>G136+'1'!H136</f>
        <v>0</v>
      </c>
      <c r="I136" s="480"/>
      <c r="J136" s="552">
        <f>H136/DAY(B2)</f>
        <v>0</v>
      </c>
      <c r="O136" s="382"/>
    </row>
    <row r="137" spans="1:15" ht="27.75">
      <c r="A137" s="1308" t="s">
        <v>244</v>
      </c>
      <c r="B137" s="1309"/>
      <c r="C137" s="1309"/>
      <c r="D137" s="523" t="s">
        <v>238</v>
      </c>
      <c r="E137" s="455">
        <f>'1'!F137</f>
        <v>22739.59</v>
      </c>
      <c r="F137" s="654">
        <v>22742.3</v>
      </c>
      <c r="G137" s="473">
        <f t="shared" si="13"/>
        <v>2.7099999999991269</v>
      </c>
      <c r="H137" s="460">
        <f>G137+'1'!H137</f>
        <v>2.7099999999991269</v>
      </c>
      <c r="I137" s="480"/>
      <c r="J137" s="552">
        <f>H137/DAY(B2)</f>
        <v>1.3549999999995634</v>
      </c>
      <c r="O137" s="382"/>
    </row>
    <row r="138" spans="1:15" ht="27.75">
      <c r="A138" s="1308" t="s">
        <v>245</v>
      </c>
      <c r="B138" s="1309"/>
      <c r="C138" s="1309"/>
      <c r="D138" s="523" t="s">
        <v>238</v>
      </c>
      <c r="E138" s="455">
        <f>'1'!F138</f>
        <v>25051.59</v>
      </c>
      <c r="F138" s="654">
        <v>25051.59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8" t="s">
        <v>246</v>
      </c>
      <c r="B139" s="1309"/>
      <c r="C139" s="1309"/>
      <c r="D139" s="523" t="s">
        <v>238</v>
      </c>
      <c r="E139" s="455">
        <f>'1'!F139</f>
        <v>70315.81</v>
      </c>
      <c r="F139" s="654">
        <v>70315.81</v>
      </c>
      <c r="G139" s="473">
        <f t="shared" si="13"/>
        <v>0</v>
      </c>
      <c r="H139" s="460">
        <f>G139+'1'!H139</f>
        <v>0</v>
      </c>
      <c r="I139" s="480">
        <f>G137+G138+G139</f>
        <v>2.7099999999991269</v>
      </c>
      <c r="J139" s="552">
        <f>H139/DAY(B2)</f>
        <v>0</v>
      </c>
      <c r="O139" s="382"/>
    </row>
    <row r="140" spans="1:15" ht="27.75">
      <c r="A140" s="1308" t="s">
        <v>247</v>
      </c>
      <c r="B140" s="1309"/>
      <c r="C140" s="1309"/>
      <c r="D140" s="523" t="s">
        <v>238</v>
      </c>
      <c r="E140" s="455">
        <f>'1'!F140</f>
        <v>1625.74</v>
      </c>
      <c r="F140" s="478">
        <v>1633.55</v>
      </c>
      <c r="G140" s="473">
        <f t="shared" si="13"/>
        <v>7.8099999999999454</v>
      </c>
      <c r="H140" s="460">
        <f>G140+'1'!H140</f>
        <v>16.690000000000055</v>
      </c>
      <c r="I140" s="542"/>
      <c r="J140" s="552">
        <f>H140/DAY(B2)</f>
        <v>8.3450000000000273</v>
      </c>
      <c r="O140" s="382"/>
    </row>
    <row r="141" spans="1:15" ht="27.75">
      <c r="A141" s="1308" t="s">
        <v>248</v>
      </c>
      <c r="B141" s="1309"/>
      <c r="C141" s="1309"/>
      <c r="D141" s="523" t="s">
        <v>238</v>
      </c>
      <c r="E141" s="455">
        <f>'1'!F141</f>
        <v>4637</v>
      </c>
      <c r="F141" s="478">
        <v>4637</v>
      </c>
      <c r="G141" s="473">
        <f t="shared" si="13"/>
        <v>0</v>
      </c>
      <c r="H141" s="460">
        <f>G141+'1'!H141</f>
        <v>0</v>
      </c>
      <c r="I141" s="542">
        <f>G140+G141</f>
        <v>7.8099999999999454</v>
      </c>
      <c r="J141" s="552">
        <f>H141/DAY(B2)</f>
        <v>0</v>
      </c>
      <c r="O141" s="382"/>
    </row>
    <row r="142" spans="1:15">
      <c r="A142" s="1557" t="s">
        <v>249</v>
      </c>
      <c r="B142" s="1558"/>
      <c r="C142" s="1314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4239.1300000000047</v>
      </c>
      <c r="H143" s="460">
        <f>G143+'1'!H143</f>
        <v>8726</v>
      </c>
      <c r="I143" s="480"/>
      <c r="J143" s="552">
        <f>H143/DAY(B2)</f>
        <v>4363</v>
      </c>
      <c r="K143" s="380"/>
      <c r="L143" s="377"/>
      <c r="O143" s="382"/>
    </row>
    <row r="144" spans="1:15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0.26559300795689522</v>
      </c>
      <c r="H144" s="460">
        <f>G144+'1'!H144</f>
        <v>0.54623286284806327</v>
      </c>
      <c r="I144" s="544"/>
      <c r="J144" s="552">
        <f>H144/DAY(B2)</f>
        <v>0.27311643142403164</v>
      </c>
      <c r="K144" s="380"/>
      <c r="L144" s="377"/>
      <c r="O144" s="382"/>
    </row>
    <row r="145" spans="1:15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5001</v>
      </c>
      <c r="H145" s="460">
        <f>G145+'1'!H145</f>
        <v>9655.5300000000279</v>
      </c>
      <c r="I145" s="480"/>
      <c r="J145" s="552">
        <f>H145/DAY(B2)</f>
        <v>4827.765000000014</v>
      </c>
      <c r="K145" s="380"/>
      <c r="L145" s="377"/>
      <c r="O145" s="382"/>
    </row>
    <row r="146" spans="1:15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0.31332623269218718</v>
      </c>
      <c r="H146" s="460">
        <f>G146+'1'!H146</f>
        <v>0.60445270254457828</v>
      </c>
      <c r="I146" s="544"/>
      <c r="J146" s="552">
        <f>H146/DAY(B2)</f>
        <v>0.30222635127228914</v>
      </c>
      <c r="K146" s="380"/>
      <c r="L146" s="377"/>
      <c r="O146" s="382"/>
    </row>
    <row r="147" spans="1:15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2441</v>
      </c>
      <c r="H147" s="460">
        <f>G147+'1'!H147</f>
        <v>5036</v>
      </c>
      <c r="I147" s="545"/>
      <c r="J147" s="552">
        <f>H147/DAY(B2)</f>
        <v>2518</v>
      </c>
      <c r="K147" s="380"/>
      <c r="L147" s="377"/>
      <c r="O147" s="382"/>
    </row>
    <row r="148" spans="1:15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0.15293527974437693</v>
      </c>
      <c r="H148" s="460">
        <f>G148+'1'!H148</f>
        <v>0.3152445116683199</v>
      </c>
      <c r="I148" s="545"/>
      <c r="J148" s="552">
        <f>H148/DAY(B2)</f>
        <v>0.15762225583415995</v>
      </c>
      <c r="O148" s="382"/>
    </row>
    <row r="149" spans="1:15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1301</v>
      </c>
      <c r="H149" s="460">
        <f>G149+'1'!H149</f>
        <v>2653</v>
      </c>
      <c r="I149" s="480"/>
      <c r="J149" s="552">
        <f>H149/DAY(B2)</f>
        <v>1326.5</v>
      </c>
      <c r="K149" s="381"/>
      <c r="O149" s="382"/>
    </row>
    <row r="150" spans="1:15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8.1511183509805143E-2</v>
      </c>
      <c r="H150" s="460">
        <f>G150+'1'!H150</f>
        <v>0.16607460607673036</v>
      </c>
      <c r="I150" s="545"/>
      <c r="J150" s="552">
        <f>H150/DAY(B2)</f>
        <v>8.3037303038365179E-2</v>
      </c>
      <c r="O150" s="382"/>
    </row>
    <row r="151" spans="1:15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1269</v>
      </c>
      <c r="H151" s="460">
        <f>G151+'1'!H151</f>
        <v>2609</v>
      </c>
      <c r="I151" s="545"/>
      <c r="J151" s="552">
        <f>H151/DAY(B2)</f>
        <v>1304.5</v>
      </c>
      <c r="O151" s="382"/>
    </row>
    <row r="152" spans="1:15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7.9506296597957521E-2</v>
      </c>
      <c r="H152" s="460">
        <f>G152+'1'!H152</f>
        <v>0.16331915624269105</v>
      </c>
      <c r="I152" s="480"/>
      <c r="J152" s="552">
        <f>H152/DAY(B2)</f>
        <v>8.1659578121345527E-2</v>
      </c>
      <c r="O152" s="382"/>
    </row>
    <row r="153" spans="1:15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1264</v>
      </c>
      <c r="H153" s="460">
        <f>G153+'1'!H153</f>
        <v>2546</v>
      </c>
      <c r="I153" s="480"/>
      <c r="J153" s="552">
        <f>H153/DAY(B2)</f>
        <v>1273</v>
      </c>
      <c r="O153" s="382"/>
    </row>
    <row r="154" spans="1:15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7.9193033017981335E-2</v>
      </c>
      <c r="H154" s="460">
        <f>G154+'1'!H154</f>
        <v>0.15937817187212194</v>
      </c>
      <c r="I154" s="568"/>
      <c r="J154" s="569">
        <f>H154/DAY(B2)</f>
        <v>7.9689085936060972E-2</v>
      </c>
      <c r="O154" s="382"/>
    </row>
    <row r="155" spans="1:15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O155" s="382"/>
    </row>
    <row r="158" spans="1:15" ht="29.25" customHeight="1">
      <c r="A158" s="1585" t="s">
        <v>266</v>
      </c>
      <c r="B158" s="1586"/>
      <c r="C158" s="1586"/>
      <c r="D158" s="1586"/>
      <c r="E158" s="1586"/>
      <c r="F158" s="1586"/>
      <c r="G158" s="1587"/>
    </row>
    <row r="159" spans="1:15">
      <c r="A159" s="787"/>
      <c r="B159" s="788"/>
      <c r="C159" s="788"/>
      <c r="D159" s="511"/>
      <c r="E159" s="455"/>
      <c r="F159" s="661"/>
      <c r="G159" s="473"/>
    </row>
    <row r="160" spans="1:15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262</v>
      </c>
      <c r="B161" s="788"/>
      <c r="C161" s="788"/>
      <c r="D161" s="511" t="s">
        <v>186</v>
      </c>
      <c r="E161" s="455">
        <f>'1'!F161</f>
        <v>36012</v>
      </c>
      <c r="F161" s="661">
        <v>36093</v>
      </c>
      <c r="G161" s="473">
        <f t="shared" ref="G161:G172" si="14">F161-E161</f>
        <v>81</v>
      </c>
    </row>
    <row r="162" spans="1:7">
      <c r="A162" s="787" t="s">
        <v>263</v>
      </c>
      <c r="B162" s="788"/>
      <c r="C162" s="788"/>
      <c r="D162" s="511" t="s">
        <v>186</v>
      </c>
      <c r="E162" s="455">
        <f>'1'!F162</f>
        <v>82806</v>
      </c>
      <c r="F162" s="661">
        <v>83235</v>
      </c>
      <c r="G162" s="473">
        <f t="shared" si="14"/>
        <v>429</v>
      </c>
    </row>
    <row r="163" spans="1:7">
      <c r="A163" s="787" t="s">
        <v>264</v>
      </c>
      <c r="B163" s="788"/>
      <c r="C163" s="788"/>
      <c r="D163" s="511" t="s">
        <v>186</v>
      </c>
      <c r="E163" s="455">
        <f>'1'!F163</f>
        <v>38569</v>
      </c>
      <c r="F163" s="661">
        <v>38792</v>
      </c>
      <c r="G163" s="473">
        <f t="shared" si="14"/>
        <v>223</v>
      </c>
    </row>
    <row r="164" spans="1:7">
      <c r="A164" s="787" t="s">
        <v>265</v>
      </c>
      <c r="B164" s="788"/>
      <c r="C164" s="788"/>
      <c r="D164" s="511" t="s">
        <v>186</v>
      </c>
      <c r="E164" s="455">
        <f>'1'!F164</f>
        <v>6241</v>
      </c>
      <c r="F164" s="661">
        <v>6245</v>
      </c>
      <c r="G164" s="473">
        <f t="shared" si="14"/>
        <v>4</v>
      </c>
    </row>
    <row r="165" spans="1:7">
      <c r="A165" s="789" t="s">
        <v>98</v>
      </c>
      <c r="B165" s="604"/>
      <c r="C165" s="604"/>
      <c r="D165" s="511" t="s">
        <v>186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>
      <c r="A166" s="789" t="s">
        <v>187</v>
      </c>
      <c r="B166" s="604"/>
      <c r="C166" s="604"/>
      <c r="D166" s="511" t="s">
        <v>186</v>
      </c>
      <c r="E166" s="455">
        <f>'1'!F166</f>
        <v>2363</v>
      </c>
      <c r="F166" s="514">
        <f t="shared" ref="F166:F172" si="15">F63</f>
        <v>2367</v>
      </c>
      <c r="G166" s="473">
        <f t="shared" si="14"/>
        <v>4</v>
      </c>
    </row>
    <row r="167" spans="1:7" ht="27.75">
      <c r="A167" s="1526" t="s">
        <v>99</v>
      </c>
      <c r="B167" s="1526"/>
      <c r="C167" s="1526"/>
      <c r="D167" s="523" t="s">
        <v>186</v>
      </c>
      <c r="E167" s="455">
        <f>'1'!F167</f>
        <v>153510</v>
      </c>
      <c r="F167" s="514">
        <f t="shared" si="15"/>
        <v>153718</v>
      </c>
      <c r="G167" s="473">
        <f t="shared" si="14"/>
        <v>208</v>
      </c>
    </row>
    <row r="168" spans="1:7" ht="27.75">
      <c r="A168" s="1526" t="s">
        <v>100</v>
      </c>
      <c r="B168" s="1526"/>
      <c r="C168" s="1526"/>
      <c r="D168" s="523" t="s">
        <v>186</v>
      </c>
      <c r="E168" s="455">
        <f>'1'!F168</f>
        <v>154807</v>
      </c>
      <c r="F168" s="514">
        <f t="shared" si="15"/>
        <v>155006</v>
      </c>
      <c r="G168" s="473">
        <f t="shared" si="14"/>
        <v>199</v>
      </c>
    </row>
    <row r="169" spans="1:7" ht="27.75">
      <c r="A169" s="1526" t="s">
        <v>101</v>
      </c>
      <c r="B169" s="1526"/>
      <c r="C169" s="1526"/>
      <c r="D169" s="523" t="s">
        <v>186</v>
      </c>
      <c r="E169" s="455">
        <f>'1'!F169</f>
        <v>48842</v>
      </c>
      <c r="F169" s="514">
        <f t="shared" si="15"/>
        <v>49114</v>
      </c>
      <c r="G169" s="473">
        <f t="shared" si="14"/>
        <v>272</v>
      </c>
    </row>
    <row r="170" spans="1:7" ht="27.75">
      <c r="A170" s="1526" t="s">
        <v>102</v>
      </c>
      <c r="B170" s="1526"/>
      <c r="C170" s="1526"/>
      <c r="D170" s="523" t="s">
        <v>186</v>
      </c>
      <c r="E170" s="455">
        <f>'1'!F170</f>
        <v>243396</v>
      </c>
      <c r="F170" s="514">
        <f t="shared" si="15"/>
        <v>243610</v>
      </c>
      <c r="G170" s="473">
        <f t="shared" si="14"/>
        <v>214</v>
      </c>
    </row>
    <row r="171" spans="1:7" ht="27.75">
      <c r="A171" s="1526" t="s">
        <v>103</v>
      </c>
      <c r="B171" s="1526"/>
      <c r="C171" s="1526"/>
      <c r="D171" s="523" t="s">
        <v>186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455">
        <f>'1'!F172</f>
        <v>79076</v>
      </c>
      <c r="F172" s="514">
        <f t="shared" si="15"/>
        <v>79169</v>
      </c>
      <c r="G172" s="473">
        <f t="shared" si="14"/>
        <v>93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69:C169"/>
    <mergeCell ref="A170:C170"/>
    <mergeCell ref="A171:C171"/>
    <mergeCell ref="A172:C172"/>
    <mergeCell ref="A167:C167"/>
    <mergeCell ref="A168:C168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49:C149"/>
    <mergeCell ref="A153:C153"/>
    <mergeCell ref="A154:C154"/>
    <mergeCell ref="A150:C150"/>
    <mergeCell ref="A151:C151"/>
    <mergeCell ref="A152:C152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342</v>
      </c>
      <c r="B2" s="1035">
        <v>44319</v>
      </c>
      <c r="C2" s="1310" t="s">
        <v>69</v>
      </c>
      <c r="D2" s="611">
        <v>0.56999999999999995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10" t="s">
        <v>119</v>
      </c>
      <c r="D3" s="612">
        <v>29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0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130</v>
      </c>
      <c r="B7" s="680"/>
      <c r="C7" s="680"/>
      <c r="D7" s="638" t="s">
        <v>131</v>
      </c>
      <c r="E7" s="455">
        <f>'2'!F7</f>
        <v>5759382</v>
      </c>
      <c r="F7" s="455">
        <v>5775411</v>
      </c>
      <c r="G7" s="692">
        <f>F7-E7</f>
        <v>16029</v>
      </c>
      <c r="H7" s="682">
        <f>G7+'2'!H7</f>
        <v>47978</v>
      </c>
      <c r="I7" s="683">
        <f>'[2]1'!I7</f>
        <v>12000</v>
      </c>
      <c r="J7" s="684">
        <f>H7/DAY(B2)</f>
        <v>15992.666666666666</v>
      </c>
      <c r="K7" s="549"/>
      <c r="L7" s="377"/>
      <c r="O7" s="382"/>
    </row>
    <row r="8" spans="1:15" ht="27.75" thickBot="1">
      <c r="A8" s="685" t="s">
        <v>132</v>
      </c>
      <c r="B8" s="686"/>
      <c r="C8" s="687"/>
      <c r="D8" s="688" t="s">
        <v>25</v>
      </c>
      <c r="E8" s="455">
        <f>'2'!F8</f>
        <v>5793328</v>
      </c>
      <c r="F8" s="475">
        <v>5809417</v>
      </c>
      <c r="G8" s="692">
        <f>F8-E8</f>
        <v>16089</v>
      </c>
      <c r="H8" s="682">
        <f>G8+'2'!H8</f>
        <v>48173</v>
      </c>
      <c r="I8" s="689">
        <v>12000</v>
      </c>
      <c r="J8" s="684">
        <f>H8/DAY(B2)</f>
        <v>16057.666666666666</v>
      </c>
      <c r="K8" s="549"/>
      <c r="L8" s="425"/>
      <c r="M8" s="440"/>
      <c r="O8" s="382"/>
    </row>
    <row r="9" spans="1:15">
      <c r="A9" s="690" t="s">
        <v>133</v>
      </c>
      <c r="B9" s="691"/>
      <c r="C9" s="691"/>
      <c r="D9" s="638" t="s">
        <v>131</v>
      </c>
      <c r="E9" s="455">
        <f>'2'!F9</f>
        <v>1021632</v>
      </c>
      <c r="F9" s="478">
        <v>1037141</v>
      </c>
      <c r="G9" s="705">
        <f t="shared" ref="G9:G12" si="0">F9-E9</f>
        <v>15509</v>
      </c>
      <c r="H9" s="682">
        <f>G9+'2'!H9</f>
        <v>46427</v>
      </c>
      <c r="I9" s="693">
        <f>I8-J8</f>
        <v>-4057.6666666666661</v>
      </c>
      <c r="J9" s="684">
        <f>H9/DAY(B2)</f>
        <v>15475.666666666666</v>
      </c>
      <c r="K9" s="428"/>
      <c r="L9" s="377"/>
      <c r="O9" s="382"/>
    </row>
    <row r="10" spans="1:15">
      <c r="A10" s="679" t="s">
        <v>134</v>
      </c>
      <c r="B10" s="680"/>
      <c r="C10" s="680"/>
      <c r="D10" s="638" t="s">
        <v>131</v>
      </c>
      <c r="E10" s="455">
        <f>'2'!F10</f>
        <v>2322.58</v>
      </c>
      <c r="F10" s="478">
        <v>2322.58</v>
      </c>
      <c r="G10" s="692">
        <f t="shared" si="0"/>
        <v>0</v>
      </c>
      <c r="H10" s="682">
        <f>G10+'2'!H10</f>
        <v>0</v>
      </c>
      <c r="I10" s="694"/>
      <c r="J10" s="684">
        <f>H10/DAY(B2)</f>
        <v>0</v>
      </c>
      <c r="K10" s="428"/>
      <c r="L10" s="377"/>
      <c r="O10" s="382"/>
    </row>
    <row r="11" spans="1:15">
      <c r="A11" s="679" t="s">
        <v>135</v>
      </c>
      <c r="B11" s="680"/>
      <c r="C11" s="680"/>
      <c r="D11" s="638" t="s">
        <v>131</v>
      </c>
      <c r="E11" s="455">
        <f>'2'!F11</f>
        <v>37000</v>
      </c>
      <c r="F11" s="455">
        <v>37000</v>
      </c>
      <c r="G11" s="692">
        <f t="shared" si="0"/>
        <v>0</v>
      </c>
      <c r="H11" s="682">
        <f>G11+'2'!H11</f>
        <v>0</v>
      </c>
      <c r="I11" s="694"/>
      <c r="J11" s="684">
        <f>H11/DAY(B2)</f>
        <v>0</v>
      </c>
      <c r="K11" s="428"/>
      <c r="L11" s="377"/>
      <c r="O11" s="382"/>
    </row>
    <row r="12" spans="1:15">
      <c r="A12" s="679" t="s">
        <v>136</v>
      </c>
      <c r="B12" s="680"/>
      <c r="C12" s="680"/>
      <c r="D12" s="638" t="s">
        <v>131</v>
      </c>
      <c r="E12" s="455">
        <f>'2'!F12</f>
        <v>40010</v>
      </c>
      <c r="F12" s="478">
        <v>40010</v>
      </c>
      <c r="G12" s="692">
        <f t="shared" si="0"/>
        <v>0</v>
      </c>
      <c r="H12" s="682">
        <f>G12+'2'!H12</f>
        <v>0</v>
      </c>
      <c r="I12" s="694"/>
      <c r="J12" s="684">
        <f>H12/DAY(B2)</f>
        <v>0</v>
      </c>
      <c r="K12" s="428"/>
      <c r="L12" s="377"/>
      <c r="O12" s="382"/>
    </row>
    <row r="13" spans="1:15">
      <c r="A13" s="695" t="s">
        <v>137</v>
      </c>
      <c r="B13" s="696"/>
      <c r="C13" s="696"/>
      <c r="D13" s="638"/>
      <c r="E13" s="633"/>
      <c r="F13" s="455"/>
      <c r="G13" s="697">
        <f>G9+G10+G11+G12</f>
        <v>15509</v>
      </c>
      <c r="H13" s="682">
        <f>G13+'2'!H13</f>
        <v>46427</v>
      </c>
      <c r="I13" s="698">
        <f>G7-G13</f>
        <v>520</v>
      </c>
      <c r="J13" s="684">
        <f>H13/DAY(B2)</f>
        <v>15475.666666666666</v>
      </c>
      <c r="K13" s="428"/>
      <c r="L13" s="377"/>
      <c r="O13" s="382"/>
    </row>
    <row r="14" spans="1:15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5" t="s">
        <v>139</v>
      </c>
      <c r="B15" s="790"/>
      <c r="C15" s="790"/>
      <c r="D15" s="524" t="s">
        <v>140</v>
      </c>
      <c r="E15" s="455">
        <f>'2'!F15</f>
        <v>1671436</v>
      </c>
      <c r="F15" s="485">
        <v>1671874</v>
      </c>
      <c r="G15" s="782">
        <f>F15-E15</f>
        <v>438</v>
      </c>
      <c r="H15" s="682">
        <f>G15+'2'!H15</f>
        <v>1217</v>
      </c>
      <c r="I15" s="474">
        <v>800</v>
      </c>
      <c r="J15" s="553">
        <f>H15/DAY(B2)</f>
        <v>405.66666666666669</v>
      </c>
      <c r="K15" s="428"/>
      <c r="L15" s="377"/>
      <c r="O15" s="382"/>
    </row>
    <row r="16" spans="1:15">
      <c r="A16" s="793"/>
      <c r="B16" s="794"/>
      <c r="C16" s="794"/>
      <c r="D16" s="791"/>
      <c r="E16" s="792"/>
      <c r="F16" s="485"/>
      <c r="G16" s="1038"/>
      <c r="H16" s="486"/>
      <c r="I16" s="487">
        <f>I15-J15</f>
        <v>394.33333333333331</v>
      </c>
      <c r="J16" s="553"/>
      <c r="K16" s="428"/>
      <c r="L16" s="377"/>
      <c r="O16" s="382"/>
    </row>
    <row r="17" spans="1:15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91" t="s">
        <v>142</v>
      </c>
      <c r="B18" s="1592"/>
      <c r="C18" s="1593"/>
      <c r="D18" s="638" t="s">
        <v>143</v>
      </c>
      <c r="E18" s="478">
        <v>6</v>
      </c>
      <c r="F18" s="478">
        <v>6</v>
      </c>
      <c r="G18" s="697">
        <f>F18*10</f>
        <v>60</v>
      </c>
      <c r="H18" s="682">
        <f>G18+'2'!H18</f>
        <v>200</v>
      </c>
      <c r="I18" s="683">
        <f>'[2]1'!I18</f>
        <v>65</v>
      </c>
      <c r="J18" s="684">
        <f>H18/DAY(B2)</f>
        <v>66.666666666666671</v>
      </c>
      <c r="K18" s="428"/>
      <c r="L18" s="377"/>
      <c r="O18" s="382"/>
    </row>
    <row r="19" spans="1:15" ht="27.75">
      <c r="A19" s="1591" t="s">
        <v>71</v>
      </c>
      <c r="B19" s="1592"/>
      <c r="C19" s="1593"/>
      <c r="D19" s="638" t="s">
        <v>143</v>
      </c>
      <c r="E19" s="455">
        <f>'2'!F19</f>
        <v>137919</v>
      </c>
      <c r="F19" s="478">
        <v>137975</v>
      </c>
      <c r="G19" s="692">
        <f t="shared" ref="G19" si="1">F19-E19</f>
        <v>56</v>
      </c>
      <c r="H19" s="682">
        <f>G19+'2'!H19</f>
        <v>163</v>
      </c>
      <c r="I19" s="699"/>
      <c r="J19" s="684">
        <f>H19/DAY(B2)</f>
        <v>54.333333333333336</v>
      </c>
      <c r="K19" s="428"/>
      <c r="L19" s="377"/>
      <c r="O19" s="382"/>
    </row>
    <row r="20" spans="1:15">
      <c r="A20" s="695" t="s">
        <v>144</v>
      </c>
      <c r="B20" s="696"/>
      <c r="C20" s="696"/>
      <c r="D20" s="638"/>
      <c r="E20" s="638"/>
      <c r="F20" s="523"/>
      <c r="G20" s="1037">
        <f>G18+G19</f>
        <v>116</v>
      </c>
      <c r="H20" s="682">
        <f>G20+'2'!H20</f>
        <v>363</v>
      </c>
      <c r="I20" s="701">
        <f>I18-J20</f>
        <v>-56</v>
      </c>
      <c r="J20" s="684">
        <f>H20/DAY(B2)</f>
        <v>121</v>
      </c>
      <c r="K20" s="428"/>
      <c r="L20" s="377"/>
      <c r="O20" s="382"/>
    </row>
    <row r="21" spans="1:15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8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2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8" t="s">
        <v>148</v>
      </c>
      <c r="B23" s="589"/>
      <c r="C23" s="589"/>
      <c r="D23" s="523" t="s">
        <v>147</v>
      </c>
      <c r="E23" s="484">
        <f>'1'!F23</f>
        <v>2000</v>
      </c>
      <c r="F23" s="478">
        <v>2000</v>
      </c>
      <c r="G23" s="481">
        <v>0</v>
      </c>
      <c r="H23" s="682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4970</v>
      </c>
      <c r="F24" s="485">
        <v>4970</v>
      </c>
      <c r="G24" s="481">
        <v>0</v>
      </c>
      <c r="H24" s="682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16089</v>
      </c>
      <c r="F27" s="501">
        <v>9</v>
      </c>
      <c r="G27" s="502">
        <f>E27*F27</f>
        <v>144801</v>
      </c>
      <c r="H27" s="682">
        <f>G27+'2'!H27</f>
        <v>433557</v>
      </c>
      <c r="I27" s="503"/>
      <c r="J27" s="552">
        <f>H27/DAY(B2)</f>
        <v>144519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702">
        <f>G15</f>
        <v>438</v>
      </c>
      <c r="F28" s="501">
        <v>49</v>
      </c>
      <c r="G28" s="502">
        <f>E28*F28</f>
        <v>21462</v>
      </c>
      <c r="H28" s="682">
        <f>G28+'2'!H28</f>
        <v>59633</v>
      </c>
      <c r="I28" s="505"/>
      <c r="J28" s="552">
        <f>H28/DAY(B2)</f>
        <v>19877.666666666668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682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702">
        <f>G19</f>
        <v>56</v>
      </c>
      <c r="F30" s="501">
        <v>134</v>
      </c>
      <c r="G30" s="502">
        <f>E30*F30</f>
        <v>7504</v>
      </c>
      <c r="H30" s="682">
        <f>G30+'2'!H30</f>
        <v>21842</v>
      </c>
      <c r="I30" s="505"/>
      <c r="J30" s="552">
        <f>H30/DAY(B2)</f>
        <v>7280.666666666667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702">
        <f>G18</f>
        <v>60</v>
      </c>
      <c r="F31" s="501">
        <v>80</v>
      </c>
      <c r="G31" s="502">
        <f>E31*F31</f>
        <v>4800</v>
      </c>
      <c r="H31" s="682">
        <f>G31+'2'!H31</f>
        <v>16000</v>
      </c>
      <c r="I31" s="505"/>
      <c r="J31" s="552">
        <f>H31/DAY(B2)</f>
        <v>5333.333333333333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178567</v>
      </c>
      <c r="H32" s="682">
        <f>G32+'2'!H32</f>
        <v>531032</v>
      </c>
      <c r="I32" s="509"/>
      <c r="J32" s="552">
        <f>H32/DAY(B2)</f>
        <v>177010.66666666666</v>
      </c>
      <c r="K32" s="373"/>
      <c r="L32" s="443"/>
      <c r="O32" s="382"/>
    </row>
    <row r="33" spans="1:15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O33" s="382"/>
    </row>
    <row r="34" spans="1:15">
      <c r="A34" s="598" t="s">
        <v>162</v>
      </c>
      <c r="B34" s="1313"/>
      <c r="C34" s="1313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'2'!F35</f>
        <v>890635</v>
      </c>
      <c r="F35" s="510">
        <v>892809</v>
      </c>
      <c r="G35" s="473">
        <f t="shared" ref="G35:G46" si="3">F35-E35</f>
        <v>2174</v>
      </c>
      <c r="H35" s="682">
        <f>G35+'2'!H35</f>
        <v>6350</v>
      </c>
      <c r="I35" s="455"/>
      <c r="J35" s="552">
        <f>H35/DAY(B2)</f>
        <v>2116.6666666666665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'2'!F36</f>
        <v>345384</v>
      </c>
      <c r="F36" s="510">
        <v>345750</v>
      </c>
      <c r="G36" s="473">
        <f t="shared" si="3"/>
        <v>366</v>
      </c>
      <c r="H36" s="682">
        <f>G36+'2'!H36</f>
        <v>1142</v>
      </c>
      <c r="I36" s="455"/>
      <c r="J36" s="552">
        <f>H36/DAY(B2)</f>
        <v>380.66666666666669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'2'!F37</f>
        <v>97771</v>
      </c>
      <c r="F37" s="510">
        <v>98995</v>
      </c>
      <c r="G37" s="473">
        <f t="shared" si="3"/>
        <v>1224</v>
      </c>
      <c r="H37" s="682">
        <f>G37+'2'!H37</f>
        <v>3770</v>
      </c>
      <c r="I37" s="455"/>
      <c r="J37" s="552">
        <f>H37/DAY(B2)</f>
        <v>1256.6666666666667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'2'!F38</f>
        <v>122249</v>
      </c>
      <c r="F38" s="469">
        <v>123591</v>
      </c>
      <c r="G38" s="473">
        <f t="shared" si="3"/>
        <v>1342</v>
      </c>
      <c r="H38" s="682">
        <f>G38+'2'!H38</f>
        <v>3995</v>
      </c>
      <c r="I38" s="455"/>
      <c r="J38" s="552">
        <f>H38/DAY(B2)</f>
        <v>1331.6666666666667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'2'!F39</f>
        <v>250465</v>
      </c>
      <c r="F39" s="510">
        <v>252272</v>
      </c>
      <c r="G39" s="473">
        <f t="shared" si="3"/>
        <v>1807</v>
      </c>
      <c r="H39" s="682">
        <f>G39+'2'!H39</f>
        <v>5619</v>
      </c>
      <c r="I39" s="455"/>
      <c r="J39" s="552">
        <f>H39/DAY(B2)</f>
        <v>1873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'2'!F40</f>
        <v>0.23</v>
      </c>
      <c r="F40" s="510">
        <v>0.23</v>
      </c>
      <c r="G40" s="473">
        <f t="shared" si="3"/>
        <v>0</v>
      </c>
      <c r="H40" s="682">
        <f>G40+'2'!H40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'2'!F41</f>
        <v>191184</v>
      </c>
      <c r="F41" s="510">
        <v>196005</v>
      </c>
      <c r="G41" s="473">
        <f t="shared" si="3"/>
        <v>4821</v>
      </c>
      <c r="H41" s="682">
        <f>G41+'2'!H41</f>
        <v>14477</v>
      </c>
      <c r="I41" s="455"/>
      <c r="J41" s="552">
        <f>H41/DAY(B2)</f>
        <v>4825.666666666667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f>'2'!F42</f>
        <v>59200</v>
      </c>
      <c r="F42" s="510">
        <v>59200</v>
      </c>
      <c r="G42" s="473">
        <f>F42-E42</f>
        <v>0</v>
      </c>
      <c r="H42" s="682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'2'!F43</f>
        <v>978508</v>
      </c>
      <c r="F43" s="510">
        <v>980728</v>
      </c>
      <c r="G43" s="473">
        <f t="shared" si="3"/>
        <v>2220</v>
      </c>
      <c r="H43" s="682">
        <f>G43+'2'!H43</f>
        <v>6770</v>
      </c>
      <c r="I43" s="455"/>
      <c r="J43" s="552">
        <f>H43/DAY(B2)</f>
        <v>2256.6666666666665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'2'!F44</f>
        <v>0</v>
      </c>
      <c r="F44" s="510">
        <v>0</v>
      </c>
      <c r="G44" s="473">
        <f t="shared" si="3"/>
        <v>0</v>
      </c>
      <c r="H44" s="682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'2'!F45</f>
        <v>614</v>
      </c>
      <c r="F45" s="510">
        <v>614</v>
      </c>
      <c r="G45" s="473">
        <f t="shared" si="3"/>
        <v>0</v>
      </c>
      <c r="H45" s="682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'2'!F46</f>
        <v>187</v>
      </c>
      <c r="F46" s="510">
        <v>187</v>
      </c>
      <c r="G46" s="473">
        <f t="shared" si="3"/>
        <v>0</v>
      </c>
      <c r="H46" s="682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13954</v>
      </c>
      <c r="H47" s="682">
        <f>G47+'2'!H47</f>
        <v>42123</v>
      </c>
      <c r="I47" s="455"/>
      <c r="J47" s="552">
        <f>H47/DAY(B2)</f>
        <v>14041</v>
      </c>
      <c r="K47" s="428"/>
      <c r="L47" s="377"/>
      <c r="N47" s="382"/>
      <c r="O47" s="382"/>
    </row>
    <row r="48" spans="1:15">
      <c r="A48" s="598" t="s">
        <v>176</v>
      </c>
      <c r="B48" s="1313"/>
      <c r="C48" s="1313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'2'!F49</f>
        <v>260732.13</v>
      </c>
      <c r="F49" s="510">
        <v>260732</v>
      </c>
      <c r="G49" s="473">
        <f t="shared" ref="G49:G58" si="4">F49-E49</f>
        <v>-0.13000000000465661</v>
      </c>
      <c r="H49" s="682">
        <f>G49+'2'!H49</f>
        <v>-0.13000000000465661</v>
      </c>
      <c r="I49" s="455"/>
      <c r="J49" s="552">
        <f>H49/DAY(B2)</f>
        <v>-4.3333333334885538E-2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'2'!F50</f>
        <v>476369</v>
      </c>
      <c r="F50" s="510">
        <v>477425</v>
      </c>
      <c r="G50" s="473">
        <f t="shared" si="4"/>
        <v>1056</v>
      </c>
      <c r="H50" s="682">
        <f>G50+'2'!H50</f>
        <v>2889</v>
      </c>
      <c r="I50" s="455"/>
      <c r="J50" s="552">
        <f>H50/DAY(B2)</f>
        <v>963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'2'!F51</f>
        <v>144640</v>
      </c>
      <c r="F51" s="510">
        <v>144640</v>
      </c>
      <c r="G51" s="473">
        <f t="shared" si="4"/>
        <v>0</v>
      </c>
      <c r="H51" s="682">
        <f>G51+'2'!H51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'2'!F52</f>
        <v>539606</v>
      </c>
      <c r="F52" s="510">
        <v>539606</v>
      </c>
      <c r="G52" s="473">
        <f>F52-E52</f>
        <v>0</v>
      </c>
      <c r="H52" s="682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'2'!F53</f>
        <v>417535</v>
      </c>
      <c r="F53" s="510">
        <v>418065</v>
      </c>
      <c r="G53" s="473">
        <f t="shared" si="4"/>
        <v>530</v>
      </c>
      <c r="H53" s="682">
        <f>G53+'2'!H53</f>
        <v>1754</v>
      </c>
      <c r="I53" s="455"/>
      <c r="J53" s="552">
        <f>H53/DAY(B2)</f>
        <v>584.66666666666663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'2'!F54</f>
        <v>11526</v>
      </c>
      <c r="F54" s="656">
        <v>11600</v>
      </c>
      <c r="G54" s="473">
        <f t="shared" si="4"/>
        <v>74</v>
      </c>
      <c r="H54" s="682">
        <f>G54+'2'!H54</f>
        <v>222</v>
      </c>
      <c r="I54" s="455"/>
      <c r="J54" s="552">
        <f>H54/DAY(B2)</f>
        <v>74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'2'!F55</f>
        <v>346926</v>
      </c>
      <c r="F55" s="656">
        <v>346926</v>
      </c>
      <c r="G55" s="473">
        <f t="shared" si="4"/>
        <v>0</v>
      </c>
      <c r="H55" s="682">
        <f>G55+'2'!H55</f>
        <v>0</v>
      </c>
      <c r="I55" s="455"/>
      <c r="J55" s="552">
        <f>H55/DAY(B2)</f>
        <v>0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'2'!F56</f>
        <v>589288</v>
      </c>
      <c r="F56" s="656">
        <v>589288</v>
      </c>
      <c r="G56" s="473">
        <f t="shared" si="4"/>
        <v>0</v>
      </c>
      <c r="H56" s="682">
        <f>G56+'2'!H56</f>
        <v>-0.46999999997206032</v>
      </c>
      <c r="I56" s="455"/>
      <c r="J56" s="552">
        <f>H56/DAY(B2)</f>
        <v>-0.15666666665735343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'2'!F57</f>
        <v>7711</v>
      </c>
      <c r="F57" s="656">
        <v>7711</v>
      </c>
      <c r="G57" s="473">
        <f t="shared" si="4"/>
        <v>0</v>
      </c>
      <c r="H57" s="682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'2'!F58</f>
        <v>46781</v>
      </c>
      <c r="F58" s="656">
        <v>46872</v>
      </c>
      <c r="G58" s="473">
        <f t="shared" si="4"/>
        <v>91</v>
      </c>
      <c r="H58" s="682">
        <f>G58+'2'!H58</f>
        <v>204</v>
      </c>
      <c r="I58" s="455"/>
      <c r="J58" s="552">
        <f>H58/DAY(B2)</f>
        <v>68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1750.8699999999953</v>
      </c>
      <c r="H59" s="682">
        <f>G59+'2'!H59</f>
        <v>5068.4000000000233</v>
      </c>
      <c r="I59" s="455">
        <f>G7-G60</f>
        <v>324.13000000000466</v>
      </c>
      <c r="J59" s="552">
        <f>H59/DAY(B2)</f>
        <v>1689.4666666666744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15704.869999999995</v>
      </c>
      <c r="H60" s="682">
        <f>G60+'2'!H60</f>
        <v>47191.400000000023</v>
      </c>
      <c r="I60" s="455">
        <f>G13-G60</f>
        <v>-195.86999999999534</v>
      </c>
      <c r="J60" s="552">
        <f>H60/DAY(B2)</f>
        <v>15730.466666666674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5">F62-E62</f>
        <v>0</v>
      </c>
      <c r="H62" s="682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'2'!F63</f>
        <v>2367</v>
      </c>
      <c r="F63" s="514">
        <v>2370</v>
      </c>
      <c r="G63" s="473">
        <f t="shared" si="5"/>
        <v>3</v>
      </c>
      <c r="H63" s="682">
        <f>G63+'2'!H63</f>
        <v>11</v>
      </c>
      <c r="I63" s="515"/>
      <c r="J63" s="552">
        <f>H63/DAY(B2)</f>
        <v>3.6666666666666665</v>
      </c>
      <c r="K63" s="428"/>
      <c r="L63" s="377"/>
      <c r="O63" s="382"/>
    </row>
    <row r="64" spans="1:15" ht="27.75">
      <c r="A64" s="1530" t="s">
        <v>99</v>
      </c>
      <c r="B64" s="1531"/>
      <c r="C64" s="1532"/>
      <c r="D64" s="523" t="s">
        <v>186</v>
      </c>
      <c r="E64" s="455">
        <f>'2'!F64</f>
        <v>153718</v>
      </c>
      <c r="F64" s="478">
        <v>153931</v>
      </c>
      <c r="G64" s="473">
        <f t="shared" si="5"/>
        <v>213</v>
      </c>
      <c r="H64" s="682">
        <f>G64+'2'!H64</f>
        <v>632</v>
      </c>
      <c r="I64" s="480"/>
      <c r="J64" s="552">
        <f>H64/DAY(B2)</f>
        <v>210.66666666666666</v>
      </c>
      <c r="K64" s="428"/>
      <c r="L64" s="377"/>
      <c r="O64" s="382"/>
    </row>
    <row r="65" spans="1:15" ht="27.75">
      <c r="A65" s="1530" t="s">
        <v>100</v>
      </c>
      <c r="B65" s="1531"/>
      <c r="C65" s="1532"/>
      <c r="D65" s="523" t="s">
        <v>186</v>
      </c>
      <c r="E65" s="455">
        <f>'2'!F65</f>
        <v>155006</v>
      </c>
      <c r="F65" s="654">
        <v>155204</v>
      </c>
      <c r="G65" s="473">
        <f t="shared" si="5"/>
        <v>198</v>
      </c>
      <c r="H65" s="682">
        <f>G65+'2'!H65</f>
        <v>605</v>
      </c>
      <c r="I65" s="489"/>
      <c r="J65" s="552">
        <f>H65/DAY(B2)</f>
        <v>201.66666666666666</v>
      </c>
      <c r="K65" s="428"/>
      <c r="L65" s="377"/>
      <c r="O65" s="382"/>
    </row>
    <row r="66" spans="1:15" ht="27.75">
      <c r="A66" s="1530" t="s">
        <v>101</v>
      </c>
      <c r="B66" s="1531"/>
      <c r="C66" s="1532"/>
      <c r="D66" s="523" t="s">
        <v>186</v>
      </c>
      <c r="E66" s="455">
        <f>'2'!F66</f>
        <v>49114</v>
      </c>
      <c r="F66" s="478">
        <v>49379</v>
      </c>
      <c r="G66" s="473">
        <f t="shared" si="5"/>
        <v>265</v>
      </c>
      <c r="H66" s="682">
        <f>G66+'2'!H66</f>
        <v>808</v>
      </c>
      <c r="I66" s="480"/>
      <c r="J66" s="552">
        <f>H66/DAY(B2)</f>
        <v>269.33333333333331</v>
      </c>
      <c r="K66" s="428"/>
      <c r="L66" s="377"/>
      <c r="O66" s="382"/>
    </row>
    <row r="67" spans="1:15" ht="27.75">
      <c r="A67" s="1530" t="s">
        <v>102</v>
      </c>
      <c r="B67" s="1531"/>
      <c r="C67" s="1532"/>
      <c r="D67" s="523" t="s">
        <v>186</v>
      </c>
      <c r="E67" s="455">
        <f>'2'!F67</f>
        <v>243610</v>
      </c>
      <c r="F67" s="478">
        <v>243795</v>
      </c>
      <c r="G67" s="473">
        <f t="shared" si="5"/>
        <v>185</v>
      </c>
      <c r="H67" s="682">
        <f>G67+'2'!H67</f>
        <v>621</v>
      </c>
      <c r="I67" s="489"/>
      <c r="J67" s="552">
        <f>H67/DAY(B2)</f>
        <v>207</v>
      </c>
      <c r="K67" s="429"/>
      <c r="L67" s="377"/>
      <c r="O67" s="382"/>
    </row>
    <row r="68" spans="1:15" ht="27.75">
      <c r="A68" s="1530" t="s">
        <v>103</v>
      </c>
      <c r="B68" s="1531"/>
      <c r="C68" s="1532"/>
      <c r="D68" s="523" t="s">
        <v>186</v>
      </c>
      <c r="E68" s="455">
        <f>'2'!F68</f>
        <v>85321</v>
      </c>
      <c r="F68" s="478">
        <v>85321</v>
      </c>
      <c r="G68" s="473">
        <f t="shared" si="5"/>
        <v>0</v>
      </c>
      <c r="H68" s="682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30" t="s">
        <v>104</v>
      </c>
      <c r="B69" s="1531"/>
      <c r="C69" s="1532"/>
      <c r="D69" s="523" t="s">
        <v>186</v>
      </c>
      <c r="E69" s="455">
        <f>'2'!F69</f>
        <v>79169</v>
      </c>
      <c r="F69" s="478">
        <v>79254</v>
      </c>
      <c r="G69" s="473">
        <f t="shared" si="5"/>
        <v>85</v>
      </c>
      <c r="H69" s="682">
        <f>G69+'2'!H69</f>
        <v>260</v>
      </c>
      <c r="I69" s="516"/>
      <c r="J69" s="552">
        <f>H69/DAY(B2)</f>
        <v>86.666666666666671</v>
      </c>
      <c r="K69" s="431"/>
      <c r="L69" s="377"/>
      <c r="O69" s="382"/>
    </row>
    <row r="70" spans="1:15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O71" s="382"/>
    </row>
    <row r="72" spans="1:15" ht="27.75">
      <c r="A72" s="1530" t="s">
        <v>190</v>
      </c>
      <c r="B72" s="1531"/>
      <c r="C72" s="1532"/>
      <c r="D72" s="523" t="s">
        <v>186</v>
      </c>
      <c r="E72" s="455">
        <f>'2'!F72</f>
        <v>855493</v>
      </c>
      <c r="F72" s="657">
        <v>855508</v>
      </c>
      <c r="G72" s="473">
        <f t="shared" ref="G72:G84" si="6">F72-E72</f>
        <v>15</v>
      </c>
      <c r="H72" s="682">
        <f>G72+'2'!H72</f>
        <v>47</v>
      </c>
      <c r="I72" s="480"/>
      <c r="J72" s="552">
        <f>H72/DAY(B2)</f>
        <v>15.666666666666666</v>
      </c>
      <c r="K72" s="431"/>
      <c r="L72" s="377"/>
      <c r="O72" s="382"/>
    </row>
    <row r="73" spans="1:15" ht="27.75">
      <c r="A73" s="1530" t="s">
        <v>191</v>
      </c>
      <c r="B73" s="1531"/>
      <c r="C73" s="1532"/>
      <c r="D73" s="523" t="s">
        <v>186</v>
      </c>
      <c r="E73" s="455">
        <f>'2'!F73</f>
        <v>885879</v>
      </c>
      <c r="F73" s="658">
        <v>885880</v>
      </c>
      <c r="G73" s="655">
        <f t="shared" si="6"/>
        <v>1</v>
      </c>
      <c r="H73" s="682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>
      <c r="A74" s="1530" t="s">
        <v>192</v>
      </c>
      <c r="B74" s="1531"/>
      <c r="C74" s="1532"/>
      <c r="D74" s="523" t="s">
        <v>186</v>
      </c>
      <c r="E74" s="455">
        <f>'2'!F74</f>
        <v>2325</v>
      </c>
      <c r="F74" s="659">
        <v>2340</v>
      </c>
      <c r="G74" s="473">
        <f t="shared" si="6"/>
        <v>15</v>
      </c>
      <c r="H74" s="682">
        <f>G74+'2'!H74</f>
        <v>61</v>
      </c>
      <c r="I74" s="480"/>
      <c r="J74" s="552">
        <f>H74/DAY(B2)</f>
        <v>20.333333333333332</v>
      </c>
      <c r="K74" s="431"/>
      <c r="L74" s="377"/>
      <c r="O74" s="382"/>
    </row>
    <row r="75" spans="1:15" ht="27.75">
      <c r="A75" s="1527" t="s">
        <v>193</v>
      </c>
      <c r="B75" s="1528"/>
      <c r="C75" s="1529"/>
      <c r="D75" s="523" t="s">
        <v>186</v>
      </c>
      <c r="E75" s="455">
        <f>'2'!F75</f>
        <v>11076</v>
      </c>
      <c r="F75" s="659">
        <v>11130</v>
      </c>
      <c r="G75" s="473">
        <f t="shared" si="6"/>
        <v>54</v>
      </c>
      <c r="H75" s="682">
        <f>G75+'2'!H75</f>
        <v>160</v>
      </c>
      <c r="I75" s="480"/>
      <c r="J75" s="552">
        <f>H75/DAY(B2)</f>
        <v>53.333333333333336</v>
      </c>
      <c r="K75" s="430"/>
      <c r="L75" s="377"/>
      <c r="O75" s="382"/>
    </row>
    <row r="76" spans="1:15" ht="27.75">
      <c r="A76" s="1527" t="s">
        <v>194</v>
      </c>
      <c r="B76" s="1528"/>
      <c r="C76" s="1529"/>
      <c r="D76" s="523" t="s">
        <v>186</v>
      </c>
      <c r="E76" s="455">
        <f>'2'!F76</f>
        <v>5822</v>
      </c>
      <c r="F76" s="658">
        <v>5876</v>
      </c>
      <c r="G76" s="473">
        <f t="shared" si="6"/>
        <v>54</v>
      </c>
      <c r="H76" s="682">
        <f>G76+'2'!H76</f>
        <v>167</v>
      </c>
      <c r="I76" s="505"/>
      <c r="J76" s="552">
        <f>H76/DAY(B2)</f>
        <v>55.666666666666664</v>
      </c>
      <c r="K76" s="430"/>
      <c r="L76" s="377"/>
      <c r="O76" s="382"/>
    </row>
    <row r="77" spans="1:15" ht="27.75">
      <c r="A77" s="1530" t="s">
        <v>195</v>
      </c>
      <c r="B77" s="1531"/>
      <c r="C77" s="1532"/>
      <c r="D77" s="523" t="s">
        <v>186</v>
      </c>
      <c r="E77" s="455">
        <f>'2'!F77</f>
        <v>701659</v>
      </c>
      <c r="F77" s="658">
        <v>701709</v>
      </c>
      <c r="G77" s="655">
        <f t="shared" si="6"/>
        <v>50</v>
      </c>
      <c r="H77" s="682">
        <f>G77+'2'!H77</f>
        <v>147</v>
      </c>
      <c r="I77" s="505"/>
      <c r="J77" s="552">
        <f>H77/DAY(B2)</f>
        <v>49</v>
      </c>
      <c r="K77" s="430"/>
      <c r="L77" s="377"/>
      <c r="O77" s="382"/>
    </row>
    <row r="78" spans="1:15" ht="27.75">
      <c r="A78" s="1311" t="s">
        <v>196</v>
      </c>
      <c r="B78" s="1304"/>
      <c r="C78" s="1304"/>
      <c r="D78" s="523" t="s">
        <v>186</v>
      </c>
      <c r="E78" s="455">
        <f>'2'!F78</f>
        <v>670244</v>
      </c>
      <c r="F78" s="659">
        <v>670345</v>
      </c>
      <c r="G78" s="473">
        <f t="shared" si="6"/>
        <v>101</v>
      </c>
      <c r="H78" s="682">
        <f>G78+'2'!H78</f>
        <v>320</v>
      </c>
      <c r="I78" s="505"/>
      <c r="J78" s="552">
        <f>H78/DAY(B2)</f>
        <v>106.66666666666667</v>
      </c>
      <c r="K78" s="430"/>
      <c r="L78" s="377"/>
      <c r="O78" s="382"/>
    </row>
    <row r="79" spans="1:15" ht="27.75">
      <c r="A79" s="1527" t="s">
        <v>92</v>
      </c>
      <c r="B79" s="1528"/>
      <c r="C79" s="1529"/>
      <c r="D79" s="524" t="s">
        <v>186</v>
      </c>
      <c r="E79" s="455">
        <f>'2'!F79</f>
        <v>827150</v>
      </c>
      <c r="F79" s="659">
        <v>827324</v>
      </c>
      <c r="G79" s="473">
        <f t="shared" si="6"/>
        <v>174</v>
      </c>
      <c r="H79" s="682">
        <f>G79+'2'!H79</f>
        <v>540</v>
      </c>
      <c r="I79" s="505"/>
      <c r="J79" s="552">
        <f>H79/DAY(B2)</f>
        <v>180</v>
      </c>
      <c r="K79" s="430"/>
      <c r="L79" s="377"/>
      <c r="O79" s="382"/>
    </row>
    <row r="80" spans="1:15" ht="27.75">
      <c r="A80" s="1527" t="s">
        <v>197</v>
      </c>
      <c r="B80" s="1528"/>
      <c r="C80" s="1529"/>
      <c r="D80" s="524" t="s">
        <v>186</v>
      </c>
      <c r="E80" s="455">
        <f>'2'!F80</f>
        <v>517512</v>
      </c>
      <c r="F80" s="658">
        <v>517871</v>
      </c>
      <c r="G80" s="473">
        <f t="shared" si="6"/>
        <v>359</v>
      </c>
      <c r="H80" s="682">
        <f>G80+'2'!H80</f>
        <v>1133</v>
      </c>
      <c r="I80" s="505"/>
      <c r="J80" s="552">
        <f>H80/DAY(B2)</f>
        <v>377.66666666666669</v>
      </c>
      <c r="K80" s="430"/>
      <c r="L80" s="377"/>
      <c r="O80" s="382"/>
    </row>
    <row r="81" spans="1:15" ht="27.75">
      <c r="A81" s="1527" t="s">
        <v>198</v>
      </c>
      <c r="B81" s="1528"/>
      <c r="C81" s="1529"/>
      <c r="D81" s="524" t="s">
        <v>186</v>
      </c>
      <c r="E81" s="455">
        <f>'2'!F81</f>
        <v>636625</v>
      </c>
      <c r="F81" s="658">
        <v>636693</v>
      </c>
      <c r="G81" s="473">
        <f t="shared" si="6"/>
        <v>68</v>
      </c>
      <c r="H81" s="682">
        <f>G81+'2'!H81</f>
        <v>215</v>
      </c>
      <c r="I81" s="505"/>
      <c r="J81" s="552">
        <f>H81/DAY(B2)</f>
        <v>71.666666666666671</v>
      </c>
      <c r="K81" s="430"/>
      <c r="L81" s="377"/>
      <c r="O81" s="382"/>
    </row>
    <row r="82" spans="1:15" ht="27.75">
      <c r="A82" s="1527" t="s">
        <v>93</v>
      </c>
      <c r="B82" s="1528"/>
      <c r="C82" s="1529"/>
      <c r="D82" s="485" t="s">
        <v>131</v>
      </c>
      <c r="E82" s="455">
        <f>'2'!F82</f>
        <v>107638</v>
      </c>
      <c r="F82" s="654">
        <v>107663</v>
      </c>
      <c r="G82" s="473">
        <f t="shared" si="6"/>
        <v>25</v>
      </c>
      <c r="H82" s="682">
        <f>G82+'2'!H82</f>
        <v>51</v>
      </c>
      <c r="I82" s="486"/>
      <c r="J82" s="552">
        <f>H82/DAY(B2)</f>
        <v>17</v>
      </c>
      <c r="K82" s="430"/>
      <c r="L82" s="377"/>
      <c r="O82" s="382"/>
    </row>
    <row r="83" spans="1:15" ht="27.75">
      <c r="A83" s="1527" t="s">
        <v>199</v>
      </c>
      <c r="B83" s="1528"/>
      <c r="C83" s="1529"/>
      <c r="D83" s="620" t="s">
        <v>131</v>
      </c>
      <c r="E83" s="455">
        <f>'2'!F83</f>
        <v>15267</v>
      </c>
      <c r="F83" s="511">
        <v>15516</v>
      </c>
      <c r="G83" s="473">
        <f t="shared" si="6"/>
        <v>249</v>
      </c>
      <c r="H83" s="682">
        <f>G83+'2'!H83</f>
        <v>745</v>
      </c>
      <c r="I83" s="481"/>
      <c r="J83" s="552">
        <f>H83/DAY(B2)</f>
        <v>248.33333333333334</v>
      </c>
      <c r="K83" s="429"/>
      <c r="L83" s="377"/>
      <c r="O83" s="382"/>
    </row>
    <row r="84" spans="1:15">
      <c r="A84" s="1312" t="s">
        <v>200</v>
      </c>
      <c r="B84" s="571"/>
      <c r="C84" s="571"/>
      <c r="D84" s="478" t="s">
        <v>131</v>
      </c>
      <c r="E84" s="455">
        <f>'2'!F84</f>
        <v>481560</v>
      </c>
      <c r="F84" s="627">
        <v>482378</v>
      </c>
      <c r="G84" s="473">
        <f t="shared" si="6"/>
        <v>818</v>
      </c>
      <c r="H84" s="682">
        <f>G84+'2'!H84</f>
        <v>2245</v>
      </c>
      <c r="I84" s="481"/>
      <c r="J84" s="552">
        <f>H84/DAY(B2)</f>
        <v>748.33333333333337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1983</v>
      </c>
      <c r="H85" s="682">
        <f>G85+'2'!H85</f>
        <v>5835</v>
      </c>
      <c r="I85" s="481"/>
      <c r="J85" s="552">
        <f>H85/DAY(B2)</f>
        <v>1945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182</v>
      </c>
      <c r="E86" s="455">
        <f>'2'!F86</f>
        <v>459339</v>
      </c>
      <c r="F86" s="650">
        <v>459523</v>
      </c>
      <c r="G86" s="708">
        <f t="shared" ref="G86:G91" si="7">F86-E86</f>
        <v>184</v>
      </c>
      <c r="H86" s="682">
        <f>G86+'2'!H86</f>
        <v>256</v>
      </c>
      <c r="I86" s="655"/>
      <c r="J86" s="710">
        <f>H86/DAY(B2)</f>
        <v>85.333333333333329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182</v>
      </c>
      <c r="E87" s="455">
        <f>'2'!F87</f>
        <v>80935</v>
      </c>
      <c r="F87" s="650">
        <v>80949</v>
      </c>
      <c r="G87" s="708">
        <f t="shared" si="7"/>
        <v>14</v>
      </c>
      <c r="H87" s="682">
        <f>G87+'2'!H87</f>
        <v>30</v>
      </c>
      <c r="I87" s="655"/>
      <c r="J87" s="710">
        <f>H87/DAY(B2)</f>
        <v>10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182</v>
      </c>
      <c r="E88" s="455">
        <f>'2'!F88</f>
        <v>151857</v>
      </c>
      <c r="F88" s="650">
        <v>152003</v>
      </c>
      <c r="G88" s="708">
        <f t="shared" si="7"/>
        <v>146</v>
      </c>
      <c r="H88" s="682">
        <f>G88+'2'!H88</f>
        <v>198</v>
      </c>
      <c r="I88" s="655"/>
      <c r="J88" s="710">
        <f>H88/DAY(B2)</f>
        <v>66</v>
      </c>
      <c r="K88" s="736"/>
      <c r="L88" s="737"/>
      <c r="O88" s="716"/>
    </row>
    <row r="89" spans="1:15" s="738" customFormat="1">
      <c r="A89" s="733" t="s">
        <v>203</v>
      </c>
      <c r="B89" s="734"/>
      <c r="C89" s="734"/>
      <c r="D89" s="735" t="s">
        <v>182</v>
      </c>
      <c r="E89" s="455">
        <f>'2'!F89</f>
        <v>64847</v>
      </c>
      <c r="F89" s="650">
        <v>64853</v>
      </c>
      <c r="G89" s="708">
        <f t="shared" si="7"/>
        <v>6</v>
      </c>
      <c r="H89" s="682">
        <f>G89+'2'!H89</f>
        <v>19</v>
      </c>
      <c r="I89" s="655"/>
      <c r="J89" s="710">
        <f>H89/DAY(B2)</f>
        <v>6.333333333333333</v>
      </c>
      <c r="K89" s="736" t="e">
        <f t="shared" ref="K89:K90" si="8">I89/DAY(C3)</f>
        <v>#VALUE!</v>
      </c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455">
        <f>'2'!F90</f>
        <v>3272</v>
      </c>
      <c r="F90" s="650">
        <v>3272</v>
      </c>
      <c r="G90" s="708">
        <f t="shared" si="7"/>
        <v>0</v>
      </c>
      <c r="H90" s="682">
        <f>G90+'2'!H90</f>
        <v>0</v>
      </c>
      <c r="I90" s="655"/>
      <c r="J90" s="710">
        <f>H90/DAY(B2)</f>
        <v>0</v>
      </c>
      <c r="K90" s="736" t="e">
        <f t="shared" si="8"/>
        <v>#VALUE!</v>
      </c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455">
        <f>'2'!F91</f>
        <v>27911.65</v>
      </c>
      <c r="F91" s="650">
        <v>27914.1</v>
      </c>
      <c r="G91" s="708">
        <f t="shared" si="7"/>
        <v>2.4499999999970896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204</v>
      </c>
      <c r="B92" s="1314"/>
      <c r="C92" s="1314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1" t="s">
        <v>205</v>
      </c>
      <c r="B93" s="1552"/>
      <c r="C93" s="1553"/>
      <c r="D93" s="523" t="s">
        <v>143</v>
      </c>
      <c r="E93" s="455">
        <f>'2'!F93</f>
        <v>244612</v>
      </c>
      <c r="F93" s="478">
        <v>244664</v>
      </c>
      <c r="G93" s="473">
        <f t="shared" ref="G93:G94" si="9">F93-E93</f>
        <v>52</v>
      </c>
      <c r="H93" s="682">
        <f>G93+'2'!H93</f>
        <v>140</v>
      </c>
      <c r="I93" s="480"/>
      <c r="J93" s="552">
        <f>H93/DAY(B2)</f>
        <v>46.666666666666664</v>
      </c>
      <c r="K93" s="429"/>
      <c r="L93" s="377"/>
      <c r="O93" s="382"/>
    </row>
    <row r="94" spans="1:15" ht="27.75">
      <c r="A94" s="1551" t="s">
        <v>206</v>
      </c>
      <c r="B94" s="1552"/>
      <c r="C94" s="1553"/>
      <c r="D94" s="523" t="s">
        <v>143</v>
      </c>
      <c r="E94" s="455">
        <f>'2'!F94</f>
        <v>183727</v>
      </c>
      <c r="F94" s="478">
        <v>183838</v>
      </c>
      <c r="G94" s="473">
        <f t="shared" si="9"/>
        <v>111</v>
      </c>
      <c r="H94" s="682">
        <f>G94+'2'!H94</f>
        <v>307</v>
      </c>
      <c r="I94" s="480"/>
      <c r="J94" s="552">
        <f>H94/DAY(B2)</f>
        <v>102.33333333333333</v>
      </c>
      <c r="K94" s="380"/>
      <c r="L94" s="377"/>
      <c r="O94" s="382"/>
    </row>
    <row r="95" spans="1:15">
      <c r="A95" s="1579" t="s">
        <v>207</v>
      </c>
      <c r="B95" s="1580"/>
      <c r="C95" s="1581"/>
      <c r="D95" s="523"/>
      <c r="E95" s="455">
        <f>'2'!F95</f>
        <v>0</v>
      </c>
      <c r="F95" s="478"/>
      <c r="G95" s="473">
        <f>G93+G94</f>
        <v>163</v>
      </c>
      <c r="H95" s="682">
        <f>G95+'2'!H95</f>
        <v>300</v>
      </c>
      <c r="I95" s="480"/>
      <c r="J95" s="552">
        <f>H95/DAY(B2)</f>
        <v>100</v>
      </c>
      <c r="K95" s="380"/>
      <c r="L95" s="377"/>
      <c r="O95" s="382"/>
    </row>
    <row r="96" spans="1:15" ht="27.75">
      <c r="A96" s="1551" t="s">
        <v>208</v>
      </c>
      <c r="B96" s="1552"/>
      <c r="C96" s="1553"/>
      <c r="D96" s="523" t="s">
        <v>143</v>
      </c>
      <c r="E96" s="455">
        <f>'2'!F96</f>
        <v>413000</v>
      </c>
      <c r="F96" s="478">
        <v>413061</v>
      </c>
      <c r="G96" s="473">
        <f t="shared" ref="G96:G101" si="10">F96-E96</f>
        <v>61</v>
      </c>
      <c r="H96" s="682">
        <f>G96+'2'!H96</f>
        <v>175</v>
      </c>
      <c r="I96" s="480"/>
      <c r="J96" s="552">
        <f>H96/DAY(B2)</f>
        <v>58.333333333333336</v>
      </c>
      <c r="K96" s="380"/>
      <c r="L96" s="377"/>
      <c r="O96" s="382"/>
    </row>
    <row r="97" spans="1:15" ht="27.75">
      <c r="A97" s="1308" t="s">
        <v>209</v>
      </c>
      <c r="B97" s="1309"/>
      <c r="C97" s="1309"/>
      <c r="D97" s="523" t="s">
        <v>143</v>
      </c>
      <c r="E97" s="455">
        <f>'2'!F97</f>
        <v>102367</v>
      </c>
      <c r="F97" s="478">
        <v>102384</v>
      </c>
      <c r="G97" s="473">
        <f t="shared" si="10"/>
        <v>17</v>
      </c>
      <c r="H97" s="682">
        <f>G97+'2'!H97</f>
        <v>41</v>
      </c>
      <c r="I97" s="480"/>
      <c r="J97" s="552">
        <f>H97/DAY(B2)</f>
        <v>13.666666666666666</v>
      </c>
      <c r="K97" s="427"/>
      <c r="L97" s="377"/>
      <c r="O97" s="382"/>
    </row>
    <row r="98" spans="1:15" ht="27.75">
      <c r="A98" s="1308" t="s">
        <v>210</v>
      </c>
      <c r="B98" s="1309"/>
      <c r="C98" s="1309"/>
      <c r="D98" s="523" t="s">
        <v>143</v>
      </c>
      <c r="E98" s="455">
        <f>'2'!F98</f>
        <v>97462</v>
      </c>
      <c r="F98" s="478">
        <v>97477</v>
      </c>
      <c r="G98" s="473">
        <f t="shared" si="10"/>
        <v>15</v>
      </c>
      <c r="H98" s="682">
        <f>G98+'2'!H98</f>
        <v>50</v>
      </c>
      <c r="I98" s="480"/>
      <c r="J98" s="552">
        <f>H98/DAY(B2)</f>
        <v>16.666666666666668</v>
      </c>
      <c r="K98" s="432"/>
      <c r="L98" s="377"/>
      <c r="O98" s="382"/>
    </row>
    <row r="99" spans="1:15" ht="27.75">
      <c r="A99" s="1308" t="s">
        <v>211</v>
      </c>
      <c r="B99" s="1309"/>
      <c r="C99" s="1309"/>
      <c r="D99" s="523" t="s">
        <v>143</v>
      </c>
      <c r="E99" s="455">
        <f>'2'!F99</f>
        <v>149543</v>
      </c>
      <c r="F99" s="478">
        <v>149547</v>
      </c>
      <c r="G99" s="473">
        <f t="shared" si="10"/>
        <v>4</v>
      </c>
      <c r="H99" s="682">
        <f>G99+'2'!H99</f>
        <v>14</v>
      </c>
      <c r="I99" s="480"/>
      <c r="J99" s="552">
        <f>H99/DAY(B2)</f>
        <v>4.666666666666667</v>
      </c>
      <c r="K99" s="380"/>
      <c r="L99" s="377"/>
      <c r="O99" s="382"/>
    </row>
    <row r="100" spans="1:15" ht="27.75">
      <c r="A100" s="1308" t="s">
        <v>212</v>
      </c>
      <c r="B100" s="1309"/>
      <c r="C100" s="1309"/>
      <c r="D100" s="523" t="s">
        <v>143</v>
      </c>
      <c r="E100" s="455">
        <f>'2'!F100</f>
        <v>7195</v>
      </c>
      <c r="F100" s="478">
        <v>7199</v>
      </c>
      <c r="G100" s="473">
        <f t="shared" si="10"/>
        <v>4</v>
      </c>
      <c r="H100" s="682">
        <f>G100+'2'!H100</f>
        <v>14</v>
      </c>
      <c r="I100" s="480"/>
      <c r="J100" s="552">
        <f>H100/DAY(B2)</f>
        <v>4.666666666666667</v>
      </c>
      <c r="K100" s="380"/>
      <c r="L100" s="377"/>
      <c r="O100" s="382"/>
    </row>
    <row r="101" spans="1:15" ht="27.75">
      <c r="A101" s="1308" t="s">
        <v>213</v>
      </c>
      <c r="B101" s="1309"/>
      <c r="C101" s="1309"/>
      <c r="D101" s="523" t="s">
        <v>143</v>
      </c>
      <c r="E101" s="455">
        <f>'2'!F101</f>
        <v>5150</v>
      </c>
      <c r="F101" s="478">
        <v>5155</v>
      </c>
      <c r="G101" s="473">
        <f t="shared" si="10"/>
        <v>5</v>
      </c>
      <c r="H101" s="682">
        <f>G101+'2'!H101</f>
        <v>17</v>
      </c>
      <c r="I101" s="480"/>
      <c r="J101" s="552">
        <f>H101/DAY(B2)</f>
        <v>5.666666666666667</v>
      </c>
      <c r="K101" s="380"/>
      <c r="L101" s="377"/>
      <c r="O101" s="382"/>
    </row>
    <row r="102" spans="1:15">
      <c r="A102" s="1579" t="s">
        <v>215</v>
      </c>
      <c r="B102" s="1580"/>
      <c r="C102" s="1581"/>
      <c r="D102" s="524"/>
      <c r="E102" s="524"/>
      <c r="F102" s="524"/>
      <c r="G102" s="525">
        <f>SUM(G96:G101)</f>
        <v>106</v>
      </c>
      <c r="H102" s="682">
        <f>G102+'2'!H102</f>
        <v>311</v>
      </c>
      <c r="I102" s="526"/>
      <c r="J102" s="552">
        <f>H102/DAY(B2)</f>
        <v>103.66666666666667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O103" s="382"/>
    </row>
    <row r="104" spans="1:15" s="442" customFormat="1" ht="27.75">
      <c r="A104" s="1582" t="s">
        <v>217</v>
      </c>
      <c r="B104" s="1583"/>
      <c r="C104" s="573"/>
      <c r="D104" s="622"/>
      <c r="E104" s="455"/>
      <c r="F104" s="661"/>
      <c r="G104" s="532"/>
      <c r="H104" s="533"/>
      <c r="I104" s="532"/>
      <c r="J104" s="558"/>
      <c r="O104" s="382"/>
    </row>
    <row r="105" spans="1:15" s="442" customFormat="1" ht="27.75">
      <c r="A105" s="1541" t="s">
        <v>218</v>
      </c>
      <c r="B105" s="1542"/>
      <c r="C105" s="1306"/>
      <c r="D105" s="622" t="s">
        <v>143</v>
      </c>
      <c r="E105" s="455">
        <f>'2'!F105</f>
        <v>7431</v>
      </c>
      <c r="F105" s="661">
        <v>7431</v>
      </c>
      <c r="G105" s="532">
        <f>F105-E105</f>
        <v>0</v>
      </c>
      <c r="H105" s="682">
        <f>G105+'2'!H105</f>
        <v>0</v>
      </c>
      <c r="I105" s="532"/>
      <c r="J105" s="558">
        <f>H109/DAY(B2)</f>
        <v>0</v>
      </c>
      <c r="O105" s="382"/>
    </row>
    <row r="106" spans="1:15" s="442" customFormat="1" ht="27.75">
      <c r="A106" s="1541" t="s">
        <v>77</v>
      </c>
      <c r="B106" s="1542"/>
      <c r="C106" s="1306"/>
      <c r="D106" s="622" t="s">
        <v>143</v>
      </c>
      <c r="E106" s="455">
        <f>'2'!F106</f>
        <v>35836</v>
      </c>
      <c r="F106" s="662">
        <v>35836</v>
      </c>
      <c r="G106" s="532">
        <f t="shared" ref="G106:G107" si="11">F106-E106</f>
        <v>0</v>
      </c>
      <c r="H106" s="682">
        <f>G106+'2'!H106</f>
        <v>8</v>
      </c>
      <c r="I106" s="532"/>
      <c r="J106" s="558">
        <f>H106/DAY(B2)</f>
        <v>2.6666666666666665</v>
      </c>
      <c r="O106" s="382"/>
    </row>
    <row r="107" spans="1:15" s="442" customFormat="1" ht="27.75">
      <c r="A107" s="1541" t="s">
        <v>78</v>
      </c>
      <c r="B107" s="1590"/>
      <c r="C107" s="1542"/>
      <c r="D107" s="622" t="s">
        <v>143</v>
      </c>
      <c r="E107" s="455">
        <f>'2'!F107</f>
        <v>19620</v>
      </c>
      <c r="F107" s="661">
        <v>19623</v>
      </c>
      <c r="G107" s="532">
        <f t="shared" si="11"/>
        <v>3</v>
      </c>
      <c r="H107" s="682">
        <f>G107+'2'!H107</f>
        <v>6</v>
      </c>
      <c r="I107" s="532"/>
      <c r="J107" s="558">
        <f>H107/DAY(B2)</f>
        <v>2</v>
      </c>
      <c r="O107" s="382"/>
    </row>
    <row r="108" spans="1:15" s="442" customFormat="1" ht="27.75">
      <c r="A108" s="1547" t="s">
        <v>201</v>
      </c>
      <c r="B108" s="1548"/>
      <c r="C108" s="1306"/>
      <c r="D108" s="622"/>
      <c r="E108" s="455"/>
      <c r="F108" s="661" t="s">
        <v>267</v>
      </c>
      <c r="G108" s="532">
        <f>SUM(G105:G107)</f>
        <v>3</v>
      </c>
      <c r="H108" s="682">
        <f>G108+'2'!H108</f>
        <v>14</v>
      </c>
      <c r="I108" s="532"/>
      <c r="J108" s="558">
        <f>H108/DAY(B2)</f>
        <v>4.666666666666667</v>
      </c>
      <c r="O108" s="382"/>
    </row>
    <row r="109" spans="1:15" s="442" customFormat="1" ht="27.75">
      <c r="A109" s="1588" t="s">
        <v>79</v>
      </c>
      <c r="B109" s="1589"/>
      <c r="C109" s="1306"/>
      <c r="D109" s="622" t="s">
        <v>143</v>
      </c>
      <c r="E109" s="455"/>
      <c r="F109" s="661"/>
      <c r="G109" s="532"/>
      <c r="H109" s="682">
        <f>G109+'2'!H109</f>
        <v>0</v>
      </c>
      <c r="I109" s="532"/>
      <c r="J109" s="558"/>
      <c r="O109" s="382"/>
    </row>
    <row r="110" spans="1:15" s="442" customFormat="1" ht="27.75">
      <c r="A110" s="1541" t="s">
        <v>219</v>
      </c>
      <c r="B110" s="1542"/>
      <c r="C110" s="1306"/>
      <c r="D110" s="622" t="s">
        <v>143</v>
      </c>
      <c r="E110" s="455">
        <f>'2'!F110</f>
        <v>61299</v>
      </c>
      <c r="F110" s="786">
        <v>61340</v>
      </c>
      <c r="G110" s="532">
        <f>F110-E110</f>
        <v>41</v>
      </c>
      <c r="H110" s="682">
        <f>G110+'2'!H110</f>
        <v>166</v>
      </c>
      <c r="I110" s="532"/>
      <c r="J110" s="558">
        <f>H110/DAY(B2)</f>
        <v>55.333333333333336</v>
      </c>
      <c r="O110" s="382"/>
    </row>
    <row r="111" spans="1:15" s="442" customFormat="1" ht="27.75">
      <c r="A111" s="1541" t="s">
        <v>220</v>
      </c>
      <c r="B111" s="1542"/>
      <c r="C111" s="1306"/>
      <c r="D111" s="622" t="s">
        <v>143</v>
      </c>
      <c r="E111" s="455">
        <f>'2'!F111</f>
        <v>32235</v>
      </c>
      <c r="F111" s="661">
        <v>32235</v>
      </c>
      <c r="G111" s="532">
        <f t="shared" ref="G111:G112" si="12">F111-E111</f>
        <v>0</v>
      </c>
      <c r="H111" s="682">
        <f>G111+'2'!H111</f>
        <v>0</v>
      </c>
      <c r="I111" s="532"/>
      <c r="J111" s="558">
        <f>H111/DAY(B2)</f>
        <v>0</v>
      </c>
      <c r="O111" s="382"/>
    </row>
    <row r="112" spans="1:15" s="442" customFormat="1" ht="27.75">
      <c r="A112" s="1541" t="s">
        <v>221</v>
      </c>
      <c r="B112" s="1542"/>
      <c r="C112" s="1306"/>
      <c r="D112" s="622" t="s">
        <v>143</v>
      </c>
      <c r="E112" s="455">
        <f>'2'!F112</f>
        <v>4395</v>
      </c>
      <c r="F112" s="661">
        <v>4417</v>
      </c>
      <c r="G112" s="532">
        <f t="shared" si="12"/>
        <v>22</v>
      </c>
      <c r="H112" s="682">
        <f>G112+'2'!H112</f>
        <v>49</v>
      </c>
      <c r="I112" s="532"/>
      <c r="J112" s="558">
        <f>H112/DAY(B2)</f>
        <v>16.333333333333332</v>
      </c>
      <c r="O112" s="382"/>
    </row>
    <row r="113" spans="1:15" s="442" customFormat="1" ht="27.75">
      <c r="A113" s="1547" t="s">
        <v>110</v>
      </c>
      <c r="B113" s="1548"/>
      <c r="C113" s="1306"/>
      <c r="D113" s="622"/>
      <c r="E113" s="455"/>
      <c r="F113" s="661"/>
      <c r="G113" s="532">
        <f>SUM(G110:G112)</f>
        <v>63</v>
      </c>
      <c r="H113" s="682">
        <f>G113+'2'!H113</f>
        <v>215</v>
      </c>
      <c r="I113" s="532"/>
      <c r="J113" s="558">
        <f>H113/DAY(B2)</f>
        <v>71.666666666666671</v>
      </c>
      <c r="O113" s="382"/>
    </row>
    <row r="114" spans="1:15" s="442" customFormat="1" ht="27.75">
      <c r="A114" s="1588" t="s">
        <v>222</v>
      </c>
      <c r="B114" s="1589"/>
      <c r="C114" s="1306"/>
      <c r="D114" s="622"/>
      <c r="E114" s="455"/>
      <c r="F114" s="661"/>
      <c r="G114" s="532"/>
      <c r="H114" s="682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1" t="s">
        <v>223</v>
      </c>
      <c r="B115" s="1542"/>
      <c r="C115" s="1305"/>
      <c r="D115" s="622" t="s">
        <v>143</v>
      </c>
      <c r="E115" s="455">
        <f>'2'!F115</f>
        <v>11272</v>
      </c>
      <c r="F115" s="662">
        <v>11278</v>
      </c>
      <c r="G115" s="534">
        <f>F115-E115</f>
        <v>6</v>
      </c>
      <c r="H115" s="682">
        <f>G115+'2'!H115</f>
        <v>19</v>
      </c>
      <c r="I115" s="532"/>
      <c r="J115" s="558">
        <f>H115/DAY(B2)</f>
        <v>6.333333333333333</v>
      </c>
      <c r="O115" s="382"/>
    </row>
    <row r="116" spans="1:15" s="442" customFormat="1" ht="27.75">
      <c r="A116" s="1541" t="s">
        <v>224</v>
      </c>
      <c r="B116" s="1542"/>
      <c r="C116" s="1305"/>
      <c r="D116" s="622" t="s">
        <v>143</v>
      </c>
      <c r="E116" s="455">
        <f>'2'!F116</f>
        <v>8135</v>
      </c>
      <c r="F116" s="662">
        <v>8139</v>
      </c>
      <c r="G116" s="534">
        <f t="shared" ref="G116:G117" si="13">F116-E116</f>
        <v>4</v>
      </c>
      <c r="H116" s="682">
        <f>G116+'2'!H116</f>
        <v>13</v>
      </c>
      <c r="I116" s="532"/>
      <c r="J116" s="558">
        <f>H116/DAY(B2)</f>
        <v>4.333333333333333</v>
      </c>
      <c r="O116" s="382"/>
    </row>
    <row r="117" spans="1:15" s="442" customFormat="1" ht="27.75">
      <c r="A117" s="1541" t="s">
        <v>225</v>
      </c>
      <c r="B117" s="1542"/>
      <c r="C117" s="1305"/>
      <c r="D117" s="622" t="s">
        <v>143</v>
      </c>
      <c r="E117" s="455"/>
      <c r="F117" s="662"/>
      <c r="G117" s="534">
        <f t="shared" si="13"/>
        <v>0</v>
      </c>
      <c r="H117" s="682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7" t="s">
        <v>201</v>
      </c>
      <c r="B118" s="1548"/>
      <c r="C118" s="1305"/>
      <c r="D118" s="783"/>
      <c r="E118" s="455"/>
      <c r="F118" s="662"/>
      <c r="G118" s="534">
        <f>SUM(G115:G117)</f>
        <v>10</v>
      </c>
      <c r="H118" s="682">
        <f>G118+'2'!H118</f>
        <v>32</v>
      </c>
      <c r="I118" s="534"/>
      <c r="J118" s="558">
        <f>H118/DAY(B2)</f>
        <v>10.666666666666666</v>
      </c>
      <c r="O118" s="382"/>
    </row>
    <row r="119" spans="1:15" s="445" customFormat="1" ht="27.75">
      <c r="A119" s="1539" t="s">
        <v>226</v>
      </c>
      <c r="B119" s="1540"/>
      <c r="C119" s="1305"/>
      <c r="D119" s="624" t="s">
        <v>143</v>
      </c>
      <c r="E119" s="455"/>
      <c r="F119" s="663">
        <f>SUM(G19+G93)</f>
        <v>108</v>
      </c>
      <c r="G119" s="536">
        <f>SUM(G19+G93)</f>
        <v>108</v>
      </c>
      <c r="H119" s="682">
        <f>G119+'2'!H119</f>
        <v>303</v>
      </c>
      <c r="I119" s="535"/>
      <c r="J119" s="559">
        <f>H119/DAY(B2)</f>
        <v>101</v>
      </c>
      <c r="O119" s="382"/>
    </row>
    <row r="120" spans="1:15" s="445" customFormat="1" ht="27.75">
      <c r="A120" s="1539" t="s">
        <v>227</v>
      </c>
      <c r="B120" s="1540"/>
      <c r="C120" s="1305"/>
      <c r="D120" s="624" t="s">
        <v>143</v>
      </c>
      <c r="E120" s="536"/>
      <c r="F120" s="663">
        <f>SUM(G96,G97,G98,G100,G101)</f>
        <v>102</v>
      </c>
      <c r="G120" s="536">
        <f>SUM(G96,G97,G98,G100,G101)</f>
        <v>102</v>
      </c>
      <c r="H120" s="682">
        <f>G120+'2'!H120</f>
        <v>297</v>
      </c>
      <c r="I120" s="535"/>
      <c r="J120" s="559">
        <f>H120/DAY(B2)</f>
        <v>99</v>
      </c>
      <c r="O120" s="382"/>
    </row>
    <row r="121" spans="1:15" s="445" customFormat="1" ht="27.75">
      <c r="A121" s="1539" t="s">
        <v>228</v>
      </c>
      <c r="B121" s="1540"/>
      <c r="C121" s="1305"/>
      <c r="D121" s="624" t="s">
        <v>143</v>
      </c>
      <c r="E121" s="534"/>
      <c r="F121" s="662">
        <f>SUM(G113)</f>
        <v>63</v>
      </c>
      <c r="G121" s="534">
        <f>SUM(G113)</f>
        <v>63</v>
      </c>
      <c r="H121" s="682">
        <f>G121+'2'!H121</f>
        <v>215</v>
      </c>
      <c r="I121" s="535"/>
      <c r="J121" s="559">
        <f>H121/DAY(B2)</f>
        <v>71.666666666666671</v>
      </c>
      <c r="O121" s="382"/>
    </row>
    <row r="122" spans="1:15" s="442" customFormat="1" ht="27.75">
      <c r="A122" s="1541"/>
      <c r="B122" s="1542"/>
      <c r="C122" s="1306"/>
      <c r="D122" s="560"/>
      <c r="E122" s="560"/>
      <c r="F122" s="664" t="s">
        <v>214</v>
      </c>
      <c r="G122" s="560"/>
      <c r="H122" s="561"/>
      <c r="I122" s="560"/>
      <c r="J122" s="562"/>
      <c r="O122" s="382"/>
    </row>
    <row r="123" spans="1:15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8" t="s">
        <v>230</v>
      </c>
      <c r="B124" s="1309"/>
      <c r="C124" s="1309"/>
      <c r="D124" s="523" t="s">
        <v>140</v>
      </c>
      <c r="E124" s="455">
        <f>'2'!F124</f>
        <v>826524</v>
      </c>
      <c r="F124" s="478">
        <v>826721</v>
      </c>
      <c r="G124" s="473">
        <f t="shared" ref="G124:G128" si="14">F124-E124</f>
        <v>197</v>
      </c>
      <c r="H124" s="682">
        <f>G124+'2'!H124</f>
        <v>632.54000000003725</v>
      </c>
      <c r="I124" s="526"/>
      <c r="J124" s="552">
        <f>H124/DAY(B2)</f>
        <v>210.84666666667908</v>
      </c>
      <c r="K124" s="380"/>
      <c r="L124" s="377"/>
      <c r="O124" s="382"/>
    </row>
    <row r="125" spans="1:15" ht="27.75">
      <c r="A125" s="1308" t="s">
        <v>231</v>
      </c>
      <c r="B125" s="1309"/>
      <c r="C125" s="1309"/>
      <c r="D125" s="523" t="s">
        <v>140</v>
      </c>
      <c r="E125" s="455">
        <f>'2'!F125</f>
        <v>73583.399999999994</v>
      </c>
      <c r="F125" s="626">
        <v>73583</v>
      </c>
      <c r="G125" s="473">
        <f t="shared" si="14"/>
        <v>-0.39999999999417923</v>
      </c>
      <c r="H125" s="682">
        <f>G125+'2'!H125</f>
        <v>-0.39999999999417923</v>
      </c>
      <c r="I125" s="526"/>
      <c r="J125" s="552">
        <f>H125/DAY(B2)</f>
        <v>-0.13333333333139308</v>
      </c>
      <c r="K125" s="380"/>
      <c r="L125" s="377"/>
      <c r="O125" s="382"/>
    </row>
    <row r="126" spans="1:15" ht="27.75">
      <c r="A126" s="1530" t="s">
        <v>232</v>
      </c>
      <c r="B126" s="1531"/>
      <c r="C126" s="1532"/>
      <c r="D126" s="523" t="s">
        <v>140</v>
      </c>
      <c r="E126" s="455">
        <f>'2'!F126</f>
        <v>144820</v>
      </c>
      <c r="F126" s="478">
        <v>144878</v>
      </c>
      <c r="G126" s="473">
        <f t="shared" si="14"/>
        <v>58</v>
      </c>
      <c r="H126" s="682">
        <f>G126+'2'!H126</f>
        <v>190.55999999999767</v>
      </c>
      <c r="I126" s="526"/>
      <c r="J126" s="552">
        <f>H126/DAY(B2)</f>
        <v>63.519999999999222</v>
      </c>
      <c r="K126" s="380"/>
      <c r="L126" s="377"/>
      <c r="O126" s="382"/>
    </row>
    <row r="127" spans="1:15" ht="27.75">
      <c r="A127" s="609" t="s">
        <v>233</v>
      </c>
      <c r="B127" s="1309"/>
      <c r="C127" s="1309"/>
      <c r="D127" s="523" t="s">
        <v>140</v>
      </c>
      <c r="E127" s="455">
        <f>'2'!F127</f>
        <v>31404</v>
      </c>
      <c r="F127" s="1382">
        <v>31404</v>
      </c>
      <c r="G127" s="473">
        <f t="shared" si="14"/>
        <v>0</v>
      </c>
      <c r="H127" s="682">
        <f>G127+'2'!H127</f>
        <v>0</v>
      </c>
      <c r="I127" s="526"/>
      <c r="J127" s="552">
        <f>H127/DAY(B2)</f>
        <v>0</v>
      </c>
      <c r="K127" s="380"/>
      <c r="L127" s="377"/>
      <c r="O127" s="382"/>
    </row>
    <row r="128" spans="1:15" ht="27.75">
      <c r="A128" s="609" t="s">
        <v>234</v>
      </c>
      <c r="B128" s="1309"/>
      <c r="C128" s="1309"/>
      <c r="D128" s="523" t="s">
        <v>140</v>
      </c>
      <c r="E128" s="455">
        <f>'2'!F128</f>
        <v>8970</v>
      </c>
      <c r="F128" s="626">
        <v>8970</v>
      </c>
      <c r="G128" s="473">
        <f t="shared" si="14"/>
        <v>0</v>
      </c>
      <c r="H128" s="682">
        <f>G128+'2'!H128</f>
        <v>0.2999999999992724</v>
      </c>
      <c r="I128" s="480"/>
      <c r="J128" s="552">
        <f>H128/DAY(B2)</f>
        <v>9.9999999999757463E-2</v>
      </c>
      <c r="K128" s="380"/>
      <c r="L128" s="377"/>
      <c r="O128" s="382"/>
    </row>
    <row r="129" spans="1:15" s="281" customFormat="1" ht="27.75">
      <c r="A129" s="609" t="s">
        <v>235</v>
      </c>
      <c r="B129" s="1309"/>
      <c r="C129" s="1309"/>
      <c r="D129" s="523"/>
      <c r="E129" s="455">
        <f>'2'!F129</f>
        <v>0</v>
      </c>
      <c r="F129" s="478"/>
      <c r="G129" s="473">
        <f>G15-SUM(G124:G128)</f>
        <v>183.39999999999418</v>
      </c>
      <c r="H129" s="682">
        <f>G129+'2'!H129</f>
        <v>393.99999999995998</v>
      </c>
      <c r="I129" s="480"/>
      <c r="J129" s="552">
        <f>H129/DAY(B2)</f>
        <v>131.33333333331998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8" t="s">
        <v>237</v>
      </c>
      <c r="B131" s="1309"/>
      <c r="C131" s="1309"/>
      <c r="D131" s="523" t="s">
        <v>238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2">
        <f>G131+'2'!H131</f>
        <v>0</v>
      </c>
      <c r="I131" s="480"/>
      <c r="J131" s="552">
        <f>H131/DAY(B2)</f>
        <v>0</v>
      </c>
      <c r="O131" s="382"/>
    </row>
    <row r="132" spans="1:15" ht="27.75">
      <c r="A132" s="1308" t="s">
        <v>239</v>
      </c>
      <c r="B132" s="1309"/>
      <c r="C132" s="1309"/>
      <c r="D132" s="523" t="s">
        <v>238</v>
      </c>
      <c r="E132" s="455">
        <f>'2'!F132</f>
        <v>0</v>
      </c>
      <c r="F132" s="478">
        <v>0</v>
      </c>
      <c r="G132" s="473">
        <f t="shared" si="15"/>
        <v>0</v>
      </c>
      <c r="H132" s="682">
        <f>G132+'2'!H132</f>
        <v>0</v>
      </c>
      <c r="I132" s="480"/>
      <c r="J132" s="552">
        <f>H132/DAY(B2)</f>
        <v>0</v>
      </c>
      <c r="O132" s="382"/>
    </row>
    <row r="133" spans="1:15" ht="27.75">
      <c r="A133" s="1308" t="s">
        <v>240</v>
      </c>
      <c r="B133" s="1309"/>
      <c r="C133" s="1309"/>
      <c r="D133" s="523" t="s">
        <v>238</v>
      </c>
      <c r="E133" s="455">
        <f>'2'!F133</f>
        <v>39794.31</v>
      </c>
      <c r="F133" s="654">
        <v>39818.31</v>
      </c>
      <c r="G133" s="473">
        <f t="shared" si="15"/>
        <v>24</v>
      </c>
      <c r="H133" s="682">
        <f>G133+'2'!H133</f>
        <v>71.82999999999447</v>
      </c>
      <c r="I133" s="480"/>
      <c r="J133" s="552">
        <f>H133/DAY(B2)</f>
        <v>23.943333333331491</v>
      </c>
      <c r="O133" s="382"/>
    </row>
    <row r="134" spans="1:15" ht="27.75">
      <c r="A134" s="1308" t="s">
        <v>241</v>
      </c>
      <c r="B134" s="1309"/>
      <c r="C134" s="1309"/>
      <c r="D134" s="523" t="s">
        <v>238</v>
      </c>
      <c r="E134" s="455">
        <f>'2'!F134</f>
        <v>300</v>
      </c>
      <c r="F134" s="626">
        <v>300</v>
      </c>
      <c r="G134" s="473">
        <f t="shared" si="15"/>
        <v>0</v>
      </c>
      <c r="H134" s="682">
        <f>G134+'2'!H134</f>
        <v>0</v>
      </c>
      <c r="I134" s="480"/>
      <c r="J134" s="552">
        <f>H134/DAY(B2)</f>
        <v>0</v>
      </c>
      <c r="O134" s="382"/>
    </row>
    <row r="135" spans="1:15" ht="27.75">
      <c r="A135" s="1308" t="s">
        <v>242</v>
      </c>
      <c r="B135" s="1309"/>
      <c r="C135" s="1309"/>
      <c r="D135" s="523" t="s">
        <v>238</v>
      </c>
      <c r="E135" s="455">
        <f>'2'!F135</f>
        <v>41385</v>
      </c>
      <c r="F135" s="626">
        <v>41385</v>
      </c>
      <c r="G135" s="473">
        <f t="shared" si="15"/>
        <v>0</v>
      </c>
      <c r="H135" s="682">
        <f>G135+'2'!H135</f>
        <v>0</v>
      </c>
      <c r="I135" s="480"/>
      <c r="J135" s="552">
        <f>H135/DAY(B2)</f>
        <v>0</v>
      </c>
      <c r="O135" s="382"/>
    </row>
    <row r="136" spans="1:15" ht="27.75">
      <c r="A136" s="1308" t="s">
        <v>243</v>
      </c>
      <c r="B136" s="1309"/>
      <c r="C136" s="1309"/>
      <c r="D136" s="523" t="s">
        <v>238</v>
      </c>
      <c r="E136" s="455">
        <f>'2'!F136</f>
        <v>32583</v>
      </c>
      <c r="F136" s="626">
        <v>32583</v>
      </c>
      <c r="G136" s="473">
        <f t="shared" si="15"/>
        <v>0</v>
      </c>
      <c r="H136" s="682">
        <f>G136+'2'!H136</f>
        <v>0</v>
      </c>
      <c r="I136" s="480">
        <f t="shared" ref="I136" si="16">G133+G134+G135+G136</f>
        <v>24</v>
      </c>
      <c r="J136" s="552">
        <f>H136/DAY(B2)</f>
        <v>0</v>
      </c>
      <c r="O136" s="382"/>
    </row>
    <row r="137" spans="1:15" ht="27.75">
      <c r="A137" s="1308" t="s">
        <v>244</v>
      </c>
      <c r="B137" s="1309"/>
      <c r="C137" s="1309"/>
      <c r="D137" s="523" t="s">
        <v>238</v>
      </c>
      <c r="E137" s="455">
        <f>'2'!F137</f>
        <v>22742.3</v>
      </c>
      <c r="F137" s="654">
        <v>22742.3</v>
      </c>
      <c r="G137" s="473">
        <f t="shared" si="15"/>
        <v>0</v>
      </c>
      <c r="H137" s="682">
        <f>G137+'2'!H137</f>
        <v>2.7099999999991269</v>
      </c>
      <c r="I137" s="480"/>
      <c r="J137" s="552">
        <f>H137/DAY(B2)</f>
        <v>0.90333333333304233</v>
      </c>
      <c r="O137" s="382"/>
    </row>
    <row r="138" spans="1:15" ht="27.75">
      <c r="A138" s="1308" t="s">
        <v>245</v>
      </c>
      <c r="B138" s="1309"/>
      <c r="C138" s="1309"/>
      <c r="D138" s="523" t="s">
        <v>238</v>
      </c>
      <c r="E138" s="455">
        <f>'2'!F138</f>
        <v>25051.59</v>
      </c>
      <c r="F138" s="654">
        <v>25051.99</v>
      </c>
      <c r="G138" s="473">
        <f t="shared" si="15"/>
        <v>0.40000000000145519</v>
      </c>
      <c r="H138" s="682">
        <f>G138+'2'!H138</f>
        <v>0.40000000000145519</v>
      </c>
      <c r="I138" s="480"/>
      <c r="J138" s="552">
        <f>H138/DAY(B2)</f>
        <v>0.13333333333381839</v>
      </c>
      <c r="O138" s="382"/>
    </row>
    <row r="139" spans="1:15" ht="27.75">
      <c r="A139" s="1308" t="s">
        <v>246</v>
      </c>
      <c r="B139" s="1309"/>
      <c r="C139" s="1309"/>
      <c r="D139" s="523" t="s">
        <v>238</v>
      </c>
      <c r="E139" s="455">
        <f>'2'!F139</f>
        <v>70315.81</v>
      </c>
      <c r="F139" s="654">
        <v>70324.820000000007</v>
      </c>
      <c r="G139" s="473">
        <f t="shared" si="15"/>
        <v>9.0100000000093132</v>
      </c>
      <c r="H139" s="682">
        <f>G139+'2'!H139</f>
        <v>9.0100000000093132</v>
      </c>
      <c r="I139" s="480">
        <f>G137+G138+G139</f>
        <v>9.4100000000107684</v>
      </c>
      <c r="J139" s="552">
        <f>H139/DAY(B2)</f>
        <v>3.0033333333364376</v>
      </c>
      <c r="O139" s="382"/>
    </row>
    <row r="140" spans="1:15" ht="27.75">
      <c r="A140" s="1308" t="s">
        <v>247</v>
      </c>
      <c r="B140" s="1309"/>
      <c r="C140" s="1309"/>
      <c r="D140" s="523" t="s">
        <v>238</v>
      </c>
      <c r="E140" s="455">
        <f>'2'!F140</f>
        <v>1633.55</v>
      </c>
      <c r="F140" s="626">
        <v>1640.95</v>
      </c>
      <c r="G140" s="473">
        <f t="shared" si="15"/>
        <v>7.4000000000000909</v>
      </c>
      <c r="H140" s="682">
        <f>G140+'2'!H140</f>
        <v>24.090000000000146</v>
      </c>
      <c r="I140" s="542"/>
      <c r="J140" s="552">
        <f>H140/DAY(B2)</f>
        <v>8.0300000000000491</v>
      </c>
      <c r="O140" s="382"/>
    </row>
    <row r="141" spans="1:15" ht="27.75">
      <c r="A141" s="1308" t="s">
        <v>248</v>
      </c>
      <c r="B141" s="1309"/>
      <c r="C141" s="1309"/>
      <c r="D141" s="523" t="s">
        <v>238</v>
      </c>
      <c r="E141" s="455">
        <f>'2'!F141</f>
        <v>4637</v>
      </c>
      <c r="F141" s="478">
        <v>4637</v>
      </c>
      <c r="G141" s="473">
        <f t="shared" si="15"/>
        <v>0</v>
      </c>
      <c r="H141" s="682">
        <f>G141+'2'!H141</f>
        <v>0</v>
      </c>
      <c r="I141" s="542">
        <f>G141+G178</f>
        <v>0</v>
      </c>
      <c r="J141" s="552">
        <f>H141/DAY(B2)</f>
        <v>0</v>
      </c>
      <c r="O141" s="382"/>
    </row>
    <row r="142" spans="1:15">
      <c r="A142" s="1557" t="s">
        <v>249</v>
      </c>
      <c r="B142" s="1558"/>
      <c r="C142" s="1314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4393.8699999999953</v>
      </c>
      <c r="H143" s="682">
        <f>G143+'2'!H143</f>
        <v>13119.869999999995</v>
      </c>
      <c r="I143" s="480"/>
      <c r="J143" s="552">
        <f>H143/DAY(B2)</f>
        <v>4373.2899999999981</v>
      </c>
      <c r="K143" s="380"/>
      <c r="L143" s="377"/>
      <c r="O143" s="382"/>
    </row>
    <row r="144" spans="1:15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0.27412003244120003</v>
      </c>
      <c r="H144" s="682">
        <f>G144+'2'!H144</f>
        <v>0.82035289528926336</v>
      </c>
      <c r="I144" s="544"/>
      <c r="J144" s="552">
        <f>H144/DAY(B2)</f>
        <v>0.27345096509642114</v>
      </c>
      <c r="K144" s="380"/>
      <c r="L144" s="377"/>
      <c r="O144" s="382"/>
    </row>
    <row r="145" spans="1:15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4821</v>
      </c>
      <c r="H145" s="682">
        <f>G145+'2'!H145</f>
        <v>14476.530000000028</v>
      </c>
      <c r="I145" s="480"/>
      <c r="J145" s="552">
        <f>H145/DAY(B2)</f>
        <v>4825.5100000000093</v>
      </c>
      <c r="K145" s="380"/>
      <c r="L145" s="377"/>
      <c r="O145" s="382"/>
    </row>
    <row r="146" spans="1:15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0.30076735916151975</v>
      </c>
      <c r="H146" s="682">
        <f>G146+'2'!H146</f>
        <v>0.90522006170609803</v>
      </c>
      <c r="I146" s="544"/>
      <c r="J146" s="552">
        <f>H146/DAY(B2)</f>
        <v>0.30174002056869936</v>
      </c>
      <c r="K146" s="380"/>
      <c r="L146" s="377"/>
      <c r="O146" s="382"/>
    </row>
    <row r="147" spans="1:15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2337</v>
      </c>
      <c r="H147" s="682">
        <f>G147+'2'!H147</f>
        <v>7373</v>
      </c>
      <c r="I147" s="545"/>
      <c r="J147" s="552">
        <f>H147/DAY(B2)</f>
        <v>2457.6666666666665</v>
      </c>
      <c r="K147" s="380"/>
      <c r="L147" s="377"/>
      <c r="O147" s="382"/>
    </row>
    <row r="148" spans="1:15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0.14579824068875163</v>
      </c>
      <c r="H148" s="682">
        <f>G148+'2'!H148</f>
        <v>0.46104275235707154</v>
      </c>
      <c r="I148" s="545"/>
      <c r="J148" s="552">
        <f>H148/DAY(B2)</f>
        <v>0.15368091745235718</v>
      </c>
      <c r="O148" s="382"/>
    </row>
    <row r="149" spans="1:15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1342</v>
      </c>
      <c r="H149" s="682">
        <f>G149+'2'!H149</f>
        <v>3995</v>
      </c>
      <c r="I149" s="480"/>
      <c r="J149" s="552">
        <f>H149/DAY(B2)</f>
        <v>1331.6666666666667</v>
      </c>
      <c r="K149" s="381"/>
      <c r="O149" s="382"/>
    </row>
    <row r="150" spans="1:15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8.3723251606463281E-2</v>
      </c>
      <c r="H150" s="682">
        <f>G150+'2'!H150</f>
        <v>0.24979785768319362</v>
      </c>
      <c r="I150" s="545"/>
      <c r="J150" s="552">
        <f>H150/DAY(B2)</f>
        <v>8.3265952561064546E-2</v>
      </c>
      <c r="O150" s="382"/>
    </row>
    <row r="151" spans="1:15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1422</v>
      </c>
      <c r="H151" s="682">
        <f>G151+'2'!H151</f>
        <v>4031</v>
      </c>
      <c r="I151" s="545"/>
      <c r="J151" s="552">
        <f>H151/DAY(B2)</f>
        <v>1343.6666666666667</v>
      </c>
      <c r="O151" s="382"/>
    </row>
    <row r="152" spans="1:15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8.8714205502526663E-2</v>
      </c>
      <c r="H152" s="682">
        <f>G152+'2'!H152</f>
        <v>0.25203336174521773</v>
      </c>
      <c r="I152" s="480"/>
      <c r="J152" s="552">
        <f>H152/DAY(B2)</f>
        <v>8.4011120581739249E-2</v>
      </c>
      <c r="O152" s="382"/>
    </row>
    <row r="153" spans="1:15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1224</v>
      </c>
      <c r="H153" s="682">
        <f>G153+'2'!H153</f>
        <v>3770</v>
      </c>
      <c r="I153" s="480"/>
      <c r="J153" s="552">
        <f>H153/DAY(B2)</f>
        <v>1256.6666666666667</v>
      </c>
      <c r="O153" s="382"/>
    </row>
    <row r="154" spans="1:15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7.6361594609769795E-2</v>
      </c>
      <c r="H154" s="682">
        <f>G154+'2'!H154</f>
        <v>0.23573976648189174</v>
      </c>
      <c r="I154" s="568"/>
      <c r="J154" s="569">
        <f>H154/DAY(B2)</f>
        <v>7.8579922160630575E-2</v>
      </c>
      <c r="O154" s="382"/>
    </row>
    <row r="155" spans="1:15">
      <c r="O155" s="382"/>
    </row>
    <row r="158" spans="1:15" ht="27.75">
      <c r="A158" s="1585" t="s">
        <v>266</v>
      </c>
      <c r="B158" s="1586"/>
      <c r="C158" s="1586"/>
      <c r="D158" s="1586"/>
      <c r="E158" s="1586"/>
      <c r="F158" s="1586"/>
      <c r="G158" s="1587"/>
    </row>
    <row r="159" spans="1:15">
      <c r="A159" s="787"/>
      <c r="B159" s="788"/>
      <c r="C159" s="788"/>
      <c r="D159" s="511"/>
      <c r="E159" s="455"/>
      <c r="F159" s="661"/>
      <c r="G159" s="473"/>
    </row>
    <row r="160" spans="1:15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262</v>
      </c>
      <c r="B161" s="788"/>
      <c r="C161" s="788"/>
      <c r="D161" s="511" t="s">
        <v>186</v>
      </c>
      <c r="E161" s="455">
        <f>'2'!F161</f>
        <v>36093</v>
      </c>
      <c r="F161" s="661">
        <v>36175</v>
      </c>
      <c r="G161" s="473">
        <f t="shared" ref="G161:G172" si="17">F161-E161</f>
        <v>82</v>
      </c>
    </row>
    <row r="162" spans="1:7">
      <c r="A162" s="787" t="s">
        <v>263</v>
      </c>
      <c r="B162" s="788"/>
      <c r="C162" s="788"/>
      <c r="D162" s="511" t="s">
        <v>186</v>
      </c>
      <c r="E162" s="455">
        <f>'2'!F162</f>
        <v>83235</v>
      </c>
      <c r="F162" s="661">
        <v>83633</v>
      </c>
      <c r="G162" s="473">
        <f t="shared" si="17"/>
        <v>398</v>
      </c>
    </row>
    <row r="163" spans="1:7">
      <c r="A163" s="787" t="s">
        <v>264</v>
      </c>
      <c r="B163" s="788"/>
      <c r="C163" s="788"/>
      <c r="D163" s="511" t="s">
        <v>186</v>
      </c>
      <c r="E163" s="455">
        <f>'2'!F163</f>
        <v>38792</v>
      </c>
      <c r="F163" s="661">
        <v>38999</v>
      </c>
      <c r="G163" s="473">
        <f t="shared" si="17"/>
        <v>207</v>
      </c>
    </row>
    <row r="164" spans="1:7">
      <c r="A164" s="787" t="s">
        <v>265</v>
      </c>
      <c r="B164" s="788"/>
      <c r="C164" s="788"/>
      <c r="D164" s="511" t="s">
        <v>186</v>
      </c>
      <c r="E164" s="455">
        <f>'2'!F164</f>
        <v>6245</v>
      </c>
      <c r="F164" s="661">
        <v>6255</v>
      </c>
      <c r="G164" s="473">
        <f t="shared" si="17"/>
        <v>10</v>
      </c>
    </row>
    <row r="165" spans="1:7">
      <c r="A165" s="789" t="s">
        <v>98</v>
      </c>
      <c r="B165" s="604"/>
      <c r="C165" s="604"/>
      <c r="D165" s="511" t="s">
        <v>186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>
      <c r="A166" s="789" t="s">
        <v>187</v>
      </c>
      <c r="B166" s="604"/>
      <c r="C166" s="604"/>
      <c r="D166" s="511" t="s">
        <v>186</v>
      </c>
      <c r="E166" s="455">
        <f>'2'!F166</f>
        <v>2367</v>
      </c>
      <c r="F166" s="514">
        <v>2370</v>
      </c>
      <c r="G166" s="473">
        <f t="shared" si="17"/>
        <v>3</v>
      </c>
    </row>
    <row r="167" spans="1:7" ht="21.75" customHeight="1">
      <c r="A167" s="1526" t="s">
        <v>99</v>
      </c>
      <c r="B167" s="1526"/>
      <c r="C167" s="1526"/>
      <c r="D167" s="523" t="s">
        <v>186</v>
      </c>
      <c r="E167" s="455">
        <f>'2'!F167</f>
        <v>153718</v>
      </c>
      <c r="F167" s="514">
        <v>153931.9</v>
      </c>
      <c r="G167" s="473">
        <f t="shared" si="17"/>
        <v>213.89999999999418</v>
      </c>
    </row>
    <row r="168" spans="1:7" ht="21.75" customHeight="1">
      <c r="A168" s="1526" t="s">
        <v>100</v>
      </c>
      <c r="B168" s="1526"/>
      <c r="C168" s="1526"/>
      <c r="D168" s="523" t="s">
        <v>186</v>
      </c>
      <c r="E168" s="455">
        <f>'2'!F168</f>
        <v>155006</v>
      </c>
      <c r="F168" s="514">
        <f t="shared" ref="F168:F172" si="18">F65</f>
        <v>155204</v>
      </c>
      <c r="G168" s="473">
        <f t="shared" si="17"/>
        <v>198</v>
      </c>
    </row>
    <row r="169" spans="1:7" ht="21.75" customHeight="1">
      <c r="A169" s="1526" t="s">
        <v>101</v>
      </c>
      <c r="B169" s="1526"/>
      <c r="C169" s="1526"/>
      <c r="D169" s="523" t="s">
        <v>186</v>
      </c>
      <c r="E169" s="455">
        <f>'2'!F169</f>
        <v>49114</v>
      </c>
      <c r="F169" s="514">
        <f t="shared" si="18"/>
        <v>49379</v>
      </c>
      <c r="G169" s="473">
        <f t="shared" si="17"/>
        <v>265</v>
      </c>
    </row>
    <row r="170" spans="1:7" ht="27.75" customHeight="1">
      <c r="A170" s="1526" t="s">
        <v>102</v>
      </c>
      <c r="B170" s="1526"/>
      <c r="C170" s="1526"/>
      <c r="D170" s="523" t="s">
        <v>186</v>
      </c>
      <c r="E170" s="455">
        <f>'2'!F170</f>
        <v>243610</v>
      </c>
      <c r="F170" s="514">
        <f t="shared" si="18"/>
        <v>243795</v>
      </c>
      <c r="G170" s="473">
        <f t="shared" si="17"/>
        <v>185</v>
      </c>
    </row>
    <row r="171" spans="1:7" ht="24" customHeight="1">
      <c r="A171" s="1526" t="s">
        <v>103</v>
      </c>
      <c r="B171" s="1526"/>
      <c r="C171" s="1526"/>
      <c r="D171" s="523" t="s">
        <v>186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>
      <c r="A172" s="1526" t="s">
        <v>104</v>
      </c>
      <c r="B172" s="1526"/>
      <c r="C172" s="1526"/>
      <c r="D172" s="523" t="s">
        <v>186</v>
      </c>
      <c r="E172" s="455">
        <f>'2'!F172</f>
        <v>79169</v>
      </c>
      <c r="F172" s="514">
        <f t="shared" si="18"/>
        <v>79254</v>
      </c>
      <c r="G172" s="473">
        <f t="shared" si="17"/>
        <v>85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Normal="48" zoomScaleSheetLayoutView="55" workbookViewId="0">
      <selection activeCell="H8" sqref="H8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4" s="281" customFormat="1" ht="27">
      <c r="A2" s="575" t="s">
        <v>343</v>
      </c>
      <c r="B2" s="1035">
        <v>44320</v>
      </c>
      <c r="C2" s="1310" t="s">
        <v>69</v>
      </c>
      <c r="D2" s="611">
        <v>0.1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310" t="s">
        <v>119</v>
      </c>
      <c r="D3" s="612">
        <v>34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0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2" t="s">
        <v>129</v>
      </c>
      <c r="B6" s="1563"/>
      <c r="C6" s="1564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9" t="s">
        <v>130</v>
      </c>
      <c r="B7" s="680"/>
      <c r="C7" s="680"/>
      <c r="D7" s="638" t="s">
        <v>131</v>
      </c>
      <c r="E7" s="633">
        <f>'3'!F7</f>
        <v>5775411</v>
      </c>
      <c r="F7" s="633">
        <v>5791574</v>
      </c>
      <c r="G7" s="692">
        <f>F7-E7</f>
        <v>16163</v>
      </c>
      <c r="H7" s="682">
        <f>G7+'3'!H7</f>
        <v>64141</v>
      </c>
      <c r="I7" s="683">
        <f>'[2]1'!I7</f>
        <v>12000</v>
      </c>
      <c r="J7" s="684">
        <f>H7/DAY(B2)</f>
        <v>16035.25</v>
      </c>
      <c r="K7" s="549"/>
      <c r="L7" s="377"/>
      <c r="N7" s="382"/>
    </row>
    <row r="8" spans="1:14" ht="27.75" thickBot="1">
      <c r="A8" s="685" t="s">
        <v>132</v>
      </c>
      <c r="B8" s="686"/>
      <c r="C8" s="687"/>
      <c r="D8" s="688" t="s">
        <v>25</v>
      </c>
      <c r="E8" s="633">
        <f>'3'!F8</f>
        <v>5809417</v>
      </c>
      <c r="F8" s="634">
        <v>5825643</v>
      </c>
      <c r="G8" s="1052">
        <f>F8-E8</f>
        <v>16226</v>
      </c>
      <c r="H8" s="682">
        <f>G8+'3'!H8</f>
        <v>64399</v>
      </c>
      <c r="I8" s="689">
        <v>12000</v>
      </c>
      <c r="J8" s="684">
        <f>H8/DAY(B2)</f>
        <v>16099.75</v>
      </c>
      <c r="K8" s="549"/>
      <c r="L8" s="425"/>
      <c r="M8" s="440"/>
      <c r="N8" s="706">
        <f>G7/G8</f>
        <v>0.9961173425366695</v>
      </c>
    </row>
    <row r="9" spans="1:14">
      <c r="A9" s="690" t="s">
        <v>133</v>
      </c>
      <c r="B9" s="691"/>
      <c r="C9" s="691"/>
      <c r="D9" s="638" t="s">
        <v>131</v>
      </c>
      <c r="E9" s="633">
        <f>'3'!F9</f>
        <v>1037141</v>
      </c>
      <c r="F9" s="635">
        <v>1052790</v>
      </c>
      <c r="G9" s="705">
        <f t="shared" ref="G9:G12" si="0">F9-E9</f>
        <v>15649</v>
      </c>
      <c r="H9" s="682">
        <f>G9+'3'!H9</f>
        <v>62076</v>
      </c>
      <c r="I9" s="693">
        <f>I8-J8</f>
        <v>-4099.75</v>
      </c>
      <c r="J9" s="684">
        <f>H9/DAY(B2)</f>
        <v>15519</v>
      </c>
      <c r="K9" s="428"/>
      <c r="L9" s="377"/>
      <c r="N9" s="382"/>
    </row>
    <row r="10" spans="1:14">
      <c r="A10" s="679" t="s">
        <v>134</v>
      </c>
      <c r="B10" s="680"/>
      <c r="C10" s="680"/>
      <c r="D10" s="638" t="s">
        <v>131</v>
      </c>
      <c r="E10" s="633">
        <f>'3'!F10</f>
        <v>2322.58</v>
      </c>
      <c r="F10" s="635">
        <v>2322.58</v>
      </c>
      <c r="G10" s="692">
        <f t="shared" si="0"/>
        <v>0</v>
      </c>
      <c r="H10" s="682">
        <f>G10+'3'!H10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135</v>
      </c>
      <c r="B11" s="680"/>
      <c r="C11" s="680"/>
      <c r="D11" s="638" t="s">
        <v>131</v>
      </c>
      <c r="E11" s="633">
        <f>'3'!F11</f>
        <v>37000</v>
      </c>
      <c r="F11" s="633">
        <v>37000</v>
      </c>
      <c r="G11" s="692">
        <f t="shared" si="0"/>
        <v>0</v>
      </c>
      <c r="H11" s="682">
        <f>G11+'[2]3'!H11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136</v>
      </c>
      <c r="B12" s="680"/>
      <c r="C12" s="680"/>
      <c r="D12" s="638" t="s">
        <v>131</v>
      </c>
      <c r="E12" s="633">
        <f>'3'!F12</f>
        <v>40010</v>
      </c>
      <c r="F12" s="635">
        <v>40010</v>
      </c>
      <c r="G12" s="692">
        <f t="shared" si="0"/>
        <v>0</v>
      </c>
      <c r="H12" s="682">
        <f>G12+'[2]3'!H12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137</v>
      </c>
      <c r="B13" s="696"/>
      <c r="C13" s="696"/>
      <c r="D13" s="638"/>
      <c r="E13" s="633"/>
      <c r="F13" s="633"/>
      <c r="G13" s="697">
        <f>G9+G10+G11+G12</f>
        <v>15649</v>
      </c>
      <c r="H13" s="682">
        <f>G13+'3'!H13</f>
        <v>62076</v>
      </c>
      <c r="I13" s="698">
        <f>G7-G13</f>
        <v>514</v>
      </c>
      <c r="J13" s="684">
        <f>H13/DAY(B2)</f>
        <v>15519</v>
      </c>
      <c r="K13" s="428"/>
      <c r="L13" s="377"/>
      <c r="N13" s="382"/>
    </row>
    <row r="14" spans="1:14">
      <c r="A14" s="1565" t="s">
        <v>138</v>
      </c>
      <c r="B14" s="1566"/>
      <c r="C14" s="1567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5" t="s">
        <v>139</v>
      </c>
      <c r="B15" s="790"/>
      <c r="C15" s="790"/>
      <c r="D15" s="524" t="s">
        <v>140</v>
      </c>
      <c r="E15" s="485">
        <f>'3'!F15</f>
        <v>1671874</v>
      </c>
      <c r="F15" s="626">
        <v>1672458</v>
      </c>
      <c r="G15" s="776">
        <f>(F15-E15)</f>
        <v>584</v>
      </c>
      <c r="H15" s="682">
        <f>G15+'3'!H15</f>
        <v>1801</v>
      </c>
      <c r="I15" s="474">
        <v>800</v>
      </c>
      <c r="J15" s="553">
        <f>H15/DAY(B2)</f>
        <v>450.25</v>
      </c>
      <c r="K15" s="428"/>
      <c r="L15" s="377"/>
      <c r="N15" s="382"/>
    </row>
    <row r="16" spans="1:14">
      <c r="A16" s="793"/>
      <c r="B16" s="794"/>
      <c r="C16" s="794"/>
      <c r="D16" s="524"/>
      <c r="E16" s="485"/>
      <c r="F16" s="485"/>
      <c r="G16" s="473"/>
      <c r="H16" s="486"/>
      <c r="I16" s="487">
        <f>I15-J15</f>
        <v>349.75</v>
      </c>
      <c r="J16" s="553"/>
      <c r="K16" s="428"/>
      <c r="L16" s="377"/>
      <c r="N16" s="382"/>
    </row>
    <row r="17" spans="1:14">
      <c r="A17" s="1565" t="s">
        <v>141</v>
      </c>
      <c r="B17" s="1566"/>
      <c r="C17" s="1567"/>
      <c r="D17" s="472"/>
      <c r="E17" s="472"/>
      <c r="F17" s="483"/>
      <c r="G17" s="488" t="s">
        <v>214</v>
      </c>
      <c r="H17" s="472"/>
      <c r="I17" s="472"/>
      <c r="J17" s="551"/>
      <c r="K17" s="428"/>
      <c r="L17" s="377"/>
      <c r="N17" s="382"/>
    </row>
    <row r="18" spans="1:14" ht="27.75">
      <c r="A18" s="1591" t="s">
        <v>142</v>
      </c>
      <c r="B18" s="1592"/>
      <c r="C18" s="1593"/>
      <c r="D18" s="638" t="s">
        <v>143</v>
      </c>
      <c r="E18" s="635">
        <f>'3'!F18</f>
        <v>6</v>
      </c>
      <c r="F18" s="635">
        <v>6</v>
      </c>
      <c r="G18" s="697">
        <f>F18*10</f>
        <v>60</v>
      </c>
      <c r="H18" s="682">
        <f>G18+'3'!H18</f>
        <v>260</v>
      </c>
      <c r="I18" s="683">
        <f>'[2]1'!I18</f>
        <v>65</v>
      </c>
      <c r="J18" s="684">
        <f>H18/DAY(B2)</f>
        <v>65</v>
      </c>
      <c r="K18" s="428"/>
      <c r="L18" s="377"/>
      <c r="N18" s="382"/>
    </row>
    <row r="19" spans="1:14" ht="27.75">
      <c r="A19" s="1591" t="s">
        <v>71</v>
      </c>
      <c r="B19" s="1592"/>
      <c r="C19" s="1593"/>
      <c r="D19" s="638" t="s">
        <v>143</v>
      </c>
      <c r="E19" s="635">
        <f>'3'!F19</f>
        <v>137975</v>
      </c>
      <c r="F19" s="635">
        <v>138022</v>
      </c>
      <c r="G19" s="692">
        <f t="shared" ref="G19" si="1">F19-E19</f>
        <v>47</v>
      </c>
      <c r="H19" s="682">
        <f>G19+'3'!H19</f>
        <v>210</v>
      </c>
      <c r="I19" s="699"/>
      <c r="J19" s="684">
        <f>H19/DAY(B2)</f>
        <v>52.5</v>
      </c>
      <c r="K19" s="428"/>
      <c r="L19" s="377"/>
      <c r="N19" s="382"/>
    </row>
    <row r="20" spans="1:14">
      <c r="A20" s="695" t="s">
        <v>144</v>
      </c>
      <c r="B20" s="696"/>
      <c r="C20" s="696"/>
      <c r="D20" s="638"/>
      <c r="E20" s="635">
        <f>'3'!F20</f>
        <v>0</v>
      </c>
      <c r="F20" s="638"/>
      <c r="G20" s="1051">
        <f>G18+G19</f>
        <v>107</v>
      </c>
      <c r="H20" s="682">
        <f>G20+'3'!H20</f>
        <v>470</v>
      </c>
      <c r="I20" s="701">
        <f>I18-J20</f>
        <v>-52.5</v>
      </c>
      <c r="J20" s="684">
        <f>H20/DAY(B2)</f>
        <v>117.5</v>
      </c>
      <c r="K20" s="428"/>
      <c r="L20" s="377"/>
      <c r="N20" s="382"/>
    </row>
    <row r="21" spans="1:14">
      <c r="A21" s="1565" t="s">
        <v>145</v>
      </c>
      <c r="B21" s="1566"/>
      <c r="C21" s="1567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8" t="s">
        <v>146</v>
      </c>
      <c r="B22" s="589"/>
      <c r="C22" s="589"/>
      <c r="D22" s="523" t="s">
        <v>147</v>
      </c>
      <c r="E22" s="478">
        <v>2970</v>
      </c>
      <c r="F22" s="635">
        <v>2970</v>
      </c>
      <c r="G22" s="692">
        <f t="shared" ref="G22" si="2">F22-E22</f>
        <v>0</v>
      </c>
      <c r="H22" s="682">
        <f>G22+'3'!H22</f>
        <v>0</v>
      </c>
      <c r="I22" s="480"/>
      <c r="J22" s="552">
        <f>H22/DAY(B2)</f>
        <v>0</v>
      </c>
      <c r="K22" s="428"/>
      <c r="L22" s="377"/>
      <c r="M22" s="376" t="s">
        <v>268</v>
      </c>
      <c r="N22" s="382"/>
    </row>
    <row r="23" spans="1:14">
      <c r="A23" s="1308" t="s">
        <v>148</v>
      </c>
      <c r="B23" s="589"/>
      <c r="C23" s="589"/>
      <c r="D23" s="523" t="s">
        <v>147</v>
      </c>
      <c r="E23" s="478">
        <v>2000</v>
      </c>
      <c r="F23" s="635">
        <v>2000</v>
      </c>
      <c r="G23" s="692">
        <v>0</v>
      </c>
      <c r="H23" s="682">
        <f>G23+'3'!H23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v>4970</v>
      </c>
      <c r="F24" s="637">
        <v>4970</v>
      </c>
      <c r="G24" s="692">
        <v>0</v>
      </c>
      <c r="H24" s="682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0" t="s">
        <v>150</v>
      </c>
      <c r="B25" s="1571"/>
      <c r="C25" s="1572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16226</v>
      </c>
      <c r="F27" s="501">
        <v>9</v>
      </c>
      <c r="G27" s="502">
        <f>E27*F27</f>
        <v>146034</v>
      </c>
      <c r="H27" s="682">
        <f>G27+'3'!H27</f>
        <v>579591</v>
      </c>
      <c r="I27" s="503"/>
      <c r="J27" s="552">
        <f>H27/DAY(B2)</f>
        <v>144897.75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2">
        <f>G15</f>
        <v>584</v>
      </c>
      <c r="F28" s="501">
        <v>49</v>
      </c>
      <c r="G28" s="502">
        <f>E28*F28</f>
        <v>28616</v>
      </c>
      <c r="H28" s="682">
        <f>G28+'3'!H28</f>
        <v>88249</v>
      </c>
      <c r="I28" s="505"/>
      <c r="J28" s="552">
        <f>H28/DAY(B2)</f>
        <v>22062.25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682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2">
        <f>G19</f>
        <v>47</v>
      </c>
      <c r="F30" s="501">
        <v>134</v>
      </c>
      <c r="G30" s="502">
        <f>E30*F30</f>
        <v>6298</v>
      </c>
      <c r="H30" s="682">
        <f>G30+'3'!H30</f>
        <v>28140</v>
      </c>
      <c r="I30" s="505"/>
      <c r="J30" s="552">
        <f>H30/DAY(B2)</f>
        <v>7035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2">
        <f>G18</f>
        <v>60</v>
      </c>
      <c r="F31" s="501">
        <v>80</v>
      </c>
      <c r="G31" s="502">
        <f>E31*F31</f>
        <v>4800</v>
      </c>
      <c r="H31" s="682">
        <f>G31+'3'!H31</f>
        <v>20800</v>
      </c>
      <c r="I31" s="505"/>
      <c r="J31" s="552">
        <f>H31/DAY(B2)</f>
        <v>5200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639"/>
      <c r="G32" s="508">
        <f>G27+G28+G29+G30+G31</f>
        <v>185748</v>
      </c>
      <c r="H32" s="682">
        <f>G32+'3'!H32</f>
        <v>716780</v>
      </c>
      <c r="I32" s="509"/>
      <c r="J32" s="552">
        <f>H32/DAY(B2)</f>
        <v>179195</v>
      </c>
      <c r="K32" s="373"/>
      <c r="L32" s="443"/>
      <c r="N32" s="382"/>
    </row>
    <row r="33" spans="1:14" ht="25.5" customHeight="1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</row>
    <row r="34" spans="1:14">
      <c r="A34" s="598" t="s">
        <v>162</v>
      </c>
      <c r="B34" s="1313"/>
      <c r="C34" s="1313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'3'!F35</f>
        <v>892809</v>
      </c>
      <c r="F35" s="640">
        <v>894970</v>
      </c>
      <c r="G35" s="473">
        <f t="shared" ref="G35:G46" si="3">F35-E35</f>
        <v>2161</v>
      </c>
      <c r="H35" s="682">
        <f>G35+'3'!H35</f>
        <v>8511</v>
      </c>
      <c r="I35" s="455"/>
      <c r="J35" s="552">
        <f>H35/DAY(B2)</f>
        <v>2127.75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'3'!F36</f>
        <v>345750</v>
      </c>
      <c r="F36" s="640">
        <v>346095</v>
      </c>
      <c r="G36" s="473">
        <f t="shared" si="3"/>
        <v>345</v>
      </c>
      <c r="H36" s="682">
        <f>G36+'3'!H36</f>
        <v>1487</v>
      </c>
      <c r="I36" s="455"/>
      <c r="J36" s="552">
        <f>H36/DAY(B2)</f>
        <v>371.75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'3'!F37</f>
        <v>98995</v>
      </c>
      <c r="F37" s="640">
        <v>100208</v>
      </c>
      <c r="G37" s="473">
        <f t="shared" si="3"/>
        <v>1213</v>
      </c>
      <c r="H37" s="682">
        <f>G37+'3'!H37</f>
        <v>4983</v>
      </c>
      <c r="I37" s="455"/>
      <c r="J37" s="552">
        <f>H37/DAY(B2)</f>
        <v>1245.75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'3'!F38</f>
        <v>123591</v>
      </c>
      <c r="F38" s="641">
        <v>124846</v>
      </c>
      <c r="G38" s="473">
        <f t="shared" si="3"/>
        <v>1255</v>
      </c>
      <c r="H38" s="682">
        <f>G38+'3'!H38</f>
        <v>5250</v>
      </c>
      <c r="I38" s="455"/>
      <c r="J38" s="552">
        <f>H38/DAY(B2)</f>
        <v>1312.5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'3'!F39</f>
        <v>252272</v>
      </c>
      <c r="F39" s="640">
        <v>254017</v>
      </c>
      <c r="G39" s="473">
        <f t="shared" si="3"/>
        <v>1745</v>
      </c>
      <c r="H39" s="682">
        <f>G39+'3'!H39</f>
        <v>7364</v>
      </c>
      <c r="I39" s="455"/>
      <c r="J39" s="552">
        <f>H39/DAY(B2)</f>
        <v>1841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'3'!F40</f>
        <v>0.23</v>
      </c>
      <c r="F40" s="640">
        <v>0</v>
      </c>
      <c r="G40" s="473">
        <f t="shared" si="3"/>
        <v>-0.23</v>
      </c>
      <c r="H40" s="682">
        <f>G40+'3'!H40</f>
        <v>-0.23</v>
      </c>
      <c r="I40" s="455"/>
      <c r="J40" s="552">
        <f>H40/DAY(B2)</f>
        <v>-5.7500000000000002E-2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'3'!F41</f>
        <v>196005</v>
      </c>
      <c r="F41" s="640">
        <v>201104</v>
      </c>
      <c r="G41" s="473">
        <f t="shared" si="3"/>
        <v>5099</v>
      </c>
      <c r="H41" s="682">
        <f>G41+'3'!H41</f>
        <v>19576</v>
      </c>
      <c r="I41" s="455"/>
      <c r="J41" s="552">
        <f>H41/DAY(B2)</f>
        <v>4894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'3'!F42</f>
        <v>59200</v>
      </c>
      <c r="F42" s="640">
        <v>59200</v>
      </c>
      <c r="G42" s="473">
        <f t="shared" si="3"/>
        <v>0</v>
      </c>
      <c r="H42" s="682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'3'!F43</f>
        <v>980728</v>
      </c>
      <c r="F43" s="640">
        <v>982927</v>
      </c>
      <c r="G43" s="473">
        <f t="shared" si="3"/>
        <v>2199</v>
      </c>
      <c r="H43" s="682">
        <f>G43+'3'!H43</f>
        <v>8969</v>
      </c>
      <c r="I43" s="455"/>
      <c r="J43" s="552">
        <f>H43/DAY(B2)</f>
        <v>2242.25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'3'!F44</f>
        <v>0</v>
      </c>
      <c r="F44" s="640">
        <v>0</v>
      </c>
      <c r="G44" s="473">
        <f t="shared" si="3"/>
        <v>0</v>
      </c>
      <c r="H44" s="682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'3'!F45</f>
        <v>614</v>
      </c>
      <c r="F45" s="640">
        <v>614</v>
      </c>
      <c r="G45" s="473">
        <f t="shared" si="3"/>
        <v>0</v>
      </c>
      <c r="H45" s="682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'3'!F46</f>
        <v>187</v>
      </c>
      <c r="F46" s="640">
        <v>187</v>
      </c>
      <c r="G46" s="473">
        <f t="shared" si="3"/>
        <v>0</v>
      </c>
      <c r="H46" s="682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642"/>
      <c r="G47" s="481">
        <f>G35+G36+G37+G38+G39+G40+G41+G42+G43+G44+G45+G46</f>
        <v>14016.77</v>
      </c>
      <c r="H47" s="682">
        <f>G47+'3'!H47</f>
        <v>56139.770000000004</v>
      </c>
      <c r="I47" s="455"/>
      <c r="J47" s="552">
        <f>H47/DAY(B2)</f>
        <v>14034.942500000001</v>
      </c>
      <c r="K47" s="428"/>
      <c r="L47" s="377"/>
      <c r="N47" s="382"/>
    </row>
    <row r="48" spans="1:14">
      <c r="A48" s="598" t="s">
        <v>176</v>
      </c>
      <c r="B48" s="1313"/>
      <c r="C48" s="1313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'3'!F49</f>
        <v>260732</v>
      </c>
      <c r="F49" s="640">
        <v>260732</v>
      </c>
      <c r="G49" s="473">
        <f t="shared" ref="G49:G58" si="4">F49-E49</f>
        <v>0</v>
      </c>
      <c r="H49" s="682">
        <f>G49+'3'!H49</f>
        <v>-0.13000000000465661</v>
      </c>
      <c r="I49" s="455"/>
      <c r="J49" s="552">
        <f>H49/DAY(B2)</f>
        <v>-3.2500000001164153E-2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'3'!F50</f>
        <v>477425</v>
      </c>
      <c r="F50" s="640">
        <v>478454</v>
      </c>
      <c r="G50" s="473">
        <f t="shared" si="4"/>
        <v>1029</v>
      </c>
      <c r="H50" s="682">
        <f>G50+'3'!H50</f>
        <v>3918</v>
      </c>
      <c r="I50" s="455"/>
      <c r="J50" s="552">
        <f>H50/DAY(B2)</f>
        <v>979.5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'3'!F51</f>
        <v>144640</v>
      </c>
      <c r="F51" s="640">
        <v>144640</v>
      </c>
      <c r="G51" s="473">
        <f t="shared" si="4"/>
        <v>0</v>
      </c>
      <c r="H51" s="682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'3'!F52</f>
        <v>539606</v>
      </c>
      <c r="F52" s="640">
        <v>539606</v>
      </c>
      <c r="G52" s="473">
        <f t="shared" si="4"/>
        <v>0</v>
      </c>
      <c r="H52" s="682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'3'!F53</f>
        <v>418065</v>
      </c>
      <c r="F53" s="640">
        <v>418571</v>
      </c>
      <c r="G53" s="473">
        <f t="shared" si="4"/>
        <v>506</v>
      </c>
      <c r="H53" s="682">
        <f>G53+'3'!H53</f>
        <v>2260</v>
      </c>
      <c r="I53" s="455"/>
      <c r="J53" s="552">
        <f>H53/DAY(B2)</f>
        <v>565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'3'!F54</f>
        <v>11600</v>
      </c>
      <c r="F54" s="640">
        <v>11672</v>
      </c>
      <c r="G54" s="473">
        <f t="shared" si="4"/>
        <v>72</v>
      </c>
      <c r="H54" s="682">
        <f>G54+'3'!H54</f>
        <v>294</v>
      </c>
      <c r="I54" s="455"/>
      <c r="J54" s="552">
        <f>H54/DAY(B2)</f>
        <v>73.5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'3'!F55</f>
        <v>346926</v>
      </c>
      <c r="F55" s="643">
        <v>346926</v>
      </c>
      <c r="G55" s="473">
        <f t="shared" si="4"/>
        <v>0</v>
      </c>
      <c r="H55" s="682">
        <f>G55+'3'!H55</f>
        <v>0</v>
      </c>
      <c r="I55" s="455"/>
      <c r="J55" s="552">
        <f>H55/DAY(B2)</f>
        <v>0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'3'!F56</f>
        <v>589288</v>
      </c>
      <c r="F56" s="643">
        <v>589336</v>
      </c>
      <c r="G56" s="473">
        <f t="shared" si="4"/>
        <v>48</v>
      </c>
      <c r="H56" s="682">
        <f>G56+'3'!H56</f>
        <v>47.53000000002794</v>
      </c>
      <c r="I56" s="455"/>
      <c r="J56" s="552">
        <f>H56/DAY(B2)</f>
        <v>11.882500000006985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'3'!F57</f>
        <v>7711</v>
      </c>
      <c r="F57" s="643">
        <v>7711</v>
      </c>
      <c r="G57" s="473">
        <f t="shared" si="4"/>
        <v>0</v>
      </c>
      <c r="H57" s="682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'3'!F58</f>
        <v>46872</v>
      </c>
      <c r="F58" s="643">
        <v>47090</v>
      </c>
      <c r="G58" s="473">
        <f t="shared" si="4"/>
        <v>218</v>
      </c>
      <c r="H58" s="682">
        <f>G58+'3'!H58</f>
        <v>422</v>
      </c>
      <c r="I58" s="455"/>
      <c r="J58" s="552">
        <f>H58/DAY(B2)</f>
        <v>105.5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642"/>
      <c r="G59" s="481">
        <f>G49+G50+G51+G52+G53+G54+G55+G56+G57+G58</f>
        <v>1873</v>
      </c>
      <c r="H59" s="682">
        <f>G59+'3'!H59</f>
        <v>6941.4000000000233</v>
      </c>
      <c r="I59" s="455">
        <f>G7-G60</f>
        <v>273.22999999999956</v>
      </c>
      <c r="J59" s="552">
        <f>H59/DAY(B2)</f>
        <v>1735.3500000000058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642"/>
      <c r="G60" s="481">
        <f>G47+G59</f>
        <v>15889.77</v>
      </c>
      <c r="H60" s="682">
        <f>G60+'3'!H60</f>
        <v>63081.170000000027</v>
      </c>
      <c r="I60" s="455">
        <f>G13-G60</f>
        <v>-240.77000000000044</v>
      </c>
      <c r="J60" s="552">
        <f>H60/DAY(B2)</f>
        <v>15770.292500000007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186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'3'!F63</f>
        <v>2370</v>
      </c>
      <c r="F63" s="645">
        <v>2374</v>
      </c>
      <c r="G63" s="473">
        <f t="shared" si="5"/>
        <v>4</v>
      </c>
      <c r="H63" s="682">
        <f>G63+'3'!H63</f>
        <v>15</v>
      </c>
      <c r="I63" s="515"/>
      <c r="J63" s="552">
        <f>H63/DAY(B2)</f>
        <v>3.75</v>
      </c>
      <c r="K63" s="428"/>
      <c r="L63" s="377"/>
      <c r="N63" s="382"/>
    </row>
    <row r="64" spans="1:14" ht="27.75">
      <c r="A64" s="1530" t="s">
        <v>99</v>
      </c>
      <c r="B64" s="1531"/>
      <c r="C64" s="1532"/>
      <c r="D64" s="523" t="s">
        <v>186</v>
      </c>
      <c r="E64" s="514">
        <f>'3'!F64</f>
        <v>153931</v>
      </c>
      <c r="F64" s="635">
        <v>154137</v>
      </c>
      <c r="G64" s="473">
        <f t="shared" si="5"/>
        <v>206</v>
      </c>
      <c r="H64" s="682">
        <f>G64+'3'!H64</f>
        <v>838</v>
      </c>
      <c r="I64" s="480"/>
      <c r="J64" s="552">
        <f>H64/DAY(B2)</f>
        <v>209.5</v>
      </c>
      <c r="K64" s="428"/>
      <c r="L64" s="377"/>
      <c r="N64" s="382"/>
    </row>
    <row r="65" spans="1:14" ht="27.75">
      <c r="A65" s="1530" t="s">
        <v>100</v>
      </c>
      <c r="B65" s="1531"/>
      <c r="C65" s="1532"/>
      <c r="D65" s="523" t="s">
        <v>186</v>
      </c>
      <c r="E65" s="514">
        <f>'3'!F65</f>
        <v>155204</v>
      </c>
      <c r="F65" s="636">
        <v>155406</v>
      </c>
      <c r="G65" s="473">
        <f t="shared" si="5"/>
        <v>202</v>
      </c>
      <c r="H65" s="682">
        <f>G65+'3'!H65</f>
        <v>807</v>
      </c>
      <c r="I65" s="489"/>
      <c r="J65" s="552">
        <f>H65/DAY(B2)</f>
        <v>201.75</v>
      </c>
      <c r="K65" s="428"/>
      <c r="L65" s="377"/>
      <c r="N65" s="382"/>
    </row>
    <row r="66" spans="1:14" ht="27.75">
      <c r="A66" s="1530" t="s">
        <v>101</v>
      </c>
      <c r="B66" s="1531"/>
      <c r="C66" s="1532"/>
      <c r="D66" s="523" t="s">
        <v>186</v>
      </c>
      <c r="E66" s="514">
        <f>'3'!F66</f>
        <v>49379</v>
      </c>
      <c r="F66" s="635">
        <v>49645</v>
      </c>
      <c r="G66" s="473">
        <f t="shared" si="5"/>
        <v>266</v>
      </c>
      <c r="H66" s="682">
        <f>G66+'3'!H66</f>
        <v>1074</v>
      </c>
      <c r="I66" s="480"/>
      <c r="J66" s="552">
        <f>H66/DAY(B2)</f>
        <v>268.5</v>
      </c>
      <c r="K66" s="428"/>
      <c r="L66" s="377"/>
      <c r="N66" s="382"/>
    </row>
    <row r="67" spans="1:14" ht="27.75">
      <c r="A67" s="1530" t="s">
        <v>102</v>
      </c>
      <c r="B67" s="1531"/>
      <c r="C67" s="1532"/>
      <c r="D67" s="523" t="s">
        <v>186</v>
      </c>
      <c r="E67" s="514">
        <f>'3'!F67</f>
        <v>243795</v>
      </c>
      <c r="F67" s="635">
        <v>243946</v>
      </c>
      <c r="G67" s="473">
        <f t="shared" si="5"/>
        <v>151</v>
      </c>
      <c r="H67" s="682">
        <f>G67+'3'!H67</f>
        <v>772</v>
      </c>
      <c r="I67" s="489"/>
      <c r="J67" s="552">
        <f>H67/DAY(B2)</f>
        <v>193</v>
      </c>
      <c r="K67" s="429"/>
      <c r="L67" s="377"/>
      <c r="N67" s="382"/>
    </row>
    <row r="68" spans="1:14" ht="27.75">
      <c r="A68" s="1530" t="s">
        <v>103</v>
      </c>
      <c r="B68" s="1531"/>
      <c r="C68" s="1532"/>
      <c r="D68" s="523" t="s">
        <v>186</v>
      </c>
      <c r="E68" s="514">
        <f>'3'!F68</f>
        <v>85321</v>
      </c>
      <c r="F68" s="635">
        <v>85321</v>
      </c>
      <c r="G68" s="473">
        <f t="shared" si="5"/>
        <v>0</v>
      </c>
      <c r="H68" s="682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0" t="s">
        <v>104</v>
      </c>
      <c r="B69" s="1531"/>
      <c r="C69" s="1532"/>
      <c r="D69" s="523" t="s">
        <v>186</v>
      </c>
      <c r="E69" s="514">
        <f>'3'!F69</f>
        <v>79254</v>
      </c>
      <c r="F69" s="635">
        <v>79332</v>
      </c>
      <c r="G69" s="473">
        <f t="shared" si="5"/>
        <v>78</v>
      </c>
      <c r="H69" s="682">
        <f>G69+'3'!H69</f>
        <v>338</v>
      </c>
      <c r="I69" s="516"/>
      <c r="J69" s="552">
        <f>H69/DAY(B2)</f>
        <v>84.5</v>
      </c>
      <c r="K69" s="431"/>
      <c r="L69" s="377"/>
      <c r="N69" s="382"/>
    </row>
    <row r="70" spans="1:14" ht="27.75">
      <c r="A70" s="1536" t="s">
        <v>188</v>
      </c>
      <c r="B70" s="1537"/>
      <c r="C70" s="1538"/>
      <c r="D70" s="523" t="s">
        <v>186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33"/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</row>
    <row r="72" spans="1:14" ht="27.75">
      <c r="A72" s="1530" t="s">
        <v>190</v>
      </c>
      <c r="B72" s="1531"/>
      <c r="C72" s="1532"/>
      <c r="D72" s="523" t="s">
        <v>186</v>
      </c>
      <c r="E72" s="657">
        <v>855508</v>
      </c>
      <c r="F72" s="647">
        <v>855525</v>
      </c>
      <c r="G72" s="473">
        <f t="shared" ref="G72:G84" si="6">F72-E72</f>
        <v>17</v>
      </c>
      <c r="H72" s="682">
        <f>G72+'3'!H72</f>
        <v>64</v>
      </c>
      <c r="I72" s="480"/>
      <c r="J72" s="552">
        <f>H72/DAY(B2)</f>
        <v>16</v>
      </c>
      <c r="K72" s="431"/>
      <c r="L72" s="377"/>
      <c r="N72" s="382"/>
    </row>
    <row r="73" spans="1:14" ht="27.75">
      <c r="A73" s="1530" t="s">
        <v>191</v>
      </c>
      <c r="B73" s="1531"/>
      <c r="C73" s="1532"/>
      <c r="D73" s="523" t="s">
        <v>186</v>
      </c>
      <c r="E73" s="658">
        <v>885880</v>
      </c>
      <c r="F73" s="648">
        <v>885881</v>
      </c>
      <c r="G73" s="655">
        <f t="shared" si="6"/>
        <v>1</v>
      </c>
      <c r="H73" s="682">
        <f>G73+'3'!H73</f>
        <v>5</v>
      </c>
      <c r="I73" s="480"/>
      <c r="J73" s="552">
        <f>H73/DAY(B2)</f>
        <v>1.25</v>
      </c>
      <c r="K73" s="430"/>
      <c r="L73" s="377"/>
      <c r="N73" s="382"/>
    </row>
    <row r="74" spans="1:14" ht="27.75">
      <c r="A74" s="1530" t="s">
        <v>192</v>
      </c>
      <c r="B74" s="1531"/>
      <c r="C74" s="1532"/>
      <c r="D74" s="523" t="s">
        <v>186</v>
      </c>
      <c r="E74" s="659">
        <v>2340</v>
      </c>
      <c r="F74" s="649">
        <v>2351</v>
      </c>
      <c r="G74" s="473">
        <f>F74-E74</f>
        <v>11</v>
      </c>
      <c r="H74" s="682">
        <f>G74+'3'!H74</f>
        <v>72</v>
      </c>
      <c r="I74" s="480"/>
      <c r="J74" s="552">
        <f>H74/DAY(B2)</f>
        <v>18</v>
      </c>
      <c r="K74" s="431"/>
      <c r="L74" s="377"/>
      <c r="N74" s="382"/>
    </row>
    <row r="75" spans="1:14" ht="27.75">
      <c r="A75" s="1527" t="s">
        <v>193</v>
      </c>
      <c r="B75" s="1528"/>
      <c r="C75" s="1529"/>
      <c r="D75" s="523" t="s">
        <v>186</v>
      </c>
      <c r="E75" s="659">
        <v>11130</v>
      </c>
      <c r="F75" s="649">
        <v>11181</v>
      </c>
      <c r="G75" s="473">
        <f t="shared" si="6"/>
        <v>51</v>
      </c>
      <c r="H75" s="682">
        <f>G75+'3'!H75</f>
        <v>211</v>
      </c>
      <c r="I75" s="480"/>
      <c r="J75" s="552">
        <f>H75/DAY(B2)</f>
        <v>52.75</v>
      </c>
      <c r="K75" s="430"/>
      <c r="L75" s="377"/>
      <c r="N75" s="382"/>
    </row>
    <row r="76" spans="1:14" ht="27.75">
      <c r="A76" s="1527" t="s">
        <v>194</v>
      </c>
      <c r="B76" s="1528"/>
      <c r="C76" s="1529"/>
      <c r="D76" s="523" t="s">
        <v>186</v>
      </c>
      <c r="E76" s="658">
        <v>5876</v>
      </c>
      <c r="F76" s="648">
        <v>5930</v>
      </c>
      <c r="G76" s="473">
        <f t="shared" si="6"/>
        <v>54</v>
      </c>
      <c r="H76" s="682">
        <f>G76+'3'!H76</f>
        <v>221</v>
      </c>
      <c r="I76" s="505"/>
      <c r="J76" s="552">
        <f>H76/DAY(B2)</f>
        <v>55.25</v>
      </c>
      <c r="K76" s="430"/>
      <c r="L76" s="377"/>
      <c r="N76" s="382"/>
    </row>
    <row r="77" spans="1:14" ht="27.75">
      <c r="A77" s="1530" t="s">
        <v>195</v>
      </c>
      <c r="B77" s="1531"/>
      <c r="C77" s="1532"/>
      <c r="D77" s="523" t="s">
        <v>186</v>
      </c>
      <c r="E77" s="658">
        <v>701709</v>
      </c>
      <c r="F77" s="648">
        <v>701760</v>
      </c>
      <c r="G77" s="655">
        <f t="shared" si="6"/>
        <v>51</v>
      </c>
      <c r="H77" s="682">
        <f>G77+'3'!H77</f>
        <v>198</v>
      </c>
      <c r="I77" s="505"/>
      <c r="J77" s="552">
        <f>H77/DAY(B2)</f>
        <v>49.5</v>
      </c>
      <c r="K77" s="430"/>
      <c r="L77" s="377"/>
      <c r="N77" s="382"/>
    </row>
    <row r="78" spans="1:14" ht="27.75">
      <c r="A78" s="1311" t="s">
        <v>196</v>
      </c>
      <c r="B78" s="1304"/>
      <c r="C78" s="1304"/>
      <c r="D78" s="523" t="s">
        <v>186</v>
      </c>
      <c r="E78" s="659">
        <v>670345</v>
      </c>
      <c r="F78" s="649">
        <v>670400</v>
      </c>
      <c r="G78" s="473">
        <f t="shared" si="6"/>
        <v>55</v>
      </c>
      <c r="H78" s="682">
        <f>G78+'3'!H78</f>
        <v>375</v>
      </c>
      <c r="I78" s="505"/>
      <c r="J78" s="552">
        <f>H78/DAY(B2)</f>
        <v>93.75</v>
      </c>
      <c r="K78" s="430"/>
      <c r="L78" s="377"/>
      <c r="N78" s="382"/>
    </row>
    <row r="79" spans="1:14" ht="27.75">
      <c r="A79" s="1527" t="s">
        <v>92</v>
      </c>
      <c r="B79" s="1528"/>
      <c r="C79" s="1529"/>
      <c r="D79" s="524" t="s">
        <v>186</v>
      </c>
      <c r="E79" s="659">
        <v>827324</v>
      </c>
      <c r="F79" s="1315">
        <v>827512</v>
      </c>
      <c r="G79" s="473">
        <f t="shared" si="6"/>
        <v>188</v>
      </c>
      <c r="H79" s="682">
        <f>G79+'3'!H79</f>
        <v>728</v>
      </c>
      <c r="I79" s="505"/>
      <c r="J79" s="552">
        <f>H79/DAY(B2)</f>
        <v>182</v>
      </c>
      <c r="K79" s="430"/>
      <c r="L79" s="377"/>
      <c r="N79" s="382"/>
    </row>
    <row r="80" spans="1:14" ht="27.75">
      <c r="A80" s="1527" t="s">
        <v>197</v>
      </c>
      <c r="B80" s="1528"/>
      <c r="C80" s="1529"/>
      <c r="D80" s="524" t="s">
        <v>186</v>
      </c>
      <c r="E80" s="658">
        <v>517871</v>
      </c>
      <c r="F80" s="648">
        <v>518233</v>
      </c>
      <c r="G80" s="473">
        <f t="shared" si="6"/>
        <v>362</v>
      </c>
      <c r="H80" s="682">
        <f>G80+'3'!H80</f>
        <v>1495</v>
      </c>
      <c r="I80" s="505"/>
      <c r="J80" s="552">
        <f>H80/DAY(B2)</f>
        <v>373.75</v>
      </c>
      <c r="K80" s="430"/>
      <c r="L80" s="377"/>
      <c r="N80" s="382"/>
    </row>
    <row r="81" spans="1:15" ht="27.75">
      <c r="A81" s="1527" t="s">
        <v>198</v>
      </c>
      <c r="B81" s="1528"/>
      <c r="C81" s="1529"/>
      <c r="D81" s="524" t="s">
        <v>186</v>
      </c>
      <c r="E81" s="658">
        <v>636693</v>
      </c>
      <c r="F81" s="648">
        <v>636768</v>
      </c>
      <c r="G81" s="473">
        <f t="shared" si="6"/>
        <v>75</v>
      </c>
      <c r="H81" s="682">
        <f>G81+'3'!H81</f>
        <v>290</v>
      </c>
      <c r="I81" s="505"/>
      <c r="J81" s="552">
        <f>H81/DAY(B2)</f>
        <v>72.5</v>
      </c>
      <c r="K81" s="430"/>
      <c r="L81" s="377"/>
      <c r="N81" s="382"/>
    </row>
    <row r="82" spans="1:15" ht="27.75">
      <c r="A82" s="1527" t="s">
        <v>93</v>
      </c>
      <c r="B82" s="1528"/>
      <c r="C82" s="1529"/>
      <c r="D82" s="485" t="s">
        <v>131</v>
      </c>
      <c r="E82" s="654">
        <v>107663</v>
      </c>
      <c r="F82" s="636">
        <v>107675</v>
      </c>
      <c r="G82" s="473">
        <f t="shared" si="6"/>
        <v>12</v>
      </c>
      <c r="H82" s="682">
        <f>G82+'3'!H82</f>
        <v>63</v>
      </c>
      <c r="I82" s="486"/>
      <c r="J82" s="552">
        <f>H82/DAY(B2)</f>
        <v>15.75</v>
      </c>
      <c r="K82" s="430"/>
      <c r="L82" s="377"/>
      <c r="N82" s="382"/>
    </row>
    <row r="83" spans="1:15" ht="27.75">
      <c r="A83" s="1527" t="s">
        <v>199</v>
      </c>
      <c r="B83" s="1528"/>
      <c r="C83" s="1529"/>
      <c r="D83" s="620" t="s">
        <v>131</v>
      </c>
      <c r="E83" s="511">
        <v>15516</v>
      </c>
      <c r="F83" s="1316">
        <v>15695</v>
      </c>
      <c r="G83" s="473">
        <f t="shared" si="6"/>
        <v>179</v>
      </c>
      <c r="H83" s="682">
        <f>G83+'3'!H83</f>
        <v>924</v>
      </c>
      <c r="I83" s="481"/>
      <c r="J83" s="552">
        <f>H83/DAY(B2)</f>
        <v>231</v>
      </c>
      <c r="K83" s="429"/>
      <c r="L83" s="377"/>
      <c r="N83" s="382"/>
    </row>
    <row r="84" spans="1:15">
      <c r="A84" s="1312" t="s">
        <v>200</v>
      </c>
      <c r="B84" s="571"/>
      <c r="C84" s="571"/>
      <c r="D84" s="478" t="s">
        <v>131</v>
      </c>
      <c r="E84" s="627">
        <v>482378</v>
      </c>
      <c r="F84" s="650">
        <v>483194</v>
      </c>
      <c r="G84" s="473">
        <f t="shared" si="6"/>
        <v>816</v>
      </c>
      <c r="H84" s="682">
        <f>G84+'3'!H84</f>
        <v>3061</v>
      </c>
      <c r="I84" s="481"/>
      <c r="J84" s="552">
        <f>H84/DAY(B2)</f>
        <v>765.25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638"/>
      <c r="G85" s="460">
        <f xml:space="preserve"> SUM(G71:G84)</f>
        <v>1872</v>
      </c>
      <c r="H85" s="682">
        <f>G85+'3'!H85</f>
        <v>7707</v>
      </c>
      <c r="I85" s="481"/>
      <c r="J85" s="552">
        <f>H85/DAY(B2)</f>
        <v>1926.75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182</v>
      </c>
      <c r="E86" s="627">
        <f>'3'!F86</f>
        <v>459523</v>
      </c>
      <c r="F86" s="650">
        <v>459766</v>
      </c>
      <c r="G86" s="708">
        <f t="shared" ref="G86:G87" si="7">F86-E86</f>
        <v>243</v>
      </c>
      <c r="H86" s="682">
        <f>G86+'3'!H86</f>
        <v>499</v>
      </c>
      <c r="I86" s="655"/>
      <c r="J86" s="710">
        <f>H86/DAY(B2)</f>
        <v>124.75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182</v>
      </c>
      <c r="E87" s="627">
        <f>'3'!F87</f>
        <v>80949</v>
      </c>
      <c r="F87" s="650">
        <v>80961</v>
      </c>
      <c r="G87" s="708">
        <f t="shared" si="7"/>
        <v>12</v>
      </c>
      <c r="H87" s="682">
        <f>G87+'3'!H87</f>
        <v>42</v>
      </c>
      <c r="I87" s="655"/>
      <c r="J87" s="710">
        <f>H87/DAY(B2)</f>
        <v>10.5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182</v>
      </c>
      <c r="E88" s="627">
        <f>'3'!F88</f>
        <v>152003</v>
      </c>
      <c r="F88" s="650">
        <v>152033</v>
      </c>
      <c r="G88" s="708">
        <f>F88-E88</f>
        <v>30</v>
      </c>
      <c r="H88" s="682">
        <f>G88+'3'!H88</f>
        <v>228</v>
      </c>
      <c r="I88" s="655"/>
      <c r="J88" s="710">
        <f>H88/DAY(B2)</f>
        <v>57</v>
      </c>
      <c r="K88" s="736"/>
      <c r="L88" s="737"/>
      <c r="O88" s="716"/>
    </row>
    <row r="89" spans="1:15" s="738" customFormat="1">
      <c r="A89" s="733" t="s">
        <v>203</v>
      </c>
      <c r="B89" s="734"/>
      <c r="C89" s="734"/>
      <c r="D89" s="735" t="s">
        <v>182</v>
      </c>
      <c r="E89" s="627">
        <f>'3'!F89</f>
        <v>64853</v>
      </c>
      <c r="F89" s="650">
        <v>64860</v>
      </c>
      <c r="G89" s="708">
        <f>F89-E89</f>
        <v>7</v>
      </c>
      <c r="H89" s="682">
        <f>G89+'3'!H89</f>
        <v>26</v>
      </c>
      <c r="I89" s="655"/>
      <c r="J89" s="710">
        <f>H89/DAY(B2)</f>
        <v>6.5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27">
        <f>'3'!F90</f>
        <v>3272</v>
      </c>
      <c r="F90" s="650">
        <v>3272</v>
      </c>
      <c r="G90" s="708">
        <f t="shared" ref="G90:G91" si="8">F90-E90</f>
        <v>0</v>
      </c>
      <c r="H90" s="682">
        <f>G90+'3'!H90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27">
        <f>'3'!F91</f>
        <v>27914.1</v>
      </c>
      <c r="F91" s="650">
        <v>27916.53</v>
      </c>
      <c r="G91" s="708">
        <f t="shared" si="8"/>
        <v>2.430000000000291</v>
      </c>
      <c r="H91" s="682">
        <f>G91+'3'!H91</f>
        <v>2.430000000000291</v>
      </c>
      <c r="I91" s="655"/>
      <c r="J91" s="710">
        <f>H91/DAY(B2)</f>
        <v>0.60750000000007276</v>
      </c>
      <c r="K91" s="736"/>
      <c r="L91" s="737"/>
      <c r="N91" s="780"/>
      <c r="O91" s="382"/>
    </row>
    <row r="92" spans="1:15" s="379" customFormat="1">
      <c r="A92" s="606" t="s">
        <v>204</v>
      </c>
      <c r="B92" s="1314"/>
      <c r="C92" s="1314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f>'3'!F93</f>
        <v>244664</v>
      </c>
      <c r="F93" s="635">
        <v>244703</v>
      </c>
      <c r="G93" s="473">
        <f t="shared" ref="G93:G94" si="9">F93-E93</f>
        <v>39</v>
      </c>
      <c r="H93" s="682">
        <f>G93+'3'!H93</f>
        <v>179</v>
      </c>
      <c r="I93" s="480"/>
      <c r="J93" s="552">
        <f>H93/DAY(B2)</f>
        <v>44.75</v>
      </c>
      <c r="K93" s="429"/>
      <c r="L93" s="377"/>
      <c r="N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f>'3'!F94</f>
        <v>183838</v>
      </c>
      <c r="F94" s="635">
        <v>183909</v>
      </c>
      <c r="G94" s="473">
        <f t="shared" si="9"/>
        <v>71</v>
      </c>
      <c r="H94" s="682">
        <f>G94+'3'!H94</f>
        <v>378</v>
      </c>
      <c r="I94" s="480"/>
      <c r="J94" s="552">
        <f>H94/DAY(B2)</f>
        <v>94.5</v>
      </c>
      <c r="K94" s="380"/>
      <c r="L94" s="377"/>
      <c r="N94" s="382"/>
    </row>
    <row r="95" spans="1:15">
      <c r="A95" s="1579" t="s">
        <v>207</v>
      </c>
      <c r="B95" s="1580"/>
      <c r="C95" s="1581"/>
      <c r="D95" s="523"/>
      <c r="E95" s="484"/>
      <c r="F95" s="635"/>
      <c r="G95" s="473">
        <f>G93+G94</f>
        <v>110</v>
      </c>
      <c r="H95" s="682">
        <f>G95+'3'!H95</f>
        <v>410</v>
      </c>
      <c r="I95" s="480"/>
      <c r="J95" s="552">
        <f>H95/DAY(B2)</f>
        <v>102.5</v>
      </c>
      <c r="K95" s="380"/>
      <c r="L95" s="377"/>
      <c r="N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f>'3'!F96</f>
        <v>413061</v>
      </c>
      <c r="F96" s="635">
        <v>413123</v>
      </c>
      <c r="G96" s="473">
        <f t="shared" ref="G96:G101" si="10">F96-E96</f>
        <v>62</v>
      </c>
      <c r="H96" s="682">
        <f>G96+'3'!H96</f>
        <v>237</v>
      </c>
      <c r="I96" s="480"/>
      <c r="J96" s="552">
        <f>H96/DAY(B2)</f>
        <v>59.25</v>
      </c>
      <c r="K96" s="380"/>
      <c r="L96" s="377"/>
      <c r="N96" s="382"/>
    </row>
    <row r="97" spans="1:14" ht="27.75">
      <c r="A97" s="1308" t="s">
        <v>209</v>
      </c>
      <c r="B97" s="1309"/>
      <c r="C97" s="1309"/>
      <c r="D97" s="523" t="s">
        <v>143</v>
      </c>
      <c r="E97" s="484">
        <f>'3'!F97</f>
        <v>102384</v>
      </c>
      <c r="F97" s="635">
        <v>102393</v>
      </c>
      <c r="G97" s="473">
        <f t="shared" si="10"/>
        <v>9</v>
      </c>
      <c r="H97" s="682">
        <f>G97+'3'!H97</f>
        <v>50</v>
      </c>
      <c r="I97" s="480"/>
      <c r="J97" s="552">
        <f>H97/DAY(B2)</f>
        <v>12.5</v>
      </c>
      <c r="K97" s="427"/>
      <c r="L97" s="377"/>
      <c r="N97" s="382"/>
    </row>
    <row r="98" spans="1:14" ht="27.75">
      <c r="A98" s="1308" t="s">
        <v>210</v>
      </c>
      <c r="B98" s="1309"/>
      <c r="C98" s="1309"/>
      <c r="D98" s="523" t="s">
        <v>143</v>
      </c>
      <c r="E98" s="484">
        <f>'3'!F98</f>
        <v>97477</v>
      </c>
      <c r="F98" s="635">
        <v>97495</v>
      </c>
      <c r="G98" s="473">
        <f t="shared" si="10"/>
        <v>18</v>
      </c>
      <c r="H98" s="682">
        <f>G98+'3'!H98</f>
        <v>68</v>
      </c>
      <c r="I98" s="480"/>
      <c r="J98" s="552">
        <f>H98/DAY(B2)</f>
        <v>17</v>
      </c>
      <c r="K98" s="432"/>
      <c r="L98" s="377"/>
      <c r="N98" s="382"/>
    </row>
    <row r="99" spans="1:14" ht="27.75">
      <c r="A99" s="1308" t="s">
        <v>211</v>
      </c>
      <c r="B99" s="1309"/>
      <c r="C99" s="1309"/>
      <c r="D99" s="523" t="s">
        <v>143</v>
      </c>
      <c r="E99" s="484">
        <f>'3'!F99</f>
        <v>149547</v>
      </c>
      <c r="F99" s="635">
        <v>149553</v>
      </c>
      <c r="G99" s="473">
        <f t="shared" si="10"/>
        <v>6</v>
      </c>
      <c r="H99" s="682">
        <f>G99+'3'!H99</f>
        <v>20</v>
      </c>
      <c r="I99" s="480"/>
      <c r="J99" s="552">
        <f>H99/DAY(B2)</f>
        <v>5</v>
      </c>
      <c r="K99" s="380"/>
      <c r="L99" s="377"/>
      <c r="N99" s="382"/>
    </row>
    <row r="100" spans="1:14" ht="27.75">
      <c r="A100" s="1308" t="s">
        <v>212</v>
      </c>
      <c r="B100" s="1309"/>
      <c r="C100" s="1309"/>
      <c r="D100" s="523" t="s">
        <v>143</v>
      </c>
      <c r="E100" s="484">
        <f>'3'!F100</f>
        <v>7199</v>
      </c>
      <c r="F100" s="635">
        <v>7202</v>
      </c>
      <c r="G100" s="473">
        <f t="shared" si="10"/>
        <v>3</v>
      </c>
      <c r="H100" s="682">
        <f>G100+'3'!H100</f>
        <v>17</v>
      </c>
      <c r="I100" s="480"/>
      <c r="J100" s="552">
        <f>H100/DAY(B2)</f>
        <v>4.25</v>
      </c>
      <c r="K100" s="380"/>
      <c r="L100" s="377"/>
      <c r="N100" s="382"/>
    </row>
    <row r="101" spans="1:14" ht="27.75">
      <c r="A101" s="1308" t="s">
        <v>213</v>
      </c>
      <c r="B101" s="1309"/>
      <c r="C101" s="1309"/>
      <c r="D101" s="523" t="s">
        <v>143</v>
      </c>
      <c r="E101" s="484">
        <f>'3'!F101</f>
        <v>5155</v>
      </c>
      <c r="F101" s="635">
        <v>5169</v>
      </c>
      <c r="G101" s="473">
        <f t="shared" si="10"/>
        <v>14</v>
      </c>
      <c r="H101" s="682">
        <f>G101+'3'!H101</f>
        <v>31</v>
      </c>
      <c r="I101" s="480"/>
      <c r="J101" s="552">
        <f>H101/DAY(B2)</f>
        <v>7.75</v>
      </c>
      <c r="K101" s="380"/>
      <c r="L101" s="377"/>
      <c r="N101" s="382"/>
    </row>
    <row r="102" spans="1:14">
      <c r="A102" s="1579" t="s">
        <v>215</v>
      </c>
      <c r="B102" s="1580"/>
      <c r="C102" s="1581"/>
      <c r="D102" s="524"/>
      <c r="E102" s="524"/>
      <c r="F102" s="639"/>
      <c r="G102" s="525">
        <f>SUM(G96:G101)</f>
        <v>112</v>
      </c>
      <c r="H102" s="682">
        <f>G102+'3'!H102</f>
        <v>423</v>
      </c>
      <c r="I102" s="526"/>
      <c r="J102" s="552">
        <f>H102/DAY(B2)</f>
        <v>105.75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1"/>
      <c r="G103" s="529"/>
      <c r="H103" s="530"/>
      <c r="I103" s="531"/>
      <c r="J103" s="557"/>
      <c r="N103" s="382"/>
    </row>
    <row r="104" spans="1:14" s="442" customFormat="1" ht="27.75">
      <c r="A104" s="1582" t="s">
        <v>217</v>
      </c>
      <c r="B104" s="1583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43" t="s">
        <v>218</v>
      </c>
      <c r="B105" s="1544"/>
      <c r="C105" s="1307"/>
      <c r="D105" s="622" t="s">
        <v>143</v>
      </c>
      <c r="E105" s="532">
        <f>'3'!F105</f>
        <v>7431</v>
      </c>
      <c r="F105" s="532">
        <v>7431</v>
      </c>
      <c r="G105" s="532">
        <f>F105-E105</f>
        <v>0</v>
      </c>
      <c r="H105" s="682">
        <f>G105+'3'!H105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3" t="s">
        <v>77</v>
      </c>
      <c r="B106" s="1544"/>
      <c r="C106" s="1307"/>
      <c r="D106" s="622" t="s">
        <v>143</v>
      </c>
      <c r="E106" s="532">
        <f>'3'!F106</f>
        <v>35836</v>
      </c>
      <c r="F106" s="534">
        <v>35847</v>
      </c>
      <c r="G106" s="532">
        <f t="shared" ref="G106:G107" si="11">F106-E106</f>
        <v>11</v>
      </c>
      <c r="H106" s="682">
        <f>G106+'3'!H106</f>
        <v>19</v>
      </c>
      <c r="I106" s="532"/>
      <c r="J106" s="558">
        <f>H106/DAY(B2)</f>
        <v>4.75</v>
      </c>
      <c r="N106" s="382"/>
    </row>
    <row r="107" spans="1:14" s="442" customFormat="1" ht="27.75">
      <c r="A107" s="1543" t="s">
        <v>78</v>
      </c>
      <c r="B107" s="1584"/>
      <c r="C107" s="1544"/>
      <c r="D107" s="622" t="s">
        <v>143</v>
      </c>
      <c r="E107" s="532">
        <f>'3'!F107</f>
        <v>19623</v>
      </c>
      <c r="F107" s="1050">
        <v>19632</v>
      </c>
      <c r="G107" s="532">
        <f t="shared" si="11"/>
        <v>9</v>
      </c>
      <c r="H107" s="682">
        <f>G107+'3'!H107</f>
        <v>15</v>
      </c>
      <c r="I107" s="532"/>
      <c r="J107" s="558">
        <f>H107/DAY(B2)</f>
        <v>3.75</v>
      </c>
      <c r="N107" s="382"/>
    </row>
    <row r="108" spans="1:14" s="442" customFormat="1" ht="27.75">
      <c r="A108" s="1545" t="s">
        <v>201</v>
      </c>
      <c r="B108" s="1546"/>
      <c r="C108" s="1307"/>
      <c r="D108" s="622"/>
      <c r="E108" s="532" t="str">
        <f>'3'!F108</f>
        <v>.</v>
      </c>
      <c r="F108" s="532"/>
      <c r="G108" s="532">
        <f>SUM(G105:G107)</f>
        <v>20</v>
      </c>
      <c r="H108" s="682">
        <f>G108+'3'!H108</f>
        <v>34</v>
      </c>
      <c r="I108" s="532"/>
      <c r="J108" s="558">
        <f>H108/DAY(B2)</f>
        <v>8.5</v>
      </c>
      <c r="N108" s="382"/>
    </row>
    <row r="109" spans="1:14" s="442" customFormat="1" ht="27.75">
      <c r="A109" s="1549" t="s">
        <v>79</v>
      </c>
      <c r="B109" s="1550"/>
      <c r="C109" s="1307"/>
      <c r="D109" s="622" t="s">
        <v>143</v>
      </c>
      <c r="E109" s="532">
        <f>'3'!F109</f>
        <v>0</v>
      </c>
      <c r="F109" s="532"/>
      <c r="G109" s="532"/>
      <c r="H109" s="682">
        <f>G109+'3'!H109</f>
        <v>0</v>
      </c>
      <c r="I109" s="532"/>
      <c r="J109" s="558"/>
      <c r="N109" s="382"/>
    </row>
    <row r="110" spans="1:14" s="442" customFormat="1" ht="27.75">
      <c r="A110" s="1543" t="s">
        <v>219</v>
      </c>
      <c r="B110" s="1544"/>
      <c r="C110" s="1307"/>
      <c r="D110" s="622" t="s">
        <v>143</v>
      </c>
      <c r="E110" s="532">
        <f>'3'!F110</f>
        <v>61340</v>
      </c>
      <c r="F110" s="532">
        <v>61400</v>
      </c>
      <c r="G110" s="532">
        <f>F110-E110</f>
        <v>60</v>
      </c>
      <c r="H110" s="682">
        <f>G110+'3'!H110</f>
        <v>226</v>
      </c>
      <c r="I110" s="532"/>
      <c r="J110" s="558">
        <f>H110/DAY(B2)</f>
        <v>56.5</v>
      </c>
      <c r="N110" s="382"/>
    </row>
    <row r="111" spans="1:14" s="442" customFormat="1" ht="27.75">
      <c r="A111" s="1543" t="s">
        <v>220</v>
      </c>
      <c r="B111" s="1544"/>
      <c r="C111" s="1307"/>
      <c r="D111" s="622" t="s">
        <v>143</v>
      </c>
      <c r="E111" s="532">
        <f>'3'!F111</f>
        <v>32235</v>
      </c>
      <c r="F111" s="532">
        <v>32245</v>
      </c>
      <c r="G111" s="532">
        <f t="shared" ref="G111:G112" si="12">F111-E111</f>
        <v>10</v>
      </c>
      <c r="H111" s="682">
        <f>G111+'3'!H111</f>
        <v>10</v>
      </c>
      <c r="I111" s="532"/>
      <c r="J111" s="558">
        <f>H111/DAY(B2)</f>
        <v>2.5</v>
      </c>
      <c r="N111" s="382"/>
    </row>
    <row r="112" spans="1:14" s="442" customFormat="1" ht="27.75">
      <c r="A112" s="1543" t="s">
        <v>221</v>
      </c>
      <c r="B112" s="1544"/>
      <c r="C112" s="1307"/>
      <c r="D112" s="622" t="s">
        <v>143</v>
      </c>
      <c r="E112" s="532">
        <f>'3'!F112</f>
        <v>4417</v>
      </c>
      <c r="F112" s="532">
        <v>4417</v>
      </c>
      <c r="G112" s="532">
        <f t="shared" si="12"/>
        <v>0</v>
      </c>
      <c r="H112" s="682">
        <f>G112+'3'!H112</f>
        <v>49</v>
      </c>
      <c r="I112" s="532"/>
      <c r="J112" s="558">
        <f>H112/DAY(B2)</f>
        <v>12.25</v>
      </c>
      <c r="N112" s="382"/>
    </row>
    <row r="113" spans="1:14" s="442" customFormat="1" ht="27.75">
      <c r="A113" s="1545" t="s">
        <v>110</v>
      </c>
      <c r="B113" s="1546"/>
      <c r="C113" s="1307"/>
      <c r="D113" s="622"/>
      <c r="E113" s="532">
        <f>'3'!F113</f>
        <v>0</v>
      </c>
      <c r="F113" s="532"/>
      <c r="G113" s="532">
        <f>SUM(G110:G112)</f>
        <v>70</v>
      </c>
      <c r="H113" s="682">
        <f>G113+'3'!H113</f>
        <v>285</v>
      </c>
      <c r="I113" s="532"/>
      <c r="J113" s="558">
        <f>H113/DAY(B2)</f>
        <v>71.25</v>
      </c>
      <c r="N113" s="382"/>
    </row>
    <row r="114" spans="1:14" s="442" customFormat="1" ht="27.75">
      <c r="A114" s="1549" t="s">
        <v>222</v>
      </c>
      <c r="B114" s="1550"/>
      <c r="C114" s="1307"/>
      <c r="D114" s="622"/>
      <c r="E114" s="532">
        <f>'3'!F114</f>
        <v>0</v>
      </c>
      <c r="F114" s="532"/>
      <c r="G114" s="532"/>
      <c r="H114" s="682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3" t="s">
        <v>223</v>
      </c>
      <c r="B115" s="1544"/>
      <c r="C115" s="574"/>
      <c r="D115" s="622" t="s">
        <v>143</v>
      </c>
      <c r="E115" s="532">
        <f>'3'!F115</f>
        <v>11278</v>
      </c>
      <c r="F115" s="534">
        <v>11283</v>
      </c>
      <c r="G115" s="534">
        <f>F115-E115</f>
        <v>5</v>
      </c>
      <c r="H115" s="682">
        <f>G115+'3'!H115</f>
        <v>24</v>
      </c>
      <c r="I115" s="532"/>
      <c r="J115" s="558">
        <f>H115/DAY(B2)</f>
        <v>6</v>
      </c>
      <c r="N115" s="382"/>
    </row>
    <row r="116" spans="1:14" s="442" customFormat="1" ht="27.75">
      <c r="A116" s="1543" t="s">
        <v>224</v>
      </c>
      <c r="B116" s="1544"/>
      <c r="C116" s="574"/>
      <c r="D116" s="622" t="s">
        <v>143</v>
      </c>
      <c r="E116" s="532">
        <f>'3'!F116</f>
        <v>8139</v>
      </c>
      <c r="F116" s="534">
        <v>8143</v>
      </c>
      <c r="G116" s="534">
        <f t="shared" ref="G116:G117" si="13">F116-E116</f>
        <v>4</v>
      </c>
      <c r="H116" s="682">
        <f>G116+'3'!H116</f>
        <v>17</v>
      </c>
      <c r="I116" s="532"/>
      <c r="J116" s="558">
        <f>H116/DAY(B2)</f>
        <v>4.25</v>
      </c>
      <c r="N116" s="382"/>
    </row>
    <row r="117" spans="1:14" s="442" customFormat="1" ht="27.75">
      <c r="A117" s="1543" t="s">
        <v>225</v>
      </c>
      <c r="B117" s="1544"/>
      <c r="C117" s="574"/>
      <c r="D117" s="622" t="s">
        <v>143</v>
      </c>
      <c r="E117" s="534"/>
      <c r="F117" s="534"/>
      <c r="G117" s="534">
        <f t="shared" si="13"/>
        <v>0</v>
      </c>
      <c r="H117" s="682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534"/>
      <c r="G118" s="534">
        <f>SUM(G115:G117)</f>
        <v>9</v>
      </c>
      <c r="H118" s="682">
        <f>G118+'3'!H118</f>
        <v>41</v>
      </c>
      <c r="I118" s="534"/>
      <c r="J118" s="558">
        <f>H118/DAY(B2)</f>
        <v>10.25</v>
      </c>
      <c r="N118" s="382"/>
    </row>
    <row r="119" spans="1:14" s="446" customFormat="1" ht="27.75">
      <c r="A119" s="1539" t="s">
        <v>226</v>
      </c>
      <c r="B119" s="1540"/>
      <c r="C119" s="1305"/>
      <c r="D119" s="624" t="s">
        <v>143</v>
      </c>
      <c r="E119" s="536"/>
      <c r="F119" s="536">
        <f>SUM(G19+G93)</f>
        <v>86</v>
      </c>
      <c r="G119" s="536">
        <f>SUM(G19+G93)</f>
        <v>86</v>
      </c>
      <c r="H119" s="682">
        <f>G119+'3'!H119</f>
        <v>389</v>
      </c>
      <c r="I119" s="535"/>
      <c r="J119" s="559">
        <f>H119/DAY(B2)</f>
        <v>97.25</v>
      </c>
      <c r="N119" s="382"/>
    </row>
    <row r="120" spans="1:14" s="446" customFormat="1" ht="27.75">
      <c r="A120" s="1539" t="s">
        <v>227</v>
      </c>
      <c r="B120" s="1540"/>
      <c r="C120" s="1305"/>
      <c r="D120" s="624" t="s">
        <v>143</v>
      </c>
      <c r="E120" s="536"/>
      <c r="F120" s="536">
        <f>SUM(G96,G97,G98,G100,G101)</f>
        <v>106</v>
      </c>
      <c r="G120" s="536">
        <f>SUM(G96,G97,G98,G100,G101)</f>
        <v>106</v>
      </c>
      <c r="H120" s="682">
        <f>G120+'3'!H120</f>
        <v>403</v>
      </c>
      <c r="I120" s="535"/>
      <c r="J120" s="559">
        <f>H120/DAY(B2)</f>
        <v>100.75</v>
      </c>
      <c r="N120" s="382"/>
    </row>
    <row r="121" spans="1:14" s="446" customFormat="1" ht="27.75">
      <c r="A121" s="1539" t="s">
        <v>228</v>
      </c>
      <c r="B121" s="1540"/>
      <c r="C121" s="1305"/>
      <c r="D121" s="624" t="s">
        <v>143</v>
      </c>
      <c r="E121" s="534"/>
      <c r="F121" s="534">
        <f>SUM(G113)</f>
        <v>70</v>
      </c>
      <c r="G121" s="534">
        <f>SUM(G113)</f>
        <v>70</v>
      </c>
      <c r="H121" s="682">
        <f>G121+'3'!H121</f>
        <v>285</v>
      </c>
      <c r="I121" s="535"/>
      <c r="J121" s="559">
        <f>H121/DAY(B2)</f>
        <v>71.25</v>
      </c>
      <c r="N121" s="382"/>
    </row>
    <row r="122" spans="1:14" s="442" customFormat="1" ht="27.75">
      <c r="A122" s="1541"/>
      <c r="B122" s="1542"/>
      <c r="C122" s="1306"/>
      <c r="D122" s="560"/>
      <c r="E122" s="560"/>
      <c r="F122" s="560" t="s">
        <v>214</v>
      </c>
      <c r="G122" s="560"/>
      <c r="H122" s="561"/>
      <c r="I122" s="560"/>
      <c r="J122" s="562"/>
      <c r="N122" s="382"/>
    </row>
    <row r="123" spans="1:14">
      <c r="A123" s="1576" t="s">
        <v>229</v>
      </c>
      <c r="B123" s="1577"/>
      <c r="C123" s="1578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8" t="s">
        <v>230</v>
      </c>
      <c r="B124" s="1309"/>
      <c r="C124" s="1309"/>
      <c r="D124" s="523" t="s">
        <v>140</v>
      </c>
      <c r="E124" s="478">
        <f>'3'!F124</f>
        <v>826721</v>
      </c>
      <c r="F124" s="635">
        <v>826910</v>
      </c>
      <c r="G124" s="473">
        <f t="shared" ref="G124:G128" si="14">F124-E124</f>
        <v>189</v>
      </c>
      <c r="H124" s="682">
        <f>G124+'3'!H124</f>
        <v>821.54000000003725</v>
      </c>
      <c r="I124" s="526"/>
      <c r="J124" s="552">
        <f>H124/DAY(B2)</f>
        <v>205.38500000000931</v>
      </c>
      <c r="K124" s="380"/>
      <c r="L124" s="377"/>
      <c r="N124" s="382"/>
    </row>
    <row r="125" spans="1:14" ht="27.75">
      <c r="A125" s="1308" t="s">
        <v>231</v>
      </c>
      <c r="B125" s="1309"/>
      <c r="C125" s="1309"/>
      <c r="D125" s="523" t="s">
        <v>140</v>
      </c>
      <c r="E125" s="478">
        <f>'3'!F125</f>
        <v>73583</v>
      </c>
      <c r="F125" s="652">
        <v>73583</v>
      </c>
      <c r="G125" s="473">
        <f t="shared" si="14"/>
        <v>0</v>
      </c>
      <c r="H125" s="682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>
      <c r="A126" s="1530" t="s">
        <v>232</v>
      </c>
      <c r="B126" s="1531"/>
      <c r="C126" s="1532"/>
      <c r="D126" s="523" t="s">
        <v>140</v>
      </c>
      <c r="E126" s="478">
        <f>'3'!F126</f>
        <v>144878</v>
      </c>
      <c r="F126" s="635">
        <v>144923</v>
      </c>
      <c r="G126" s="473">
        <f t="shared" si="14"/>
        <v>45</v>
      </c>
      <c r="H126" s="682">
        <f>G126+'3'!H126</f>
        <v>235.55999999999767</v>
      </c>
      <c r="I126" s="526"/>
      <c r="J126" s="552">
        <f>H126/DAY(B2)</f>
        <v>58.889999999999418</v>
      </c>
      <c r="K126" s="380"/>
      <c r="L126" s="377"/>
      <c r="N126" s="382"/>
    </row>
    <row r="127" spans="1:14" ht="27.75">
      <c r="A127" s="609" t="s">
        <v>233</v>
      </c>
      <c r="B127" s="1309"/>
      <c r="C127" s="1309"/>
      <c r="D127" s="523" t="s">
        <v>140</v>
      </c>
      <c r="E127" s="478">
        <f>'3'!F127</f>
        <v>31404</v>
      </c>
      <c r="F127" s="652">
        <v>31404</v>
      </c>
      <c r="G127" s="473">
        <f t="shared" si="14"/>
        <v>0</v>
      </c>
      <c r="H127" s="682">
        <f>G127+'3'!H127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234</v>
      </c>
      <c r="B128" s="1309"/>
      <c r="C128" s="1309"/>
      <c r="D128" s="523" t="s">
        <v>140</v>
      </c>
      <c r="E128" s="478">
        <f>'3'!F128</f>
        <v>8970</v>
      </c>
      <c r="F128" s="652">
        <v>8970</v>
      </c>
      <c r="G128" s="473">
        <f t="shared" si="14"/>
        <v>0</v>
      </c>
      <c r="H128" s="682">
        <f>G128+'3'!H128</f>
        <v>0.2999999999992724</v>
      </c>
      <c r="I128" s="480"/>
      <c r="J128" s="552">
        <f>H128/DAY(B2)</f>
        <v>7.4999999999818101E-2</v>
      </c>
      <c r="K128" s="380"/>
      <c r="L128" s="377"/>
      <c r="N128" s="382"/>
    </row>
    <row r="129" spans="1:14" s="281" customFormat="1" ht="27.75">
      <c r="A129" s="609" t="s">
        <v>235</v>
      </c>
      <c r="B129" s="1309"/>
      <c r="C129" s="1309"/>
      <c r="D129" s="523"/>
      <c r="E129" s="478"/>
      <c r="F129" s="635"/>
      <c r="G129" s="473">
        <f>G15-SUM(G124:G128)</f>
        <v>350</v>
      </c>
      <c r="H129" s="682">
        <f>G129+'3'!H129</f>
        <v>743.99999999995998</v>
      </c>
      <c r="I129" s="480"/>
      <c r="J129" s="552">
        <f>H129/DAY(B2)</f>
        <v>185.99999999999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8" t="s">
        <v>237</v>
      </c>
      <c r="B131" s="1309"/>
      <c r="C131" s="1309"/>
      <c r="D131" s="523" t="s">
        <v>238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2">
        <f>G131+'3'!H131</f>
        <v>0</v>
      </c>
      <c r="I131" s="480"/>
      <c r="J131" s="552">
        <f>H131/DAY(B2)</f>
        <v>0</v>
      </c>
      <c r="N131" s="382"/>
    </row>
    <row r="132" spans="1:14" ht="27.75">
      <c r="A132" s="1308" t="s">
        <v>239</v>
      </c>
      <c r="B132" s="1309"/>
      <c r="C132" s="1309"/>
      <c r="D132" s="523" t="s">
        <v>238</v>
      </c>
      <c r="E132" s="484">
        <f>'3'!F132</f>
        <v>0</v>
      </c>
      <c r="F132" s="635">
        <v>0</v>
      </c>
      <c r="G132" s="473">
        <f t="shared" si="15"/>
        <v>0</v>
      </c>
      <c r="H132" s="682">
        <f>G132+'3'!H132</f>
        <v>0</v>
      </c>
      <c r="I132" s="480"/>
      <c r="J132" s="552">
        <f>H132/DAY(B2)</f>
        <v>0</v>
      </c>
      <c r="N132" s="382"/>
    </row>
    <row r="133" spans="1:14" ht="27.75">
      <c r="A133" s="1308" t="s">
        <v>240</v>
      </c>
      <c r="B133" s="1309"/>
      <c r="C133" s="1309"/>
      <c r="D133" s="523" t="s">
        <v>238</v>
      </c>
      <c r="E133" s="484">
        <f>'3'!F133</f>
        <v>39818.31</v>
      </c>
      <c r="F133" s="636">
        <v>39842</v>
      </c>
      <c r="G133" s="473">
        <f t="shared" si="15"/>
        <v>23.690000000002328</v>
      </c>
      <c r="H133" s="682">
        <f>G133+'3'!H133</f>
        <v>95.519999999996799</v>
      </c>
      <c r="I133" s="480"/>
      <c r="J133" s="552">
        <f>H133/DAY(B2)</f>
        <v>23.8799999999992</v>
      </c>
      <c r="N133" s="382"/>
    </row>
    <row r="134" spans="1:14" ht="27.75">
      <c r="A134" s="1308" t="s">
        <v>241</v>
      </c>
      <c r="B134" s="1309"/>
      <c r="C134" s="1309"/>
      <c r="D134" s="523" t="s">
        <v>238</v>
      </c>
      <c r="E134" s="484">
        <f>'3'!F134</f>
        <v>300</v>
      </c>
      <c r="F134" s="652">
        <v>300</v>
      </c>
      <c r="G134" s="473">
        <f t="shared" si="15"/>
        <v>0</v>
      </c>
      <c r="H134" s="682">
        <f>G134+'3'!H134</f>
        <v>0</v>
      </c>
      <c r="I134" s="480">
        <f>G133+G134+G135+G136</f>
        <v>23.690000000002328</v>
      </c>
      <c r="J134" s="552">
        <f>H134/DAY(B2)</f>
        <v>0</v>
      </c>
      <c r="N134" s="382"/>
    </row>
    <row r="135" spans="1:14" ht="27.75">
      <c r="A135" s="1308" t="s">
        <v>242</v>
      </c>
      <c r="B135" s="1309"/>
      <c r="C135" s="1309"/>
      <c r="D135" s="523" t="s">
        <v>238</v>
      </c>
      <c r="E135" s="484">
        <f>'3'!F135</f>
        <v>41385</v>
      </c>
      <c r="F135" s="652">
        <v>41385</v>
      </c>
      <c r="G135" s="473">
        <f t="shared" si="15"/>
        <v>0</v>
      </c>
      <c r="H135" s="682">
        <f>G135+'3'!H135</f>
        <v>0</v>
      </c>
      <c r="I135" s="480"/>
      <c r="J135" s="552">
        <f>H135/DAY(B2)</f>
        <v>0</v>
      </c>
      <c r="N135" s="382"/>
    </row>
    <row r="136" spans="1:14" ht="27.75">
      <c r="A136" s="1308" t="s">
        <v>243</v>
      </c>
      <c r="B136" s="1309"/>
      <c r="C136" s="1309"/>
      <c r="D136" s="523" t="s">
        <v>238</v>
      </c>
      <c r="E136" s="484">
        <f>'3'!F136</f>
        <v>32583</v>
      </c>
      <c r="F136" s="652">
        <v>32583</v>
      </c>
      <c r="G136" s="473">
        <f t="shared" si="15"/>
        <v>0</v>
      </c>
      <c r="H136" s="682">
        <f>G136+'3'!H136</f>
        <v>0</v>
      </c>
      <c r="I136" s="480"/>
      <c r="J136" s="552">
        <f>H136/DAY(B2)</f>
        <v>0</v>
      </c>
      <c r="N136" s="382"/>
    </row>
    <row r="137" spans="1:14" ht="27.75">
      <c r="A137" s="1308" t="s">
        <v>244</v>
      </c>
      <c r="B137" s="1309"/>
      <c r="C137" s="1309"/>
      <c r="D137" s="523" t="s">
        <v>238</v>
      </c>
      <c r="E137" s="484">
        <f>'3'!F137</f>
        <v>22742.3</v>
      </c>
      <c r="F137" s="636">
        <v>22749.51</v>
      </c>
      <c r="G137" s="473">
        <f t="shared" si="15"/>
        <v>7.2099999999991269</v>
      </c>
      <c r="H137" s="682">
        <f>G137+'3'!H137</f>
        <v>9.9199999999982538</v>
      </c>
      <c r="I137" s="480">
        <f>G137+G138+G139</f>
        <v>6.8099999999976717</v>
      </c>
      <c r="J137" s="552">
        <f>H137/DAY(B2)</f>
        <v>2.4799999999995634</v>
      </c>
      <c r="N137" s="382"/>
    </row>
    <row r="138" spans="1:14" ht="27.75">
      <c r="A138" s="1308" t="s">
        <v>245</v>
      </c>
      <c r="B138" s="1309"/>
      <c r="C138" s="1309"/>
      <c r="D138" s="523" t="s">
        <v>238</v>
      </c>
      <c r="E138" s="484">
        <f>'3'!F138</f>
        <v>25051.99</v>
      </c>
      <c r="F138" s="636">
        <v>25051.59</v>
      </c>
      <c r="G138" s="473">
        <f t="shared" si="15"/>
        <v>-0.40000000000145519</v>
      </c>
      <c r="H138" s="682">
        <f>G138+'3'!H138</f>
        <v>0</v>
      </c>
      <c r="I138" s="480"/>
      <c r="J138" s="552">
        <f>H138/DAY(B2)</f>
        <v>0</v>
      </c>
      <c r="N138" s="382"/>
    </row>
    <row r="139" spans="1:14" ht="27.75">
      <c r="A139" s="1308" t="s">
        <v>246</v>
      </c>
      <c r="B139" s="1309"/>
      <c r="C139" s="1309"/>
      <c r="D139" s="523" t="s">
        <v>238</v>
      </c>
      <c r="E139" s="484">
        <f>'3'!F139</f>
        <v>70324.820000000007</v>
      </c>
      <c r="F139" s="636">
        <v>70324.820000000007</v>
      </c>
      <c r="G139" s="473">
        <f t="shared" si="15"/>
        <v>0</v>
      </c>
      <c r="H139" s="682">
        <f>G139+'3'!H139</f>
        <v>9.0100000000093132</v>
      </c>
      <c r="I139" s="480"/>
      <c r="J139" s="552">
        <f>H139/DAY(B2)</f>
        <v>2.2525000000023283</v>
      </c>
      <c r="N139" s="382"/>
    </row>
    <row r="140" spans="1:14" ht="27.75">
      <c r="A140" s="1308" t="s">
        <v>247</v>
      </c>
      <c r="B140" s="1309"/>
      <c r="C140" s="1309"/>
      <c r="D140" s="523" t="s">
        <v>238</v>
      </c>
      <c r="E140" s="484">
        <f>'3'!F140</f>
        <v>1640.95</v>
      </c>
      <c r="F140" s="652">
        <v>1648.08</v>
      </c>
      <c r="G140" s="473">
        <f t="shared" si="15"/>
        <v>7.1299999999998818</v>
      </c>
      <c r="H140" s="682">
        <f>G140+'3'!H140</f>
        <v>31.220000000000027</v>
      </c>
      <c r="I140" s="542">
        <f>G140+G141</f>
        <v>7.1299999999998818</v>
      </c>
      <c r="J140" s="552">
        <f>H140/DAY(B2)</f>
        <v>7.8050000000000068</v>
      </c>
      <c r="N140" s="382"/>
    </row>
    <row r="141" spans="1:14" ht="27.75">
      <c r="A141" s="1308" t="s">
        <v>248</v>
      </c>
      <c r="B141" s="1309"/>
      <c r="C141" s="1309"/>
      <c r="D141" s="523" t="s">
        <v>238</v>
      </c>
      <c r="E141" s="484">
        <f>'3'!F141</f>
        <v>4637</v>
      </c>
      <c r="F141" s="635">
        <v>4637</v>
      </c>
      <c r="G141" s="473">
        <f t="shared" si="15"/>
        <v>0</v>
      </c>
      <c r="H141" s="682">
        <f>G141+'3'!H141</f>
        <v>0</v>
      </c>
      <c r="I141" s="542"/>
      <c r="J141" s="552">
        <f>H141/DAY(B2)</f>
        <v>0</v>
      </c>
      <c r="N141" s="382"/>
    </row>
    <row r="142" spans="1:14">
      <c r="A142" s="1557" t="s">
        <v>249</v>
      </c>
      <c r="B142" s="1558"/>
      <c r="C142" s="1314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51" t="s">
        <v>250</v>
      </c>
      <c r="B143" s="1552"/>
      <c r="C143" s="1553"/>
      <c r="D143" s="523" t="s">
        <v>131</v>
      </c>
      <c r="E143" s="523"/>
      <c r="F143" s="638"/>
      <c r="G143" s="460">
        <f>G35+G43+G49+G57</f>
        <v>4360</v>
      </c>
      <c r="H143" s="682">
        <f>G143+'3'!H143</f>
        <v>17479.869999999995</v>
      </c>
      <c r="I143" s="480"/>
      <c r="J143" s="552">
        <f>H143/DAY(B2)</f>
        <v>4369.9674999999988</v>
      </c>
      <c r="K143" s="380"/>
      <c r="L143" s="377"/>
      <c r="N143" s="382"/>
    </row>
    <row r="144" spans="1:14" ht="27.75">
      <c r="A144" s="1551" t="s">
        <v>251</v>
      </c>
      <c r="B144" s="1552"/>
      <c r="C144" s="1553"/>
      <c r="D144" s="523" t="s">
        <v>24</v>
      </c>
      <c r="E144" s="511"/>
      <c r="F144" s="642"/>
      <c r="G144" s="543">
        <f>G143/G7</f>
        <v>0.26975190249334902</v>
      </c>
      <c r="H144" s="682">
        <f>G144+'3'!H144</f>
        <v>1.0901047977826124</v>
      </c>
      <c r="I144" s="544"/>
      <c r="J144" s="552">
        <f>H144/DAY(B2)</f>
        <v>0.27252619944565309</v>
      </c>
      <c r="K144" s="380"/>
      <c r="L144" s="377"/>
      <c r="N144" s="382"/>
    </row>
    <row r="145" spans="1:14" ht="27.75">
      <c r="A145" s="1551" t="s">
        <v>252</v>
      </c>
      <c r="B145" s="1552"/>
      <c r="C145" s="1553"/>
      <c r="D145" s="523" t="s">
        <v>131</v>
      </c>
      <c r="E145" s="455"/>
      <c r="F145" s="633"/>
      <c r="G145" s="460">
        <f>G41+G42+G55+G56</f>
        <v>5147</v>
      </c>
      <c r="H145" s="682">
        <f>G145+'3'!H145</f>
        <v>19623.530000000028</v>
      </c>
      <c r="I145" s="480"/>
      <c r="J145" s="552">
        <f>H145/DAY(B2)</f>
        <v>4905.882500000007</v>
      </c>
      <c r="K145" s="380"/>
      <c r="L145" s="377"/>
      <c r="N145" s="382"/>
    </row>
    <row r="146" spans="1:14" ht="27.75">
      <c r="A146" s="1551" t="s">
        <v>253</v>
      </c>
      <c r="B146" s="1552"/>
      <c r="C146" s="1553"/>
      <c r="D146" s="523" t="s">
        <v>24</v>
      </c>
      <c r="E146" s="455"/>
      <c r="F146" s="633"/>
      <c r="G146" s="543">
        <f>G145/G7</f>
        <v>0.31844335828744663</v>
      </c>
      <c r="H146" s="682">
        <f>G146+'3'!H146</f>
        <v>1.2236634199935446</v>
      </c>
      <c r="I146" s="544"/>
      <c r="J146" s="552">
        <f>H146/DAY(B2)</f>
        <v>0.30591585499838614</v>
      </c>
      <c r="K146" s="380"/>
      <c r="L146" s="377"/>
      <c r="N146" s="382"/>
    </row>
    <row r="147" spans="1:14" ht="27.75">
      <c r="A147" s="1551" t="s">
        <v>254</v>
      </c>
      <c r="B147" s="1552"/>
      <c r="C147" s="1553"/>
      <c r="D147" s="523" t="s">
        <v>131</v>
      </c>
      <c r="E147" s="455"/>
      <c r="F147" s="633"/>
      <c r="G147" s="460">
        <f>G39+G53</f>
        <v>2251</v>
      </c>
      <c r="H147" s="682">
        <f>G147+'3'!H147</f>
        <v>9624</v>
      </c>
      <c r="I147" s="545"/>
      <c r="J147" s="552">
        <f>H147/DAY(B2)</f>
        <v>2406</v>
      </c>
      <c r="K147" s="380"/>
      <c r="L147" s="377"/>
      <c r="N147" s="382"/>
    </row>
    <row r="148" spans="1:14" ht="27.75">
      <c r="A148" s="1551" t="s">
        <v>255</v>
      </c>
      <c r="B148" s="1552"/>
      <c r="C148" s="1553"/>
      <c r="D148" s="523" t="s">
        <v>24</v>
      </c>
      <c r="E148" s="455"/>
      <c r="F148" s="633"/>
      <c r="G148" s="543">
        <f>G147/G7</f>
        <v>0.13926870011755244</v>
      </c>
      <c r="H148" s="682">
        <f>G148+'3'!H148</f>
        <v>0.60031145247462403</v>
      </c>
      <c r="I148" s="545"/>
      <c r="J148" s="552">
        <f>H148/DAY(B2)</f>
        <v>0.15007786311865601</v>
      </c>
      <c r="N148" s="382"/>
    </row>
    <row r="149" spans="1:14" ht="27.75">
      <c r="A149" s="1551" t="s">
        <v>256</v>
      </c>
      <c r="B149" s="1552"/>
      <c r="C149" s="1553"/>
      <c r="D149" s="523" t="s">
        <v>182</v>
      </c>
      <c r="E149" s="455"/>
      <c r="F149" s="633"/>
      <c r="G149" s="460">
        <f>G38+G52</f>
        <v>1255</v>
      </c>
      <c r="H149" s="682">
        <f>G149+'3'!H149</f>
        <v>5250</v>
      </c>
      <c r="I149" s="480"/>
      <c r="J149" s="552">
        <f>H149/DAY(B2)</f>
        <v>1312.5</v>
      </c>
      <c r="K149" s="381"/>
      <c r="N149" s="382"/>
    </row>
    <row r="150" spans="1:14" ht="27.75">
      <c r="A150" s="1551" t="s">
        <v>257</v>
      </c>
      <c r="B150" s="1552"/>
      <c r="C150" s="1553"/>
      <c r="D150" s="523" t="s">
        <v>24</v>
      </c>
      <c r="E150" s="455"/>
      <c r="F150" s="633"/>
      <c r="G150" s="543">
        <f>G149/G7</f>
        <v>7.7646476520447941E-2</v>
      </c>
      <c r="H150" s="682">
        <f>G150+'3'!H150</f>
        <v>0.32744433420364155</v>
      </c>
      <c r="I150" s="545"/>
      <c r="J150" s="552">
        <f>H150/DAY(B2)</f>
        <v>8.1861083550910388E-2</v>
      </c>
      <c r="N150" s="382"/>
    </row>
    <row r="151" spans="1:14" ht="27.75">
      <c r="A151" s="1551" t="s">
        <v>258</v>
      </c>
      <c r="B151" s="1552"/>
      <c r="C151" s="1553"/>
      <c r="D151" s="523" t="s">
        <v>182</v>
      </c>
      <c r="E151" s="455"/>
      <c r="F151" s="633"/>
      <c r="G151" s="460">
        <f>G36+G50</f>
        <v>1374</v>
      </c>
      <c r="H151" s="682">
        <f>G151+'3'!H151</f>
        <v>5405</v>
      </c>
      <c r="I151" s="545"/>
      <c r="J151" s="552">
        <f>H151/DAY(B2)</f>
        <v>1351.25</v>
      </c>
      <c r="N151" s="382"/>
    </row>
    <row r="152" spans="1:14" ht="27.75">
      <c r="A152" s="1551" t="s">
        <v>259</v>
      </c>
      <c r="B152" s="1552"/>
      <c r="C152" s="1553"/>
      <c r="D152" s="523" t="s">
        <v>24</v>
      </c>
      <c r="E152" s="455"/>
      <c r="F152" s="633"/>
      <c r="G152" s="543">
        <f>G151/G7</f>
        <v>8.5008971106848977E-2</v>
      </c>
      <c r="H152" s="682">
        <f>G152+'3'!H152</f>
        <v>0.3370423328520667</v>
      </c>
      <c r="I152" s="480"/>
      <c r="J152" s="552">
        <f>H152/DAY(B2)</f>
        <v>8.4260583213016674E-2</v>
      </c>
      <c r="N152" s="382"/>
    </row>
    <row r="153" spans="1:14" ht="27.75">
      <c r="A153" s="1551" t="s">
        <v>260</v>
      </c>
      <c r="B153" s="1552"/>
      <c r="C153" s="1553"/>
      <c r="D153" s="523" t="s">
        <v>182</v>
      </c>
      <c r="E153" s="455"/>
      <c r="F153" s="633"/>
      <c r="G153" s="460">
        <f>G37+G51</f>
        <v>1213</v>
      </c>
      <c r="H153" s="682">
        <f>G153+'3'!H153</f>
        <v>4983</v>
      </c>
      <c r="I153" s="480"/>
      <c r="J153" s="552">
        <f>H153/DAY(B2)</f>
        <v>1245.75</v>
      </c>
      <c r="N153" s="382"/>
    </row>
    <row r="154" spans="1:14" ht="28.5" thickBot="1">
      <c r="A154" s="1554" t="s">
        <v>261</v>
      </c>
      <c r="B154" s="1555"/>
      <c r="C154" s="1556"/>
      <c r="D154" s="625" t="s">
        <v>24</v>
      </c>
      <c r="E154" s="565"/>
      <c r="F154" s="653"/>
      <c r="G154" s="566">
        <f>G153/G7</f>
        <v>7.504794901936522E-2</v>
      </c>
      <c r="H154" s="682">
        <f>G154+'3'!H154</f>
        <v>0.31078771550125694</v>
      </c>
      <c r="I154" s="568"/>
      <c r="J154" s="569">
        <f>H154/DAY(B2)</f>
        <v>7.7696928875314236E-2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5" t="s">
        <v>266</v>
      </c>
      <c r="B158" s="1586"/>
      <c r="C158" s="1586"/>
      <c r="D158" s="1586"/>
      <c r="E158" s="1586"/>
      <c r="F158" s="1586"/>
      <c r="G158" s="1587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262</v>
      </c>
      <c r="B161" s="788"/>
      <c r="C161" s="788"/>
      <c r="D161" s="511" t="s">
        <v>186</v>
      </c>
      <c r="E161" s="661">
        <f>'3'!F161</f>
        <v>36175</v>
      </c>
      <c r="F161" s="661">
        <v>36257</v>
      </c>
      <c r="G161" s="473">
        <f t="shared" ref="G161:G172" si="16">F161-E161</f>
        <v>82</v>
      </c>
    </row>
    <row r="162" spans="1:7">
      <c r="A162" s="787" t="s">
        <v>263</v>
      </c>
      <c r="B162" s="788"/>
      <c r="C162" s="788"/>
      <c r="D162" s="511" t="s">
        <v>186</v>
      </c>
      <c r="E162" s="661">
        <f>'3'!F162</f>
        <v>83633</v>
      </c>
      <c r="F162" s="661">
        <v>84066</v>
      </c>
      <c r="G162" s="473">
        <f t="shared" si="16"/>
        <v>433</v>
      </c>
    </row>
    <row r="163" spans="1:7">
      <c r="A163" s="787" t="s">
        <v>264</v>
      </c>
      <c r="B163" s="788"/>
      <c r="C163" s="788"/>
      <c r="D163" s="511" t="s">
        <v>186</v>
      </c>
      <c r="E163" s="661">
        <f>'3'!F163</f>
        <v>38999</v>
      </c>
      <c r="F163" s="661">
        <v>39208</v>
      </c>
      <c r="G163" s="473">
        <f t="shared" si="16"/>
        <v>209</v>
      </c>
    </row>
    <row r="164" spans="1:7">
      <c r="A164" s="787" t="s">
        <v>265</v>
      </c>
      <c r="B164" s="788"/>
      <c r="C164" s="788"/>
      <c r="D164" s="511" t="s">
        <v>186</v>
      </c>
      <c r="E164" s="661">
        <f>'3'!F164</f>
        <v>6255</v>
      </c>
      <c r="F164" s="661">
        <v>6261</v>
      </c>
      <c r="G164" s="473">
        <f t="shared" si="16"/>
        <v>6</v>
      </c>
    </row>
    <row r="165" spans="1:7">
      <c r="A165" s="789" t="s">
        <v>98</v>
      </c>
      <c r="B165" s="604"/>
      <c r="C165" s="604"/>
      <c r="D165" s="511" t="s">
        <v>186</v>
      </c>
      <c r="E165" s="661">
        <v>0</v>
      </c>
      <c r="F165" s="514">
        <f>F62</f>
        <v>0</v>
      </c>
      <c r="G165" s="473">
        <f t="shared" si="16"/>
        <v>0</v>
      </c>
    </row>
    <row r="166" spans="1:7">
      <c r="A166" s="789" t="s">
        <v>187</v>
      </c>
      <c r="B166" s="604"/>
      <c r="C166" s="604"/>
      <c r="D166" s="511" t="s">
        <v>186</v>
      </c>
      <c r="E166" s="661">
        <f>'3'!F166</f>
        <v>2370</v>
      </c>
      <c r="F166" s="514">
        <f t="shared" ref="F166:F172" si="17">F63</f>
        <v>2374</v>
      </c>
      <c r="G166" s="473">
        <f t="shared" si="16"/>
        <v>4</v>
      </c>
    </row>
    <row r="167" spans="1:7" ht="25.5" customHeight="1">
      <c r="A167" s="1526" t="s">
        <v>99</v>
      </c>
      <c r="B167" s="1526"/>
      <c r="C167" s="1526"/>
      <c r="D167" s="523" t="s">
        <v>186</v>
      </c>
      <c r="E167" s="661">
        <f>'3'!F167</f>
        <v>153931.9</v>
      </c>
      <c r="F167" s="514">
        <f t="shared" si="17"/>
        <v>154137</v>
      </c>
      <c r="G167" s="473">
        <f t="shared" si="16"/>
        <v>205.10000000000582</v>
      </c>
    </row>
    <row r="168" spans="1:7" ht="24.75" customHeight="1">
      <c r="A168" s="1526" t="s">
        <v>100</v>
      </c>
      <c r="B168" s="1526"/>
      <c r="C168" s="1526"/>
      <c r="D168" s="523" t="s">
        <v>186</v>
      </c>
      <c r="E168" s="661">
        <f>'3'!F168</f>
        <v>155204</v>
      </c>
      <c r="F168" s="514">
        <f t="shared" si="17"/>
        <v>155406</v>
      </c>
      <c r="G168" s="473">
        <f t="shared" si="16"/>
        <v>202</v>
      </c>
    </row>
    <row r="169" spans="1:7" ht="28.5" customHeight="1">
      <c r="A169" s="1526" t="s">
        <v>101</v>
      </c>
      <c r="B169" s="1526"/>
      <c r="C169" s="1526"/>
      <c r="D169" s="523" t="s">
        <v>186</v>
      </c>
      <c r="E169" s="661">
        <f>'3'!F169</f>
        <v>49379</v>
      </c>
      <c r="F169" s="514">
        <f t="shared" si="17"/>
        <v>49645</v>
      </c>
      <c r="G169" s="473">
        <f t="shared" si="16"/>
        <v>266</v>
      </c>
    </row>
    <row r="170" spans="1:7" ht="24.75" customHeight="1">
      <c r="A170" s="1526" t="s">
        <v>102</v>
      </c>
      <c r="B170" s="1526"/>
      <c r="C170" s="1526"/>
      <c r="D170" s="523" t="s">
        <v>186</v>
      </c>
      <c r="E170" s="661">
        <f>'3'!F170</f>
        <v>243795</v>
      </c>
      <c r="F170" s="514">
        <f t="shared" si="17"/>
        <v>243946</v>
      </c>
      <c r="G170" s="473">
        <f t="shared" si="16"/>
        <v>151</v>
      </c>
    </row>
    <row r="171" spans="1:7" ht="24" customHeight="1">
      <c r="A171" s="1526" t="s">
        <v>103</v>
      </c>
      <c r="B171" s="1526"/>
      <c r="C171" s="1526"/>
      <c r="D171" s="523" t="s">
        <v>186</v>
      </c>
      <c r="E171" s="661">
        <f>'3'!F171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661">
        <f>'3'!F172</f>
        <v>79254</v>
      </c>
      <c r="F172" s="514">
        <f t="shared" si="17"/>
        <v>79332</v>
      </c>
      <c r="G172" s="473">
        <f t="shared" si="16"/>
        <v>78</v>
      </c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48" zoomScaleSheetLayoutView="55" workbookViewId="0">
      <selection activeCell="H8" sqref="H8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344</v>
      </c>
      <c r="B2" s="1035">
        <v>44321</v>
      </c>
      <c r="C2" s="1145" t="s">
        <v>69</v>
      </c>
      <c r="D2" s="611">
        <v>0.11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5" t="s">
        <v>119</v>
      </c>
      <c r="D3" s="612">
        <v>34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2" t="s">
        <v>129</v>
      </c>
      <c r="B6" s="1563"/>
      <c r="C6" s="1564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9" t="s">
        <v>130</v>
      </c>
      <c r="B7" s="680"/>
      <c r="C7" s="680"/>
      <c r="D7" s="638" t="s">
        <v>335</v>
      </c>
      <c r="E7" s="633">
        <f>'4'!F7</f>
        <v>5791574</v>
      </c>
      <c r="F7" s="1252">
        <v>5807328</v>
      </c>
      <c r="G7" s="1257">
        <f>F7-E7</f>
        <v>15754</v>
      </c>
      <c r="H7" s="682">
        <f>G7+'4'!H7</f>
        <v>79895</v>
      </c>
      <c r="I7" s="683">
        <f>'1'!I7</f>
        <v>12000</v>
      </c>
      <c r="J7" s="684">
        <f>H7/DAY(B2)</f>
        <v>15979</v>
      </c>
      <c r="K7" s="549"/>
      <c r="L7" s="377"/>
      <c r="N7" s="382"/>
      <c r="O7" s="382"/>
    </row>
    <row r="8" spans="1:15" ht="27.75" thickBot="1">
      <c r="A8" s="685" t="s">
        <v>132</v>
      </c>
      <c r="B8" s="686"/>
      <c r="C8" s="687"/>
      <c r="D8" s="688" t="s">
        <v>25</v>
      </c>
      <c r="E8" s="633">
        <f>'4'!F8</f>
        <v>5825643</v>
      </c>
      <c r="F8" s="1253">
        <v>5841454</v>
      </c>
      <c r="G8" s="1257">
        <f t="shared" ref="G8:G9" si="0">F8-E8</f>
        <v>15811</v>
      </c>
      <c r="H8" s="682">
        <f>G8+'4'!H8</f>
        <v>80210</v>
      </c>
      <c r="I8" s="689">
        <v>12000</v>
      </c>
      <c r="J8" s="684">
        <f>H8/DAY(B2)</f>
        <v>16042</v>
      </c>
      <c r="K8" s="549"/>
      <c r="L8" s="425"/>
      <c r="M8" s="440"/>
      <c r="N8" s="706"/>
      <c r="O8" s="382"/>
    </row>
    <row r="9" spans="1:15">
      <c r="A9" s="690" t="s">
        <v>133</v>
      </c>
      <c r="B9" s="691"/>
      <c r="C9" s="691"/>
      <c r="D9" s="638" t="s">
        <v>131</v>
      </c>
      <c r="E9" s="635">
        <f>'4'!F9</f>
        <v>1052790</v>
      </c>
      <c r="F9" s="1249">
        <v>1068028</v>
      </c>
      <c r="G9" s="1257">
        <f t="shared" si="0"/>
        <v>15238</v>
      </c>
      <c r="H9" s="682">
        <f>G9+'4'!H9</f>
        <v>77314</v>
      </c>
      <c r="I9" s="693">
        <f>I8-J8</f>
        <v>-4042</v>
      </c>
      <c r="J9" s="684">
        <f>H9/DAY(B2)</f>
        <v>15462.8</v>
      </c>
      <c r="K9" s="428"/>
      <c r="L9" s="377"/>
      <c r="N9" s="382"/>
      <c r="O9" s="382"/>
    </row>
    <row r="10" spans="1:15">
      <c r="A10" s="679" t="s">
        <v>134</v>
      </c>
      <c r="B10" s="680"/>
      <c r="C10" s="680"/>
      <c r="D10" s="638" t="s">
        <v>131</v>
      </c>
      <c r="E10" s="635">
        <f>'4'!F10</f>
        <v>2322.58</v>
      </c>
      <c r="F10" s="1249">
        <v>2322.58</v>
      </c>
      <c r="G10" s="1257">
        <f>F10-E10</f>
        <v>0</v>
      </c>
      <c r="H10" s="682">
        <f>G10+'4'!H10</f>
        <v>0</v>
      </c>
      <c r="I10" s="694"/>
      <c r="J10" s="684">
        <f>H10/DAY(B2)</f>
        <v>0</v>
      </c>
      <c r="K10" s="428"/>
      <c r="L10" s="377"/>
      <c r="N10" s="382">
        <v>108</v>
      </c>
      <c r="O10" s="382"/>
    </row>
    <row r="11" spans="1:15">
      <c r="A11" s="679" t="s">
        <v>135</v>
      </c>
      <c r="B11" s="680"/>
      <c r="C11" s="680"/>
      <c r="D11" s="638" t="s">
        <v>131</v>
      </c>
      <c r="E11" s="633">
        <f>'4'!F11</f>
        <v>37000</v>
      </c>
      <c r="F11" s="1252">
        <v>37000</v>
      </c>
      <c r="G11" s="1257">
        <f>F11-E11</f>
        <v>0</v>
      </c>
      <c r="H11" s="682">
        <f>G11+'4'!H11</f>
        <v>0</v>
      </c>
      <c r="I11" s="694"/>
      <c r="J11" s="684">
        <f>H11/DAY(B2)</f>
        <v>0</v>
      </c>
      <c r="K11" s="428"/>
      <c r="L11" s="377"/>
      <c r="N11" s="382">
        <v>28</v>
      </c>
      <c r="O11" s="382"/>
    </row>
    <row r="12" spans="1:15">
      <c r="A12" s="679" t="s">
        <v>136</v>
      </c>
      <c r="B12" s="680"/>
      <c r="C12" s="680"/>
      <c r="D12" s="638" t="s">
        <v>131</v>
      </c>
      <c r="E12" s="635">
        <f>'4'!F12</f>
        <v>40010</v>
      </c>
      <c r="F12" s="1249">
        <v>40010</v>
      </c>
      <c r="G12" s="1257">
        <f t="shared" ref="G12" si="1">F12-E12</f>
        <v>0</v>
      </c>
      <c r="H12" s="682">
        <f>G12+'4'!H12</f>
        <v>0</v>
      </c>
      <c r="I12" s="694"/>
      <c r="J12" s="684">
        <f>H12/DAY(B2)</f>
        <v>0</v>
      </c>
      <c r="K12" s="428"/>
      <c r="L12" s="377"/>
      <c r="N12" s="382">
        <v>342</v>
      </c>
      <c r="O12" s="382"/>
    </row>
    <row r="13" spans="1:15">
      <c r="A13" s="695" t="s">
        <v>137</v>
      </c>
      <c r="B13" s="696"/>
      <c r="C13" s="696"/>
      <c r="D13" s="638"/>
      <c r="E13" s="633"/>
      <c r="F13" s="1252"/>
      <c r="G13" s="1257">
        <f>G9+G10+G11+G12</f>
        <v>15238</v>
      </c>
      <c r="H13" s="682">
        <f>G13+'4'!H13</f>
        <v>77314</v>
      </c>
      <c r="I13" s="698">
        <f>G7-G13</f>
        <v>516</v>
      </c>
      <c r="J13" s="684">
        <f>H13/DAY(B2)</f>
        <v>15462.8</v>
      </c>
      <c r="K13" s="428"/>
      <c r="L13" s="377"/>
      <c r="N13" s="382">
        <v>349</v>
      </c>
      <c r="O13" s="382"/>
    </row>
    <row r="14" spans="1:15">
      <c r="A14" s="1565" t="s">
        <v>138</v>
      </c>
      <c r="B14" s="1566"/>
      <c r="C14" s="1567"/>
      <c r="D14" s="472"/>
      <c r="E14" s="472"/>
      <c r="F14" s="1097"/>
      <c r="G14" s="1260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5" t="s">
        <v>139</v>
      </c>
      <c r="B15" s="790"/>
      <c r="C15" s="790"/>
      <c r="D15" s="791" t="s">
        <v>140</v>
      </c>
      <c r="E15" s="1256">
        <f>'4'!F15</f>
        <v>1672458</v>
      </c>
      <c r="F15" s="1256">
        <v>1672745</v>
      </c>
      <c r="G15" s="1257">
        <f t="shared" ref="G15" si="2">F15-E15</f>
        <v>287</v>
      </c>
      <c r="H15" s="1258">
        <f>G15+'4'!H15</f>
        <v>2088</v>
      </c>
      <c r="I15" s="1099">
        <v>800</v>
      </c>
      <c r="J15" s="1259">
        <f>H15/DAY(B2)</f>
        <v>417.6</v>
      </c>
      <c r="K15" s="428"/>
      <c r="L15" s="377"/>
      <c r="N15" s="382"/>
      <c r="O15" s="382"/>
    </row>
    <row r="16" spans="1:15">
      <c r="A16" s="793"/>
      <c r="B16" s="794"/>
      <c r="C16" s="794"/>
      <c r="D16" s="791"/>
      <c r="E16" s="1256"/>
      <c r="F16" s="1256"/>
      <c r="G16" s="1257"/>
      <c r="H16" s="1258"/>
      <c r="I16" s="1095">
        <f>I15-J15</f>
        <v>382.4</v>
      </c>
      <c r="J16" s="1259"/>
      <c r="K16" s="428"/>
      <c r="L16" s="377"/>
      <c r="N16" s="382"/>
      <c r="O16" s="382"/>
    </row>
    <row r="17" spans="1:15">
      <c r="A17" s="1565" t="s">
        <v>141</v>
      </c>
      <c r="B17" s="1566"/>
      <c r="C17" s="1567"/>
      <c r="D17" s="472"/>
      <c r="E17" s="472"/>
      <c r="F17" s="1097"/>
      <c r="G17" s="1258"/>
      <c r="H17" s="472"/>
      <c r="I17" s="472"/>
      <c r="J17" s="551"/>
      <c r="K17" s="428"/>
      <c r="L17" s="377"/>
      <c r="N17" s="382"/>
      <c r="O17" s="382"/>
    </row>
    <row r="18" spans="1:15" ht="27.75">
      <c r="A18" s="1591" t="s">
        <v>142</v>
      </c>
      <c r="B18" s="1592"/>
      <c r="C18" s="1593"/>
      <c r="D18" s="638" t="s">
        <v>143</v>
      </c>
      <c r="E18" s="635">
        <v>6</v>
      </c>
      <c r="F18" s="1249">
        <v>6</v>
      </c>
      <c r="G18" s="1257">
        <f>F18*10</f>
        <v>60</v>
      </c>
      <c r="H18" s="682">
        <f>G18+'4'!H18</f>
        <v>320</v>
      </c>
      <c r="I18" s="683">
        <f>'1'!I18</f>
        <v>65</v>
      </c>
      <c r="J18" s="684">
        <f>H18/DAY(B2)</f>
        <v>64</v>
      </c>
      <c r="K18" s="428"/>
      <c r="L18" s="377"/>
      <c r="N18" s="382"/>
      <c r="O18" s="382"/>
    </row>
    <row r="19" spans="1:15" ht="27.75">
      <c r="A19" s="1591" t="s">
        <v>71</v>
      </c>
      <c r="B19" s="1592"/>
      <c r="C19" s="1593"/>
      <c r="D19" s="638" t="s">
        <v>143</v>
      </c>
      <c r="E19" s="635">
        <f>'4'!F19</f>
        <v>138022</v>
      </c>
      <c r="F19" s="1249">
        <v>138075</v>
      </c>
      <c r="G19" s="1257">
        <f t="shared" ref="G19" si="3">F19-E19</f>
        <v>53</v>
      </c>
      <c r="H19" s="682">
        <f>G19+'4'!H19</f>
        <v>263</v>
      </c>
      <c r="I19" s="699"/>
      <c r="J19" s="684">
        <f>H19/DAY(B2)</f>
        <v>52.6</v>
      </c>
      <c r="K19" s="428"/>
      <c r="L19" s="377"/>
      <c r="N19" s="382"/>
      <c r="O19" s="382"/>
    </row>
    <row r="20" spans="1:15">
      <c r="A20" s="695" t="s">
        <v>144</v>
      </c>
      <c r="B20" s="696"/>
      <c r="C20" s="696"/>
      <c r="D20" s="638"/>
      <c r="E20" s="638"/>
      <c r="F20" s="638"/>
      <c r="G20" s="1261">
        <f>G18+G19</f>
        <v>113</v>
      </c>
      <c r="H20" s="682">
        <f>G20+'4'!H20</f>
        <v>583</v>
      </c>
      <c r="I20" s="701">
        <f>I18-J20</f>
        <v>-51.599999999999994</v>
      </c>
      <c r="J20" s="684">
        <f>H20/DAY(B2)</f>
        <v>116.6</v>
      </c>
      <c r="K20" s="428"/>
      <c r="L20" s="377"/>
      <c r="N20" s="382"/>
      <c r="O20" s="382"/>
    </row>
    <row r="21" spans="1:15">
      <c r="A21" s="1565" t="s">
        <v>145</v>
      </c>
      <c r="B21" s="1566"/>
      <c r="C21" s="1567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146</v>
      </c>
      <c r="B22" s="589"/>
      <c r="C22" s="589"/>
      <c r="D22" s="523" t="s">
        <v>147</v>
      </c>
      <c r="E22" s="635"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148</v>
      </c>
      <c r="B23" s="589"/>
      <c r="C23" s="589"/>
      <c r="D23" s="523" t="s">
        <v>147</v>
      </c>
      <c r="E23" s="635">
        <v>2000</v>
      </c>
      <c r="F23" s="635">
        <v>2000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637">
        <v>4970</v>
      </c>
      <c r="F24" s="637">
        <v>4970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0" t="s">
        <v>150</v>
      </c>
      <c r="B25" s="1571"/>
      <c r="C25" s="1572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15811</v>
      </c>
      <c r="F27" s="501">
        <v>9</v>
      </c>
      <c r="G27" s="502">
        <f>E27*F27</f>
        <v>142299</v>
      </c>
      <c r="H27" s="460">
        <f>G27+'4'!H27</f>
        <v>721890</v>
      </c>
      <c r="I27" s="503"/>
      <c r="J27" s="552">
        <f>H27/DAY(B2)</f>
        <v>144378</v>
      </c>
      <c r="K27" s="373"/>
      <c r="L27" s="443"/>
      <c r="N27" s="382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702">
        <f>G15</f>
        <v>287</v>
      </c>
      <c r="F28" s="501">
        <v>49</v>
      </c>
      <c r="G28" s="502">
        <f>E28*F28</f>
        <v>14063</v>
      </c>
      <c r="H28" s="460">
        <f>G28+'4'!H28</f>
        <v>102312</v>
      </c>
      <c r="I28" s="505"/>
      <c r="J28" s="552">
        <f>H28/DAY(B2)</f>
        <v>20462.400000000001</v>
      </c>
      <c r="K28" s="373"/>
      <c r="L28" s="443"/>
      <c r="N28" s="382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702">
        <f>G19</f>
        <v>53</v>
      </c>
      <c r="F30" s="501">
        <v>134</v>
      </c>
      <c r="G30" s="502">
        <f>E30*F30</f>
        <v>7102</v>
      </c>
      <c r="H30" s="460">
        <f>G30+'4'!H30</f>
        <v>35242</v>
      </c>
      <c r="I30" s="505"/>
      <c r="J30" s="552">
        <f>H30/DAY(B2)</f>
        <v>7048.4</v>
      </c>
      <c r="K30" s="373"/>
      <c r="L30" s="443"/>
      <c r="N30" s="382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702">
        <f>G18</f>
        <v>60</v>
      </c>
      <c r="F31" s="501">
        <v>80</v>
      </c>
      <c r="G31" s="502">
        <f>E31*F31</f>
        <v>4800</v>
      </c>
      <c r="H31" s="460">
        <f>G31+'4'!H31</f>
        <v>25600</v>
      </c>
      <c r="I31" s="505"/>
      <c r="J31" s="552">
        <f>H31/DAY(B2)</f>
        <v>5120</v>
      </c>
      <c r="K31" s="373"/>
      <c r="L31" s="443"/>
      <c r="N31" s="382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639"/>
      <c r="G32" s="508">
        <f>G27+G28+G29+G30+G31</f>
        <v>168264</v>
      </c>
      <c r="H32" s="460">
        <f>G32+'4'!H32</f>
        <v>885044</v>
      </c>
      <c r="I32" s="509"/>
      <c r="J32" s="552">
        <f>H32/DAY(B2)</f>
        <v>177008.8</v>
      </c>
      <c r="K32" s="373"/>
      <c r="L32" s="443"/>
      <c r="N32" s="382"/>
      <c r="O32" s="382"/>
    </row>
    <row r="33" spans="1:15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  <c r="O33" s="382"/>
    </row>
    <row r="34" spans="1:15">
      <c r="A34" s="598" t="s">
        <v>162</v>
      </c>
      <c r="B34" s="1148"/>
      <c r="C34" s="1148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'4'!F35</f>
        <v>894970</v>
      </c>
      <c r="F35" s="1242">
        <v>897088</v>
      </c>
      <c r="G35" s="473">
        <f t="shared" ref="G35:G46" si="5">F35-E35</f>
        <v>2118</v>
      </c>
      <c r="H35" s="460">
        <f>G35+'4'!H35</f>
        <v>10629</v>
      </c>
      <c r="I35" s="455"/>
      <c r="J35" s="552">
        <f>H35/DAY(B2)</f>
        <v>2125.8000000000002</v>
      </c>
      <c r="K35" s="428"/>
      <c r="L35" s="377"/>
      <c r="N35" s="382"/>
      <c r="O35" s="382"/>
    </row>
    <row r="36" spans="1:15">
      <c r="A36" s="578" t="s">
        <v>164</v>
      </c>
      <c r="B36" s="579"/>
      <c r="C36" s="579"/>
      <c r="D36" s="523" t="s">
        <v>131</v>
      </c>
      <c r="E36" s="510">
        <f>'4'!F36</f>
        <v>346095</v>
      </c>
      <c r="F36" s="1242">
        <v>346435</v>
      </c>
      <c r="G36" s="473">
        <f t="shared" si="5"/>
        <v>340</v>
      </c>
      <c r="H36" s="460">
        <f>G36+'4'!H36</f>
        <v>1827</v>
      </c>
      <c r="I36" s="455"/>
      <c r="J36" s="552">
        <f>H36/DAY(B2)</f>
        <v>365.4</v>
      </c>
      <c r="K36" s="428"/>
      <c r="L36" s="377"/>
      <c r="N36" s="628"/>
      <c r="O36" s="382"/>
    </row>
    <row r="37" spans="1:15">
      <c r="A37" s="578" t="s">
        <v>165</v>
      </c>
      <c r="B37" s="579"/>
      <c r="C37" s="579"/>
      <c r="D37" s="523" t="s">
        <v>131</v>
      </c>
      <c r="E37" s="640">
        <v>100208</v>
      </c>
      <c r="F37" s="1242">
        <v>101398</v>
      </c>
      <c r="G37" s="473">
        <f t="shared" si="5"/>
        <v>1190</v>
      </c>
      <c r="H37" s="460">
        <f>G37+'4'!H37</f>
        <v>6173</v>
      </c>
      <c r="I37" s="455"/>
      <c r="J37" s="552">
        <f>H37/DAY(B2)</f>
        <v>1234.5999999999999</v>
      </c>
      <c r="K37" s="428"/>
      <c r="L37" s="377"/>
      <c r="N37" s="629"/>
      <c r="O37" s="382"/>
    </row>
    <row r="38" spans="1:15">
      <c r="A38" s="578" t="s">
        <v>166</v>
      </c>
      <c r="B38" s="579"/>
      <c r="C38" s="579"/>
      <c r="D38" s="523" t="s">
        <v>131</v>
      </c>
      <c r="E38" s="641">
        <v>124846</v>
      </c>
      <c r="F38" s="1243">
        <v>126054</v>
      </c>
      <c r="G38" s="473">
        <f t="shared" si="5"/>
        <v>1208</v>
      </c>
      <c r="H38" s="460">
        <f>G38+'4'!H38</f>
        <v>6458</v>
      </c>
      <c r="I38" s="455"/>
      <c r="J38" s="552">
        <f>H38/DAY(B2)</f>
        <v>1291.5999999999999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640">
        <v>254017</v>
      </c>
      <c r="F39" s="1242">
        <v>255727</v>
      </c>
      <c r="G39" s="473">
        <f t="shared" si="5"/>
        <v>1710</v>
      </c>
      <c r="H39" s="460">
        <f>G39+'4'!H39</f>
        <v>9074</v>
      </c>
      <c r="I39" s="455"/>
      <c r="J39" s="552">
        <f>H39/DAY(B2)</f>
        <v>1814.8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640">
        <v>0</v>
      </c>
      <c r="F40" s="1242">
        <v>0</v>
      </c>
      <c r="G40" s="473">
        <f t="shared" si="5"/>
        <v>0</v>
      </c>
      <c r="H40" s="460">
        <f>G40+'4'!H40</f>
        <v>-0.23</v>
      </c>
      <c r="I40" s="455"/>
      <c r="J40" s="552">
        <f>H40/DAY(B2)</f>
        <v>-4.5999999999999999E-2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640">
        <v>201104</v>
      </c>
      <c r="F41" s="1242">
        <v>206065</v>
      </c>
      <c r="G41" s="473">
        <f t="shared" si="5"/>
        <v>4961</v>
      </c>
      <c r="H41" s="460">
        <f>G41+'4'!H41</f>
        <v>24537</v>
      </c>
      <c r="I41" s="455"/>
      <c r="J41" s="552">
        <f>H41/DAY(B2)</f>
        <v>4907.3999999999996</v>
      </c>
      <c r="K41" s="428"/>
      <c r="L41" s="377"/>
      <c r="N41" s="382"/>
      <c r="O41" s="382"/>
    </row>
    <row r="42" spans="1:15">
      <c r="A42" s="578" t="s">
        <v>170</v>
      </c>
      <c r="B42" s="579"/>
      <c r="C42" s="579"/>
      <c r="D42" s="523" t="s">
        <v>131</v>
      </c>
      <c r="E42" s="640">
        <v>59200</v>
      </c>
      <c r="F42" s="1242">
        <v>59200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640">
        <v>982927</v>
      </c>
      <c r="F43" s="1242">
        <v>985171</v>
      </c>
      <c r="G43" s="473">
        <f t="shared" si="5"/>
        <v>2244</v>
      </c>
      <c r="H43" s="460">
        <f>G43+'4'!H43</f>
        <v>11213</v>
      </c>
      <c r="I43" s="455"/>
      <c r="J43" s="552">
        <f>H43/DAY(B2)</f>
        <v>2242.6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'4'!F44</f>
        <v>0</v>
      </c>
      <c r="F44" s="1242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'4'!F45</f>
        <v>614</v>
      </c>
      <c r="F45" s="1242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'4'!F46</f>
        <v>187</v>
      </c>
      <c r="F46" s="1242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1244"/>
      <c r="G47" s="481">
        <f>G35+G36+G37+G38+G39+G40+G41+G42+G43+G44+G45+G46</f>
        <v>13771</v>
      </c>
      <c r="H47" s="460">
        <f>G47+'4'!H47</f>
        <v>69910.77</v>
      </c>
      <c r="I47" s="455"/>
      <c r="J47" s="552">
        <f>H47/DAY(B2)</f>
        <v>13982.154</v>
      </c>
      <c r="K47" s="428"/>
      <c r="L47" s="377"/>
      <c r="N47" s="382"/>
      <c r="O47" s="382"/>
    </row>
    <row r="48" spans="1:15">
      <c r="A48" s="598" t="s">
        <v>176</v>
      </c>
      <c r="B48" s="1148"/>
      <c r="C48" s="1148"/>
      <c r="D48" s="472"/>
      <c r="E48" s="471"/>
      <c r="F48" s="1245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'4'!F49</f>
        <v>260732</v>
      </c>
      <c r="F49" s="1242">
        <v>260732</v>
      </c>
      <c r="G49" s="473">
        <f t="shared" ref="G49:G58" si="6">F49-E49</f>
        <v>0</v>
      </c>
      <c r="H49" s="460">
        <f>G49+'4'!H49</f>
        <v>-0.13000000000465661</v>
      </c>
      <c r="I49" s="455"/>
      <c r="J49" s="552">
        <f>H49/DAY(B2)</f>
        <v>-2.6000000000931323E-2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'4'!F50</f>
        <v>478454</v>
      </c>
      <c r="F50" s="1242">
        <v>479444</v>
      </c>
      <c r="G50" s="473">
        <f t="shared" si="6"/>
        <v>990</v>
      </c>
      <c r="H50" s="460">
        <f>G50+'4'!H50</f>
        <v>4908</v>
      </c>
      <c r="I50" s="455"/>
      <c r="J50" s="552">
        <f>H50/DAY(B2)</f>
        <v>981.6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'4'!F51</f>
        <v>144640</v>
      </c>
      <c r="F51" s="1242">
        <v>144640</v>
      </c>
      <c r="G51" s="473">
        <f t="shared" si="6"/>
        <v>0</v>
      </c>
      <c r="H51" s="460">
        <f>G51+'4'!H51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'4'!F52</f>
        <v>539606</v>
      </c>
      <c r="F52" s="1242">
        <v>539606</v>
      </c>
      <c r="G52" s="473">
        <f t="shared" si="6"/>
        <v>0</v>
      </c>
      <c r="H52" s="460">
        <f>G52+'4'!H52</f>
        <v>0</v>
      </c>
      <c r="I52" s="455"/>
      <c r="J52" s="552">
        <f>H52/DAY(B2)</f>
        <v>0</v>
      </c>
      <c r="K52" s="428"/>
      <c r="L52" s="377"/>
      <c r="N52" s="382"/>
      <c r="O52" s="382"/>
    </row>
    <row r="53" spans="1:15">
      <c r="A53" s="578" t="s">
        <v>167</v>
      </c>
      <c r="B53" s="601"/>
      <c r="C53" s="601"/>
      <c r="D53" s="523" t="s">
        <v>131</v>
      </c>
      <c r="E53" s="510">
        <f>'4'!F53</f>
        <v>418571</v>
      </c>
      <c r="F53" s="1242">
        <v>419100</v>
      </c>
      <c r="G53" s="473">
        <f t="shared" si="6"/>
        <v>529</v>
      </c>
      <c r="H53" s="460">
        <f>G53+'4'!H53</f>
        <v>2789</v>
      </c>
      <c r="I53" s="455"/>
      <c r="J53" s="552">
        <f>H53/DAY(B2)</f>
        <v>557.79999999999995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'4'!F54</f>
        <v>11672</v>
      </c>
      <c r="F54" s="1242">
        <v>11743</v>
      </c>
      <c r="G54" s="473">
        <f t="shared" si="6"/>
        <v>71</v>
      </c>
      <c r="H54" s="460">
        <f>G54+'4'!H54</f>
        <v>365</v>
      </c>
      <c r="I54" s="455"/>
      <c r="J54" s="552">
        <f>H54/DAY(B2)</f>
        <v>73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'4'!F55</f>
        <v>346926</v>
      </c>
      <c r="F55" s="1254">
        <v>346926</v>
      </c>
      <c r="G55" s="473">
        <f t="shared" si="6"/>
        <v>0</v>
      </c>
      <c r="H55" s="460">
        <f>G55+'4'!H55</f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'4'!F56</f>
        <v>589336</v>
      </c>
      <c r="F56" s="1254">
        <v>589345</v>
      </c>
      <c r="G56" s="473">
        <f t="shared" si="6"/>
        <v>9</v>
      </c>
      <c r="H56" s="460">
        <f>G56+'4'!H56</f>
        <v>56.53000000002794</v>
      </c>
      <c r="I56" s="455"/>
      <c r="J56" s="552">
        <f>H56/DAY(B2)</f>
        <v>11.306000000005588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'4'!F57</f>
        <v>7711</v>
      </c>
      <c r="F57" s="1242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'4'!F58</f>
        <v>47090</v>
      </c>
      <c r="F58" s="1246">
        <v>47133</v>
      </c>
      <c r="G58" s="473">
        <f t="shared" si="6"/>
        <v>43</v>
      </c>
      <c r="H58" s="460">
        <f>G58+'4'!H58</f>
        <v>465</v>
      </c>
      <c r="I58" s="455"/>
      <c r="J58" s="552">
        <f>H58/DAY(B2)</f>
        <v>93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1244"/>
      <c r="G59" s="481">
        <f>G49+G50+G51+G52+G53+G54+G55+G56+G57+G58</f>
        <v>1642</v>
      </c>
      <c r="H59" s="460">
        <f>G59+'4'!H59</f>
        <v>8583.4000000000233</v>
      </c>
      <c r="I59" s="455">
        <f>G7-G60</f>
        <v>341</v>
      </c>
      <c r="J59" s="552">
        <f>H59/DAY(B2)</f>
        <v>1716.6800000000046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1244"/>
      <c r="G60" s="481">
        <f>G47+G59</f>
        <v>15413</v>
      </c>
      <c r="H60" s="460">
        <f>G60+'4'!H60</f>
        <v>78494.170000000027</v>
      </c>
      <c r="I60" s="455">
        <f>G13-G60</f>
        <v>-175</v>
      </c>
      <c r="J60" s="552">
        <f>H60/DAY(B2)</f>
        <v>15698.834000000006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1247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186</v>
      </c>
      <c r="E62" s="514">
        <f>'4'!F62</f>
        <v>0</v>
      </c>
      <c r="F62" s="1248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'4'!F63</f>
        <v>2374</v>
      </c>
      <c r="F63" s="1248">
        <v>2378</v>
      </c>
      <c r="G63" s="473">
        <f t="shared" si="7"/>
        <v>4</v>
      </c>
      <c r="H63" s="460">
        <f>G63+'4'!H63</f>
        <v>19</v>
      </c>
      <c r="I63" s="515"/>
      <c r="J63" s="552">
        <f>H63/DAY(B2)</f>
        <v>3.8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186</v>
      </c>
      <c r="E64" s="484">
        <f>'4'!F64</f>
        <v>154137</v>
      </c>
      <c r="F64" s="1249">
        <v>154342</v>
      </c>
      <c r="G64" s="473">
        <f t="shared" si="7"/>
        <v>205</v>
      </c>
      <c r="H64" s="460">
        <f>G64+'4'!H64</f>
        <v>1043</v>
      </c>
      <c r="I64" s="480"/>
      <c r="J64" s="552">
        <f>H64/DAY(B2)</f>
        <v>208.6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186</v>
      </c>
      <c r="E65" s="484">
        <f>'4'!F65</f>
        <v>155406</v>
      </c>
      <c r="F65" s="1250">
        <v>155606</v>
      </c>
      <c r="G65" s="473">
        <f t="shared" si="7"/>
        <v>200</v>
      </c>
      <c r="H65" s="460">
        <f>G65+'4'!H65</f>
        <v>1007</v>
      </c>
      <c r="I65" s="489"/>
      <c r="J65" s="552">
        <f>H65/DAY(B2)</f>
        <v>201.4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186</v>
      </c>
      <c r="E66" s="484">
        <f>'4'!F66</f>
        <v>49645</v>
      </c>
      <c r="F66" s="1249">
        <v>49895</v>
      </c>
      <c r="G66" s="473">
        <f t="shared" si="7"/>
        <v>250</v>
      </c>
      <c r="H66" s="460">
        <f>G66+'4'!H66</f>
        <v>1324</v>
      </c>
      <c r="I66" s="480"/>
      <c r="J66" s="552">
        <f>H66/DAY(B2)</f>
        <v>264.8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186</v>
      </c>
      <c r="E67" s="484">
        <f>'4'!F67</f>
        <v>243946</v>
      </c>
      <c r="F67" s="1249">
        <v>244093</v>
      </c>
      <c r="G67" s="473">
        <f t="shared" si="7"/>
        <v>147</v>
      </c>
      <c r="H67" s="460">
        <f>G67+'4'!H67</f>
        <v>919</v>
      </c>
      <c r="I67" s="489"/>
      <c r="J67" s="552">
        <f>H67/DAY(B2)</f>
        <v>183.8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186</v>
      </c>
      <c r="E68" s="484">
        <f>'4'!F68</f>
        <v>85321</v>
      </c>
      <c r="F68" s="1249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186</v>
      </c>
      <c r="E69" s="484">
        <f>'4'!F69</f>
        <v>79332</v>
      </c>
      <c r="F69" s="1249">
        <v>79402</v>
      </c>
      <c r="G69" s="473">
        <f t="shared" si="7"/>
        <v>70</v>
      </c>
      <c r="H69" s="460">
        <f>G69+'4'!H69</f>
        <v>408</v>
      </c>
      <c r="I69" s="516"/>
      <c r="J69" s="552">
        <f>H69/DAY(B2)</f>
        <v>81.599999999999994</v>
      </c>
      <c r="K69" s="431"/>
      <c r="L69" s="377"/>
      <c r="N69" s="382"/>
      <c r="O69" s="382"/>
    </row>
    <row r="70" spans="1:15" ht="27.75">
      <c r="A70" s="1536" t="s">
        <v>188</v>
      </c>
      <c r="B70" s="1537"/>
      <c r="C70" s="1538"/>
      <c r="D70" s="523" t="s">
        <v>186</v>
      </c>
      <c r="E70" s="518"/>
      <c r="F70" s="1251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  <c r="O71" s="382"/>
    </row>
    <row r="72" spans="1:15" ht="27.75">
      <c r="A72" s="1530" t="s">
        <v>190</v>
      </c>
      <c r="B72" s="1531"/>
      <c r="C72" s="1532"/>
      <c r="D72" s="523" t="s">
        <v>186</v>
      </c>
      <c r="E72" s="519">
        <f>'4'!F72</f>
        <v>855525</v>
      </c>
      <c r="F72" s="1262">
        <v>855540</v>
      </c>
      <c r="G72" s="473">
        <f t="shared" ref="G72:G84" si="8">F72-E72</f>
        <v>15</v>
      </c>
      <c r="H72" s="460">
        <f>G72+'4'!H72</f>
        <v>79</v>
      </c>
      <c r="I72" s="480"/>
      <c r="J72" s="552">
        <f>H72/DAY(B2)</f>
        <v>15.8</v>
      </c>
      <c r="K72" s="431"/>
      <c r="L72" s="377"/>
      <c r="N72" s="382"/>
      <c r="O72" s="382"/>
    </row>
    <row r="73" spans="1:15" ht="27.75">
      <c r="A73" s="1530" t="s">
        <v>191</v>
      </c>
      <c r="B73" s="1531"/>
      <c r="C73" s="1532"/>
      <c r="D73" s="523" t="s">
        <v>186</v>
      </c>
      <c r="E73" s="520">
        <f>'4'!F73</f>
        <v>885881</v>
      </c>
      <c r="F73" s="1263">
        <v>885882</v>
      </c>
      <c r="G73" s="655">
        <f t="shared" si="8"/>
        <v>1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>
      <c r="A74" s="1530" t="s">
        <v>192</v>
      </c>
      <c r="B74" s="1531"/>
      <c r="C74" s="1532"/>
      <c r="D74" s="523" t="s">
        <v>186</v>
      </c>
      <c r="E74" s="521">
        <f>'4'!F74</f>
        <v>2351</v>
      </c>
      <c r="F74" s="1262">
        <v>2373</v>
      </c>
      <c r="G74" s="473">
        <f t="shared" si="8"/>
        <v>22</v>
      </c>
      <c r="H74" s="460">
        <f>G74+'4'!H74</f>
        <v>94</v>
      </c>
      <c r="I74" s="480"/>
      <c r="J74" s="552">
        <f>H74/DAY(B2)</f>
        <v>18.8</v>
      </c>
      <c r="K74" s="431"/>
      <c r="L74" s="377"/>
      <c r="N74" s="382"/>
      <c r="O74" s="382"/>
    </row>
    <row r="75" spans="1:15" ht="27.75">
      <c r="A75" s="1527" t="s">
        <v>193</v>
      </c>
      <c r="B75" s="1528"/>
      <c r="C75" s="1529"/>
      <c r="D75" s="523" t="s">
        <v>186</v>
      </c>
      <c r="E75" s="521">
        <f>'4'!F75</f>
        <v>11181</v>
      </c>
      <c r="F75" s="1264">
        <v>11231</v>
      </c>
      <c r="G75" s="473">
        <f t="shared" si="8"/>
        <v>50</v>
      </c>
      <c r="H75" s="460">
        <f>G75+'4'!H75</f>
        <v>261</v>
      </c>
      <c r="I75" s="480"/>
      <c r="J75" s="552">
        <f>H75/DAY(B2)</f>
        <v>52.2</v>
      </c>
      <c r="K75" s="430"/>
      <c r="L75" s="377"/>
      <c r="N75" s="382"/>
      <c r="O75" s="382"/>
    </row>
    <row r="76" spans="1:15" ht="27.75">
      <c r="A76" s="1527" t="s">
        <v>194</v>
      </c>
      <c r="B76" s="1528"/>
      <c r="C76" s="1529"/>
      <c r="D76" s="523" t="s">
        <v>186</v>
      </c>
      <c r="E76" s="520">
        <f>'4'!F76</f>
        <v>5930</v>
      </c>
      <c r="F76" s="1263">
        <v>5979</v>
      </c>
      <c r="G76" s="473">
        <f t="shared" si="8"/>
        <v>49</v>
      </c>
      <c r="H76" s="460">
        <f>G76+'4'!H76</f>
        <v>270</v>
      </c>
      <c r="I76" s="505"/>
      <c r="J76" s="552">
        <f>H76/DAY(B2)</f>
        <v>54</v>
      </c>
      <c r="K76" s="430"/>
      <c r="L76" s="377"/>
      <c r="N76" s="382"/>
      <c r="O76" s="382"/>
    </row>
    <row r="77" spans="1:15" ht="27.75">
      <c r="A77" s="1530" t="s">
        <v>195</v>
      </c>
      <c r="B77" s="1531"/>
      <c r="C77" s="1532"/>
      <c r="D77" s="523" t="s">
        <v>186</v>
      </c>
      <c r="E77" s="520">
        <f>'4'!F77</f>
        <v>701760</v>
      </c>
      <c r="F77" s="1263">
        <v>701807</v>
      </c>
      <c r="G77" s="655">
        <f t="shared" si="8"/>
        <v>47</v>
      </c>
      <c r="H77" s="460">
        <f>G77+'4'!H77</f>
        <v>245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>
      <c r="A78" s="1146" t="s">
        <v>196</v>
      </c>
      <c r="B78" s="1119"/>
      <c r="C78" s="1119"/>
      <c r="D78" s="523" t="s">
        <v>186</v>
      </c>
      <c r="E78" s="521">
        <f>'4'!F78</f>
        <v>670400</v>
      </c>
      <c r="F78" s="1264">
        <v>670446</v>
      </c>
      <c r="G78" s="473">
        <f t="shared" si="8"/>
        <v>46</v>
      </c>
      <c r="H78" s="460">
        <f>G78+'4'!H78</f>
        <v>421</v>
      </c>
      <c r="I78" s="505"/>
      <c r="J78" s="552">
        <f>H78/DAY(B2)</f>
        <v>84.2</v>
      </c>
      <c r="K78" s="430"/>
      <c r="L78" s="377"/>
      <c r="N78" s="382"/>
      <c r="O78" s="382"/>
    </row>
    <row r="79" spans="1:15" ht="27.75">
      <c r="A79" s="1527" t="s">
        <v>92</v>
      </c>
      <c r="B79" s="1528"/>
      <c r="C79" s="1529"/>
      <c r="D79" s="524" t="s">
        <v>186</v>
      </c>
      <c r="E79" s="521">
        <f>'4'!F79</f>
        <v>827512</v>
      </c>
      <c r="F79" s="1264">
        <v>827689</v>
      </c>
      <c r="G79" s="473">
        <f t="shared" si="8"/>
        <v>177</v>
      </c>
      <c r="H79" s="460">
        <f>G79+'4'!H79</f>
        <v>905</v>
      </c>
      <c r="I79" s="505"/>
      <c r="J79" s="552">
        <f>H79/DAY(B2)</f>
        <v>181</v>
      </c>
      <c r="K79" s="430"/>
      <c r="L79" s="377"/>
      <c r="N79" s="382"/>
      <c r="O79" s="382"/>
    </row>
    <row r="80" spans="1:15" ht="27.75">
      <c r="A80" s="1527" t="s">
        <v>197</v>
      </c>
      <c r="B80" s="1528"/>
      <c r="C80" s="1529"/>
      <c r="D80" s="524" t="s">
        <v>186</v>
      </c>
      <c r="E80" s="520">
        <f>'4'!F80</f>
        <v>518233</v>
      </c>
      <c r="F80" s="1263">
        <v>518572</v>
      </c>
      <c r="G80" s="473">
        <f t="shared" si="8"/>
        <v>339</v>
      </c>
      <c r="H80" s="460">
        <f>G80+'4'!H80</f>
        <v>1834</v>
      </c>
      <c r="I80" s="505"/>
      <c r="J80" s="552">
        <f>H80/DAY(B2)</f>
        <v>366.8</v>
      </c>
      <c r="K80" s="430"/>
      <c r="L80" s="377"/>
      <c r="N80" s="382"/>
      <c r="O80" s="382"/>
    </row>
    <row r="81" spans="1:15" ht="27.75">
      <c r="A81" s="1527" t="s">
        <v>198</v>
      </c>
      <c r="B81" s="1528"/>
      <c r="C81" s="1529"/>
      <c r="D81" s="524" t="s">
        <v>186</v>
      </c>
      <c r="E81" s="520">
        <f>'4'!F81</f>
        <v>636768</v>
      </c>
      <c r="F81" s="1263">
        <v>636838</v>
      </c>
      <c r="G81" s="473">
        <f t="shared" si="8"/>
        <v>70</v>
      </c>
      <c r="H81" s="460">
        <f>G81+'4'!H81</f>
        <v>360</v>
      </c>
      <c r="I81" s="505"/>
      <c r="J81" s="552">
        <f>H81/DAY(B2)</f>
        <v>72</v>
      </c>
      <c r="K81" s="430"/>
      <c r="L81" s="377"/>
      <c r="N81" s="382"/>
      <c r="O81" s="382"/>
    </row>
    <row r="82" spans="1:15" ht="27.75">
      <c r="A82" s="1527" t="s">
        <v>93</v>
      </c>
      <c r="B82" s="1528"/>
      <c r="C82" s="1529"/>
      <c r="D82" s="485" t="s">
        <v>131</v>
      </c>
      <c r="E82" s="522">
        <f>'4'!F82</f>
        <v>107675</v>
      </c>
      <c r="F82" s="1250">
        <v>107685</v>
      </c>
      <c r="G82" s="473">
        <f t="shared" si="8"/>
        <v>10</v>
      </c>
      <c r="H82" s="460">
        <f>G82+'4'!H82</f>
        <v>73</v>
      </c>
      <c r="I82" s="486"/>
      <c r="J82" s="552">
        <f>H82/DAY(B2)</f>
        <v>14.6</v>
      </c>
      <c r="K82" s="430"/>
      <c r="L82" s="377"/>
      <c r="N82" s="382"/>
      <c r="O82" s="382"/>
    </row>
    <row r="83" spans="1:15" ht="27.75">
      <c r="A83" s="1527" t="s">
        <v>199</v>
      </c>
      <c r="B83" s="1528"/>
      <c r="C83" s="1529"/>
      <c r="D83" s="620" t="s">
        <v>131</v>
      </c>
      <c r="E83" s="511">
        <f>'4'!F83</f>
        <v>15695</v>
      </c>
      <c r="F83" s="1244">
        <v>15884</v>
      </c>
      <c r="G83" s="473">
        <f t="shared" si="8"/>
        <v>189</v>
      </c>
      <c r="H83" s="460">
        <f>G83+'4'!H83</f>
        <v>1113</v>
      </c>
      <c r="I83" s="481"/>
      <c r="J83" s="552">
        <f>H83/DAY(B2)</f>
        <v>222.6</v>
      </c>
      <c r="K83" s="429"/>
      <c r="L83" s="377"/>
      <c r="N83" s="382"/>
      <c r="O83" s="382"/>
    </row>
    <row r="84" spans="1:15">
      <c r="A84" s="1147" t="s">
        <v>200</v>
      </c>
      <c r="B84" s="571"/>
      <c r="C84" s="571"/>
      <c r="D84" s="478" t="s">
        <v>131</v>
      </c>
      <c r="E84" s="627">
        <f>'4'!F84</f>
        <v>483194</v>
      </c>
      <c r="F84" s="1265">
        <v>483976</v>
      </c>
      <c r="G84" s="473">
        <f t="shared" si="8"/>
        <v>782</v>
      </c>
      <c r="H84" s="460">
        <f>G84+'4'!H84</f>
        <v>3843</v>
      </c>
      <c r="I84" s="481"/>
      <c r="J84" s="552">
        <f>H84/DAY(B2)</f>
        <v>768.6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627">
        <f>'4'!F85</f>
        <v>0</v>
      </c>
      <c r="F85" s="1100"/>
      <c r="G85" s="460">
        <f xml:space="preserve"> SUM(G71:G84)</f>
        <v>1797</v>
      </c>
      <c r="H85" s="460">
        <f>G85+'4'!H85</f>
        <v>9504</v>
      </c>
      <c r="I85" s="481"/>
      <c r="J85" s="552">
        <f>H85/DAY(B2)</f>
        <v>1900.8</v>
      </c>
      <c r="K85" s="380"/>
      <c r="L85" s="378"/>
      <c r="N85" s="382"/>
      <c r="O85" s="382"/>
    </row>
    <row r="86" spans="1:15" s="738" customFormat="1">
      <c r="A86" s="733" t="s">
        <v>94</v>
      </c>
      <c r="B86" s="734"/>
      <c r="C86" s="734"/>
      <c r="D86" s="735" t="s">
        <v>182</v>
      </c>
      <c r="E86" s="627">
        <f>'4'!F86</f>
        <v>459766</v>
      </c>
      <c r="F86" s="1265">
        <v>459964</v>
      </c>
      <c r="G86" s="708">
        <f t="shared" ref="G86:G91" si="9">F86-E86</f>
        <v>198</v>
      </c>
      <c r="H86" s="460">
        <f>G86+'4'!H86</f>
        <v>697</v>
      </c>
      <c r="I86" s="655"/>
      <c r="J86" s="710">
        <f>H86/DAY(B2)</f>
        <v>139.4</v>
      </c>
      <c r="K86" s="736"/>
      <c r="L86" s="737"/>
      <c r="N86" s="780">
        <f>G86-173</f>
        <v>25</v>
      </c>
      <c r="O86" s="382"/>
    </row>
    <row r="87" spans="1:15" s="738" customFormat="1">
      <c r="A87" s="733" t="s">
        <v>95</v>
      </c>
      <c r="B87" s="734"/>
      <c r="C87" s="734"/>
      <c r="D87" s="735" t="s">
        <v>182</v>
      </c>
      <c r="E87" s="627">
        <f>'4'!F87</f>
        <v>80961</v>
      </c>
      <c r="F87" s="1265">
        <v>80979</v>
      </c>
      <c r="G87" s="708">
        <f t="shared" si="9"/>
        <v>18</v>
      </c>
      <c r="H87" s="460">
        <f>G87+'4'!H87</f>
        <v>60</v>
      </c>
      <c r="I87" s="655"/>
      <c r="J87" s="710">
        <f>H87/DAY(B2)</f>
        <v>12</v>
      </c>
      <c r="K87" s="736"/>
      <c r="L87" s="737"/>
      <c r="N87" s="738">
        <v>108</v>
      </c>
      <c r="O87" s="382"/>
    </row>
    <row r="88" spans="1:15" s="738" customFormat="1">
      <c r="A88" s="733" t="s">
        <v>96</v>
      </c>
      <c r="B88" s="734"/>
      <c r="C88" s="734"/>
      <c r="D88" s="735" t="s">
        <v>182</v>
      </c>
      <c r="E88" s="627">
        <f>'4'!F88</f>
        <v>152033</v>
      </c>
      <c r="F88" s="1265">
        <v>152056</v>
      </c>
      <c r="G88" s="708">
        <f t="shared" si="9"/>
        <v>23</v>
      </c>
      <c r="H88" s="460">
        <f>G88+'4'!H88</f>
        <v>251</v>
      </c>
      <c r="I88" s="655"/>
      <c r="J88" s="710">
        <f>H88/DAY(B2)</f>
        <v>50.2</v>
      </c>
      <c r="K88" s="736"/>
      <c r="L88" s="737"/>
      <c r="N88" s="738">
        <v>28</v>
      </c>
      <c r="O88" s="382"/>
    </row>
    <row r="89" spans="1:15" s="738" customFormat="1">
      <c r="A89" s="733" t="s">
        <v>202</v>
      </c>
      <c r="B89" s="734"/>
      <c r="C89" s="734"/>
      <c r="D89" s="735" t="s">
        <v>182</v>
      </c>
      <c r="E89" s="627">
        <f>'4'!F89</f>
        <v>64860</v>
      </c>
      <c r="F89" s="1265">
        <v>64866</v>
      </c>
      <c r="G89" s="708">
        <f t="shared" si="9"/>
        <v>6</v>
      </c>
      <c r="H89" s="460">
        <f>G89+'4'!H89</f>
        <v>32</v>
      </c>
      <c r="I89" s="655"/>
      <c r="J89" s="710">
        <f>H89/DAY(B2)</f>
        <v>6.4</v>
      </c>
      <c r="K89" s="736"/>
      <c r="L89" s="737"/>
      <c r="N89" s="780">
        <v>342</v>
      </c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27">
        <f>'4'!F90</f>
        <v>3272</v>
      </c>
      <c r="F90" s="1265">
        <v>3272</v>
      </c>
      <c r="G90" s="708">
        <f t="shared" si="9"/>
        <v>0</v>
      </c>
      <c r="H90" s="460">
        <f>G90+'4'!H90</f>
        <v>0</v>
      </c>
      <c r="I90" s="655"/>
      <c r="J90" s="710">
        <f>H90/DAY(B2)</f>
        <v>0</v>
      </c>
      <c r="K90" s="736"/>
      <c r="L90" s="737"/>
      <c r="N90" s="780">
        <v>349</v>
      </c>
      <c r="O90" s="382"/>
    </row>
    <row r="91" spans="1:15" s="738" customFormat="1">
      <c r="A91" s="733" t="s">
        <v>361</v>
      </c>
      <c r="B91" s="734"/>
      <c r="C91" s="734"/>
      <c r="D91" s="735"/>
      <c r="E91" s="627">
        <f>'4'!F91</f>
        <v>27916.53</v>
      </c>
      <c r="F91" s="650">
        <v>27918.61</v>
      </c>
      <c r="G91" s="708">
        <f t="shared" si="9"/>
        <v>2.0800000000017462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472"/>
      <c r="F92" s="1097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f>'4'!F93</f>
        <v>244703</v>
      </c>
      <c r="F93" s="1249">
        <v>244729</v>
      </c>
      <c r="G93" s="473">
        <f t="shared" ref="G93:G94" si="10">F93-E93</f>
        <v>26</v>
      </c>
      <c r="H93" s="460">
        <f>G93+'4'!H93</f>
        <v>205</v>
      </c>
      <c r="I93" s="480"/>
      <c r="J93" s="552">
        <f>H93/DAY(B2)</f>
        <v>41</v>
      </c>
      <c r="K93" s="429"/>
      <c r="L93" s="377"/>
      <c r="N93" s="382"/>
      <c r="O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f>'4'!F94</f>
        <v>183909</v>
      </c>
      <c r="F94" s="1249">
        <v>183978</v>
      </c>
      <c r="G94" s="473">
        <f t="shared" si="10"/>
        <v>69</v>
      </c>
      <c r="H94" s="460">
        <f>G94+'4'!H94</f>
        <v>447</v>
      </c>
      <c r="I94" s="480"/>
      <c r="J94" s="552">
        <f>H94/DAY(B2)</f>
        <v>89.4</v>
      </c>
      <c r="K94" s="380"/>
      <c r="L94" s="377"/>
      <c r="N94" s="382"/>
      <c r="O94" s="382"/>
    </row>
    <row r="95" spans="1:15">
      <c r="A95" s="1579" t="s">
        <v>207</v>
      </c>
      <c r="B95" s="1580"/>
      <c r="C95" s="1581"/>
      <c r="D95" s="523"/>
      <c r="E95" s="484"/>
      <c r="F95" s="1249"/>
      <c r="G95" s="473">
        <f>G93+G94</f>
        <v>95</v>
      </c>
      <c r="H95" s="460">
        <f>G95+'4'!H95</f>
        <v>505</v>
      </c>
      <c r="I95" s="480"/>
      <c r="J95" s="552">
        <f>H95/DAY(B2)</f>
        <v>101</v>
      </c>
      <c r="K95" s="380"/>
      <c r="L95" s="377"/>
      <c r="N95" s="382"/>
      <c r="O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f>'4'!F96</f>
        <v>413123</v>
      </c>
      <c r="F96" s="1249">
        <v>413154</v>
      </c>
      <c r="G96" s="473">
        <f t="shared" ref="G96:G101" si="11">F96-E96</f>
        <v>31</v>
      </c>
      <c r="H96" s="460">
        <f>G96+'4'!H96</f>
        <v>268</v>
      </c>
      <c r="I96" s="480"/>
      <c r="J96" s="552">
        <f>H96/DAY(B2)</f>
        <v>53.6</v>
      </c>
      <c r="K96" s="380"/>
      <c r="L96" s="377"/>
      <c r="N96" s="382"/>
      <c r="O96" s="382"/>
    </row>
    <row r="97" spans="1:15" ht="27.75">
      <c r="A97" s="1143" t="s">
        <v>209</v>
      </c>
      <c r="B97" s="1144"/>
      <c r="C97" s="1144"/>
      <c r="D97" s="523" t="s">
        <v>143</v>
      </c>
      <c r="E97" s="484">
        <f>'4'!F97</f>
        <v>102393</v>
      </c>
      <c r="F97" s="1249">
        <v>102399</v>
      </c>
      <c r="G97" s="473">
        <f t="shared" si="11"/>
        <v>6</v>
      </c>
      <c r="H97" s="460">
        <f>G97+'4'!H97</f>
        <v>56</v>
      </c>
      <c r="I97" s="480"/>
      <c r="J97" s="552">
        <f>H97/DAY(B2)</f>
        <v>11.2</v>
      </c>
      <c r="K97" s="427"/>
      <c r="L97" s="377"/>
      <c r="N97" s="382"/>
      <c r="O97" s="382"/>
    </row>
    <row r="98" spans="1:15" ht="27.75">
      <c r="A98" s="1143" t="s">
        <v>210</v>
      </c>
      <c r="B98" s="1144"/>
      <c r="C98" s="1144"/>
      <c r="D98" s="523" t="s">
        <v>143</v>
      </c>
      <c r="E98" s="484">
        <f>'4'!F98</f>
        <v>97495</v>
      </c>
      <c r="F98" s="1249">
        <v>97506</v>
      </c>
      <c r="G98" s="473">
        <f t="shared" si="11"/>
        <v>11</v>
      </c>
      <c r="H98" s="460">
        <f>G98+'4'!H98</f>
        <v>79</v>
      </c>
      <c r="I98" s="480"/>
      <c r="J98" s="552">
        <f>H98/DAY(B2)</f>
        <v>15.8</v>
      </c>
      <c r="K98" s="432"/>
      <c r="L98" s="377"/>
      <c r="N98" s="382"/>
      <c r="O98" s="382"/>
    </row>
    <row r="99" spans="1:15" ht="27.75">
      <c r="A99" s="1143" t="s">
        <v>211</v>
      </c>
      <c r="B99" s="1144"/>
      <c r="C99" s="1144"/>
      <c r="D99" s="523" t="s">
        <v>143</v>
      </c>
      <c r="E99" s="635">
        <v>149553</v>
      </c>
      <c r="F99" s="1249">
        <v>149560</v>
      </c>
      <c r="G99" s="473">
        <f t="shared" si="11"/>
        <v>7</v>
      </c>
      <c r="H99" s="460">
        <f>G99+'4'!H99</f>
        <v>27</v>
      </c>
      <c r="I99" s="480"/>
      <c r="J99" s="552">
        <f>H99/DAY(B2)</f>
        <v>5.4</v>
      </c>
      <c r="K99" s="380"/>
      <c r="L99" s="377"/>
      <c r="N99" s="707"/>
      <c r="O99" s="382"/>
    </row>
    <row r="100" spans="1:15" ht="27.75">
      <c r="A100" s="1143" t="s">
        <v>212</v>
      </c>
      <c r="B100" s="1144"/>
      <c r="C100" s="1144"/>
      <c r="D100" s="523" t="s">
        <v>143</v>
      </c>
      <c r="E100" s="484">
        <f>'4'!F100</f>
        <v>7202</v>
      </c>
      <c r="F100" s="1249">
        <v>7205</v>
      </c>
      <c r="G100" s="473">
        <f t="shared" si="11"/>
        <v>3</v>
      </c>
      <c r="H100" s="460">
        <f>G100+'4'!H100</f>
        <v>20</v>
      </c>
      <c r="I100" s="480"/>
      <c r="J100" s="552">
        <f>H100/DAY(B2)</f>
        <v>4</v>
      </c>
      <c r="K100" s="380"/>
      <c r="L100" s="377"/>
      <c r="N100" s="382"/>
      <c r="O100" s="382"/>
    </row>
    <row r="101" spans="1:15" ht="27.75">
      <c r="A101" s="1143" t="s">
        <v>213</v>
      </c>
      <c r="B101" s="1144"/>
      <c r="C101" s="1144"/>
      <c r="D101" s="523" t="s">
        <v>143</v>
      </c>
      <c r="E101" s="484">
        <f>'4'!F101</f>
        <v>5169</v>
      </c>
      <c r="F101" s="1249">
        <v>5190</v>
      </c>
      <c r="G101" s="473">
        <f t="shared" si="11"/>
        <v>21</v>
      </c>
      <c r="H101" s="460">
        <f>G101+'4'!H101</f>
        <v>52</v>
      </c>
      <c r="I101" s="480"/>
      <c r="J101" s="552">
        <f>H101/DAY(B2)</f>
        <v>10.4</v>
      </c>
      <c r="K101" s="380"/>
      <c r="L101" s="377"/>
      <c r="N101" s="382"/>
      <c r="O101" s="382"/>
    </row>
    <row r="102" spans="1:15">
      <c r="A102" s="1579" t="s">
        <v>215</v>
      </c>
      <c r="B102" s="1580"/>
      <c r="C102" s="1581"/>
      <c r="D102" s="524"/>
      <c r="E102" s="524"/>
      <c r="F102" s="1260"/>
      <c r="G102" s="525">
        <f>SUM(G96:G101)</f>
        <v>79</v>
      </c>
      <c r="H102" s="460">
        <f>G102+'4'!H102</f>
        <v>502</v>
      </c>
      <c r="I102" s="526"/>
      <c r="J102" s="552">
        <f>H102/DAY(B2)</f>
        <v>100.4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1266"/>
      <c r="G103" s="529"/>
      <c r="H103" s="530"/>
      <c r="I103" s="531"/>
      <c r="J103" s="557"/>
      <c r="N103" s="382"/>
      <c r="O103" s="382"/>
    </row>
    <row r="104" spans="1:15" s="442" customFormat="1" ht="27.75">
      <c r="A104" s="1582" t="s">
        <v>217</v>
      </c>
      <c r="B104" s="1583"/>
      <c r="C104" s="573"/>
      <c r="D104" s="622"/>
      <c r="E104" s="532"/>
      <c r="F104" s="1267"/>
      <c r="G104" s="532"/>
      <c r="H104" s="533"/>
      <c r="I104" s="532"/>
      <c r="J104" s="558"/>
      <c r="N104" s="382"/>
      <c r="O104" s="382"/>
    </row>
    <row r="105" spans="1:15" s="442" customFormat="1" ht="27.75">
      <c r="A105" s="1543" t="s">
        <v>218</v>
      </c>
      <c r="B105" s="1544"/>
      <c r="C105" s="1142"/>
      <c r="D105" s="622" t="s">
        <v>143</v>
      </c>
      <c r="E105" s="532">
        <v>7431</v>
      </c>
      <c r="F105" s="1267">
        <v>7435</v>
      </c>
      <c r="G105" s="532">
        <f>F105-E105</f>
        <v>4</v>
      </c>
      <c r="H105" s="460">
        <f>G105+'4'!H105</f>
        <v>4</v>
      </c>
      <c r="I105" s="532"/>
      <c r="J105" s="558">
        <f>H105/DAY(B2)</f>
        <v>0.8</v>
      </c>
      <c r="N105" s="382"/>
      <c r="O105" s="382"/>
    </row>
    <row r="106" spans="1:15" s="442" customFormat="1" ht="27.75">
      <c r="A106" s="1543" t="s">
        <v>77</v>
      </c>
      <c r="B106" s="1544"/>
      <c r="C106" s="1142"/>
      <c r="D106" s="622" t="s">
        <v>143</v>
      </c>
      <c r="E106" s="534">
        <v>35847</v>
      </c>
      <c r="F106" s="1273">
        <v>35847</v>
      </c>
      <c r="G106" s="532">
        <f t="shared" ref="G106:G107" si="12">F106-E106</f>
        <v>0</v>
      </c>
      <c r="H106" s="460">
        <f>G106+'4'!H106</f>
        <v>19</v>
      </c>
      <c r="I106" s="532"/>
      <c r="J106" s="558">
        <f>H106/DAY(B2)</f>
        <v>3.8</v>
      </c>
      <c r="N106" s="382"/>
      <c r="O106" s="382"/>
    </row>
    <row r="107" spans="1:15" s="442" customFormat="1" ht="27.75">
      <c r="A107" s="1543" t="s">
        <v>78</v>
      </c>
      <c r="B107" s="1584"/>
      <c r="C107" s="1544"/>
      <c r="D107" s="622" t="s">
        <v>143</v>
      </c>
      <c r="E107" s="1050">
        <v>19632</v>
      </c>
      <c r="F107" s="1267">
        <v>19635</v>
      </c>
      <c r="G107" s="532">
        <f t="shared" si="12"/>
        <v>3</v>
      </c>
      <c r="H107" s="460">
        <f>G107+'4'!H107</f>
        <v>18</v>
      </c>
      <c r="I107" s="532"/>
      <c r="J107" s="558">
        <f>H107/DAY(B2)</f>
        <v>3.6</v>
      </c>
      <c r="N107" s="382"/>
      <c r="O107" s="382"/>
    </row>
    <row r="108" spans="1:15" s="442" customFormat="1" ht="27.75">
      <c r="A108" s="1545" t="s">
        <v>201</v>
      </c>
      <c r="B108" s="1546"/>
      <c r="C108" s="1142"/>
      <c r="D108" s="622"/>
      <c r="E108" s="532" t="str">
        <f>'4'!E108</f>
        <v>.</v>
      </c>
      <c r="F108" s="1267"/>
      <c r="G108" s="532">
        <f>SUM(G105:G107)</f>
        <v>7</v>
      </c>
      <c r="H108" s="460">
        <f>G108+'4'!H108</f>
        <v>41</v>
      </c>
      <c r="I108" s="532"/>
      <c r="J108" s="558">
        <f>H108/DAY(B2)</f>
        <v>8.1999999999999993</v>
      </c>
      <c r="N108" s="382"/>
      <c r="O108" s="382"/>
    </row>
    <row r="109" spans="1:15" s="442" customFormat="1" ht="27.75">
      <c r="A109" s="1549" t="s">
        <v>79</v>
      </c>
      <c r="B109" s="1550"/>
      <c r="C109" s="1142"/>
      <c r="D109" s="622" t="s">
        <v>143</v>
      </c>
      <c r="E109" s="532">
        <f>'4'!E109</f>
        <v>0</v>
      </c>
      <c r="F109" s="1267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43" t="s">
        <v>219</v>
      </c>
      <c r="B110" s="1544"/>
      <c r="C110" s="1142"/>
      <c r="D110" s="622" t="s">
        <v>143</v>
      </c>
      <c r="E110" s="532">
        <v>61400</v>
      </c>
      <c r="F110" s="1267">
        <v>61439</v>
      </c>
      <c r="G110" s="532">
        <f>F110-E110</f>
        <v>39</v>
      </c>
      <c r="H110" s="460">
        <f>G110+'4'!H110</f>
        <v>265</v>
      </c>
      <c r="I110" s="532"/>
      <c r="J110" s="558">
        <f>H110/DAY(B2)</f>
        <v>53</v>
      </c>
      <c r="N110" s="382"/>
    </row>
    <row r="111" spans="1:15" s="442" customFormat="1" ht="27.75">
      <c r="A111" s="1543" t="s">
        <v>220</v>
      </c>
      <c r="B111" s="1544"/>
      <c r="C111" s="1142"/>
      <c r="D111" s="622" t="s">
        <v>143</v>
      </c>
      <c r="E111" s="532">
        <v>32245</v>
      </c>
      <c r="F111" s="1267">
        <v>32267</v>
      </c>
      <c r="G111" s="532">
        <f t="shared" ref="G111:G112" si="13">F111-E111</f>
        <v>22</v>
      </c>
      <c r="H111" s="460">
        <f>G111+'4'!H111</f>
        <v>32</v>
      </c>
      <c r="I111" s="532"/>
      <c r="J111" s="558">
        <f>H111/DAY(B2)</f>
        <v>6.4</v>
      </c>
      <c r="N111" s="382"/>
    </row>
    <row r="112" spans="1:15" s="442" customFormat="1" ht="27.75">
      <c r="A112" s="1543" t="s">
        <v>221</v>
      </c>
      <c r="B112" s="1544"/>
      <c r="C112" s="1142"/>
      <c r="D112" s="622" t="s">
        <v>143</v>
      </c>
      <c r="E112" s="532">
        <v>4417</v>
      </c>
      <c r="F112" s="1267">
        <v>4441</v>
      </c>
      <c r="G112" s="532">
        <f t="shared" si="13"/>
        <v>24</v>
      </c>
      <c r="H112" s="460">
        <f>G112+'4'!H112</f>
        <v>73</v>
      </c>
      <c r="I112" s="532"/>
      <c r="J112" s="558">
        <f>H112/DAY(B2)</f>
        <v>14.6</v>
      </c>
      <c r="N112" s="382"/>
    </row>
    <row r="113" spans="1:14" s="442" customFormat="1" ht="27.75">
      <c r="A113" s="1545" t="s">
        <v>110</v>
      </c>
      <c r="B113" s="1546"/>
      <c r="C113" s="1142"/>
      <c r="D113" s="622"/>
      <c r="E113" s="532"/>
      <c r="F113" s="1267"/>
      <c r="G113" s="532">
        <f>SUM(G110:G112)</f>
        <v>85</v>
      </c>
      <c r="H113" s="460">
        <f>G113+'4'!H113</f>
        <v>370</v>
      </c>
      <c r="I113" s="532"/>
      <c r="J113" s="558">
        <f>H113/DAY(B2)</f>
        <v>74</v>
      </c>
      <c r="N113" s="382"/>
    </row>
    <row r="114" spans="1:14" s="442" customFormat="1" ht="27.75">
      <c r="A114" s="1549" t="s">
        <v>222</v>
      </c>
      <c r="B114" s="1550"/>
      <c r="C114" s="1142"/>
      <c r="D114" s="622"/>
      <c r="E114" s="532"/>
      <c r="F114" s="1267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3" t="s">
        <v>223</v>
      </c>
      <c r="B115" s="1544"/>
      <c r="C115" s="574"/>
      <c r="D115" s="622" t="s">
        <v>143</v>
      </c>
      <c r="E115" s="534">
        <v>11283</v>
      </c>
      <c r="F115" s="1268">
        <v>11286</v>
      </c>
      <c r="G115" s="534">
        <f>F115-E115</f>
        <v>3</v>
      </c>
      <c r="H115" s="460">
        <f>G115+'4'!H115</f>
        <v>27</v>
      </c>
      <c r="I115" s="532"/>
      <c r="J115" s="558">
        <f>H115/DAY(B2)</f>
        <v>5.4</v>
      </c>
      <c r="N115" s="382"/>
    </row>
    <row r="116" spans="1:14" s="442" customFormat="1" ht="27.75">
      <c r="A116" s="1543" t="s">
        <v>224</v>
      </c>
      <c r="B116" s="1544"/>
      <c r="C116" s="574"/>
      <c r="D116" s="622" t="s">
        <v>143</v>
      </c>
      <c r="E116" s="534">
        <v>8143</v>
      </c>
      <c r="F116" s="1268">
        <v>8163</v>
      </c>
      <c r="G116" s="534">
        <f t="shared" ref="G116:G117" si="14">F116-E116</f>
        <v>20</v>
      </c>
      <c r="H116" s="460">
        <f>G116+'4'!H116</f>
        <v>37</v>
      </c>
      <c r="I116" s="532"/>
      <c r="J116" s="558">
        <f>H116/DAY(B2)</f>
        <v>7.4</v>
      </c>
      <c r="N116" s="382"/>
    </row>
    <row r="117" spans="1:14" s="442" customFormat="1" ht="27.75">
      <c r="A117" s="1543" t="s">
        <v>225</v>
      </c>
      <c r="B117" s="1544"/>
      <c r="C117" s="574"/>
      <c r="D117" s="622" t="s">
        <v>143</v>
      </c>
      <c r="E117" s="534"/>
      <c r="F117" s="1268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1268"/>
      <c r="G118" s="534">
        <f>SUM(G115:G117)</f>
        <v>23</v>
      </c>
      <c r="H118" s="460">
        <f>G118+'4'!H118</f>
        <v>64</v>
      </c>
      <c r="I118" s="534"/>
      <c r="J118" s="558">
        <f>H118/DAY(B2)</f>
        <v>12.8</v>
      </c>
      <c r="N118" s="382"/>
    </row>
    <row r="119" spans="1:14" s="446" customFormat="1" ht="27.75">
      <c r="A119" s="1539" t="s">
        <v>226</v>
      </c>
      <c r="B119" s="1540"/>
      <c r="C119" s="1140"/>
      <c r="D119" s="624" t="s">
        <v>143</v>
      </c>
      <c r="E119" s="536">
        <f>SUM(F19+F93)</f>
        <v>382804</v>
      </c>
      <c r="F119" s="1269">
        <f>SUM(G19+G93)</f>
        <v>79</v>
      </c>
      <c r="G119" s="536">
        <f>SUM(G19+G93)</f>
        <v>79</v>
      </c>
      <c r="H119" s="460">
        <f>G119+'4'!H119</f>
        <v>468</v>
      </c>
      <c r="I119" s="535"/>
      <c r="J119" s="559">
        <f>H119/DAY(B2)</f>
        <v>93.6</v>
      </c>
      <c r="N119" s="382"/>
    </row>
    <row r="120" spans="1:14" s="446" customFormat="1" ht="27.75">
      <c r="A120" s="1539" t="s">
        <v>227</v>
      </c>
      <c r="B120" s="1540"/>
      <c r="C120" s="1140"/>
      <c r="D120" s="624" t="s">
        <v>143</v>
      </c>
      <c r="E120" s="536">
        <f>SUM(F96,F97,F98,F100,F101)</f>
        <v>625454</v>
      </c>
      <c r="F120" s="1269">
        <f>SUM(G96,G97,G98,G100,G101)</f>
        <v>72</v>
      </c>
      <c r="G120" s="536">
        <f>SUM(G96,G97,G98,G100,G101)</f>
        <v>72</v>
      </c>
      <c r="H120" s="460">
        <f>G120+'4'!H120</f>
        <v>475</v>
      </c>
      <c r="I120" s="535"/>
      <c r="J120" s="559">
        <f>H120/DAY(B2)</f>
        <v>95</v>
      </c>
      <c r="N120" s="382"/>
    </row>
    <row r="121" spans="1:14" s="446" customFormat="1" ht="27.75">
      <c r="A121" s="1539" t="s">
        <v>228</v>
      </c>
      <c r="B121" s="1540"/>
      <c r="C121" s="1140"/>
      <c r="D121" s="624" t="s">
        <v>143</v>
      </c>
      <c r="E121" s="534">
        <f>SUM(F113)</f>
        <v>0</v>
      </c>
      <c r="F121" s="1268">
        <f>SUM(G113)</f>
        <v>85</v>
      </c>
      <c r="G121" s="534">
        <f>SUM(G113)</f>
        <v>85</v>
      </c>
      <c r="H121" s="460">
        <f>G121+'4'!H121</f>
        <v>370</v>
      </c>
      <c r="I121" s="535"/>
      <c r="J121" s="559">
        <f>H121/DAY(B2)</f>
        <v>74</v>
      </c>
      <c r="N121" s="382"/>
    </row>
    <row r="122" spans="1:14" s="442" customFormat="1" ht="27.75">
      <c r="A122" s="1541"/>
      <c r="B122" s="1542"/>
      <c r="C122" s="1141"/>
      <c r="D122" s="560"/>
      <c r="E122" s="560"/>
      <c r="F122" s="1270" t="s">
        <v>214</v>
      </c>
      <c r="G122" s="560"/>
      <c r="H122" s="460">
        <f>G122+'4'!H122</f>
        <v>0</v>
      </c>
      <c r="I122" s="560"/>
      <c r="J122" s="562"/>
      <c r="N122" s="382"/>
    </row>
    <row r="123" spans="1:14">
      <c r="A123" s="1576" t="s">
        <v>229</v>
      </c>
      <c r="B123" s="1577"/>
      <c r="C123" s="1578"/>
      <c r="D123" s="472"/>
      <c r="E123" s="472"/>
      <c r="F123" s="1097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230</v>
      </c>
      <c r="B124" s="1144"/>
      <c r="C124" s="1144"/>
      <c r="D124" s="523" t="s">
        <v>140</v>
      </c>
      <c r="E124" s="478">
        <f>'4'!F124</f>
        <v>826910</v>
      </c>
      <c r="F124" s="1249">
        <v>827112</v>
      </c>
      <c r="G124" s="473">
        <f t="shared" ref="G124:G128" si="15">F124-E124</f>
        <v>202</v>
      </c>
      <c r="H124" s="460">
        <f>G124+'4'!H124</f>
        <v>1023.5400000000373</v>
      </c>
      <c r="I124" s="526"/>
      <c r="J124" s="552">
        <f>H124/DAY(B2)</f>
        <v>204.70800000000744</v>
      </c>
      <c r="K124" s="380"/>
      <c r="L124" s="377"/>
      <c r="N124" s="382"/>
    </row>
    <row r="125" spans="1:14" ht="27.75">
      <c r="A125" s="1143" t="s">
        <v>231</v>
      </c>
      <c r="B125" s="1144"/>
      <c r="C125" s="1144"/>
      <c r="D125" s="523" t="s">
        <v>140</v>
      </c>
      <c r="E125" s="626">
        <f>'4'!F125</f>
        <v>73583</v>
      </c>
      <c r="F125" s="1271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>
      <c r="A126" s="1530" t="s">
        <v>232</v>
      </c>
      <c r="B126" s="1531"/>
      <c r="C126" s="1532"/>
      <c r="D126" s="523" t="s">
        <v>140</v>
      </c>
      <c r="E126" s="478">
        <f>'4'!F126</f>
        <v>144923</v>
      </c>
      <c r="F126" s="1249">
        <v>144974</v>
      </c>
      <c r="G126" s="473">
        <f t="shared" si="15"/>
        <v>51</v>
      </c>
      <c r="H126" s="460">
        <f>G126+'4'!H126</f>
        <v>286.55999999999767</v>
      </c>
      <c r="I126" s="526"/>
      <c r="J126" s="552">
        <f>H126/DAY(B2)</f>
        <v>57.311999999999536</v>
      </c>
      <c r="K126" s="380"/>
      <c r="L126" s="377"/>
      <c r="N126" s="382"/>
    </row>
    <row r="127" spans="1:14" ht="27.75">
      <c r="A127" s="609" t="s">
        <v>233</v>
      </c>
      <c r="B127" s="1144"/>
      <c r="C127" s="1144"/>
      <c r="D127" s="523" t="s">
        <v>140</v>
      </c>
      <c r="E127" s="626">
        <f>'4'!F127</f>
        <v>31404</v>
      </c>
      <c r="F127" s="1271">
        <v>31404</v>
      </c>
      <c r="G127" s="473">
        <f t="shared" si="15"/>
        <v>0</v>
      </c>
      <c r="H127" s="460">
        <f>G127+'4'!H127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234</v>
      </c>
      <c r="B128" s="1144"/>
      <c r="C128" s="1144"/>
      <c r="D128" s="523" t="s">
        <v>140</v>
      </c>
      <c r="E128" s="626">
        <f>'4'!F128</f>
        <v>8970</v>
      </c>
      <c r="F128" s="1271">
        <v>8970</v>
      </c>
      <c r="G128" s="473">
        <f t="shared" si="15"/>
        <v>0</v>
      </c>
      <c r="H128" s="460">
        <f>G128+'4'!H128</f>
        <v>0.2999999999992724</v>
      </c>
      <c r="I128" s="480"/>
      <c r="J128" s="552">
        <f>H128/DAY(B2)</f>
        <v>5.9999999999854482E-2</v>
      </c>
      <c r="K128" s="380"/>
      <c r="L128" s="377"/>
      <c r="N128" s="382"/>
    </row>
    <row r="129" spans="1:14" s="281" customFormat="1" ht="27.75">
      <c r="A129" s="609" t="s">
        <v>235</v>
      </c>
      <c r="B129" s="1144"/>
      <c r="C129" s="1144"/>
      <c r="D129" s="523"/>
      <c r="E129" s="478"/>
      <c r="F129" s="1249"/>
      <c r="G129" s="473">
        <f>G15-SUM(G124:G128)</f>
        <v>34</v>
      </c>
      <c r="H129" s="460">
        <f>G129+'4'!H129</f>
        <v>777.99999999995998</v>
      </c>
      <c r="I129" s="480"/>
      <c r="J129" s="552">
        <f>H129/DAY(B2)</f>
        <v>155.59999999999201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1245"/>
      <c r="G130" s="540"/>
      <c r="H130" s="540"/>
      <c r="I130" s="540"/>
      <c r="J130" s="564"/>
      <c r="N130" s="382"/>
    </row>
    <row r="131" spans="1:14" ht="27.75">
      <c r="A131" s="1143" t="s">
        <v>237</v>
      </c>
      <c r="B131" s="1144"/>
      <c r="C131" s="1144"/>
      <c r="D131" s="523" t="s">
        <v>238</v>
      </c>
      <c r="E131" s="484">
        <f>'4'!F131</f>
        <v>0</v>
      </c>
      <c r="F131" s="1249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3" t="s">
        <v>239</v>
      </c>
      <c r="B132" s="1144"/>
      <c r="C132" s="1144"/>
      <c r="D132" s="523" t="s">
        <v>238</v>
      </c>
      <c r="E132" s="484">
        <f>'4'!F132</f>
        <v>0</v>
      </c>
      <c r="F132" s="1249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3" t="s">
        <v>240</v>
      </c>
      <c r="B133" s="1144"/>
      <c r="C133" s="1144"/>
      <c r="D133" s="523" t="s">
        <v>238</v>
      </c>
      <c r="E133" s="541">
        <f>'4'!F133</f>
        <v>39842</v>
      </c>
      <c r="F133" s="1250">
        <v>39866</v>
      </c>
      <c r="G133" s="473">
        <f t="shared" si="16"/>
        <v>24</v>
      </c>
      <c r="H133" s="460">
        <f>G133+'4'!H133</f>
        <v>119.5199999999968</v>
      </c>
      <c r="I133" s="480"/>
      <c r="J133" s="552">
        <f>H133/DAY(B2)</f>
        <v>23.90399999999936</v>
      </c>
      <c r="N133" s="382"/>
    </row>
    <row r="134" spans="1:14" ht="27.75">
      <c r="A134" s="1143" t="s">
        <v>241</v>
      </c>
      <c r="B134" s="1144"/>
      <c r="C134" s="1144"/>
      <c r="D134" s="523" t="s">
        <v>238</v>
      </c>
      <c r="E134" s="704">
        <f>'4'!F134</f>
        <v>300</v>
      </c>
      <c r="F134" s="1271">
        <v>300</v>
      </c>
      <c r="G134" s="473">
        <f t="shared" si="16"/>
        <v>0</v>
      </c>
      <c r="H134" s="460">
        <f>G134+'4'!H134</f>
        <v>0</v>
      </c>
      <c r="I134" s="480">
        <f>G131+G132+G133+G134</f>
        <v>24</v>
      </c>
      <c r="J134" s="552">
        <f>H134/DAY(B2)</f>
        <v>0</v>
      </c>
      <c r="N134" s="382"/>
    </row>
    <row r="135" spans="1:14" ht="27.75">
      <c r="A135" s="1143" t="s">
        <v>242</v>
      </c>
      <c r="B135" s="1144"/>
      <c r="C135" s="1144"/>
      <c r="D135" s="523" t="s">
        <v>238</v>
      </c>
      <c r="E135" s="704">
        <f>'4'!F135</f>
        <v>41385</v>
      </c>
      <c r="F135" s="1271">
        <v>41385</v>
      </c>
      <c r="G135" s="473">
        <f t="shared" si="16"/>
        <v>0</v>
      </c>
      <c r="H135" s="460">
        <f>G135+'4'!H135</f>
        <v>0</v>
      </c>
      <c r="I135" s="480"/>
      <c r="J135" s="552">
        <f>H135/DAY(B2)</f>
        <v>0</v>
      </c>
      <c r="N135" s="382"/>
    </row>
    <row r="136" spans="1:14" ht="27.75">
      <c r="A136" s="1143" t="s">
        <v>243</v>
      </c>
      <c r="B136" s="1144"/>
      <c r="C136" s="1144"/>
      <c r="D136" s="523" t="s">
        <v>238</v>
      </c>
      <c r="E136" s="704">
        <f>'4'!F136</f>
        <v>32583</v>
      </c>
      <c r="F136" s="1271">
        <v>32583</v>
      </c>
      <c r="G136" s="473">
        <f t="shared" si="16"/>
        <v>0</v>
      </c>
      <c r="H136" s="460">
        <f>G136+'4'!H136</f>
        <v>0</v>
      </c>
      <c r="I136" s="480"/>
      <c r="J136" s="552">
        <f>H136/DAY(B2)</f>
        <v>0</v>
      </c>
      <c r="N136" s="382"/>
    </row>
    <row r="137" spans="1:14" ht="27.75">
      <c r="A137" s="1143" t="s">
        <v>244</v>
      </c>
      <c r="B137" s="1144"/>
      <c r="C137" s="1144"/>
      <c r="D137" s="523" t="s">
        <v>238</v>
      </c>
      <c r="E137" s="541">
        <f>'4'!F137</f>
        <v>22749.51</v>
      </c>
      <c r="F137" s="1250">
        <v>22749.51</v>
      </c>
      <c r="G137" s="473">
        <f t="shared" si="16"/>
        <v>0</v>
      </c>
      <c r="H137" s="460">
        <f>G137+'4'!H137</f>
        <v>9.9199999999982538</v>
      </c>
      <c r="I137" s="480">
        <f>G137+G138+G139</f>
        <v>0</v>
      </c>
      <c r="J137" s="552">
        <f>H137/DAY(B2)</f>
        <v>1.9839999999996507</v>
      </c>
      <c r="N137" s="382"/>
    </row>
    <row r="138" spans="1:14" ht="27.75">
      <c r="A138" s="1143" t="s">
        <v>245</v>
      </c>
      <c r="B138" s="1144"/>
      <c r="C138" s="1144"/>
      <c r="D138" s="523" t="s">
        <v>238</v>
      </c>
      <c r="E138" s="541">
        <f>'4'!F138</f>
        <v>25051.59</v>
      </c>
      <c r="F138" s="1250">
        <v>25051.59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>
      <c r="A139" s="1143" t="s">
        <v>246</v>
      </c>
      <c r="B139" s="1144"/>
      <c r="C139" s="1144"/>
      <c r="D139" s="523" t="s">
        <v>238</v>
      </c>
      <c r="E139" s="541">
        <f>'4'!F139</f>
        <v>70324.820000000007</v>
      </c>
      <c r="F139" s="1250">
        <v>70324.820000000007</v>
      </c>
      <c r="G139" s="473">
        <f t="shared" si="16"/>
        <v>0</v>
      </c>
      <c r="H139" s="460">
        <f>G139+'4'!H139</f>
        <v>9.0100000000093132</v>
      </c>
      <c r="I139" s="480"/>
      <c r="J139" s="552">
        <f>H139/DAY(B2)</f>
        <v>1.8020000000018626</v>
      </c>
      <c r="N139" s="382"/>
    </row>
    <row r="140" spans="1:14" ht="27.75">
      <c r="A140" s="1143" t="s">
        <v>247</v>
      </c>
      <c r="B140" s="1144"/>
      <c r="C140" s="1144"/>
      <c r="D140" s="523" t="s">
        <v>238</v>
      </c>
      <c r="E140" s="704">
        <f>'4'!F140</f>
        <v>1648.08</v>
      </c>
      <c r="F140" s="1271">
        <v>1655.82</v>
      </c>
      <c r="G140" s="473">
        <f t="shared" si="16"/>
        <v>7.7400000000000091</v>
      </c>
      <c r="H140" s="460">
        <f>G140+'4'!H140</f>
        <v>38.960000000000036</v>
      </c>
      <c r="I140" s="542">
        <f>G140+G141</f>
        <v>7.7400000000000091</v>
      </c>
      <c r="J140" s="552">
        <f>H140/DAY(B2)</f>
        <v>7.7920000000000069</v>
      </c>
      <c r="N140" s="382"/>
    </row>
    <row r="141" spans="1:14" ht="27.75">
      <c r="A141" s="1143" t="s">
        <v>248</v>
      </c>
      <c r="B141" s="1144"/>
      <c r="C141" s="1144"/>
      <c r="D141" s="523" t="s">
        <v>238</v>
      </c>
      <c r="E141" s="484">
        <f>'4'!F141</f>
        <v>4637</v>
      </c>
      <c r="F141" s="1249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57" t="s">
        <v>249</v>
      </c>
      <c r="B142" s="1558"/>
      <c r="C142" s="1149"/>
      <c r="D142" s="472"/>
      <c r="E142" s="472"/>
      <c r="F142" s="1097"/>
      <c r="G142" s="483"/>
      <c r="H142" s="483"/>
      <c r="I142" s="483"/>
      <c r="J142" s="563"/>
      <c r="K142" s="380"/>
      <c r="L142" s="377"/>
      <c r="N142" s="382"/>
    </row>
    <row r="143" spans="1:14" ht="27.75">
      <c r="A143" s="1551" t="s">
        <v>250</v>
      </c>
      <c r="B143" s="1552"/>
      <c r="C143" s="1553"/>
      <c r="D143" s="523" t="s">
        <v>131</v>
      </c>
      <c r="E143" s="523"/>
      <c r="F143" s="1100"/>
      <c r="G143" s="460">
        <f>G35+G43+G49+G57</f>
        <v>4362</v>
      </c>
      <c r="H143" s="460">
        <f>G143+'4'!H143</f>
        <v>21841.869999999995</v>
      </c>
      <c r="I143" s="480" t="s">
        <v>267</v>
      </c>
      <c r="J143" s="552">
        <f>H143/DAY(B2)</f>
        <v>4368.3739999999989</v>
      </c>
      <c r="K143" s="380"/>
      <c r="L143" s="377"/>
      <c r="N143" s="382"/>
    </row>
    <row r="144" spans="1:14" ht="27.75">
      <c r="A144" s="1551" t="s">
        <v>251</v>
      </c>
      <c r="B144" s="1552"/>
      <c r="C144" s="1553"/>
      <c r="D144" s="523" t="s">
        <v>24</v>
      </c>
      <c r="E144" s="511"/>
      <c r="F144" s="1244"/>
      <c r="G144" s="543">
        <f>G143/G7</f>
        <v>0.27688206169861623</v>
      </c>
      <c r="H144" s="460">
        <f>G144+'4'!H144</f>
        <v>1.3669868594812287</v>
      </c>
      <c r="I144" s="544"/>
      <c r="J144" s="552">
        <f>H144/DAY(B2)</f>
        <v>0.27339737189624574</v>
      </c>
      <c r="K144" s="380"/>
      <c r="L144" s="377"/>
      <c r="N144" s="382"/>
    </row>
    <row r="145" spans="1:14" ht="27.75">
      <c r="A145" s="1551" t="s">
        <v>252</v>
      </c>
      <c r="B145" s="1552"/>
      <c r="C145" s="1553"/>
      <c r="D145" s="523" t="s">
        <v>131</v>
      </c>
      <c r="E145" s="455"/>
      <c r="F145" s="1252"/>
      <c r="G145" s="460">
        <f>G41+G42+G55+G56</f>
        <v>4970</v>
      </c>
      <c r="H145" s="460">
        <f>G145+'4'!H145</f>
        <v>24593.530000000028</v>
      </c>
      <c r="I145" s="480"/>
      <c r="J145" s="552">
        <f>H145/DAY(B2)</f>
        <v>4918.7060000000056</v>
      </c>
      <c r="K145" s="380"/>
      <c r="L145" s="377"/>
      <c r="N145" s="382"/>
    </row>
    <row r="146" spans="1:14" ht="27.75">
      <c r="A146" s="1551" t="s">
        <v>253</v>
      </c>
      <c r="B146" s="1552"/>
      <c r="C146" s="1553"/>
      <c r="D146" s="523" t="s">
        <v>24</v>
      </c>
      <c r="E146" s="455"/>
      <c r="F146" s="1252"/>
      <c r="G146" s="543">
        <f>G145/G7</f>
        <v>0.31547543481020696</v>
      </c>
      <c r="H146" s="460">
        <f>G146+'4'!H146</f>
        <v>1.5391388548037515</v>
      </c>
      <c r="I146" s="544"/>
      <c r="J146" s="552">
        <f>H146/DAY(B2)</f>
        <v>0.30782777096075031</v>
      </c>
      <c r="K146" s="380"/>
      <c r="L146" s="377"/>
      <c r="N146" s="382"/>
    </row>
    <row r="147" spans="1:14" ht="27.75">
      <c r="A147" s="1551" t="s">
        <v>254</v>
      </c>
      <c r="B147" s="1552"/>
      <c r="C147" s="1553"/>
      <c r="D147" s="523" t="s">
        <v>131</v>
      </c>
      <c r="E147" s="455"/>
      <c r="F147" s="1252"/>
      <c r="G147" s="460">
        <f>G39+G53</f>
        <v>2239</v>
      </c>
      <c r="H147" s="460">
        <f>G147+'4'!H147</f>
        <v>11863</v>
      </c>
      <c r="I147" s="545"/>
      <c r="J147" s="552">
        <f>H147/DAY(B2)</f>
        <v>2372.6</v>
      </c>
      <c r="K147" s="380"/>
      <c r="L147" s="377"/>
      <c r="N147" s="382"/>
    </row>
    <row r="148" spans="1:14" ht="27.75">
      <c r="A148" s="1551" t="s">
        <v>255</v>
      </c>
      <c r="B148" s="1552"/>
      <c r="C148" s="1553"/>
      <c r="D148" s="523" t="s">
        <v>24</v>
      </c>
      <c r="E148" s="455"/>
      <c r="F148" s="1252"/>
      <c r="G148" s="543">
        <f>G147/G7</f>
        <v>0.14212263552113749</v>
      </c>
      <c r="H148" s="460">
        <f>G148+'4'!H148</f>
        <v>0.74243408799576149</v>
      </c>
      <c r="I148" s="545"/>
      <c r="J148" s="552">
        <f>H148/DAY(B2)</f>
        <v>0.1484868175991523</v>
      </c>
      <c r="N148" s="382"/>
    </row>
    <row r="149" spans="1:14" ht="27.75">
      <c r="A149" s="1551" t="s">
        <v>256</v>
      </c>
      <c r="B149" s="1552"/>
      <c r="C149" s="1553"/>
      <c r="D149" s="523" t="s">
        <v>182</v>
      </c>
      <c r="E149" s="455"/>
      <c r="F149" s="1252"/>
      <c r="G149" s="460">
        <f>G38+G52</f>
        <v>1208</v>
      </c>
      <c r="H149" s="460">
        <f>G149+'4'!H149</f>
        <v>6458</v>
      </c>
      <c r="I149" s="480"/>
      <c r="J149" s="552">
        <f>H149/DAY(B2)</f>
        <v>1291.5999999999999</v>
      </c>
      <c r="K149" s="381"/>
      <c r="N149" s="382"/>
    </row>
    <row r="150" spans="1:14" ht="27.75">
      <c r="A150" s="1551" t="s">
        <v>257</v>
      </c>
      <c r="B150" s="1552"/>
      <c r="C150" s="1553"/>
      <c r="D150" s="523" t="s">
        <v>24</v>
      </c>
      <c r="E150" s="455"/>
      <c r="F150" s="1252"/>
      <c r="G150" s="543">
        <f>G149/G7</f>
        <v>7.6678938682239434E-2</v>
      </c>
      <c r="H150" s="460">
        <f>G150+'4'!H150</f>
        <v>0.40412327288588101</v>
      </c>
      <c r="I150" s="545"/>
      <c r="J150" s="552">
        <f>H150/DAY(B2)</f>
        <v>8.0824654577176205E-2</v>
      </c>
      <c r="N150" s="382"/>
    </row>
    <row r="151" spans="1:14" ht="27.75">
      <c r="A151" s="1551" t="s">
        <v>258</v>
      </c>
      <c r="B151" s="1552"/>
      <c r="C151" s="1553"/>
      <c r="D151" s="523" t="s">
        <v>182</v>
      </c>
      <c r="E151" s="455"/>
      <c r="F151" s="1252"/>
      <c r="G151" s="460">
        <f>G36+G50</f>
        <v>1330</v>
      </c>
      <c r="H151" s="460">
        <f>G151+'4'!H151</f>
        <v>6735</v>
      </c>
      <c r="I151" s="545"/>
      <c r="J151" s="552">
        <f>H151/DAY(B2)</f>
        <v>1347</v>
      </c>
      <c r="N151" s="382"/>
    </row>
    <row r="152" spans="1:14" ht="27.75">
      <c r="A152" s="1551" t="s">
        <v>259</v>
      </c>
      <c r="B152" s="1552"/>
      <c r="C152" s="1553"/>
      <c r="D152" s="523" t="s">
        <v>24</v>
      </c>
      <c r="E152" s="455"/>
      <c r="F152" s="1252"/>
      <c r="G152" s="543">
        <f>G151/G7</f>
        <v>8.4423003681604672E-2</v>
      </c>
      <c r="H152" s="460">
        <f>G152+'4'!H152</f>
        <v>0.42146533653367135</v>
      </c>
      <c r="I152" s="480"/>
      <c r="J152" s="552">
        <f>H152/DAY(B2)</f>
        <v>8.4293067306734276E-2</v>
      </c>
      <c r="N152" s="382"/>
    </row>
    <row r="153" spans="1:14" ht="27.75">
      <c r="A153" s="1551" t="s">
        <v>260</v>
      </c>
      <c r="B153" s="1552"/>
      <c r="C153" s="1553"/>
      <c r="D153" s="523" t="s">
        <v>182</v>
      </c>
      <c r="E153" s="455"/>
      <c r="F153" s="1252"/>
      <c r="G153" s="460">
        <f>G37+G51</f>
        <v>1190</v>
      </c>
      <c r="H153" s="460">
        <f>G153+'4'!H153</f>
        <v>6173</v>
      </c>
      <c r="I153" s="480"/>
      <c r="J153" s="552">
        <f>H153/DAY(B2)</f>
        <v>1234.5999999999999</v>
      </c>
      <c r="N153" s="382"/>
    </row>
    <row r="154" spans="1:14" ht="28.5" thickBot="1">
      <c r="A154" s="1554" t="s">
        <v>261</v>
      </c>
      <c r="B154" s="1555"/>
      <c r="C154" s="1556"/>
      <c r="D154" s="625" t="s">
        <v>24</v>
      </c>
      <c r="E154" s="565"/>
      <c r="F154" s="1272"/>
      <c r="G154" s="566">
        <f>G153/G7</f>
        <v>7.5536371715119968E-2</v>
      </c>
      <c r="H154" s="460">
        <f>G154+'4'!H154</f>
        <v>0.3863240872163769</v>
      </c>
      <c r="I154" s="568"/>
      <c r="J154" s="569">
        <f>H154/DAY(B2)</f>
        <v>7.7264817443275374E-2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5" t="s">
        <v>266</v>
      </c>
      <c r="B158" s="1586"/>
      <c r="C158" s="1586"/>
      <c r="D158" s="1586"/>
      <c r="E158" s="1586"/>
      <c r="F158" s="1586"/>
      <c r="G158" s="1587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262</v>
      </c>
      <c r="B161" s="788"/>
      <c r="C161" s="788"/>
      <c r="D161" s="511" t="s">
        <v>186</v>
      </c>
      <c r="E161" s="661">
        <v>36257</v>
      </c>
      <c r="F161" s="661">
        <v>36338</v>
      </c>
      <c r="G161" s="473">
        <f t="shared" ref="G161:G172" si="17">F161-E161</f>
        <v>81</v>
      </c>
    </row>
    <row r="162" spans="1:7">
      <c r="A162" s="787" t="s">
        <v>263</v>
      </c>
      <c r="B162" s="788"/>
      <c r="C162" s="788"/>
      <c r="D162" s="511" t="s">
        <v>186</v>
      </c>
      <c r="E162" s="661">
        <v>84066</v>
      </c>
      <c r="F162" s="661">
        <v>84490</v>
      </c>
      <c r="G162" s="473">
        <f t="shared" si="17"/>
        <v>424</v>
      </c>
    </row>
    <row r="163" spans="1:7">
      <c r="A163" s="787" t="s">
        <v>264</v>
      </c>
      <c r="B163" s="788"/>
      <c r="C163" s="788"/>
      <c r="D163" s="511" t="s">
        <v>186</v>
      </c>
      <c r="E163" s="661">
        <v>39208</v>
      </c>
      <c r="F163" s="661">
        <v>39414</v>
      </c>
      <c r="G163" s="473">
        <f t="shared" si="17"/>
        <v>206</v>
      </c>
    </row>
    <row r="164" spans="1:7">
      <c r="A164" s="787" t="s">
        <v>265</v>
      </c>
      <c r="B164" s="788"/>
      <c r="C164" s="788"/>
      <c r="D164" s="511" t="s">
        <v>186</v>
      </c>
      <c r="E164" s="661">
        <v>6261</v>
      </c>
      <c r="F164" s="661">
        <v>6267</v>
      </c>
      <c r="G164" s="473">
        <f t="shared" si="17"/>
        <v>6</v>
      </c>
    </row>
    <row r="165" spans="1:7">
      <c r="A165" s="789" t="s">
        <v>98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7">
      <c r="A166" s="789" t="s">
        <v>187</v>
      </c>
      <c r="B166" s="604"/>
      <c r="C166" s="604"/>
      <c r="D166" s="511" t="s">
        <v>186</v>
      </c>
      <c r="E166" s="514">
        <f t="shared" ref="E166" si="18">E63</f>
        <v>2374</v>
      </c>
      <c r="F166" s="514">
        <f t="shared" ref="F166:F172" si="19">F63</f>
        <v>2378</v>
      </c>
      <c r="G166" s="473">
        <f t="shared" si="17"/>
        <v>4</v>
      </c>
    </row>
    <row r="167" spans="1:7" ht="27.75">
      <c r="A167" s="1526" t="s">
        <v>99</v>
      </c>
      <c r="B167" s="1526"/>
      <c r="C167" s="1526"/>
      <c r="D167" s="523" t="s">
        <v>186</v>
      </c>
      <c r="E167" s="514">
        <f t="shared" ref="E167" si="20">E64</f>
        <v>154137</v>
      </c>
      <c r="F167" s="514">
        <f t="shared" si="19"/>
        <v>154342</v>
      </c>
      <c r="G167" s="473">
        <f t="shared" si="17"/>
        <v>205</v>
      </c>
    </row>
    <row r="168" spans="1:7" ht="27.75">
      <c r="A168" s="1526" t="s">
        <v>100</v>
      </c>
      <c r="B168" s="1526"/>
      <c r="C168" s="1526"/>
      <c r="D168" s="523" t="s">
        <v>186</v>
      </c>
      <c r="E168" s="514">
        <f t="shared" ref="E168" si="21">E65</f>
        <v>155406</v>
      </c>
      <c r="F168" s="514">
        <f t="shared" si="19"/>
        <v>155606</v>
      </c>
      <c r="G168" s="473">
        <f t="shared" si="17"/>
        <v>200</v>
      </c>
    </row>
    <row r="169" spans="1:7" ht="27.75">
      <c r="A169" s="1526" t="s">
        <v>101</v>
      </c>
      <c r="B169" s="1526"/>
      <c r="C169" s="1526"/>
      <c r="D169" s="523" t="s">
        <v>186</v>
      </c>
      <c r="E169" s="514">
        <f t="shared" ref="E169" si="22">E66</f>
        <v>49645</v>
      </c>
      <c r="F169" s="514">
        <f t="shared" si="19"/>
        <v>49895</v>
      </c>
      <c r="G169" s="473">
        <f t="shared" si="17"/>
        <v>250</v>
      </c>
    </row>
    <row r="170" spans="1:7" ht="27.75">
      <c r="A170" s="1526" t="s">
        <v>102</v>
      </c>
      <c r="B170" s="1526"/>
      <c r="C170" s="1526"/>
      <c r="D170" s="523" t="s">
        <v>186</v>
      </c>
      <c r="E170" s="514">
        <f t="shared" ref="E170" si="23">E67</f>
        <v>243946</v>
      </c>
      <c r="F170" s="514">
        <f t="shared" si="19"/>
        <v>244093</v>
      </c>
      <c r="G170" s="473">
        <f t="shared" si="17"/>
        <v>147</v>
      </c>
    </row>
    <row r="171" spans="1:7" ht="27.75">
      <c r="A171" s="1526" t="s">
        <v>103</v>
      </c>
      <c r="B171" s="1526"/>
      <c r="C171" s="1526"/>
      <c r="D171" s="523" t="s">
        <v>186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514">
        <f t="shared" ref="E172" si="25">E69</f>
        <v>79332</v>
      </c>
      <c r="F172" s="514">
        <f t="shared" si="19"/>
        <v>79402</v>
      </c>
      <c r="G172" s="473">
        <f t="shared" si="17"/>
        <v>70</v>
      </c>
    </row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7" s="281" customFormat="1" ht="27">
      <c r="A2" s="575" t="s">
        <v>344</v>
      </c>
      <c r="B2" s="1035">
        <v>44322</v>
      </c>
      <c r="C2" s="1145" t="s">
        <v>69</v>
      </c>
      <c r="D2" s="611">
        <v>0.1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7" s="281" customFormat="1" ht="27">
      <c r="A3" s="570"/>
      <c r="B3" s="614"/>
      <c r="C3" s="1145" t="s">
        <v>119</v>
      </c>
      <c r="D3" s="612">
        <v>34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5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130</v>
      </c>
      <c r="B7" s="680"/>
      <c r="C7" s="680"/>
      <c r="D7" s="638" t="s">
        <v>131</v>
      </c>
      <c r="E7" s="633">
        <f>'5'!F7</f>
        <v>5807328</v>
      </c>
      <c r="F7" s="455">
        <v>5822905</v>
      </c>
      <c r="G7" s="692">
        <f>F7-E7</f>
        <v>15577</v>
      </c>
      <c r="H7" s="682">
        <f>G7+'5'!H7</f>
        <v>95472</v>
      </c>
      <c r="I7" s="683">
        <f>'1'!I7</f>
        <v>12000</v>
      </c>
      <c r="J7" s="684">
        <f>H7/DAY(B2)</f>
        <v>15912</v>
      </c>
      <c r="K7" s="549"/>
      <c r="L7" s="377"/>
      <c r="N7" s="711"/>
    </row>
    <row r="8" spans="1:17" ht="27.75" thickBot="1">
      <c r="A8" s="685" t="s">
        <v>132</v>
      </c>
      <c r="B8" s="686"/>
      <c r="C8" s="687"/>
      <c r="D8" s="688" t="s">
        <v>25</v>
      </c>
      <c r="E8" s="633">
        <f>'5'!F8</f>
        <v>5841454</v>
      </c>
      <c r="F8" s="475">
        <v>5857109</v>
      </c>
      <c r="G8" s="692">
        <f t="shared" ref="G8:G12" si="0">F8-E8</f>
        <v>15655</v>
      </c>
      <c r="H8" s="682">
        <f>G8+'5'!H8</f>
        <v>95865</v>
      </c>
      <c r="I8" s="689">
        <v>12000</v>
      </c>
      <c r="J8" s="684">
        <f>H8/DAY(B2)</f>
        <v>15977.5</v>
      </c>
      <c r="K8" s="549"/>
      <c r="L8" s="425"/>
      <c r="M8" s="440"/>
      <c r="N8" s="706"/>
      <c r="O8" s="382"/>
    </row>
    <row r="9" spans="1:17">
      <c r="A9" s="690" t="s">
        <v>133</v>
      </c>
      <c r="B9" s="691"/>
      <c r="C9" s="691"/>
      <c r="D9" s="638" t="s">
        <v>131</v>
      </c>
      <c r="E9" s="633">
        <f>'5'!F9</f>
        <v>1068028</v>
      </c>
      <c r="F9" s="478">
        <v>1083115</v>
      </c>
      <c r="G9" s="692">
        <f t="shared" si="0"/>
        <v>15087</v>
      </c>
      <c r="H9" s="682">
        <f>G9+'5'!H9</f>
        <v>92401</v>
      </c>
      <c r="I9" s="693">
        <f>I8-J8</f>
        <v>-3977.5</v>
      </c>
      <c r="J9" s="684">
        <f>H9/DAY(B2)</f>
        <v>15400.166666666666</v>
      </c>
      <c r="K9" s="428"/>
      <c r="L9" s="377"/>
      <c r="N9" s="382"/>
      <c r="O9" s="440"/>
    </row>
    <row r="10" spans="1:17">
      <c r="A10" s="679" t="s">
        <v>134</v>
      </c>
      <c r="B10" s="680"/>
      <c r="C10" s="680"/>
      <c r="D10" s="638" t="s">
        <v>131</v>
      </c>
      <c r="E10" s="633">
        <f>'5'!F10</f>
        <v>2322.58</v>
      </c>
      <c r="F10" s="478">
        <v>2322.58</v>
      </c>
      <c r="G10" s="692">
        <f t="shared" si="0"/>
        <v>0</v>
      </c>
      <c r="H10" s="682">
        <f>G10+'5'!H10</f>
        <v>0</v>
      </c>
      <c r="I10" s="694"/>
      <c r="J10" s="684">
        <f>H10/DAY(B2)</f>
        <v>0</v>
      </c>
      <c r="K10" s="428"/>
      <c r="L10" s="377"/>
      <c r="N10" s="382"/>
      <c r="O10" s="440"/>
      <c r="Q10" s="440"/>
    </row>
    <row r="11" spans="1:17">
      <c r="A11" s="679" t="s">
        <v>135</v>
      </c>
      <c r="B11" s="680"/>
      <c r="C11" s="680"/>
      <c r="D11" s="638" t="s">
        <v>131</v>
      </c>
      <c r="E11" s="633">
        <f>'5'!F11</f>
        <v>37000</v>
      </c>
      <c r="F11" s="455">
        <v>37000</v>
      </c>
      <c r="G11" s="692">
        <f t="shared" si="0"/>
        <v>0</v>
      </c>
      <c r="H11" s="682">
        <f>G11+'5'!H11</f>
        <v>0</v>
      </c>
      <c r="I11" s="694"/>
      <c r="J11" s="684">
        <f>H11/DAY(B2)</f>
        <v>0</v>
      </c>
      <c r="K11" s="428"/>
      <c r="L11" s="377"/>
      <c r="N11" s="382"/>
      <c r="O11" s="440"/>
      <c r="Q11" s="440"/>
    </row>
    <row r="12" spans="1:17">
      <c r="A12" s="679" t="s">
        <v>136</v>
      </c>
      <c r="B12" s="680"/>
      <c r="C12" s="680"/>
      <c r="D12" s="638" t="s">
        <v>131</v>
      </c>
      <c r="E12" s="633">
        <f>'5'!F12</f>
        <v>40010</v>
      </c>
      <c r="F12" s="478">
        <v>40010</v>
      </c>
      <c r="G12" s="692">
        <f t="shared" si="0"/>
        <v>0</v>
      </c>
      <c r="H12" s="682">
        <f>G12+'5'!H12</f>
        <v>0</v>
      </c>
      <c r="I12" s="694"/>
      <c r="J12" s="684">
        <f>H12/DAY(B2)</f>
        <v>0</v>
      </c>
      <c r="K12" s="428"/>
      <c r="L12" s="377"/>
      <c r="N12" s="382"/>
      <c r="O12" s="440"/>
      <c r="Q12" s="440"/>
    </row>
    <row r="13" spans="1:17">
      <c r="A13" s="695" t="s">
        <v>137</v>
      </c>
      <c r="B13" s="696"/>
      <c r="C13" s="696"/>
      <c r="D13" s="638"/>
      <c r="E13" s="633"/>
      <c r="F13" s="455"/>
      <c r="G13" s="697">
        <f>G9+G10+G11+G12</f>
        <v>15087</v>
      </c>
      <c r="H13" s="682">
        <f>G13+'5'!H13</f>
        <v>92401</v>
      </c>
      <c r="I13" s="698">
        <f>G7-G13</f>
        <v>490</v>
      </c>
      <c r="J13" s="684">
        <f>H13/DAY(B2)</f>
        <v>15400.166666666666</v>
      </c>
      <c r="K13" s="428"/>
      <c r="L13" s="377"/>
      <c r="N13" s="382"/>
      <c r="O13" s="440"/>
      <c r="Q13" s="440"/>
    </row>
    <row r="14" spans="1:17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5" t="s">
        <v>139</v>
      </c>
      <c r="B15" s="790"/>
      <c r="C15" s="790"/>
      <c r="D15" s="524" t="s">
        <v>140</v>
      </c>
      <c r="E15" s="485">
        <f>'5'!F15</f>
        <v>1672745</v>
      </c>
      <c r="F15" s="485">
        <v>1673222</v>
      </c>
      <c r="G15" s="473">
        <f>(F15-E15)</f>
        <v>477</v>
      </c>
      <c r="H15" s="486">
        <f>G15+'5'!H15</f>
        <v>2565</v>
      </c>
      <c r="I15" s="474">
        <v>800</v>
      </c>
      <c r="J15" s="553">
        <f>H15/DAY(B2)</f>
        <v>427.5</v>
      </c>
      <c r="K15" s="428"/>
      <c r="L15" s="377"/>
      <c r="N15" s="382"/>
    </row>
    <row r="16" spans="1:17">
      <c r="A16" s="793"/>
      <c r="B16" s="794"/>
      <c r="C16" s="794"/>
      <c r="D16" s="791"/>
      <c r="E16" s="792"/>
      <c r="F16" s="485"/>
      <c r="G16" s="1038"/>
      <c r="H16" s="1055"/>
      <c r="I16" s="487">
        <f>I15-J15</f>
        <v>372.5</v>
      </c>
      <c r="J16" s="1056"/>
      <c r="K16" s="428"/>
      <c r="L16" s="377"/>
      <c r="N16" s="382"/>
    </row>
    <row r="17" spans="1:14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1" t="s">
        <v>142</v>
      </c>
      <c r="B18" s="1592"/>
      <c r="C18" s="1593"/>
      <c r="D18" s="639" t="s">
        <v>143</v>
      </c>
      <c r="E18" s="637">
        <f>'5'!F18</f>
        <v>6</v>
      </c>
      <c r="F18" s="485">
        <v>0</v>
      </c>
      <c r="G18" s="692">
        <f>F18*10</f>
        <v>0</v>
      </c>
      <c r="H18" s="682">
        <f>G18+'5'!H18</f>
        <v>320</v>
      </c>
      <c r="I18" s="683">
        <f>'1'!I18</f>
        <v>65</v>
      </c>
      <c r="J18" s="684">
        <f>H18/DAY(B2)</f>
        <v>53.333333333333336</v>
      </c>
      <c r="K18" s="428"/>
      <c r="L18" s="377"/>
      <c r="N18" s="382"/>
    </row>
    <row r="19" spans="1:14" ht="27.75">
      <c r="A19" s="1591" t="s">
        <v>71</v>
      </c>
      <c r="B19" s="1592"/>
      <c r="C19" s="1593"/>
      <c r="D19" s="638" t="s">
        <v>143</v>
      </c>
      <c r="E19" s="635">
        <f>'5'!F19</f>
        <v>138075</v>
      </c>
      <c r="F19" s="478">
        <v>138131</v>
      </c>
      <c r="G19" s="692">
        <f t="shared" ref="G19" si="1">F19-E19</f>
        <v>56</v>
      </c>
      <c r="H19" s="682">
        <f>G19+'5'!H19</f>
        <v>319</v>
      </c>
      <c r="I19" s="699"/>
      <c r="J19" s="684">
        <f>H19/DAY(B2)</f>
        <v>53.166666666666664</v>
      </c>
      <c r="K19" s="428"/>
      <c r="L19" s="377"/>
      <c r="N19" s="382"/>
    </row>
    <row r="20" spans="1:14">
      <c r="A20" s="695" t="s">
        <v>144</v>
      </c>
      <c r="B20" s="696"/>
      <c r="C20" s="696"/>
      <c r="D20" s="638"/>
      <c r="E20" s="638"/>
      <c r="F20" s="523"/>
      <c r="G20" s="700">
        <f>G18+G19</f>
        <v>56</v>
      </c>
      <c r="H20" s="682">
        <f>G20+'5'!H20</f>
        <v>639</v>
      </c>
      <c r="I20" s="701">
        <f>I18-J20</f>
        <v>-41.5</v>
      </c>
      <c r="J20" s="684">
        <f>H20/DAY(B2)</f>
        <v>106.5</v>
      </c>
      <c r="K20" s="428"/>
      <c r="L20" s="377"/>
      <c r="N20" s="382"/>
    </row>
    <row r="21" spans="1:14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146</v>
      </c>
      <c r="B22" s="589"/>
      <c r="C22" s="589"/>
      <c r="D22" s="523" t="s">
        <v>147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148</v>
      </c>
      <c r="B23" s="589"/>
      <c r="C23" s="589"/>
      <c r="D23" s="523" t="s">
        <v>147</v>
      </c>
      <c r="E23" s="635">
        <f>'5'!F23</f>
        <v>2000</v>
      </c>
      <c r="F23" s="478">
        <v>2000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5">
        <f>'5'!F24</f>
        <v>4970</v>
      </c>
      <c r="F24" s="485">
        <v>4970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15655</v>
      </c>
      <c r="F27" s="501">
        <v>9</v>
      </c>
      <c r="G27" s="502">
        <f>E27*F27</f>
        <v>140895</v>
      </c>
      <c r="H27" s="460">
        <f>G27+'5'!H27</f>
        <v>862785</v>
      </c>
      <c r="I27" s="503"/>
      <c r="J27" s="552">
        <f>H27/DAY(B2)</f>
        <v>143797.5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2">
        <f>G15</f>
        <v>477</v>
      </c>
      <c r="F28" s="501">
        <v>49</v>
      </c>
      <c r="G28" s="502">
        <f t="shared" ref="G28:G31" si="3">E28*F28</f>
        <v>23373</v>
      </c>
      <c r="H28" s="460">
        <f>G28+'5'!H28</f>
        <v>125685</v>
      </c>
      <c r="I28" s="505"/>
      <c r="J28" s="552">
        <f>H28/DAY(B2)</f>
        <v>20947.5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2">
        <f>G19</f>
        <v>56</v>
      </c>
      <c r="F30" s="501">
        <v>134</v>
      </c>
      <c r="G30" s="502">
        <f t="shared" si="3"/>
        <v>7504</v>
      </c>
      <c r="H30" s="460">
        <f>G30+'5'!H30</f>
        <v>42746</v>
      </c>
      <c r="I30" s="505"/>
      <c r="J30" s="552">
        <f>H30/DAY(B2)</f>
        <v>7124.333333333333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2">
        <f>G18</f>
        <v>0</v>
      </c>
      <c r="F31" s="501">
        <v>80</v>
      </c>
      <c r="G31" s="502">
        <f t="shared" si="3"/>
        <v>0</v>
      </c>
      <c r="H31" s="460">
        <f>G31+'5'!H31</f>
        <v>25600</v>
      </c>
      <c r="I31" s="505"/>
      <c r="J31" s="552">
        <f>H31/DAY(B2)</f>
        <v>4266.666666666667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171772</v>
      </c>
      <c r="H32" s="460">
        <f>G32+'5'!H32</f>
        <v>1056816</v>
      </c>
      <c r="I32" s="509"/>
      <c r="J32" s="552">
        <f>H32/DAY(B2)</f>
        <v>176136</v>
      </c>
      <c r="K32" s="373"/>
      <c r="L32" s="443"/>
      <c r="N32" s="382"/>
    </row>
    <row r="33" spans="1:15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</row>
    <row r="34" spans="1:15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163</v>
      </c>
      <c r="B35" s="579"/>
      <c r="C35" s="579"/>
      <c r="D35" s="523" t="s">
        <v>131</v>
      </c>
      <c r="E35" s="510">
        <f>'5'!F35</f>
        <v>897088</v>
      </c>
      <c r="F35" s="510">
        <v>899256</v>
      </c>
      <c r="G35" s="473">
        <f t="shared" ref="G35:G46" si="4">F35-E35</f>
        <v>2168</v>
      </c>
      <c r="H35" s="460">
        <f>G35+'5'!H35</f>
        <v>12797</v>
      </c>
      <c r="I35" s="455"/>
      <c r="J35" s="552">
        <f>H35/DAY(B2)</f>
        <v>2132.8333333333335</v>
      </c>
      <c r="K35" s="428"/>
      <c r="L35" s="377"/>
      <c r="N35" s="382"/>
    </row>
    <row r="36" spans="1:15">
      <c r="A36" s="578" t="s">
        <v>164</v>
      </c>
      <c r="B36" s="579"/>
      <c r="C36" s="579"/>
      <c r="D36" s="523" t="s">
        <v>131</v>
      </c>
      <c r="E36" s="510">
        <f>'5'!F36</f>
        <v>346435</v>
      </c>
      <c r="F36" s="510">
        <v>346755</v>
      </c>
      <c r="G36" s="473">
        <f t="shared" si="4"/>
        <v>320</v>
      </c>
      <c r="H36" s="460">
        <f>G36+'5'!H36</f>
        <v>2147</v>
      </c>
      <c r="I36" s="455"/>
      <c r="J36" s="552">
        <f>H36/DAY(B2)</f>
        <v>357.83333333333331</v>
      </c>
      <c r="K36" s="428"/>
      <c r="L36" s="377"/>
      <c r="N36" s="628"/>
      <c r="O36" s="501"/>
    </row>
    <row r="37" spans="1:15">
      <c r="A37" s="578" t="s">
        <v>165</v>
      </c>
      <c r="B37" s="579"/>
      <c r="C37" s="579"/>
      <c r="D37" s="523" t="s">
        <v>131</v>
      </c>
      <c r="E37" s="510">
        <f>'5'!F37</f>
        <v>101398</v>
      </c>
      <c r="F37" s="510">
        <v>102587</v>
      </c>
      <c r="G37" s="473">
        <f t="shared" si="4"/>
        <v>1189</v>
      </c>
      <c r="H37" s="460">
        <f>G37+'5'!H37</f>
        <v>7362</v>
      </c>
      <c r="I37" s="455"/>
      <c r="J37" s="552">
        <f>H37/DAY(B2)</f>
        <v>1227</v>
      </c>
      <c r="K37" s="428"/>
      <c r="L37" s="377"/>
      <c r="N37" s="629"/>
      <c r="O37" s="501"/>
    </row>
    <row r="38" spans="1:15">
      <c r="A38" s="578" t="s">
        <v>166</v>
      </c>
      <c r="B38" s="579"/>
      <c r="C38" s="579"/>
      <c r="D38" s="523" t="s">
        <v>131</v>
      </c>
      <c r="E38" s="469">
        <f>'5'!F38</f>
        <v>126054</v>
      </c>
      <c r="F38" s="469">
        <v>127253</v>
      </c>
      <c r="G38" s="473">
        <f t="shared" si="4"/>
        <v>1199</v>
      </c>
      <c r="H38" s="460">
        <f>G38+'5'!H38</f>
        <v>7657</v>
      </c>
      <c r="I38" s="455"/>
      <c r="J38" s="552">
        <f>H38/DAY(B2)</f>
        <v>1276.1666666666667</v>
      </c>
      <c r="K38" s="428"/>
      <c r="L38" s="377"/>
      <c r="N38" s="382"/>
      <c r="O38" s="501"/>
    </row>
    <row r="39" spans="1:15">
      <c r="A39" s="578" t="s">
        <v>167</v>
      </c>
      <c r="B39" s="579"/>
      <c r="C39" s="579"/>
      <c r="D39" s="523" t="s">
        <v>131</v>
      </c>
      <c r="E39" s="510">
        <f>'5'!F39</f>
        <v>255727</v>
      </c>
      <c r="F39" s="510">
        <v>257374</v>
      </c>
      <c r="G39" s="473">
        <f t="shared" si="4"/>
        <v>1647</v>
      </c>
      <c r="H39" s="460">
        <f>G39+'5'!H39</f>
        <v>10721</v>
      </c>
      <c r="I39" s="455"/>
      <c r="J39" s="552">
        <f>H39/DAY(B2)</f>
        <v>1786.8333333333333</v>
      </c>
      <c r="K39" s="428"/>
      <c r="L39" s="377"/>
      <c r="N39" s="382"/>
      <c r="O39" s="501"/>
    </row>
    <row r="40" spans="1:15">
      <c r="A40" s="599" t="s">
        <v>168</v>
      </c>
      <c r="B40" s="600"/>
      <c r="C40" s="600"/>
      <c r="D40" s="523" t="s">
        <v>131</v>
      </c>
      <c r="E40" s="510">
        <f>'5'!F40</f>
        <v>0</v>
      </c>
      <c r="F40" s="510">
        <v>0</v>
      </c>
      <c r="G40" s="473">
        <f t="shared" si="4"/>
        <v>0</v>
      </c>
      <c r="H40" s="460">
        <f>G40+'5'!H40</f>
        <v>-0.23</v>
      </c>
      <c r="I40" s="455"/>
      <c r="J40" s="552">
        <f>H40/DAY(B2)</f>
        <v>-3.8333333333333337E-2</v>
      </c>
      <c r="K40" s="429"/>
      <c r="L40" s="377"/>
      <c r="N40" s="382"/>
      <c r="O40" s="501"/>
    </row>
    <row r="41" spans="1:15">
      <c r="A41" s="578" t="s">
        <v>169</v>
      </c>
      <c r="B41" s="579"/>
      <c r="C41" s="579"/>
      <c r="D41" s="523" t="s">
        <v>131</v>
      </c>
      <c r="E41" s="510">
        <f>'5'!F41</f>
        <v>206065</v>
      </c>
      <c r="F41" s="510">
        <v>210906</v>
      </c>
      <c r="G41" s="473">
        <f>F41-E41</f>
        <v>4841</v>
      </c>
      <c r="H41" s="460">
        <f>G41+'5'!H41</f>
        <v>29378</v>
      </c>
      <c r="I41" s="455"/>
      <c r="J41" s="552">
        <f>H41/DAY(B2)</f>
        <v>4896.333333333333</v>
      </c>
      <c r="K41" s="428"/>
      <c r="L41" s="377"/>
      <c r="N41" s="382"/>
    </row>
    <row r="42" spans="1:15">
      <c r="A42" s="578" t="s">
        <v>170</v>
      </c>
      <c r="B42" s="579"/>
      <c r="C42" s="579"/>
      <c r="D42" s="523" t="s">
        <v>131</v>
      </c>
      <c r="E42" s="510">
        <f>'5'!F42</f>
        <v>59200</v>
      </c>
      <c r="F42" s="510">
        <v>59200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>
      <c r="A43" s="578" t="s">
        <v>171</v>
      </c>
      <c r="B43" s="579"/>
      <c r="C43" s="579"/>
      <c r="D43" s="523" t="s">
        <v>131</v>
      </c>
      <c r="E43" s="510">
        <f>'5'!F43</f>
        <v>985171</v>
      </c>
      <c r="F43" s="510">
        <v>987468</v>
      </c>
      <c r="G43" s="473">
        <f t="shared" si="4"/>
        <v>2297</v>
      </c>
      <c r="H43" s="460">
        <f>G43+'5'!H43</f>
        <v>13510</v>
      </c>
      <c r="I43" s="455"/>
      <c r="J43" s="552">
        <f>H43/DAY(B2)</f>
        <v>2251.6666666666665</v>
      </c>
      <c r="K43" s="428"/>
      <c r="L43" s="377"/>
      <c r="N43" s="382"/>
    </row>
    <row r="44" spans="1:15">
      <c r="A44" s="578" t="s">
        <v>172</v>
      </c>
      <c r="B44" s="579"/>
      <c r="C44" s="579"/>
      <c r="D44" s="523" t="s">
        <v>131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173</v>
      </c>
      <c r="B45" s="579"/>
      <c r="C45" s="579"/>
      <c r="D45" s="523" t="s">
        <v>131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>
      <c r="A46" s="578" t="s">
        <v>174</v>
      </c>
      <c r="B46" s="579"/>
      <c r="C46" s="579"/>
      <c r="D46" s="523" t="s">
        <v>131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13661</v>
      </c>
      <c r="H47" s="460">
        <f>G47+'5'!H47</f>
        <v>83571.77</v>
      </c>
      <c r="I47" s="455"/>
      <c r="J47" s="552">
        <f>H47/DAY(B2)</f>
        <v>13928.628333333334</v>
      </c>
      <c r="K47" s="428"/>
      <c r="L47" s="377"/>
      <c r="N47" s="382"/>
    </row>
    <row r="48" spans="1:15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'5'!F49</f>
        <v>260732</v>
      </c>
      <c r="F49" s="1036">
        <v>260732</v>
      </c>
      <c r="G49" s="473">
        <f t="shared" ref="G49:G58" si="5">F49-E49</f>
        <v>0</v>
      </c>
      <c r="H49" s="460">
        <f>G49+'5'!H49</f>
        <v>-0.13000000000465661</v>
      </c>
      <c r="I49" s="455"/>
      <c r="J49" s="552">
        <f>H49/DAY(B2)</f>
        <v>-2.1666666667442769E-2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'5'!F50</f>
        <v>479444</v>
      </c>
      <c r="F50" s="510">
        <v>480292</v>
      </c>
      <c r="G50" s="473">
        <f t="shared" si="5"/>
        <v>848</v>
      </c>
      <c r="H50" s="460">
        <f>G50+'5'!H50</f>
        <v>5756</v>
      </c>
      <c r="I50" s="455"/>
      <c r="J50" s="552">
        <f>H50/DAY(B2)</f>
        <v>959.33333333333337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'5'!F51</f>
        <v>144640</v>
      </c>
      <c r="F51" s="510">
        <v>144640</v>
      </c>
      <c r="G51" s="473">
        <f t="shared" si="5"/>
        <v>0</v>
      </c>
      <c r="H51" s="460">
        <f>G51+'5'!H51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'5'!F52</f>
        <v>539606</v>
      </c>
      <c r="F52" s="510">
        <v>539606</v>
      </c>
      <c r="G52" s="473">
        <f t="shared" si="5"/>
        <v>0</v>
      </c>
      <c r="H52" s="460">
        <f>G52+'5'!H52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'5'!F53</f>
        <v>419100</v>
      </c>
      <c r="F53" s="510">
        <v>419613</v>
      </c>
      <c r="G53" s="473">
        <f t="shared" si="5"/>
        <v>513</v>
      </c>
      <c r="H53" s="460">
        <f>G53+'5'!H53</f>
        <v>3302</v>
      </c>
      <c r="I53" s="455"/>
      <c r="J53" s="552">
        <f>H53/DAY(B2)</f>
        <v>550.33333333333337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'5'!F54</f>
        <v>11743</v>
      </c>
      <c r="F54" s="510">
        <v>11817</v>
      </c>
      <c r="G54" s="473">
        <f t="shared" si="5"/>
        <v>74</v>
      </c>
      <c r="H54" s="460">
        <f>G54+'5'!H54</f>
        <v>439</v>
      </c>
      <c r="I54" s="455"/>
      <c r="J54" s="552">
        <f>H54/DAY(B2)</f>
        <v>73.166666666666671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'5'!F55</f>
        <v>346926</v>
      </c>
      <c r="F55" s="656">
        <v>346926</v>
      </c>
      <c r="G55" s="655">
        <f t="shared" si="5"/>
        <v>0</v>
      </c>
      <c r="H55" s="708">
        <f>G55+'5'!H55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'5'!F56</f>
        <v>589345</v>
      </c>
      <c r="F56" s="1059">
        <v>589355</v>
      </c>
      <c r="G56" s="473">
        <f t="shared" si="5"/>
        <v>10</v>
      </c>
      <c r="H56" s="460">
        <f>G56+'5'!H56</f>
        <v>66.53000000002794</v>
      </c>
      <c r="I56" s="455"/>
      <c r="J56" s="552">
        <f>H56/DAY(B2)</f>
        <v>11.088333333337991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'5'!F57</f>
        <v>7711</v>
      </c>
      <c r="F57" s="1036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'5'!F58</f>
        <v>47133</v>
      </c>
      <c r="F58" s="656">
        <v>47256</v>
      </c>
      <c r="G58" s="473">
        <f t="shared" si="5"/>
        <v>123</v>
      </c>
      <c r="H58" s="460">
        <f>G58+'5'!H58</f>
        <v>588</v>
      </c>
      <c r="I58" s="455"/>
      <c r="J58" s="552">
        <f>H58/DAY(B2)</f>
        <v>98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1568</v>
      </c>
      <c r="H59" s="460">
        <f>G59+'5'!H59</f>
        <v>10151.400000000023</v>
      </c>
      <c r="I59" s="455">
        <f>G7-G60</f>
        <v>348</v>
      </c>
      <c r="J59" s="552">
        <f>H59/DAY(B2)</f>
        <v>1691.900000000004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15229</v>
      </c>
      <c r="H60" s="460">
        <f>G60+'5'!H60</f>
        <v>93723.170000000027</v>
      </c>
      <c r="I60" s="455">
        <f>G13-G60</f>
        <v>-142</v>
      </c>
      <c r="J60" s="552">
        <f>H60/DAY(B2)</f>
        <v>15620.528333333337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186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'5'!F63</f>
        <v>2378</v>
      </c>
      <c r="F63" s="514">
        <v>2382</v>
      </c>
      <c r="G63" s="473">
        <f t="shared" si="6"/>
        <v>4</v>
      </c>
      <c r="H63" s="460">
        <f>G63+'5'!H63</f>
        <v>23</v>
      </c>
      <c r="I63" s="515"/>
      <c r="J63" s="552">
        <f>H63/DAY(B2)</f>
        <v>3.8333333333333335</v>
      </c>
      <c r="K63" s="428"/>
      <c r="L63" s="377"/>
      <c r="N63" s="382"/>
    </row>
    <row r="64" spans="1:14" ht="27.75">
      <c r="A64" s="1530" t="s">
        <v>99</v>
      </c>
      <c r="B64" s="1531"/>
      <c r="C64" s="1532"/>
      <c r="D64" s="523" t="s">
        <v>186</v>
      </c>
      <c r="E64" s="484">
        <f>'5'!F64</f>
        <v>154342</v>
      </c>
      <c r="F64" s="478">
        <v>154546</v>
      </c>
      <c r="G64" s="473">
        <f t="shared" si="6"/>
        <v>204</v>
      </c>
      <c r="H64" s="460">
        <f>G64+'5'!H64</f>
        <v>1247</v>
      </c>
      <c r="I64" s="480"/>
      <c r="J64" s="552">
        <f>H64/DAY(B2)</f>
        <v>207.83333333333334</v>
      </c>
      <c r="K64" s="428"/>
      <c r="L64" s="377"/>
      <c r="N64" s="382"/>
    </row>
    <row r="65" spans="1:14" ht="27.75">
      <c r="A65" s="1530" t="s">
        <v>100</v>
      </c>
      <c r="B65" s="1531"/>
      <c r="C65" s="1532"/>
      <c r="D65" s="523" t="s">
        <v>186</v>
      </c>
      <c r="E65" s="484">
        <f>'5'!F65</f>
        <v>155606</v>
      </c>
      <c r="F65" s="654">
        <v>155781</v>
      </c>
      <c r="G65" s="473">
        <f t="shared" si="6"/>
        <v>175</v>
      </c>
      <c r="H65" s="460">
        <f>G65+'5'!H65</f>
        <v>1182</v>
      </c>
      <c r="I65" s="489"/>
      <c r="J65" s="552">
        <f>H65/DAY(B2)</f>
        <v>197</v>
      </c>
      <c r="K65" s="428"/>
      <c r="L65" s="377"/>
      <c r="N65" s="382"/>
    </row>
    <row r="66" spans="1:14" ht="27.75">
      <c r="A66" s="1530" t="s">
        <v>101</v>
      </c>
      <c r="B66" s="1531"/>
      <c r="C66" s="1532"/>
      <c r="D66" s="523" t="s">
        <v>186</v>
      </c>
      <c r="E66" s="484">
        <f>'5'!F66</f>
        <v>49895</v>
      </c>
      <c r="F66" s="478">
        <v>50147</v>
      </c>
      <c r="G66" s="473">
        <f t="shared" si="6"/>
        <v>252</v>
      </c>
      <c r="H66" s="460">
        <f>G66+'5'!H66</f>
        <v>1576</v>
      </c>
      <c r="I66" s="480"/>
      <c r="J66" s="552">
        <f>H66/DAY(B2)</f>
        <v>262.66666666666669</v>
      </c>
      <c r="K66" s="428"/>
      <c r="L66" s="377"/>
      <c r="N66" s="382"/>
    </row>
    <row r="67" spans="1:14" ht="27.75">
      <c r="A67" s="1530" t="s">
        <v>102</v>
      </c>
      <c r="B67" s="1531"/>
      <c r="C67" s="1532"/>
      <c r="D67" s="523" t="s">
        <v>186</v>
      </c>
      <c r="E67" s="484">
        <f>'5'!F67</f>
        <v>244093</v>
      </c>
      <c r="F67" s="478">
        <v>244238</v>
      </c>
      <c r="G67" s="473">
        <f t="shared" si="6"/>
        <v>145</v>
      </c>
      <c r="H67" s="460">
        <f>G67+'5'!H67</f>
        <v>1064</v>
      </c>
      <c r="I67" s="489"/>
      <c r="J67" s="552">
        <f>H67/DAY(B2)</f>
        <v>177.33333333333334</v>
      </c>
      <c r="K67" s="429"/>
      <c r="L67" s="377"/>
      <c r="N67" s="382"/>
    </row>
    <row r="68" spans="1:14" ht="27.75">
      <c r="A68" s="1530" t="s">
        <v>103</v>
      </c>
      <c r="B68" s="1531"/>
      <c r="C68" s="1532"/>
      <c r="D68" s="523" t="s">
        <v>186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0" t="s">
        <v>104</v>
      </c>
      <c r="B69" s="1531"/>
      <c r="C69" s="1532"/>
      <c r="D69" s="523" t="s">
        <v>186</v>
      </c>
      <c r="E69" s="484">
        <f>'5'!F69</f>
        <v>79402</v>
      </c>
      <c r="F69" s="478">
        <v>79443</v>
      </c>
      <c r="G69" s="473">
        <f t="shared" si="6"/>
        <v>41</v>
      </c>
      <c r="H69" s="460">
        <f>G69+'5'!H69</f>
        <v>449</v>
      </c>
      <c r="I69" s="516"/>
      <c r="J69" s="552">
        <f>H69/DAY(B2)</f>
        <v>74.833333333333329</v>
      </c>
      <c r="K69" s="431"/>
      <c r="L69" s="377"/>
      <c r="N69" s="382"/>
    </row>
    <row r="70" spans="1:14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</row>
    <row r="72" spans="1:14" ht="27.75">
      <c r="A72" s="1530" t="s">
        <v>190</v>
      </c>
      <c r="B72" s="1531"/>
      <c r="C72" s="1532"/>
      <c r="D72" s="523" t="s">
        <v>186</v>
      </c>
      <c r="E72" s="519">
        <f>'5'!F72</f>
        <v>855540</v>
      </c>
      <c r="F72" s="657">
        <v>855571</v>
      </c>
      <c r="G72" s="473">
        <f t="shared" ref="G72:G84" si="7">F72-E72</f>
        <v>31</v>
      </c>
      <c r="H72" s="460">
        <f>G72+'5'!H72</f>
        <v>110</v>
      </c>
      <c r="I72" s="480"/>
      <c r="J72" s="552">
        <f>H72/DAY(B2)</f>
        <v>18.333333333333332</v>
      </c>
      <c r="K72" s="431"/>
      <c r="L72" s="377"/>
      <c r="N72" s="382"/>
    </row>
    <row r="73" spans="1:14" ht="27.75">
      <c r="A73" s="1530" t="s">
        <v>191</v>
      </c>
      <c r="B73" s="1531"/>
      <c r="C73" s="1532"/>
      <c r="D73" s="523" t="s">
        <v>186</v>
      </c>
      <c r="E73" s="520">
        <f>'5'!F73</f>
        <v>885882</v>
      </c>
      <c r="F73" s="658">
        <v>885883</v>
      </c>
      <c r="G73" s="655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>
      <c r="A74" s="1530" t="s">
        <v>192</v>
      </c>
      <c r="B74" s="1531"/>
      <c r="C74" s="1532"/>
      <c r="D74" s="523" t="s">
        <v>186</v>
      </c>
      <c r="E74" s="521">
        <f>'5'!F74</f>
        <v>2373</v>
      </c>
      <c r="F74" s="657">
        <v>2388</v>
      </c>
      <c r="G74" s="473">
        <f t="shared" si="7"/>
        <v>15</v>
      </c>
      <c r="H74" s="460">
        <f>G74+'5'!H74</f>
        <v>109</v>
      </c>
      <c r="I74" s="480"/>
      <c r="J74" s="552">
        <f>H74/DAY(B2)</f>
        <v>18.166666666666668</v>
      </c>
      <c r="K74" s="431"/>
      <c r="L74" s="377"/>
      <c r="N74" s="382"/>
    </row>
    <row r="75" spans="1:14" ht="27.75">
      <c r="A75" s="1527" t="s">
        <v>193</v>
      </c>
      <c r="B75" s="1528"/>
      <c r="C75" s="1529"/>
      <c r="D75" s="523" t="s">
        <v>186</v>
      </c>
      <c r="E75" s="520">
        <f>'5'!F75</f>
        <v>11231</v>
      </c>
      <c r="F75" s="658">
        <v>11285</v>
      </c>
      <c r="G75" s="473">
        <f t="shared" si="7"/>
        <v>54</v>
      </c>
      <c r="H75" s="460">
        <f>G75+'5'!H75</f>
        <v>315</v>
      </c>
      <c r="I75" s="480"/>
      <c r="J75" s="552">
        <f>H75/DAY(B2)</f>
        <v>52.5</v>
      </c>
      <c r="K75" s="430"/>
      <c r="L75" s="377"/>
      <c r="N75" s="382"/>
    </row>
    <row r="76" spans="1:14" ht="27.75">
      <c r="A76" s="1527" t="s">
        <v>194</v>
      </c>
      <c r="B76" s="1528"/>
      <c r="C76" s="1529"/>
      <c r="D76" s="523" t="s">
        <v>186</v>
      </c>
      <c r="E76" s="520">
        <f>'5'!F76</f>
        <v>5979</v>
      </c>
      <c r="F76" s="658">
        <v>6031</v>
      </c>
      <c r="G76" s="473">
        <f t="shared" si="7"/>
        <v>52</v>
      </c>
      <c r="H76" s="460">
        <f>G76+'5'!H76</f>
        <v>322</v>
      </c>
      <c r="I76" s="505"/>
      <c r="J76" s="552">
        <f>H76/DAY(B2)</f>
        <v>53.666666666666664</v>
      </c>
      <c r="K76" s="430"/>
      <c r="L76" s="377"/>
      <c r="N76" s="382"/>
    </row>
    <row r="77" spans="1:14" ht="27.75">
      <c r="A77" s="1530" t="s">
        <v>195</v>
      </c>
      <c r="B77" s="1531"/>
      <c r="C77" s="1532"/>
      <c r="D77" s="523" t="s">
        <v>186</v>
      </c>
      <c r="E77" s="520">
        <f>'5'!F77</f>
        <v>701807</v>
      </c>
      <c r="F77" s="658">
        <v>701857</v>
      </c>
      <c r="G77" s="655">
        <f t="shared" si="7"/>
        <v>50</v>
      </c>
      <c r="H77" s="460">
        <f>G77+'5'!H77</f>
        <v>295</v>
      </c>
      <c r="I77" s="505"/>
      <c r="J77" s="552">
        <f>H77/DAY(B2)</f>
        <v>49.166666666666664</v>
      </c>
      <c r="K77" s="430"/>
      <c r="L77" s="377"/>
      <c r="N77" s="382"/>
    </row>
    <row r="78" spans="1:14" ht="27.75">
      <c r="A78" s="1146" t="s">
        <v>196</v>
      </c>
      <c r="B78" s="1119"/>
      <c r="C78" s="1119"/>
      <c r="D78" s="523" t="s">
        <v>186</v>
      </c>
      <c r="E78" s="521">
        <f>'5'!F78</f>
        <v>670446</v>
      </c>
      <c r="F78" s="659">
        <v>670495</v>
      </c>
      <c r="G78" s="473">
        <f t="shared" si="7"/>
        <v>49</v>
      </c>
      <c r="H78" s="460">
        <f>G78+'5'!H78</f>
        <v>470</v>
      </c>
      <c r="I78" s="505"/>
      <c r="J78" s="552">
        <f>H78/DAY(B2)</f>
        <v>78.333333333333329</v>
      </c>
      <c r="K78" s="430"/>
      <c r="L78" s="377"/>
      <c r="N78" s="382"/>
    </row>
    <row r="79" spans="1:14" ht="27.75">
      <c r="A79" s="1527" t="s">
        <v>92</v>
      </c>
      <c r="B79" s="1528"/>
      <c r="C79" s="1529"/>
      <c r="D79" s="524" t="s">
        <v>186</v>
      </c>
      <c r="E79" s="521">
        <f>'5'!F79</f>
        <v>827689</v>
      </c>
      <c r="F79" s="659">
        <v>827846</v>
      </c>
      <c r="G79" s="473">
        <f t="shared" si="7"/>
        <v>157</v>
      </c>
      <c r="H79" s="460">
        <f>G79+'5'!H79</f>
        <v>1062</v>
      </c>
      <c r="I79" s="505"/>
      <c r="J79" s="552">
        <f>H79/DAY(B2)</f>
        <v>177</v>
      </c>
      <c r="K79" s="430"/>
      <c r="L79" s="377"/>
      <c r="N79" s="382"/>
    </row>
    <row r="80" spans="1:14" ht="27.75">
      <c r="A80" s="1527" t="s">
        <v>197</v>
      </c>
      <c r="B80" s="1528"/>
      <c r="C80" s="1529"/>
      <c r="D80" s="524" t="s">
        <v>186</v>
      </c>
      <c r="E80" s="520">
        <f>'5'!F80</f>
        <v>518572</v>
      </c>
      <c r="F80" s="658">
        <v>518923</v>
      </c>
      <c r="G80" s="473">
        <f t="shared" si="7"/>
        <v>351</v>
      </c>
      <c r="H80" s="460">
        <f>G80+'5'!H80</f>
        <v>2185</v>
      </c>
      <c r="I80" s="505"/>
      <c r="J80" s="552">
        <f>H80/DAY(B2)</f>
        <v>364.16666666666669</v>
      </c>
      <c r="K80" s="430"/>
      <c r="L80" s="377"/>
      <c r="N80" s="382"/>
    </row>
    <row r="81" spans="1:15" ht="27.75">
      <c r="A81" s="1527" t="s">
        <v>198</v>
      </c>
      <c r="B81" s="1528"/>
      <c r="C81" s="1529"/>
      <c r="D81" s="524" t="s">
        <v>186</v>
      </c>
      <c r="E81" s="520">
        <f>'5'!F81</f>
        <v>636838</v>
      </c>
      <c r="F81" s="658">
        <v>636961</v>
      </c>
      <c r="G81" s="473">
        <f t="shared" si="7"/>
        <v>123</v>
      </c>
      <c r="H81" s="460">
        <f>G81+'5'!H81</f>
        <v>483</v>
      </c>
      <c r="I81" s="505"/>
      <c r="J81" s="552">
        <f>H81/DAY(B2)</f>
        <v>80.5</v>
      </c>
      <c r="K81" s="430"/>
      <c r="L81" s="377"/>
      <c r="N81" s="382"/>
    </row>
    <row r="82" spans="1:15" ht="27.75">
      <c r="A82" s="1527" t="s">
        <v>93</v>
      </c>
      <c r="B82" s="1528"/>
      <c r="C82" s="1529"/>
      <c r="D82" s="485" t="s">
        <v>131</v>
      </c>
      <c r="E82" s="522">
        <f>'5'!F82</f>
        <v>107685</v>
      </c>
      <c r="F82" s="654">
        <v>107726</v>
      </c>
      <c r="G82" s="473">
        <f t="shared" si="7"/>
        <v>41</v>
      </c>
      <c r="H82" s="460">
        <f>G82+'5'!H82</f>
        <v>114</v>
      </c>
      <c r="I82" s="486"/>
      <c r="J82" s="552">
        <f>H82/DAY(B2)</f>
        <v>19</v>
      </c>
      <c r="K82" s="430"/>
      <c r="L82" s="377"/>
      <c r="N82" s="382"/>
    </row>
    <row r="83" spans="1:15" ht="27.75">
      <c r="A83" s="1527" t="s">
        <v>199</v>
      </c>
      <c r="B83" s="1528"/>
      <c r="C83" s="1529"/>
      <c r="D83" s="620" t="s">
        <v>131</v>
      </c>
      <c r="E83" s="511">
        <f>'5'!F83</f>
        <v>15884</v>
      </c>
      <c r="F83" s="511">
        <v>16098</v>
      </c>
      <c r="G83" s="473">
        <f t="shared" si="7"/>
        <v>214</v>
      </c>
      <c r="H83" s="460">
        <f>G83+'5'!H83</f>
        <v>1327</v>
      </c>
      <c r="I83" s="481"/>
      <c r="J83" s="552">
        <f>H83/DAY(B2)</f>
        <v>221.16666666666666</v>
      </c>
      <c r="K83" s="429"/>
      <c r="L83" s="377"/>
      <c r="N83" s="382"/>
    </row>
    <row r="84" spans="1:15">
      <c r="A84" s="1147" t="s">
        <v>200</v>
      </c>
      <c r="B84" s="571"/>
      <c r="C84" s="571"/>
      <c r="D84" s="478" t="s">
        <v>131</v>
      </c>
      <c r="E84" s="627">
        <f>'5'!F84</f>
        <v>483976</v>
      </c>
      <c r="F84" s="627">
        <v>484806</v>
      </c>
      <c r="G84" s="473">
        <f t="shared" si="7"/>
        <v>830</v>
      </c>
      <c r="H84" s="460">
        <f>G84+'5'!H84</f>
        <v>4673</v>
      </c>
      <c r="I84" s="481"/>
      <c r="J84" s="552">
        <f>H84/DAY(B2)</f>
        <v>778.83333333333337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1968</v>
      </c>
      <c r="H85" s="460">
        <f>G85+'5'!H85</f>
        <v>11472</v>
      </c>
      <c r="I85" s="481"/>
      <c r="J85" s="552">
        <f>H85/DAY(B2)</f>
        <v>1912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182</v>
      </c>
      <c r="E86" s="627">
        <f>'5'!F86</f>
        <v>459964</v>
      </c>
      <c r="F86" s="650">
        <v>459993</v>
      </c>
      <c r="G86" s="708">
        <f t="shared" ref="G86:G91" si="8">F86-E86</f>
        <v>29</v>
      </c>
      <c r="H86" s="460">
        <f>G86+'5'!H86</f>
        <v>726</v>
      </c>
      <c r="I86" s="655"/>
      <c r="J86" s="710">
        <f>H86/DAY(B2)</f>
        <v>121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182</v>
      </c>
      <c r="E87" s="627">
        <f>'5'!F87</f>
        <v>80979</v>
      </c>
      <c r="F87" s="650">
        <v>80997</v>
      </c>
      <c r="G87" s="708">
        <f t="shared" si="8"/>
        <v>18</v>
      </c>
      <c r="H87" s="460">
        <f>G87+'5'!H87</f>
        <v>78</v>
      </c>
      <c r="I87" s="655"/>
      <c r="J87" s="710">
        <f>H87/DAY(B2)</f>
        <v>13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182</v>
      </c>
      <c r="E88" s="627">
        <f>'5'!F88</f>
        <v>152056</v>
      </c>
      <c r="F88" s="650">
        <v>152079</v>
      </c>
      <c r="G88" s="708">
        <f t="shared" si="8"/>
        <v>23</v>
      </c>
      <c r="H88" s="460">
        <f>G88+'5'!H88</f>
        <v>274</v>
      </c>
      <c r="I88" s="655"/>
      <c r="J88" s="710">
        <f>H88/DAY(B2)</f>
        <v>45.666666666666664</v>
      </c>
      <c r="K88" s="736"/>
      <c r="L88" s="737"/>
      <c r="O88" s="716"/>
    </row>
    <row r="89" spans="1:15" s="738" customFormat="1">
      <c r="A89" s="733" t="s">
        <v>203</v>
      </c>
      <c r="B89" s="734"/>
      <c r="C89" s="734"/>
      <c r="D89" s="735" t="s">
        <v>182</v>
      </c>
      <c r="E89" s="627">
        <f>'5'!F89</f>
        <v>64866</v>
      </c>
      <c r="F89" s="650">
        <v>64872</v>
      </c>
      <c r="G89" s="708">
        <f t="shared" si="8"/>
        <v>6</v>
      </c>
      <c r="H89" s="460">
        <f>G89+'5'!H89</f>
        <v>38</v>
      </c>
      <c r="I89" s="655"/>
      <c r="J89" s="710">
        <f>H89/DAY(B2)</f>
        <v>6.333333333333333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27">
        <f>'5'!F90</f>
        <v>3272</v>
      </c>
      <c r="F90" s="650">
        <v>3272</v>
      </c>
      <c r="G90" s="708">
        <f t="shared" si="8"/>
        <v>0</v>
      </c>
      <c r="H90" s="460">
        <f>G90+'5'!H90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27">
        <f>'5'!F91</f>
        <v>27918.61</v>
      </c>
      <c r="F91" s="650">
        <v>27925</v>
      </c>
      <c r="G91" s="708">
        <f t="shared" si="8"/>
        <v>6.3899999999994179</v>
      </c>
      <c r="H91" s="460">
        <f>G91+'5'!H91</f>
        <v>6.3899999999994179</v>
      </c>
      <c r="I91" s="655"/>
      <c r="J91" s="710">
        <f>H91/DAY(B2)</f>
        <v>1.0649999999999029</v>
      </c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f>'5'!F93</f>
        <v>244729</v>
      </c>
      <c r="F93" s="478">
        <v>244729</v>
      </c>
      <c r="G93" s="473">
        <f t="shared" ref="G93:G94" si="9">F93-E93</f>
        <v>0</v>
      </c>
      <c r="H93" s="460">
        <f>G93+'5'!H93</f>
        <v>205</v>
      </c>
      <c r="I93" s="480"/>
      <c r="J93" s="552">
        <f>H93/DAY(B2)</f>
        <v>34.166666666666664</v>
      </c>
      <c r="K93" s="429"/>
      <c r="L93" s="377"/>
      <c r="N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f>'5'!F94</f>
        <v>183978</v>
      </c>
      <c r="F94" s="478">
        <v>184078</v>
      </c>
      <c r="G94" s="473">
        <f t="shared" si="9"/>
        <v>100</v>
      </c>
      <c r="H94" s="460">
        <f>G94+'5'!H94</f>
        <v>547</v>
      </c>
      <c r="I94" s="480"/>
      <c r="J94" s="552">
        <f>H94/DAY(B2)</f>
        <v>91.166666666666671</v>
      </c>
      <c r="K94" s="380"/>
      <c r="L94" s="377"/>
      <c r="N94" s="382"/>
    </row>
    <row r="95" spans="1:15">
      <c r="A95" s="1579" t="s">
        <v>207</v>
      </c>
      <c r="B95" s="1580"/>
      <c r="C95" s="1581"/>
      <c r="D95" s="523"/>
      <c r="E95" s="484">
        <f>'5'!F95</f>
        <v>0</v>
      </c>
      <c r="F95" s="478"/>
      <c r="G95" s="473">
        <f>G93+G94</f>
        <v>100</v>
      </c>
      <c r="H95" s="460">
        <f>G95+'5'!H95</f>
        <v>605</v>
      </c>
      <c r="I95" s="480"/>
      <c r="J95" s="552">
        <f>H95/DAY(B2)</f>
        <v>100.83333333333333</v>
      </c>
      <c r="K95" s="380"/>
      <c r="L95" s="377"/>
      <c r="N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f>'5'!F96</f>
        <v>413154</v>
      </c>
      <c r="F96" s="478">
        <v>413193</v>
      </c>
      <c r="G96" s="473">
        <f t="shared" ref="G96:G101" si="10">F96-E96</f>
        <v>39</v>
      </c>
      <c r="H96" s="460">
        <f>G96+'5'!H96</f>
        <v>307</v>
      </c>
      <c r="I96" s="480"/>
      <c r="J96" s="552">
        <f>H96/DAY(B2)</f>
        <v>51.166666666666664</v>
      </c>
      <c r="K96" s="380"/>
      <c r="L96" s="377"/>
      <c r="N96" s="382"/>
    </row>
    <row r="97" spans="1:14" ht="27.75">
      <c r="A97" s="1143" t="s">
        <v>209</v>
      </c>
      <c r="B97" s="1144"/>
      <c r="C97" s="1144"/>
      <c r="D97" s="523" t="s">
        <v>143</v>
      </c>
      <c r="E97" s="484">
        <f>'5'!F97</f>
        <v>102399</v>
      </c>
      <c r="F97" s="478">
        <v>102408</v>
      </c>
      <c r="G97" s="473">
        <f t="shared" si="10"/>
        <v>9</v>
      </c>
      <c r="H97" s="460">
        <f>G97+'5'!H97</f>
        <v>65</v>
      </c>
      <c r="I97" s="480"/>
      <c r="J97" s="552">
        <f>H97/DAY(B2)</f>
        <v>10.833333333333334</v>
      </c>
      <c r="K97" s="427"/>
      <c r="L97" s="377"/>
      <c r="N97" s="382"/>
    </row>
    <row r="98" spans="1:14" ht="27.75">
      <c r="A98" s="1143" t="s">
        <v>210</v>
      </c>
      <c r="B98" s="1144"/>
      <c r="C98" s="1144"/>
      <c r="D98" s="523" t="s">
        <v>143</v>
      </c>
      <c r="E98" s="1249">
        <v>97506</v>
      </c>
      <c r="F98" s="478">
        <v>97515</v>
      </c>
      <c r="G98" s="473">
        <f t="shared" si="10"/>
        <v>9</v>
      </c>
      <c r="H98" s="460">
        <f>G98+'5'!H98</f>
        <v>88</v>
      </c>
      <c r="I98" s="480"/>
      <c r="J98" s="552">
        <f>H98/DAY(B2)</f>
        <v>14.666666666666666</v>
      </c>
      <c r="K98" s="432"/>
      <c r="L98" s="377"/>
      <c r="N98" s="382"/>
    </row>
    <row r="99" spans="1:14" ht="27.75">
      <c r="A99" s="1143" t="s">
        <v>211</v>
      </c>
      <c r="B99" s="1144"/>
      <c r="C99" s="1144"/>
      <c r="D99" s="523" t="s">
        <v>143</v>
      </c>
      <c r="E99" s="484">
        <f>'5'!F99</f>
        <v>149560</v>
      </c>
      <c r="F99" s="478">
        <v>149568</v>
      </c>
      <c r="G99" s="473">
        <f t="shared" si="10"/>
        <v>8</v>
      </c>
      <c r="H99" s="460">
        <f>G99+'5'!H99</f>
        <v>35</v>
      </c>
      <c r="I99" s="480"/>
      <c r="J99" s="552">
        <f>H99/DAY(B2)</f>
        <v>5.833333333333333</v>
      </c>
      <c r="K99" s="380"/>
      <c r="L99" s="377"/>
      <c r="N99" s="707"/>
    </row>
    <row r="100" spans="1:14" ht="27.75">
      <c r="A100" s="1143" t="s">
        <v>212</v>
      </c>
      <c r="B100" s="1144"/>
      <c r="C100" s="1144"/>
      <c r="D100" s="523" t="s">
        <v>143</v>
      </c>
      <c r="E100" s="484">
        <f>'5'!F100</f>
        <v>7205</v>
      </c>
      <c r="F100" s="478">
        <v>7207</v>
      </c>
      <c r="G100" s="473">
        <f t="shared" si="10"/>
        <v>2</v>
      </c>
      <c r="H100" s="460">
        <f>G100+'5'!H100</f>
        <v>22</v>
      </c>
      <c r="I100" s="480"/>
      <c r="J100" s="552">
        <f>H100/DAY(B2)</f>
        <v>3.6666666666666665</v>
      </c>
      <c r="K100" s="380"/>
      <c r="L100" s="377"/>
      <c r="N100" s="382"/>
    </row>
    <row r="101" spans="1:14" ht="27.75">
      <c r="A101" s="1143" t="s">
        <v>213</v>
      </c>
      <c r="B101" s="1144"/>
      <c r="C101" s="1144"/>
      <c r="D101" s="523" t="s">
        <v>143</v>
      </c>
      <c r="E101" s="484">
        <f>'5'!F101</f>
        <v>5190</v>
      </c>
      <c r="F101" s="478">
        <v>5195</v>
      </c>
      <c r="G101" s="473">
        <f t="shared" si="10"/>
        <v>5</v>
      </c>
      <c r="H101" s="460">
        <f>G101+'5'!H101</f>
        <v>57</v>
      </c>
      <c r="I101" s="480"/>
      <c r="J101" s="552">
        <f>H101/DAY(B2)</f>
        <v>9.5</v>
      </c>
      <c r="K101" s="380"/>
      <c r="L101" s="377"/>
      <c r="N101" s="382"/>
    </row>
    <row r="102" spans="1:14">
      <c r="A102" s="1579" t="s">
        <v>215</v>
      </c>
      <c r="B102" s="1580"/>
      <c r="C102" s="1581"/>
      <c r="D102" s="524"/>
      <c r="E102" s="524"/>
      <c r="F102" s="524" t="s">
        <v>214</v>
      </c>
      <c r="G102" s="525">
        <f>SUM(G96:G101)</f>
        <v>72</v>
      </c>
      <c r="H102" s="460">
        <f>G102+'5'!H102</f>
        <v>574</v>
      </c>
      <c r="I102" s="526"/>
      <c r="J102" s="552">
        <f>H102/DAY(B2)</f>
        <v>95.666666666666671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82" t="s">
        <v>217</v>
      </c>
      <c r="B104" s="1583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43" t="s">
        <v>218</v>
      </c>
      <c r="B105" s="1544"/>
      <c r="C105" s="1142"/>
      <c r="D105" s="622" t="s">
        <v>143</v>
      </c>
      <c r="E105" s="532">
        <f>'5'!F105</f>
        <v>7435</v>
      </c>
      <c r="F105" s="661">
        <v>7439</v>
      </c>
      <c r="G105" s="532">
        <f>F105-E105</f>
        <v>4</v>
      </c>
      <c r="H105" s="460">
        <f>G105+'5'!H105</f>
        <v>8</v>
      </c>
      <c r="I105" s="532"/>
      <c r="J105" s="558">
        <f>H105/DAY(B2)</f>
        <v>1.3333333333333333</v>
      </c>
      <c r="N105" s="382"/>
    </row>
    <row r="106" spans="1:14" s="442" customFormat="1" ht="27.75">
      <c r="A106" s="1543" t="s">
        <v>77</v>
      </c>
      <c r="B106" s="1544"/>
      <c r="C106" s="1142"/>
      <c r="D106" s="622" t="s">
        <v>143</v>
      </c>
      <c r="E106" s="532">
        <f>'5'!F106</f>
        <v>35847</v>
      </c>
      <c r="F106" s="662">
        <v>35847</v>
      </c>
      <c r="G106" s="532">
        <f t="shared" ref="G106" si="11">F106-E106</f>
        <v>0</v>
      </c>
      <c r="H106" s="460">
        <f>G106+'5'!H106</f>
        <v>19</v>
      </c>
      <c r="I106" s="532"/>
      <c r="J106" s="558">
        <f>H106/DAY(B2)</f>
        <v>3.1666666666666665</v>
      </c>
      <c r="N106" s="382"/>
    </row>
    <row r="107" spans="1:14" s="442" customFormat="1" ht="27.75">
      <c r="A107" s="1543" t="s">
        <v>78</v>
      </c>
      <c r="B107" s="1584"/>
      <c r="C107" s="1544"/>
      <c r="D107" s="622" t="s">
        <v>143</v>
      </c>
      <c r="E107" s="532">
        <f>'5'!F107</f>
        <v>19635</v>
      </c>
      <c r="F107" s="661">
        <v>19638</v>
      </c>
      <c r="G107" s="532">
        <f>F107-E107</f>
        <v>3</v>
      </c>
      <c r="H107" s="460">
        <f>G107+'5'!H107</f>
        <v>21</v>
      </c>
      <c r="I107" s="532"/>
      <c r="J107" s="558">
        <f>H107/DAY(B2)</f>
        <v>3.5</v>
      </c>
      <c r="N107" s="382"/>
    </row>
    <row r="108" spans="1:14" s="442" customFormat="1" ht="27.75">
      <c r="A108" s="1545" t="s">
        <v>201</v>
      </c>
      <c r="B108" s="1546"/>
      <c r="C108" s="1142"/>
      <c r="D108" s="622"/>
      <c r="E108" s="532"/>
      <c r="F108" s="661"/>
      <c r="G108" s="532">
        <f>SUM(G105:G107)</f>
        <v>7</v>
      </c>
      <c r="H108" s="460">
        <f>G108+'5'!H108</f>
        <v>48</v>
      </c>
      <c r="I108" s="532"/>
      <c r="J108" s="558">
        <f>H108/DAY(B2)</f>
        <v>8</v>
      </c>
      <c r="N108" s="382"/>
    </row>
    <row r="109" spans="1:14" s="442" customFormat="1" ht="27.75">
      <c r="A109" s="1549" t="s">
        <v>79</v>
      </c>
      <c r="B109" s="1550"/>
      <c r="C109" s="1142"/>
      <c r="D109" s="622" t="s">
        <v>143</v>
      </c>
      <c r="E109" s="532"/>
      <c r="F109" s="661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43" t="s">
        <v>219</v>
      </c>
      <c r="B110" s="1544"/>
      <c r="C110" s="1142"/>
      <c r="D110" s="622" t="s">
        <v>143</v>
      </c>
      <c r="E110" s="532">
        <f>'5'!F110</f>
        <v>61439</v>
      </c>
      <c r="F110" s="661">
        <v>61479</v>
      </c>
      <c r="G110" s="532">
        <f>F110-E110</f>
        <v>40</v>
      </c>
      <c r="H110" s="460">
        <f>G110+'5'!H110</f>
        <v>305</v>
      </c>
      <c r="I110" s="532"/>
      <c r="J110" s="558">
        <f>H110/DAY(B2)</f>
        <v>50.833333333333336</v>
      </c>
      <c r="N110" s="382"/>
    </row>
    <row r="111" spans="1:14" s="442" customFormat="1" ht="27.75">
      <c r="A111" s="1543" t="s">
        <v>220</v>
      </c>
      <c r="B111" s="1544"/>
      <c r="C111" s="1142"/>
      <c r="D111" s="622" t="s">
        <v>143</v>
      </c>
      <c r="E111" s="532">
        <f>'5'!F111</f>
        <v>32267</v>
      </c>
      <c r="F111" s="661">
        <v>32267</v>
      </c>
      <c r="G111" s="532">
        <f>F111-E111</f>
        <v>0</v>
      </c>
      <c r="H111" s="460">
        <f>G111+'5'!H111</f>
        <v>32</v>
      </c>
      <c r="I111" s="532"/>
      <c r="J111" s="558">
        <f>H111/DAY(B2)</f>
        <v>5.333333333333333</v>
      </c>
      <c r="N111" s="382"/>
    </row>
    <row r="112" spans="1:14" s="442" customFormat="1" ht="27.75">
      <c r="A112" s="1543" t="s">
        <v>221</v>
      </c>
      <c r="B112" s="1544"/>
      <c r="C112" s="1142"/>
      <c r="D112" s="622" t="s">
        <v>143</v>
      </c>
      <c r="E112" s="532">
        <f>'5'!F112</f>
        <v>4441</v>
      </c>
      <c r="F112" s="661">
        <v>4441</v>
      </c>
      <c r="G112" s="532">
        <f t="shared" ref="G112" si="12">F112-E112</f>
        <v>0</v>
      </c>
      <c r="H112" s="460">
        <f>G112+'5'!H112</f>
        <v>73</v>
      </c>
      <c r="I112" s="532"/>
      <c r="J112" s="558">
        <f>H112/DAY(B2)</f>
        <v>12.166666666666666</v>
      </c>
      <c r="N112" s="382"/>
    </row>
    <row r="113" spans="1:14" s="442" customFormat="1" ht="27.75">
      <c r="A113" s="1545" t="s">
        <v>110</v>
      </c>
      <c r="B113" s="1546"/>
      <c r="C113" s="1142"/>
      <c r="D113" s="622"/>
      <c r="E113" s="532"/>
      <c r="F113" s="661"/>
      <c r="G113" s="532">
        <f>SUM(G110:G112)</f>
        <v>40</v>
      </c>
      <c r="H113" s="460">
        <f>G113+'5'!H113</f>
        <v>410</v>
      </c>
      <c r="I113" s="532"/>
      <c r="J113" s="558">
        <f>H113/DAY(B2)</f>
        <v>68.333333333333329</v>
      </c>
      <c r="N113" s="382"/>
    </row>
    <row r="114" spans="1:14" s="442" customFormat="1" ht="27.75">
      <c r="A114" s="1549" t="s">
        <v>222</v>
      </c>
      <c r="B114" s="1550"/>
      <c r="C114" s="1142"/>
      <c r="D114" s="622"/>
      <c r="E114" s="532"/>
      <c r="F114" s="661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3" t="s">
        <v>223</v>
      </c>
      <c r="B115" s="1544"/>
      <c r="C115" s="574"/>
      <c r="D115" s="622" t="s">
        <v>143</v>
      </c>
      <c r="E115" s="532">
        <f>'5'!F115</f>
        <v>11286</v>
      </c>
      <c r="F115" s="662">
        <v>11289</v>
      </c>
      <c r="G115" s="534">
        <f>F115-E115</f>
        <v>3</v>
      </c>
      <c r="H115" s="460">
        <f>G115+'5'!H115</f>
        <v>30</v>
      </c>
      <c r="I115" s="532"/>
      <c r="J115" s="558">
        <f>H115/DAY(B2)</f>
        <v>5</v>
      </c>
      <c r="N115" s="382"/>
    </row>
    <row r="116" spans="1:14" s="442" customFormat="1" ht="27.75">
      <c r="A116" s="1543" t="s">
        <v>224</v>
      </c>
      <c r="B116" s="1544"/>
      <c r="C116" s="574"/>
      <c r="D116" s="622" t="s">
        <v>143</v>
      </c>
      <c r="E116" s="532">
        <f>'5'!F116</f>
        <v>8163</v>
      </c>
      <c r="F116" s="662">
        <v>8166</v>
      </c>
      <c r="G116" s="534">
        <f t="shared" ref="G116:G117" si="13">F116-E116</f>
        <v>3</v>
      </c>
      <c r="H116" s="460">
        <f>G116+'5'!H116</f>
        <v>40</v>
      </c>
      <c r="I116" s="532"/>
      <c r="J116" s="558">
        <f>H116/DAY(B2)</f>
        <v>6.666666666666667</v>
      </c>
      <c r="N116" s="382"/>
    </row>
    <row r="117" spans="1:14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6</v>
      </c>
      <c r="H118" s="460">
        <f>G118+'5'!H118</f>
        <v>70</v>
      </c>
      <c r="I118" s="534"/>
      <c r="J118" s="558">
        <f>H118/DAY(B2)</f>
        <v>11.666666666666666</v>
      </c>
      <c r="N118" s="382"/>
    </row>
    <row r="119" spans="1:14" s="446" customFormat="1" ht="27.75">
      <c r="A119" s="1539" t="s">
        <v>226</v>
      </c>
      <c r="B119" s="1540"/>
      <c r="C119" s="1140"/>
      <c r="D119" s="624" t="s">
        <v>143</v>
      </c>
      <c r="E119" s="536"/>
      <c r="F119" s="663">
        <f>SUM(G19+G93)</f>
        <v>56</v>
      </c>
      <c r="G119" s="536">
        <f>SUM(G19+G93)</f>
        <v>56</v>
      </c>
      <c r="H119" s="460">
        <f>G119+'5'!H119</f>
        <v>524</v>
      </c>
      <c r="I119" s="535"/>
      <c r="J119" s="559">
        <f>H119/DAY(B2)</f>
        <v>87.333333333333329</v>
      </c>
      <c r="N119" s="382"/>
    </row>
    <row r="120" spans="1:14" s="446" customFormat="1" ht="27.75">
      <c r="A120" s="1539" t="s">
        <v>227</v>
      </c>
      <c r="B120" s="1540"/>
      <c r="C120" s="1140"/>
      <c r="D120" s="624" t="s">
        <v>143</v>
      </c>
      <c r="E120" s="536"/>
      <c r="F120" s="663">
        <f>SUM(G96,G97,G98,G100,G101)</f>
        <v>64</v>
      </c>
      <c r="G120" s="536">
        <f>SUM(G96,G97,G98,G100,G101)</f>
        <v>64</v>
      </c>
      <c r="H120" s="460">
        <f>G120+'5'!H120</f>
        <v>539</v>
      </c>
      <c r="I120" s="535"/>
      <c r="J120" s="559">
        <f>H120/DAY(B2)</f>
        <v>89.833333333333329</v>
      </c>
      <c r="N120" s="382"/>
    </row>
    <row r="121" spans="1:14" s="446" customFormat="1" ht="27.75">
      <c r="A121" s="1539" t="s">
        <v>228</v>
      </c>
      <c r="B121" s="1540"/>
      <c r="C121" s="1140"/>
      <c r="D121" s="624" t="s">
        <v>143</v>
      </c>
      <c r="E121" s="534"/>
      <c r="F121" s="662">
        <f>SUM(G113)</f>
        <v>40</v>
      </c>
      <c r="G121" s="534">
        <f>SUM(G113)</f>
        <v>40</v>
      </c>
      <c r="H121" s="460">
        <f>G121+'5'!H121</f>
        <v>410</v>
      </c>
      <c r="I121" s="535"/>
      <c r="J121" s="559">
        <f>H121/DAY(B2)</f>
        <v>68.333333333333329</v>
      </c>
      <c r="N121" s="382"/>
    </row>
    <row r="122" spans="1:14" s="442" customFormat="1" ht="27.75">
      <c r="A122" s="1541"/>
      <c r="B122" s="1542"/>
      <c r="C122" s="1141"/>
      <c r="D122" s="560"/>
      <c r="E122" s="560"/>
      <c r="F122" s="664" t="s">
        <v>214</v>
      </c>
      <c r="G122" s="560"/>
      <c r="H122" s="561"/>
      <c r="I122" s="560"/>
      <c r="J122" s="562"/>
      <c r="N122" s="382"/>
    </row>
    <row r="123" spans="1:14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230</v>
      </c>
      <c r="B124" s="1144"/>
      <c r="C124" s="1144"/>
      <c r="D124" s="523" t="s">
        <v>140</v>
      </c>
      <c r="E124" s="478">
        <f>'5'!F124</f>
        <v>827112</v>
      </c>
      <c r="F124" s="478">
        <v>827318</v>
      </c>
      <c r="G124" s="473">
        <f t="shared" ref="G124:G128" si="14">F124-E124</f>
        <v>206</v>
      </c>
      <c r="H124" s="460">
        <f>G124+'5'!H124</f>
        <v>1229.5400000000373</v>
      </c>
      <c r="I124" s="526"/>
      <c r="J124" s="552">
        <f>H124/DAY(B2)</f>
        <v>204.92333333333954</v>
      </c>
      <c r="K124" s="380"/>
      <c r="L124" s="377"/>
      <c r="N124" s="382"/>
    </row>
    <row r="125" spans="1:14" ht="27.75">
      <c r="A125" s="1143" t="s">
        <v>231</v>
      </c>
      <c r="B125" s="1144"/>
      <c r="C125" s="1144"/>
      <c r="D125" s="523" t="s">
        <v>140</v>
      </c>
      <c r="E125" s="626">
        <f>'5'!F125</f>
        <v>73583</v>
      </c>
      <c r="F125" s="626">
        <v>73583</v>
      </c>
      <c r="G125" s="473">
        <f t="shared" si="14"/>
        <v>0</v>
      </c>
      <c r="H125" s="460">
        <f>G125+'5'!H125</f>
        <v>-0.39999999999417923</v>
      </c>
      <c r="I125" s="526"/>
      <c r="J125" s="552">
        <f>H125/DAY(B2)</f>
        <v>-6.6666666665696539E-2</v>
      </c>
      <c r="K125" s="380"/>
      <c r="L125" s="377"/>
      <c r="N125" s="382"/>
    </row>
    <row r="126" spans="1:14" ht="27.75">
      <c r="A126" s="1530" t="s">
        <v>232</v>
      </c>
      <c r="B126" s="1531"/>
      <c r="C126" s="1532"/>
      <c r="D126" s="523" t="s">
        <v>140</v>
      </c>
      <c r="E126" s="478">
        <f>'5'!F126</f>
        <v>144974</v>
      </c>
      <c r="F126" s="478">
        <v>145031</v>
      </c>
      <c r="G126" s="473">
        <f t="shared" si="14"/>
        <v>57</v>
      </c>
      <c r="H126" s="460">
        <f>G126+'5'!H126</f>
        <v>343.55999999999767</v>
      </c>
      <c r="I126" s="526"/>
      <c r="J126" s="552">
        <f>H126/DAY(B2)</f>
        <v>57.259999999999614</v>
      </c>
      <c r="K126" s="380"/>
      <c r="L126" s="377"/>
      <c r="N126" s="382"/>
    </row>
    <row r="127" spans="1:14" ht="27.75">
      <c r="A127" s="609" t="s">
        <v>233</v>
      </c>
      <c r="B127" s="1144"/>
      <c r="C127" s="1144"/>
      <c r="D127" s="523" t="s">
        <v>140</v>
      </c>
      <c r="E127" s="626">
        <f>'5'!F127</f>
        <v>31404</v>
      </c>
      <c r="F127" s="626">
        <v>31404</v>
      </c>
      <c r="G127" s="473">
        <f t="shared" si="14"/>
        <v>0</v>
      </c>
      <c r="H127" s="460">
        <f>G127+'5'!H127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234</v>
      </c>
      <c r="B128" s="1144"/>
      <c r="C128" s="1144"/>
      <c r="D128" s="523" t="s">
        <v>140</v>
      </c>
      <c r="E128" s="626">
        <f>'5'!F128</f>
        <v>8970</v>
      </c>
      <c r="F128" s="626">
        <v>8970</v>
      </c>
      <c r="G128" s="473">
        <f t="shared" si="14"/>
        <v>0</v>
      </c>
      <c r="H128" s="460">
        <f>G128+'5'!H128</f>
        <v>0.2999999999992724</v>
      </c>
      <c r="I128" s="480"/>
      <c r="J128" s="552">
        <f>H128/DAY(B2)</f>
        <v>4.9999999999878732E-2</v>
      </c>
      <c r="K128" s="380"/>
      <c r="L128" s="377"/>
      <c r="N128" s="382"/>
    </row>
    <row r="129" spans="1:14" s="281" customFormat="1" ht="27.75">
      <c r="A129" s="609" t="s">
        <v>235</v>
      </c>
      <c r="B129" s="1144"/>
      <c r="C129" s="1144"/>
      <c r="D129" s="523"/>
      <c r="E129" s="478"/>
      <c r="F129" s="478"/>
      <c r="G129" s="473">
        <f>G15-SUM(G124:G128)</f>
        <v>214</v>
      </c>
      <c r="H129" s="460">
        <f>G129+'5'!H129</f>
        <v>991.99999999995998</v>
      </c>
      <c r="I129" s="480"/>
      <c r="J129" s="552">
        <f>H129/DAY(B2)</f>
        <v>165.33333333332666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237</v>
      </c>
      <c r="B131" s="1144"/>
      <c r="C131" s="1144"/>
      <c r="D131" s="523" t="s">
        <v>238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3" t="s">
        <v>239</v>
      </c>
      <c r="B132" s="1144"/>
      <c r="C132" s="1144"/>
      <c r="D132" s="523" t="s">
        <v>238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3" t="s">
        <v>240</v>
      </c>
      <c r="B133" s="1144"/>
      <c r="C133" s="1144"/>
      <c r="D133" s="523" t="s">
        <v>238</v>
      </c>
      <c r="E133" s="484">
        <f>'5'!F133</f>
        <v>39866</v>
      </c>
      <c r="F133" s="626">
        <f>39866+24</f>
        <v>39890</v>
      </c>
      <c r="G133" s="473">
        <f t="shared" si="15"/>
        <v>24</v>
      </c>
      <c r="H133" s="460">
        <f>G133+'5'!H133</f>
        <v>143.5199999999968</v>
      </c>
      <c r="I133" s="480"/>
      <c r="J133" s="552">
        <f>H133/DAY(B2)</f>
        <v>23.919999999999465</v>
      </c>
      <c r="N133" s="382"/>
    </row>
    <row r="134" spans="1:14" ht="27.75">
      <c r="A134" s="1143" t="s">
        <v>241</v>
      </c>
      <c r="B134" s="1144"/>
      <c r="C134" s="1144"/>
      <c r="D134" s="523" t="s">
        <v>238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23.56000000000131</v>
      </c>
      <c r="J134" s="552">
        <f>H134/DAY(B2)</f>
        <v>0</v>
      </c>
      <c r="N134" s="382"/>
    </row>
    <row r="135" spans="1:14" ht="27.75">
      <c r="A135" s="1143" t="s">
        <v>242</v>
      </c>
      <c r="B135" s="1144"/>
      <c r="C135" s="1144"/>
      <c r="D135" s="523" t="s">
        <v>238</v>
      </c>
      <c r="E135" s="704">
        <f>'5'!F135</f>
        <v>41385</v>
      </c>
      <c r="F135" s="626">
        <v>41385</v>
      </c>
      <c r="G135" s="473">
        <f t="shared" si="15"/>
        <v>0</v>
      </c>
      <c r="H135" s="460">
        <f>G135+'5'!H135</f>
        <v>0</v>
      </c>
      <c r="I135" s="480"/>
      <c r="J135" s="552">
        <f>H135/DAY(B2)</f>
        <v>0</v>
      </c>
      <c r="N135" s="382"/>
    </row>
    <row r="136" spans="1:14" ht="27.75">
      <c r="A136" s="1143" t="s">
        <v>243</v>
      </c>
      <c r="B136" s="1144"/>
      <c r="C136" s="1144"/>
      <c r="D136" s="523" t="s">
        <v>238</v>
      </c>
      <c r="E136" s="522">
        <f>'5'!F136</f>
        <v>32583</v>
      </c>
      <c r="F136" s="485">
        <v>32582.560000000001</v>
      </c>
      <c r="G136" s="473">
        <f t="shared" si="15"/>
        <v>-0.43999999999869033</v>
      </c>
      <c r="H136" s="460">
        <f>G136+'5'!H136</f>
        <v>-0.43999999999869033</v>
      </c>
      <c r="I136" s="480"/>
      <c r="J136" s="552">
        <f>H136/DAY(B2)</f>
        <v>-7.333333333311505E-2</v>
      </c>
      <c r="N136" s="382"/>
    </row>
    <row r="137" spans="1:14" ht="27.75">
      <c r="A137" s="1143" t="s">
        <v>244</v>
      </c>
      <c r="B137" s="1144"/>
      <c r="C137" s="1144"/>
      <c r="D137" s="523" t="s">
        <v>238</v>
      </c>
      <c r="E137" s="541">
        <f>'5'!F137</f>
        <v>22749.51</v>
      </c>
      <c r="F137" s="654">
        <v>22749.51</v>
      </c>
      <c r="G137" s="473">
        <f t="shared" si="15"/>
        <v>0</v>
      </c>
      <c r="H137" s="460">
        <f>G137+'5'!H137</f>
        <v>9.9199999999982538</v>
      </c>
      <c r="I137" s="480">
        <f>G137+G138+G139</f>
        <v>11.379999999990105</v>
      </c>
      <c r="J137" s="552">
        <f>H137/DAY(B2)</f>
        <v>1.6533333333330422</v>
      </c>
      <c r="N137" s="382"/>
    </row>
    <row r="138" spans="1:14" ht="27.75">
      <c r="A138" s="1143" t="s">
        <v>245</v>
      </c>
      <c r="B138" s="1144"/>
      <c r="C138" s="1144"/>
      <c r="D138" s="523" t="s">
        <v>238</v>
      </c>
      <c r="E138" s="541">
        <f>'5'!F138</f>
        <v>25051.59</v>
      </c>
      <c r="F138" s="654">
        <v>25051.59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>
      <c r="A139" s="1143" t="s">
        <v>246</v>
      </c>
      <c r="B139" s="1144"/>
      <c r="C139" s="1144"/>
      <c r="D139" s="523" t="s">
        <v>238</v>
      </c>
      <c r="E139" s="541">
        <f>'5'!F139</f>
        <v>70324.820000000007</v>
      </c>
      <c r="F139" s="654">
        <v>70336.2</v>
      </c>
      <c r="G139" s="473">
        <f t="shared" si="15"/>
        <v>11.379999999990105</v>
      </c>
      <c r="H139" s="460">
        <f>G139+'5'!H139</f>
        <v>20.389999999999418</v>
      </c>
      <c r="I139" s="480"/>
      <c r="J139" s="552">
        <f>H139/DAY(B2)</f>
        <v>3.3983333333332362</v>
      </c>
      <c r="N139" s="382"/>
    </row>
    <row r="140" spans="1:14" ht="27.75">
      <c r="A140" s="1143" t="s">
        <v>247</v>
      </c>
      <c r="B140" s="1144"/>
      <c r="C140" s="1144"/>
      <c r="D140" s="523" t="s">
        <v>238</v>
      </c>
      <c r="E140" s="704">
        <f>'5'!F140</f>
        <v>1655.82</v>
      </c>
      <c r="F140" s="626">
        <v>1663.48</v>
      </c>
      <c r="G140" s="473">
        <f t="shared" si="15"/>
        <v>7.6600000000000819</v>
      </c>
      <c r="H140" s="460">
        <f>G140+'5'!H140</f>
        <v>46.620000000000118</v>
      </c>
      <c r="I140" s="542">
        <f>G141+G1278</f>
        <v>0</v>
      </c>
      <c r="J140" s="552">
        <f>H140/DAY(B2)</f>
        <v>7.77000000000002</v>
      </c>
      <c r="N140" s="382"/>
    </row>
    <row r="141" spans="1:14" ht="27.75">
      <c r="A141" s="1143" t="s">
        <v>248</v>
      </c>
      <c r="B141" s="1144"/>
      <c r="C141" s="1144"/>
      <c r="D141" s="523" t="s">
        <v>238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57" t="s">
        <v>249</v>
      </c>
      <c r="B142" s="1558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4465</v>
      </c>
      <c r="H143" s="460">
        <f>G143+'5'!H143</f>
        <v>26306.869999999995</v>
      </c>
      <c r="I143" s="480"/>
      <c r="J143" s="552">
        <f>H143/DAY(B2)</f>
        <v>4384.4783333333326</v>
      </c>
      <c r="K143" s="380"/>
      <c r="L143" s="377"/>
      <c r="N143" s="382"/>
    </row>
    <row r="144" spans="1:14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0.28664055979970471</v>
      </c>
      <c r="H144" s="460">
        <f>G144+'5'!H144</f>
        <v>1.6536274192809333</v>
      </c>
      <c r="I144" s="544"/>
      <c r="J144" s="552">
        <f>H144/DAY(B2)</f>
        <v>0.27560456988015553</v>
      </c>
      <c r="K144" s="380"/>
      <c r="L144" s="377"/>
      <c r="N144" s="382"/>
    </row>
    <row r="145" spans="1:14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4851</v>
      </c>
      <c r="H145" s="460">
        <f>G145+'5'!H145</f>
        <v>29444.530000000028</v>
      </c>
      <c r="I145" s="480"/>
      <c r="J145" s="552">
        <f>H145/DAY(B2)</f>
        <v>4907.4216666666716</v>
      </c>
      <c r="K145" s="380"/>
      <c r="L145" s="377"/>
      <c r="N145" s="382"/>
    </row>
    <row r="146" spans="1:14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0.31142068434229953</v>
      </c>
      <c r="H146" s="460">
        <f>G146+'5'!H146</f>
        <v>1.850559539146051</v>
      </c>
      <c r="I146" s="544"/>
      <c r="J146" s="552">
        <f>H146/DAY(B2)</f>
        <v>0.30842658985767518</v>
      </c>
      <c r="K146" s="380"/>
      <c r="L146" s="377"/>
      <c r="N146" s="382"/>
    </row>
    <row r="147" spans="1:14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2160</v>
      </c>
      <c r="H147" s="460">
        <f>G147+'5'!H147</f>
        <v>14023</v>
      </c>
      <c r="I147" s="545"/>
      <c r="J147" s="552">
        <f>H147/DAY(B2)</f>
        <v>2337.1666666666665</v>
      </c>
      <c r="K147" s="380"/>
      <c r="L147" s="377"/>
      <c r="N147" s="382"/>
    </row>
    <row r="148" spans="1:14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0.13866598189638571</v>
      </c>
      <c r="H148" s="460">
        <f>G148+'5'!H148</f>
        <v>0.88110006989214718</v>
      </c>
      <c r="I148" s="545"/>
      <c r="J148" s="552">
        <f>H148/DAY(B2)</f>
        <v>0.14685001164869119</v>
      </c>
      <c r="N148" s="382"/>
    </row>
    <row r="149" spans="1:14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1199</v>
      </c>
      <c r="H149" s="460">
        <f>G149+'5'!H149</f>
        <v>7657</v>
      </c>
      <c r="I149" s="480"/>
      <c r="J149" s="552">
        <f>H149/DAY(B2)</f>
        <v>1276.1666666666667</v>
      </c>
      <c r="K149" s="381"/>
      <c r="N149" s="382"/>
    </row>
    <row r="150" spans="1:14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7.6972459395262247E-2</v>
      </c>
      <c r="H150" s="460">
        <f>G150+'5'!H150</f>
        <v>0.48109573228114327</v>
      </c>
      <c r="I150" s="545"/>
      <c r="J150" s="552">
        <f>H150/DAY(B2)</f>
        <v>8.0182622046857208E-2</v>
      </c>
      <c r="N150" s="382"/>
    </row>
    <row r="151" spans="1:14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1168</v>
      </c>
      <c r="H151" s="460">
        <f>G151+'5'!H151</f>
        <v>7903</v>
      </c>
      <c r="I151" s="545"/>
      <c r="J151" s="552">
        <f>H151/DAY(B2)</f>
        <v>1317.1666666666667</v>
      </c>
      <c r="N151" s="382"/>
    </row>
    <row r="152" spans="1:14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7.4982345766193753E-2</v>
      </c>
      <c r="H152" s="460">
        <f>G152+'5'!H152</f>
        <v>0.49644768229986513</v>
      </c>
      <c r="I152" s="480"/>
      <c r="J152" s="552">
        <f>H152/DAY(B2)</f>
        <v>8.2741280383310856E-2</v>
      </c>
      <c r="N152" s="382"/>
    </row>
    <row r="153" spans="1:14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1189</v>
      </c>
      <c r="H153" s="460">
        <f>G153+'5'!H153</f>
        <v>7362</v>
      </c>
      <c r="I153" s="480"/>
      <c r="J153" s="552">
        <f>H153/DAY(B2)</f>
        <v>1227</v>
      </c>
      <c r="N153" s="382"/>
    </row>
    <row r="154" spans="1:14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7.6330487256853055E-2</v>
      </c>
      <c r="H154" s="460">
        <f>G154+'5'!H154</f>
        <v>0.46265457447322994</v>
      </c>
      <c r="I154" s="568"/>
      <c r="J154" s="569">
        <f>H154/DAY(B2)</f>
        <v>7.7109095745538328E-2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5" t="s">
        <v>266</v>
      </c>
      <c r="B158" s="1586"/>
      <c r="C158" s="1586"/>
      <c r="D158" s="1586"/>
      <c r="E158" s="1586"/>
      <c r="F158" s="1586"/>
      <c r="G158" s="1587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262</v>
      </c>
      <c r="B161" s="788"/>
      <c r="C161" s="788"/>
      <c r="D161" s="511" t="s">
        <v>186</v>
      </c>
      <c r="E161" s="661">
        <v>36338</v>
      </c>
      <c r="F161" s="661">
        <v>36420</v>
      </c>
      <c r="G161" s="473">
        <f t="shared" ref="G161:G172" si="16">F161-E161</f>
        <v>82</v>
      </c>
    </row>
    <row r="162" spans="1:7">
      <c r="A162" s="787" t="s">
        <v>263</v>
      </c>
      <c r="B162" s="788"/>
      <c r="C162" s="788"/>
      <c r="D162" s="511" t="s">
        <v>186</v>
      </c>
      <c r="E162" s="661">
        <v>84490</v>
      </c>
      <c r="F162" s="661">
        <v>84915</v>
      </c>
      <c r="G162" s="473">
        <f t="shared" si="16"/>
        <v>425</v>
      </c>
    </row>
    <row r="163" spans="1:7">
      <c r="A163" s="787" t="s">
        <v>264</v>
      </c>
      <c r="B163" s="788"/>
      <c r="C163" s="788"/>
      <c r="D163" s="511" t="s">
        <v>186</v>
      </c>
      <c r="E163" s="661">
        <v>39414</v>
      </c>
      <c r="F163" s="661">
        <v>39622</v>
      </c>
      <c r="G163" s="473">
        <f t="shared" si="16"/>
        <v>208</v>
      </c>
    </row>
    <row r="164" spans="1:7">
      <c r="A164" s="787" t="s">
        <v>265</v>
      </c>
      <c r="B164" s="788"/>
      <c r="C164" s="788"/>
      <c r="D164" s="511" t="s">
        <v>186</v>
      </c>
      <c r="E164" s="661">
        <v>6267</v>
      </c>
      <c r="F164" s="661">
        <v>6274</v>
      </c>
      <c r="G164" s="473">
        <f t="shared" si="16"/>
        <v>7</v>
      </c>
    </row>
    <row r="165" spans="1:7">
      <c r="A165" s="789" t="s">
        <v>98</v>
      </c>
      <c r="B165" s="604"/>
      <c r="C165" s="604"/>
      <c r="D165" s="511" t="s">
        <v>186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9" t="s">
        <v>187</v>
      </c>
      <c r="B166" s="604"/>
      <c r="C166" s="604"/>
      <c r="D166" s="511" t="s">
        <v>186</v>
      </c>
      <c r="E166" s="514">
        <f t="shared" ref="E166:E172" si="17">E63</f>
        <v>2378</v>
      </c>
      <c r="F166" s="514">
        <f t="shared" ref="F166:F172" si="18">F63</f>
        <v>2382</v>
      </c>
      <c r="G166" s="473">
        <f t="shared" si="16"/>
        <v>4</v>
      </c>
    </row>
    <row r="167" spans="1:7" ht="27.75">
      <c r="A167" s="1526" t="s">
        <v>99</v>
      </c>
      <c r="B167" s="1526"/>
      <c r="C167" s="1526"/>
      <c r="D167" s="523" t="s">
        <v>186</v>
      </c>
      <c r="E167" s="514">
        <f t="shared" si="17"/>
        <v>154342</v>
      </c>
      <c r="F167" s="514">
        <f t="shared" si="18"/>
        <v>154546</v>
      </c>
      <c r="G167" s="473">
        <f t="shared" si="16"/>
        <v>204</v>
      </c>
    </row>
    <row r="168" spans="1:7" ht="27.75">
      <c r="A168" s="1526" t="s">
        <v>100</v>
      </c>
      <c r="B168" s="1526"/>
      <c r="C168" s="1526"/>
      <c r="D168" s="523" t="s">
        <v>186</v>
      </c>
      <c r="E168" s="514">
        <f t="shared" si="17"/>
        <v>155606</v>
      </c>
      <c r="F168" s="514">
        <f t="shared" si="18"/>
        <v>155781</v>
      </c>
      <c r="G168" s="473">
        <f t="shared" si="16"/>
        <v>175</v>
      </c>
    </row>
    <row r="169" spans="1:7" ht="27.75">
      <c r="A169" s="1526" t="s">
        <v>101</v>
      </c>
      <c r="B169" s="1526"/>
      <c r="C169" s="1526"/>
      <c r="D169" s="523" t="s">
        <v>186</v>
      </c>
      <c r="E169" s="514">
        <f t="shared" si="17"/>
        <v>49895</v>
      </c>
      <c r="F169" s="514">
        <f t="shared" si="18"/>
        <v>50147</v>
      </c>
      <c r="G169" s="473">
        <f t="shared" si="16"/>
        <v>252</v>
      </c>
    </row>
    <row r="170" spans="1:7" ht="27.75">
      <c r="A170" s="1526" t="s">
        <v>102</v>
      </c>
      <c r="B170" s="1526"/>
      <c r="C170" s="1526"/>
      <c r="D170" s="523" t="s">
        <v>186</v>
      </c>
      <c r="E170" s="514">
        <f t="shared" si="17"/>
        <v>244093</v>
      </c>
      <c r="F170" s="514">
        <f t="shared" si="18"/>
        <v>244238</v>
      </c>
      <c r="G170" s="473">
        <f t="shared" si="16"/>
        <v>145</v>
      </c>
    </row>
    <row r="171" spans="1:7" ht="27.75">
      <c r="A171" s="1526" t="s">
        <v>103</v>
      </c>
      <c r="B171" s="1526"/>
      <c r="C171" s="1526"/>
      <c r="D171" s="523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514">
        <f t="shared" si="17"/>
        <v>79402</v>
      </c>
      <c r="F172" s="514">
        <f t="shared" si="18"/>
        <v>79443</v>
      </c>
      <c r="G172" s="473">
        <f t="shared" si="16"/>
        <v>41</v>
      </c>
    </row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6:C126"/>
    <mergeCell ref="A102:C102"/>
    <mergeCell ref="A123:C123"/>
    <mergeCell ref="A142:B142"/>
    <mergeCell ref="A69:C69"/>
    <mergeCell ref="A70:C70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2"/>
  <sheetViews>
    <sheetView view="pageBreakPreview" zoomScale="55" zoomScaleNormal="77" zoomScaleSheetLayoutView="55" workbookViewId="0">
      <selection activeCell="H8" sqref="H8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6" s="281" customFormat="1" ht="27">
      <c r="A2" s="575" t="s">
        <v>341</v>
      </c>
      <c r="B2" s="1035">
        <v>44323</v>
      </c>
      <c r="C2" s="1145" t="s">
        <v>69</v>
      </c>
      <c r="D2" s="611">
        <v>0.16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6" s="281" customFormat="1" ht="27">
      <c r="A3" s="570"/>
      <c r="B3" s="614"/>
      <c r="C3" s="1145" t="s">
        <v>119</v>
      </c>
      <c r="D3" s="612">
        <v>33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5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122</v>
      </c>
      <c r="B5" s="459"/>
      <c r="C5" s="459"/>
      <c r="D5" s="511" t="s">
        <v>214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130</v>
      </c>
      <c r="B7" s="680"/>
      <c r="C7" s="680"/>
      <c r="D7" s="638" t="s">
        <v>131</v>
      </c>
      <c r="E7" s="633">
        <f>'6'!F7</f>
        <v>5822905</v>
      </c>
      <c r="F7" s="455">
        <v>5837836</v>
      </c>
      <c r="G7" s="692">
        <f t="shared" ref="G7:G12" si="0">F7-E7</f>
        <v>14931</v>
      </c>
      <c r="H7" s="682">
        <f>G7+'6'!H7</f>
        <v>110403</v>
      </c>
      <c r="I7" s="683">
        <f>'1'!I7</f>
        <v>12000</v>
      </c>
      <c r="J7" s="684">
        <f>H7/DAY(B2)</f>
        <v>15771.857142857143</v>
      </c>
      <c r="K7" s="549"/>
      <c r="L7" s="377"/>
      <c r="N7" s="711"/>
      <c r="P7" s="376" t="s">
        <v>214</v>
      </c>
    </row>
    <row r="8" spans="1:16" ht="27.75" thickBot="1">
      <c r="A8" s="685" t="s">
        <v>132</v>
      </c>
      <c r="B8" s="686"/>
      <c r="C8" s="687"/>
      <c r="D8" s="688" t="s">
        <v>25</v>
      </c>
      <c r="E8" s="633">
        <f>'6'!F8</f>
        <v>5857109</v>
      </c>
      <c r="F8" s="475">
        <v>5872131</v>
      </c>
      <c r="G8" s="692">
        <f t="shared" si="0"/>
        <v>15022</v>
      </c>
      <c r="H8" s="682">
        <f>G8+'6'!H8</f>
        <v>110887</v>
      </c>
      <c r="I8" s="689">
        <v>12000</v>
      </c>
      <c r="J8" s="684">
        <f>H8/DAY(B2)</f>
        <v>15841</v>
      </c>
      <c r="K8" s="549"/>
      <c r="L8" s="425"/>
      <c r="M8" s="440"/>
      <c r="N8" s="706"/>
    </row>
    <row r="9" spans="1:16">
      <c r="A9" s="690" t="s">
        <v>133</v>
      </c>
      <c r="B9" s="691"/>
      <c r="C9" s="691"/>
      <c r="D9" s="638" t="s">
        <v>131</v>
      </c>
      <c r="E9" s="478">
        <v>1083115</v>
      </c>
      <c r="F9" s="478">
        <v>1097539</v>
      </c>
      <c r="G9" s="692">
        <f t="shared" si="0"/>
        <v>14424</v>
      </c>
      <c r="H9" s="682">
        <f>G9+'6'!H9</f>
        <v>106825</v>
      </c>
      <c r="I9" s="693">
        <f>I8-J8</f>
        <v>-3841</v>
      </c>
      <c r="J9" s="684">
        <f>H9/DAY(B2)</f>
        <v>15260.714285714286</v>
      </c>
      <c r="K9" s="428"/>
      <c r="L9" s="377"/>
      <c r="N9" s="382"/>
    </row>
    <row r="10" spans="1:16">
      <c r="A10" s="679" t="s">
        <v>134</v>
      </c>
      <c r="B10" s="680"/>
      <c r="C10" s="680"/>
      <c r="D10" s="638" t="s">
        <v>131</v>
      </c>
      <c r="E10" s="478">
        <v>2322.58</v>
      </c>
      <c r="F10" s="478">
        <v>2322.58</v>
      </c>
      <c r="G10" s="692">
        <f t="shared" si="0"/>
        <v>0</v>
      </c>
      <c r="H10" s="682">
        <f>G10+'6'!H10</f>
        <v>0</v>
      </c>
      <c r="I10" s="694"/>
      <c r="J10" s="684">
        <f>H10/DAY(B2)</f>
        <v>0</v>
      </c>
      <c r="K10" s="428"/>
      <c r="L10" s="377"/>
      <c r="N10" s="382"/>
    </row>
    <row r="11" spans="1:16">
      <c r="A11" s="679" t="s">
        <v>135</v>
      </c>
      <c r="B11" s="680"/>
      <c r="C11" s="680"/>
      <c r="D11" s="638" t="s">
        <v>131</v>
      </c>
      <c r="E11" s="633">
        <f>'6'!F11</f>
        <v>37000</v>
      </c>
      <c r="F11" s="455">
        <v>37000</v>
      </c>
      <c r="G11" s="692">
        <f t="shared" si="0"/>
        <v>0</v>
      </c>
      <c r="H11" s="682">
        <f>G11+'6'!H11</f>
        <v>0</v>
      </c>
      <c r="I11" s="694"/>
      <c r="J11" s="684">
        <f>H11/DAY(B2)</f>
        <v>0</v>
      </c>
      <c r="K11" s="428"/>
      <c r="L11" s="377"/>
      <c r="N11" s="382"/>
    </row>
    <row r="12" spans="1:16">
      <c r="A12" s="679" t="s">
        <v>136</v>
      </c>
      <c r="B12" s="680"/>
      <c r="C12" s="680"/>
      <c r="D12" s="638" t="s">
        <v>131</v>
      </c>
      <c r="E12" s="1383">
        <f>'6'!F12</f>
        <v>40010</v>
      </c>
      <c r="F12" s="478">
        <v>40010</v>
      </c>
      <c r="G12" s="692">
        <f t="shared" si="0"/>
        <v>0</v>
      </c>
      <c r="H12" s="682">
        <f>G12+'6'!H12</f>
        <v>0</v>
      </c>
      <c r="I12" s="694"/>
      <c r="J12" s="684">
        <f>H12/DAY(B2)</f>
        <v>0</v>
      </c>
      <c r="K12" s="428"/>
      <c r="L12" s="377"/>
      <c r="N12" s="382"/>
    </row>
    <row r="13" spans="1:16">
      <c r="A13" s="695" t="s">
        <v>137</v>
      </c>
      <c r="B13" s="696"/>
      <c r="C13" s="696"/>
      <c r="D13" s="638"/>
      <c r="E13" s="633"/>
      <c r="F13" s="455"/>
      <c r="G13" s="697">
        <f>G9+G10+G11+G12</f>
        <v>14424</v>
      </c>
      <c r="H13" s="682">
        <f>G13+'6'!H13</f>
        <v>106825</v>
      </c>
      <c r="I13" s="698">
        <f>G7-G13</f>
        <v>507</v>
      </c>
      <c r="J13" s="684">
        <f>H13/DAY(B2)</f>
        <v>15260.714285714286</v>
      </c>
      <c r="K13" s="428"/>
      <c r="L13" s="377"/>
      <c r="N13" s="382"/>
    </row>
    <row r="14" spans="1:16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5" t="s">
        <v>139</v>
      </c>
      <c r="B15" s="796"/>
      <c r="C15" s="796"/>
      <c r="D15" s="524" t="s">
        <v>140</v>
      </c>
      <c r="E15" s="485">
        <f>'6'!F15</f>
        <v>1673222</v>
      </c>
      <c r="F15" s="485">
        <v>1673570</v>
      </c>
      <c r="G15" s="667">
        <f>(F15-E15)</f>
        <v>348</v>
      </c>
      <c r="H15" s="486">
        <f>G15+'6'!H15</f>
        <v>2913</v>
      </c>
      <c r="I15" s="1068">
        <v>800</v>
      </c>
      <c r="J15" s="553">
        <f>H15/DAY(B2)</f>
        <v>416.14285714285717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383.85714285714283</v>
      </c>
      <c r="J16" s="553"/>
      <c r="K16" s="428"/>
      <c r="L16" s="377"/>
      <c r="N16" s="382"/>
    </row>
    <row r="17" spans="1:14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1" t="s">
        <v>142</v>
      </c>
      <c r="B18" s="1592"/>
      <c r="C18" s="1593"/>
      <c r="D18" s="638" t="s">
        <v>143</v>
      </c>
      <c r="E18" s="635">
        <f>'6'!F18</f>
        <v>0</v>
      </c>
      <c r="F18" s="478">
        <v>0</v>
      </c>
      <c r="G18" s="697">
        <f>F18*10</f>
        <v>0</v>
      </c>
      <c r="H18" s="682">
        <f>G18+'6'!H18</f>
        <v>320</v>
      </c>
      <c r="I18" s="683">
        <f>'1'!I18</f>
        <v>65</v>
      </c>
      <c r="J18" s="684">
        <f>H18/DAY(B2)</f>
        <v>45.714285714285715</v>
      </c>
      <c r="K18" s="428"/>
      <c r="L18" s="377"/>
      <c r="N18" s="382"/>
    </row>
    <row r="19" spans="1:14" ht="27.75">
      <c r="A19" s="1591" t="s">
        <v>71</v>
      </c>
      <c r="B19" s="1592"/>
      <c r="C19" s="1593"/>
      <c r="D19" s="638" t="s">
        <v>143</v>
      </c>
      <c r="E19" s="635">
        <f>'6'!F19</f>
        <v>138131</v>
      </c>
      <c r="F19" s="478">
        <v>138187</v>
      </c>
      <c r="G19" s="692">
        <f t="shared" ref="G19" si="1">F19-E19</f>
        <v>56</v>
      </c>
      <c r="H19" s="682">
        <f>G19+'6'!H19</f>
        <v>375</v>
      </c>
      <c r="I19" s="699"/>
      <c r="J19" s="684">
        <f>H19/DAY(B2)</f>
        <v>53.571428571428569</v>
      </c>
      <c r="K19" s="428"/>
      <c r="L19" s="377"/>
      <c r="N19" s="382"/>
    </row>
    <row r="20" spans="1:14">
      <c r="A20" s="695" t="s">
        <v>144</v>
      </c>
      <c r="B20" s="696"/>
      <c r="C20" s="696"/>
      <c r="D20" s="638"/>
      <c r="E20" s="638"/>
      <c r="F20" s="523"/>
      <c r="G20" s="700">
        <f>G18+G19</f>
        <v>56</v>
      </c>
      <c r="H20" s="682">
        <f>G20+'6'!H20</f>
        <v>695</v>
      </c>
      <c r="I20" s="701">
        <f>I18-J20</f>
        <v>-34.285714285714292</v>
      </c>
      <c r="J20" s="684">
        <f>H20/DAY(B2)</f>
        <v>99.285714285714292</v>
      </c>
      <c r="K20" s="428"/>
      <c r="L20" s="377"/>
      <c r="N20" s="382"/>
    </row>
    <row r="21" spans="1:14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146</v>
      </c>
      <c r="B22" s="589"/>
      <c r="C22" s="589"/>
      <c r="D22" s="523" t="s">
        <v>147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148</v>
      </c>
      <c r="B23" s="589"/>
      <c r="C23" s="589"/>
      <c r="D23" s="523" t="s">
        <v>147</v>
      </c>
      <c r="E23" s="635">
        <f>'6'!F23</f>
        <v>2000</v>
      </c>
      <c r="F23" s="478">
        <v>2000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5">
        <f>'6'!F24</f>
        <v>4970</v>
      </c>
      <c r="F24" s="485">
        <v>4970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15022</v>
      </c>
      <c r="F27" s="501">
        <v>9</v>
      </c>
      <c r="G27" s="502">
        <f>E27*F27</f>
        <v>135198</v>
      </c>
      <c r="H27" s="460">
        <f>G27+'6'!H27</f>
        <v>997983</v>
      </c>
      <c r="I27" s="503"/>
      <c r="J27" s="552">
        <f>H27/DAY(B2)</f>
        <v>142569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2">
        <f>G15</f>
        <v>348</v>
      </c>
      <c r="F28" s="501">
        <v>51.45</v>
      </c>
      <c r="G28" s="502">
        <f>E28*F28</f>
        <v>17904.600000000002</v>
      </c>
      <c r="H28" s="460">
        <f>G28+'6'!H28</f>
        <v>143589.6</v>
      </c>
      <c r="I28" s="505"/>
      <c r="J28" s="552">
        <f>H28/DAY(B2)</f>
        <v>20512.8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2">
        <f>G19</f>
        <v>56</v>
      </c>
      <c r="F30" s="501">
        <v>134</v>
      </c>
      <c r="G30" s="502">
        <f>E30*F30</f>
        <v>7504</v>
      </c>
      <c r="H30" s="460">
        <f>G30+'6'!H30</f>
        <v>50250</v>
      </c>
      <c r="I30" s="505"/>
      <c r="J30" s="552">
        <f>H30/DAY(B2)</f>
        <v>7178.5714285714284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2">
        <f>G18</f>
        <v>0</v>
      </c>
      <c r="F31" s="501">
        <v>80</v>
      </c>
      <c r="G31" s="502">
        <f>E31*F31</f>
        <v>0</v>
      </c>
      <c r="H31" s="460">
        <f>G31+'6'!H31</f>
        <v>25600</v>
      </c>
      <c r="I31" s="505"/>
      <c r="J31" s="552">
        <f>H31/DAY(B2)</f>
        <v>3657.1428571428573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1057">
        <f>G27+G28+G29+G30+G31</f>
        <v>160606.6</v>
      </c>
      <c r="H32" s="460">
        <f>G32+'6'!H32</f>
        <v>1217422.6000000001</v>
      </c>
      <c r="I32" s="509"/>
      <c r="J32" s="552">
        <f>H32/DAY(B2)</f>
        <v>173917.51428571431</v>
      </c>
      <c r="K32" s="373"/>
      <c r="L32" s="443"/>
      <c r="N32" s="382"/>
    </row>
    <row r="33" spans="1:14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</row>
    <row r="34" spans="1:14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'6'!F35</f>
        <v>899256</v>
      </c>
      <c r="F35" s="510">
        <v>901319</v>
      </c>
      <c r="G35" s="473">
        <f t="shared" ref="G35:G46" si="3">F35-E35</f>
        <v>2063</v>
      </c>
      <c r="H35" s="460">
        <f>G35+'6'!H35</f>
        <v>14860</v>
      </c>
      <c r="I35" s="455"/>
      <c r="J35" s="552">
        <f>H35/DAY(B2)</f>
        <v>2122.8571428571427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'6'!F36</f>
        <v>346755</v>
      </c>
      <c r="F36" s="510">
        <v>347065</v>
      </c>
      <c r="G36" s="473">
        <f t="shared" si="3"/>
        <v>310</v>
      </c>
      <c r="H36" s="460">
        <f>G36+'6'!H36</f>
        <v>2457</v>
      </c>
      <c r="I36" s="455"/>
      <c r="J36" s="552">
        <f>H36/DAY(B2)</f>
        <v>351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'6'!F37</f>
        <v>102587</v>
      </c>
      <c r="F37" s="510">
        <v>103812</v>
      </c>
      <c r="G37" s="473">
        <f t="shared" si="3"/>
        <v>1225</v>
      </c>
      <c r="H37" s="460">
        <f>G37+'6'!H37</f>
        <v>8587</v>
      </c>
      <c r="I37" s="455"/>
      <c r="J37" s="552">
        <f>H37/DAY(B2)</f>
        <v>1226.7142857142858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'6'!F38</f>
        <v>127253</v>
      </c>
      <c r="F38" s="469">
        <v>128365</v>
      </c>
      <c r="G38" s="473">
        <f t="shared" si="3"/>
        <v>1112</v>
      </c>
      <c r="H38" s="460">
        <f>G38+'6'!H38</f>
        <v>8769</v>
      </c>
      <c r="I38" s="455"/>
      <c r="J38" s="552">
        <f>H38/DAY(B2)</f>
        <v>1252.7142857142858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'6'!F39</f>
        <v>257374</v>
      </c>
      <c r="F39" s="510">
        <v>258976</v>
      </c>
      <c r="G39" s="473">
        <f t="shared" si="3"/>
        <v>1602</v>
      </c>
      <c r="H39" s="460">
        <f>G39+'6'!H39</f>
        <v>12323</v>
      </c>
      <c r="I39" s="455"/>
      <c r="J39" s="552">
        <f>H39/DAY(B2)</f>
        <v>1760.4285714285713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'6'!F40</f>
        <v>0</v>
      </c>
      <c r="F40" s="510">
        <v>0</v>
      </c>
      <c r="G40" s="473">
        <f t="shared" si="3"/>
        <v>0</v>
      </c>
      <c r="H40" s="460">
        <f>G40+'6'!H40</f>
        <v>-0.23</v>
      </c>
      <c r="I40" s="455"/>
      <c r="J40" s="552">
        <f>H40/DAY(B2)</f>
        <v>-3.2857142857142856E-2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'6'!F41</f>
        <v>210906</v>
      </c>
      <c r="F41" s="510">
        <v>215512</v>
      </c>
      <c r="G41" s="473">
        <f t="shared" si="3"/>
        <v>4606</v>
      </c>
      <c r="H41" s="460">
        <f>G41+'6'!H41</f>
        <v>33984</v>
      </c>
      <c r="I41" s="455"/>
      <c r="J41" s="552">
        <f>H41/DAY(B2)</f>
        <v>4854.8571428571431</v>
      </c>
      <c r="K41" s="428"/>
      <c r="L41" s="377"/>
      <c r="N41" s="382"/>
    </row>
    <row r="42" spans="1:14">
      <c r="A42" s="587" t="s">
        <v>170</v>
      </c>
      <c r="B42" s="588"/>
      <c r="C42" s="588"/>
      <c r="D42" s="524" t="s">
        <v>131</v>
      </c>
      <c r="E42" s="510">
        <f>'6'!F42</f>
        <v>59200</v>
      </c>
      <c r="F42" s="1036">
        <v>59200</v>
      </c>
      <c r="G42" s="776">
        <f t="shared" si="3"/>
        <v>0</v>
      </c>
      <c r="H42" s="460">
        <f>G42+'6'!H42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'6'!F43</f>
        <v>987468</v>
      </c>
      <c r="F43" s="510">
        <v>989658</v>
      </c>
      <c r="G43" s="473">
        <f t="shared" si="3"/>
        <v>2190</v>
      </c>
      <c r="H43" s="460">
        <f>G43+'6'!H43</f>
        <v>15700</v>
      </c>
      <c r="I43" s="455"/>
      <c r="J43" s="552">
        <f>H43/DAY(B2)</f>
        <v>2242.8571428571427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13108</v>
      </c>
      <c r="H47" s="460">
        <f>G47+'6'!H47</f>
        <v>96679.77</v>
      </c>
      <c r="I47" s="455"/>
      <c r="J47" s="552">
        <f>H47/DAY(B2)</f>
        <v>13811.395714285714</v>
      </c>
      <c r="K47" s="428"/>
      <c r="L47" s="377"/>
      <c r="N47" s="382"/>
    </row>
    <row r="48" spans="1:14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-0.13000000000465661</v>
      </c>
      <c r="I49" s="455"/>
      <c r="J49" s="552">
        <f>H49/DAY(B2)</f>
        <v>-1.85714285720938E-2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'6'!F50</f>
        <v>480292</v>
      </c>
      <c r="F50" s="510">
        <v>481149</v>
      </c>
      <c r="G50" s="473">
        <f t="shared" si="4"/>
        <v>857</v>
      </c>
      <c r="H50" s="460">
        <f>G50+'6'!H50</f>
        <v>6613</v>
      </c>
      <c r="I50" s="455"/>
      <c r="J50" s="552">
        <f>H50/DAY(B2)</f>
        <v>944.71428571428567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'6'!F51</f>
        <v>144640</v>
      </c>
      <c r="F51" s="510">
        <v>144640</v>
      </c>
      <c r="G51" s="473">
        <f t="shared" si="4"/>
        <v>0</v>
      </c>
      <c r="H51" s="460">
        <f>G51+'6'!H51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'6'!F52</f>
        <v>539606</v>
      </c>
      <c r="F52" s="510">
        <v>539606</v>
      </c>
      <c r="G52" s="473">
        <f t="shared" si="4"/>
        <v>0</v>
      </c>
      <c r="H52" s="460">
        <f>G52+'6'!H52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'6'!F53</f>
        <v>419613</v>
      </c>
      <c r="F53" s="510">
        <v>420133</v>
      </c>
      <c r="G53" s="473">
        <f t="shared" si="4"/>
        <v>520</v>
      </c>
      <c r="H53" s="460">
        <f>G53+'6'!H53</f>
        <v>3822</v>
      </c>
      <c r="I53" s="455"/>
      <c r="J53" s="552">
        <f>H53/DAY(B2)</f>
        <v>546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'6'!F54</f>
        <v>11817</v>
      </c>
      <c r="F54" s="510">
        <v>11889</v>
      </c>
      <c r="G54" s="473">
        <f t="shared" si="4"/>
        <v>72</v>
      </c>
      <c r="H54" s="460">
        <f>G54+'6'!H54</f>
        <v>511</v>
      </c>
      <c r="I54" s="455"/>
      <c r="J54" s="552">
        <f>H54/DAY(B2)</f>
        <v>73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'6'!F55</f>
        <v>346926</v>
      </c>
      <c r="F55" s="656">
        <v>346926</v>
      </c>
      <c r="G55" s="655">
        <f t="shared" si="4"/>
        <v>0</v>
      </c>
      <c r="H55" s="708">
        <f>G55+'6'!H55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87" t="s">
        <v>181</v>
      </c>
      <c r="B56" s="1067"/>
      <c r="C56" s="1067"/>
      <c r="D56" s="524" t="s">
        <v>182</v>
      </c>
      <c r="E56" s="510">
        <f>'6'!F56</f>
        <v>589355</v>
      </c>
      <c r="F56" s="1036">
        <v>589365</v>
      </c>
      <c r="G56" s="776">
        <f t="shared" si="4"/>
        <v>10</v>
      </c>
      <c r="H56" s="460">
        <f>G56+'6'!H56</f>
        <v>76.53000000002794</v>
      </c>
      <c r="I56" s="455"/>
      <c r="J56" s="552">
        <f>H56/DAY(B2)</f>
        <v>10.932857142861135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'6'!F58</f>
        <v>47256</v>
      </c>
      <c r="F58" s="656">
        <v>47256</v>
      </c>
      <c r="G58" s="473">
        <f t="shared" si="4"/>
        <v>0</v>
      </c>
      <c r="H58" s="460">
        <f>G58+'6'!H58</f>
        <v>588</v>
      </c>
      <c r="I58" s="455"/>
      <c r="J58" s="552">
        <f>H58/DAY(B2)</f>
        <v>84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1459</v>
      </c>
      <c r="H59" s="460">
        <f>G59+'6'!H59</f>
        <v>11610.400000000023</v>
      </c>
      <c r="I59" s="455">
        <f>G7-G60</f>
        <v>364</v>
      </c>
      <c r="J59" s="552">
        <f>H59/DAY(B2)</f>
        <v>1658.6285714285748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14567</v>
      </c>
      <c r="H60" s="460">
        <f>G60+'6'!H60</f>
        <v>108290.17000000003</v>
      </c>
      <c r="I60" s="455">
        <f>G13-G60</f>
        <v>-143</v>
      </c>
      <c r="J60" s="552">
        <f>H60/DAY(B2)</f>
        <v>15470.024285714289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186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'6'!F63</f>
        <v>2382</v>
      </c>
      <c r="F63" s="514">
        <v>2386</v>
      </c>
      <c r="G63" s="473">
        <f t="shared" si="5"/>
        <v>4</v>
      </c>
      <c r="H63" s="460">
        <f>G63+'6'!H63</f>
        <v>27</v>
      </c>
      <c r="I63" s="515"/>
      <c r="J63" s="552">
        <f>H63/DAY(B2)</f>
        <v>3.8571428571428572</v>
      </c>
      <c r="K63" s="428"/>
      <c r="L63" s="377"/>
      <c r="N63" s="382"/>
    </row>
    <row r="64" spans="1:14" ht="27.75">
      <c r="A64" s="1530" t="s">
        <v>99</v>
      </c>
      <c r="B64" s="1531"/>
      <c r="C64" s="1532"/>
      <c r="D64" s="523" t="s">
        <v>186</v>
      </c>
      <c r="E64" s="484">
        <f>'6'!F64</f>
        <v>154546</v>
      </c>
      <c r="F64" s="478">
        <v>154753</v>
      </c>
      <c r="G64" s="473">
        <f t="shared" si="5"/>
        <v>207</v>
      </c>
      <c r="H64" s="460">
        <f>G64+'6'!H64</f>
        <v>1454</v>
      </c>
      <c r="I64" s="480"/>
      <c r="J64" s="552">
        <f>H64/DAY(B2)</f>
        <v>207.71428571428572</v>
      </c>
      <c r="K64" s="428"/>
      <c r="L64" s="377"/>
      <c r="N64" s="382"/>
    </row>
    <row r="65" spans="1:14" ht="27.75">
      <c r="A65" s="1530" t="s">
        <v>100</v>
      </c>
      <c r="B65" s="1531"/>
      <c r="C65" s="1532"/>
      <c r="D65" s="523" t="s">
        <v>186</v>
      </c>
      <c r="E65" s="484">
        <f>'6'!F65</f>
        <v>155781</v>
      </c>
      <c r="F65" s="654">
        <v>155951</v>
      </c>
      <c r="G65" s="473">
        <f t="shared" si="5"/>
        <v>170</v>
      </c>
      <c r="H65" s="460">
        <f>G65+'6'!H65</f>
        <v>1352</v>
      </c>
      <c r="I65" s="489"/>
      <c r="J65" s="552">
        <f>H65/DAY(B2)</f>
        <v>193.14285714285714</v>
      </c>
      <c r="K65" s="428"/>
      <c r="L65" s="377"/>
      <c r="N65" s="382"/>
    </row>
    <row r="66" spans="1:14" ht="27.75">
      <c r="A66" s="1530" t="s">
        <v>101</v>
      </c>
      <c r="B66" s="1531"/>
      <c r="C66" s="1532"/>
      <c r="D66" s="523" t="s">
        <v>186</v>
      </c>
      <c r="E66" s="484">
        <f>'6'!F66</f>
        <v>50147</v>
      </c>
      <c r="F66" s="478">
        <v>50396</v>
      </c>
      <c r="G66" s="473">
        <f t="shared" si="5"/>
        <v>249</v>
      </c>
      <c r="H66" s="460">
        <f>G66+'6'!H66</f>
        <v>1825</v>
      </c>
      <c r="I66" s="480"/>
      <c r="J66" s="552">
        <f>H66/DAY(B2)</f>
        <v>260.71428571428572</v>
      </c>
      <c r="K66" s="428"/>
      <c r="L66" s="377"/>
      <c r="N66" s="382"/>
    </row>
    <row r="67" spans="1:14" ht="27.75">
      <c r="A67" s="1530" t="s">
        <v>102</v>
      </c>
      <c r="B67" s="1531"/>
      <c r="C67" s="1532"/>
      <c r="D67" s="523" t="s">
        <v>186</v>
      </c>
      <c r="E67" s="484">
        <f>'6'!F67</f>
        <v>244238</v>
      </c>
      <c r="F67" s="478">
        <v>244363</v>
      </c>
      <c r="G67" s="473">
        <f t="shared" si="5"/>
        <v>125</v>
      </c>
      <c r="H67" s="460">
        <f>G67+'6'!H67</f>
        <v>1189</v>
      </c>
      <c r="I67" s="489"/>
      <c r="J67" s="552">
        <f>H67/DAY(B2)</f>
        <v>169.85714285714286</v>
      </c>
      <c r="K67" s="429"/>
      <c r="L67" s="377"/>
      <c r="N67" s="382"/>
    </row>
    <row r="68" spans="1:14" ht="27.75">
      <c r="A68" s="1530" t="s">
        <v>103</v>
      </c>
      <c r="B68" s="1531"/>
      <c r="C68" s="1532"/>
      <c r="D68" s="523" t="s">
        <v>186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0" t="s">
        <v>104</v>
      </c>
      <c r="B69" s="1531"/>
      <c r="C69" s="1532"/>
      <c r="D69" s="523" t="s">
        <v>186</v>
      </c>
      <c r="E69" s="484">
        <f>'6'!F69</f>
        <v>79443</v>
      </c>
      <c r="F69" s="478">
        <v>79477</v>
      </c>
      <c r="G69" s="473">
        <f t="shared" si="5"/>
        <v>34</v>
      </c>
      <c r="H69" s="460">
        <f>G69+'6'!H69</f>
        <v>483</v>
      </c>
      <c r="I69" s="516"/>
      <c r="J69" s="552">
        <f>H69/DAY(B2)</f>
        <v>69</v>
      </c>
      <c r="K69" s="431"/>
      <c r="L69" s="377"/>
      <c r="N69" s="382"/>
    </row>
    <row r="70" spans="1:14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</row>
    <row r="72" spans="1:14" ht="27.75">
      <c r="A72" s="1530" t="s">
        <v>190</v>
      </c>
      <c r="B72" s="1531"/>
      <c r="C72" s="1532"/>
      <c r="D72" s="523" t="s">
        <v>186</v>
      </c>
      <c r="E72" s="519">
        <f>'6'!F72</f>
        <v>855571</v>
      </c>
      <c r="F72" s="657">
        <v>855573</v>
      </c>
      <c r="G72" s="473">
        <f t="shared" ref="G72:G84" si="6">F72-E72</f>
        <v>2</v>
      </c>
      <c r="H72" s="460">
        <f>G72+'6'!H72</f>
        <v>112</v>
      </c>
      <c r="I72" s="480"/>
      <c r="J72" s="552">
        <f>H72/DAY(B2)</f>
        <v>16</v>
      </c>
      <c r="K72" s="431"/>
      <c r="L72" s="377"/>
      <c r="N72" s="382"/>
    </row>
    <row r="73" spans="1:14" ht="27.75">
      <c r="A73" s="1530" t="s">
        <v>191</v>
      </c>
      <c r="B73" s="1531"/>
      <c r="C73" s="1532"/>
      <c r="D73" s="523" t="s">
        <v>186</v>
      </c>
      <c r="E73" s="519">
        <f>'6'!F73</f>
        <v>885883</v>
      </c>
      <c r="F73" s="658">
        <v>885884</v>
      </c>
      <c r="G73" s="655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>
      <c r="A74" s="1530" t="s">
        <v>192</v>
      </c>
      <c r="B74" s="1531"/>
      <c r="C74" s="1532"/>
      <c r="D74" s="523" t="s">
        <v>186</v>
      </c>
      <c r="E74" s="519">
        <f>'6'!F74</f>
        <v>2388</v>
      </c>
      <c r="F74" s="657">
        <v>2400</v>
      </c>
      <c r="G74" s="473">
        <f t="shared" si="6"/>
        <v>12</v>
      </c>
      <c r="H74" s="460">
        <f>G74+'6'!H74</f>
        <v>121</v>
      </c>
      <c r="I74" s="480"/>
      <c r="J74" s="552">
        <f>H74/DAY(B2)</f>
        <v>17.285714285714285</v>
      </c>
      <c r="K74" s="431"/>
      <c r="L74" s="377"/>
      <c r="N74" s="382"/>
    </row>
    <row r="75" spans="1:14" ht="27.75">
      <c r="A75" s="1527" t="s">
        <v>193</v>
      </c>
      <c r="B75" s="1528"/>
      <c r="C75" s="1529"/>
      <c r="D75" s="523" t="s">
        <v>186</v>
      </c>
      <c r="E75" s="519">
        <f>'6'!F75</f>
        <v>11285</v>
      </c>
      <c r="F75" s="658">
        <v>11340</v>
      </c>
      <c r="G75" s="473">
        <f t="shared" si="6"/>
        <v>55</v>
      </c>
      <c r="H75" s="460">
        <f>G75+'6'!H75</f>
        <v>370</v>
      </c>
      <c r="I75" s="480"/>
      <c r="J75" s="552">
        <f>H75/DAY(B2)</f>
        <v>52.857142857142854</v>
      </c>
      <c r="K75" s="430"/>
      <c r="L75" s="377"/>
      <c r="N75" s="382"/>
    </row>
    <row r="76" spans="1:14" ht="27.75">
      <c r="A76" s="1527" t="s">
        <v>194</v>
      </c>
      <c r="B76" s="1528"/>
      <c r="C76" s="1529"/>
      <c r="D76" s="523" t="s">
        <v>186</v>
      </c>
      <c r="E76" s="519">
        <f>'6'!F76</f>
        <v>6031</v>
      </c>
      <c r="F76" s="658">
        <v>6086</v>
      </c>
      <c r="G76" s="473">
        <f t="shared" si="6"/>
        <v>55</v>
      </c>
      <c r="H76" s="460">
        <f>G76+'6'!H76</f>
        <v>377</v>
      </c>
      <c r="I76" s="505"/>
      <c r="J76" s="552">
        <f>H76/DAY(B2)</f>
        <v>53.857142857142854</v>
      </c>
      <c r="K76" s="430"/>
      <c r="L76" s="377"/>
      <c r="N76" s="382"/>
    </row>
    <row r="77" spans="1:14" ht="27.75">
      <c r="A77" s="1530" t="s">
        <v>195</v>
      </c>
      <c r="B77" s="1531"/>
      <c r="C77" s="1532"/>
      <c r="D77" s="523" t="s">
        <v>186</v>
      </c>
      <c r="E77" s="519">
        <f>'6'!F77</f>
        <v>701857</v>
      </c>
      <c r="F77" s="658">
        <v>701907</v>
      </c>
      <c r="G77" s="655">
        <f t="shared" si="6"/>
        <v>50</v>
      </c>
      <c r="H77" s="460">
        <f>G77+'6'!H77</f>
        <v>345</v>
      </c>
      <c r="I77" s="505"/>
      <c r="J77" s="552">
        <f>H77/DAY(B2)</f>
        <v>49.285714285714285</v>
      </c>
      <c r="K77" s="430"/>
      <c r="L77" s="377"/>
      <c r="N77" s="382"/>
    </row>
    <row r="78" spans="1:14" ht="27.75">
      <c r="A78" s="1146" t="s">
        <v>196</v>
      </c>
      <c r="B78" s="1119"/>
      <c r="C78" s="1119"/>
      <c r="D78" s="523" t="s">
        <v>186</v>
      </c>
      <c r="E78" s="519">
        <f>'6'!F78</f>
        <v>670495</v>
      </c>
      <c r="F78" s="659">
        <v>670567</v>
      </c>
      <c r="G78" s="473">
        <f t="shared" si="6"/>
        <v>72</v>
      </c>
      <c r="H78" s="460">
        <f>G78+'6'!H78</f>
        <v>542</v>
      </c>
      <c r="I78" s="505"/>
      <c r="J78" s="552">
        <f>H78/DAY(B2)</f>
        <v>77.428571428571431</v>
      </c>
      <c r="K78" s="430"/>
      <c r="L78" s="377"/>
      <c r="N78" s="382"/>
    </row>
    <row r="79" spans="1:14" ht="27.75">
      <c r="A79" s="1527" t="s">
        <v>92</v>
      </c>
      <c r="B79" s="1528"/>
      <c r="C79" s="1529"/>
      <c r="D79" s="524" t="s">
        <v>186</v>
      </c>
      <c r="E79" s="519">
        <f>'6'!F79</f>
        <v>827846</v>
      </c>
      <c r="F79" s="657">
        <v>827990</v>
      </c>
      <c r="G79" s="473">
        <f t="shared" si="6"/>
        <v>144</v>
      </c>
      <c r="H79" s="460">
        <f>G79+'6'!H79</f>
        <v>1206</v>
      </c>
      <c r="I79" s="505"/>
      <c r="J79" s="552">
        <f>H79/DAY(B2)</f>
        <v>172.28571428571428</v>
      </c>
      <c r="K79" s="430"/>
      <c r="L79" s="377"/>
      <c r="N79" s="382"/>
    </row>
    <row r="80" spans="1:14" ht="27.75">
      <c r="A80" s="1527" t="s">
        <v>197</v>
      </c>
      <c r="B80" s="1528"/>
      <c r="C80" s="1529"/>
      <c r="D80" s="524" t="s">
        <v>186</v>
      </c>
      <c r="E80" s="519">
        <f>'6'!F80</f>
        <v>518923</v>
      </c>
      <c r="F80" s="658">
        <v>519290</v>
      </c>
      <c r="G80" s="473">
        <f t="shared" si="6"/>
        <v>367</v>
      </c>
      <c r="H80" s="460">
        <f>G80+'6'!H80</f>
        <v>2552</v>
      </c>
      <c r="I80" s="505"/>
      <c r="J80" s="552">
        <f>H80/DAY(B2)</f>
        <v>364.57142857142856</v>
      </c>
      <c r="K80" s="430"/>
      <c r="L80" s="377"/>
      <c r="N80" s="382"/>
    </row>
    <row r="81" spans="1:15" ht="27.75">
      <c r="A81" s="1527" t="s">
        <v>198</v>
      </c>
      <c r="B81" s="1528"/>
      <c r="C81" s="1529"/>
      <c r="D81" s="524" t="s">
        <v>186</v>
      </c>
      <c r="E81" s="519">
        <f>'6'!F81</f>
        <v>636961</v>
      </c>
      <c r="F81" s="658">
        <v>636992</v>
      </c>
      <c r="G81" s="473">
        <f t="shared" si="6"/>
        <v>31</v>
      </c>
      <c r="H81" s="460">
        <f>G81+'6'!H81</f>
        <v>514</v>
      </c>
      <c r="I81" s="505"/>
      <c r="J81" s="552">
        <f>H81/DAY(B2)</f>
        <v>73.428571428571431</v>
      </c>
      <c r="K81" s="430"/>
      <c r="L81" s="377"/>
      <c r="N81" s="382"/>
    </row>
    <row r="82" spans="1:15" ht="27.75">
      <c r="A82" s="1527" t="s">
        <v>93</v>
      </c>
      <c r="B82" s="1528"/>
      <c r="C82" s="1529"/>
      <c r="D82" s="485" t="s">
        <v>131</v>
      </c>
      <c r="E82" s="519">
        <f>'6'!F82</f>
        <v>107726</v>
      </c>
      <c r="F82" s="654">
        <v>107745</v>
      </c>
      <c r="G82" s="473">
        <f t="shared" si="6"/>
        <v>19</v>
      </c>
      <c r="H82" s="460">
        <f>G82+'6'!H82</f>
        <v>133</v>
      </c>
      <c r="I82" s="486"/>
      <c r="J82" s="552">
        <f>H82/DAY(B2)</f>
        <v>19</v>
      </c>
      <c r="K82" s="430"/>
      <c r="L82" s="377"/>
      <c r="N82" s="382"/>
    </row>
    <row r="83" spans="1:15" ht="27.75">
      <c r="A83" s="1527" t="s">
        <v>199</v>
      </c>
      <c r="B83" s="1528"/>
      <c r="C83" s="1529"/>
      <c r="D83" s="620" t="s">
        <v>131</v>
      </c>
      <c r="E83" s="519">
        <f>'6'!F83</f>
        <v>16098</v>
      </c>
      <c r="F83" s="620">
        <v>16295</v>
      </c>
      <c r="G83" s="473">
        <f t="shared" si="6"/>
        <v>197</v>
      </c>
      <c r="H83" s="460">
        <f>G83+'6'!H83</f>
        <v>1524</v>
      </c>
      <c r="I83" s="481"/>
      <c r="J83" s="552">
        <f>H83/DAY(B2)</f>
        <v>217.71428571428572</v>
      </c>
      <c r="K83" s="429"/>
      <c r="L83" s="377"/>
      <c r="N83" s="382"/>
    </row>
    <row r="84" spans="1:15">
      <c r="A84" s="1147" t="s">
        <v>200</v>
      </c>
      <c r="B84" s="571"/>
      <c r="C84" s="571"/>
      <c r="D84" s="478" t="s">
        <v>131</v>
      </c>
      <c r="E84" s="519">
        <f>'6'!F84</f>
        <v>484806</v>
      </c>
      <c r="F84" s="627">
        <v>485652</v>
      </c>
      <c r="G84" s="473">
        <f t="shared" si="6"/>
        <v>846</v>
      </c>
      <c r="H84" s="460">
        <f>G84+'6'!H84</f>
        <v>5519</v>
      </c>
      <c r="I84" s="481"/>
      <c r="J84" s="552">
        <f>H84/DAY(B2)</f>
        <v>788.42857142857144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1851</v>
      </c>
      <c r="H85" s="460">
        <f>G85+'6'!H85</f>
        <v>13323</v>
      </c>
      <c r="I85" s="481"/>
      <c r="J85" s="552">
        <f>H85/DAY(B2)</f>
        <v>1903.2857142857142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654" t="s">
        <v>182</v>
      </c>
      <c r="E86" s="627">
        <f>'6'!F86</f>
        <v>459993</v>
      </c>
      <c r="F86" s="650">
        <v>460025</v>
      </c>
      <c r="G86" s="708">
        <f t="shared" ref="G86:G91" si="7">F86-E86</f>
        <v>32</v>
      </c>
      <c r="H86" s="460">
        <f>G86+'6'!H86</f>
        <v>758</v>
      </c>
      <c r="I86" s="655"/>
      <c r="J86" s="710">
        <f>H86/DAY(B2)</f>
        <v>108.28571428571429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654" t="s">
        <v>182</v>
      </c>
      <c r="E87" s="627">
        <f>'6'!F87</f>
        <v>80997</v>
      </c>
      <c r="F87" s="650">
        <v>81025</v>
      </c>
      <c r="G87" s="708">
        <f t="shared" si="7"/>
        <v>28</v>
      </c>
      <c r="H87" s="460">
        <f>G87+'6'!H87</f>
        <v>106</v>
      </c>
      <c r="I87" s="655"/>
      <c r="J87" s="710">
        <f>H87/DAY(B2)</f>
        <v>15.142857142857142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654" t="s">
        <v>182</v>
      </c>
      <c r="E88" s="627">
        <f>'6'!F88</f>
        <v>152079</v>
      </c>
      <c r="F88" s="650">
        <v>152103</v>
      </c>
      <c r="G88" s="708">
        <f t="shared" si="7"/>
        <v>24</v>
      </c>
      <c r="H88" s="460">
        <f>G88+'6'!H88</f>
        <v>298</v>
      </c>
      <c r="I88" s="655"/>
      <c r="J88" s="710">
        <f>H88/DAY(B2)</f>
        <v>42.571428571428569</v>
      </c>
      <c r="K88" s="736"/>
      <c r="L88" s="737"/>
      <c r="O88" s="716"/>
    </row>
    <row r="89" spans="1:15" s="738" customFormat="1">
      <c r="A89" s="733" t="s">
        <v>203</v>
      </c>
      <c r="B89" s="734"/>
      <c r="C89" s="734"/>
      <c r="D89" s="654" t="s">
        <v>182</v>
      </c>
      <c r="E89" s="627">
        <f>'6'!F89</f>
        <v>64872</v>
      </c>
      <c r="F89" s="650">
        <v>64879</v>
      </c>
      <c r="G89" s="708">
        <f t="shared" si="7"/>
        <v>7</v>
      </c>
      <c r="H89" s="460">
        <f>G89+'6'!H89</f>
        <v>45</v>
      </c>
      <c r="I89" s="655"/>
      <c r="J89" s="710">
        <f>H89/DAY(B2)</f>
        <v>6.4285714285714288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654" t="s">
        <v>182</v>
      </c>
      <c r="E90" s="627">
        <f>'6'!F90</f>
        <v>3272</v>
      </c>
      <c r="F90" s="650">
        <v>3272</v>
      </c>
      <c r="G90" s="708">
        <f t="shared" si="7"/>
        <v>0</v>
      </c>
      <c r="H90" s="460">
        <f>G90+'6'!H90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27">
        <f>'6'!F91</f>
        <v>27925</v>
      </c>
      <c r="F91" s="650">
        <v>27927</v>
      </c>
      <c r="G91" s="708">
        <f t="shared" si="7"/>
        <v>2</v>
      </c>
      <c r="H91" s="460">
        <f>G91+'6'!H91</f>
        <v>8.3899999999994179</v>
      </c>
      <c r="I91" s="655"/>
      <c r="J91" s="710">
        <f>H91/DAY(B2)</f>
        <v>1.1985714285713454</v>
      </c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f>'6'!F93</f>
        <v>244729</v>
      </c>
      <c r="F93" s="485">
        <v>244729</v>
      </c>
      <c r="G93" s="473">
        <f t="shared" ref="G93:G94" si="8">F93-E93</f>
        <v>0</v>
      </c>
      <c r="H93" s="460">
        <f>G93+'6'!H93</f>
        <v>205</v>
      </c>
      <c r="I93" s="480"/>
      <c r="J93" s="552">
        <f>H93/DAY(B2)</f>
        <v>29.285714285714285</v>
      </c>
      <c r="K93" s="429"/>
      <c r="L93" s="377"/>
      <c r="N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f>'6'!F94</f>
        <v>184078</v>
      </c>
      <c r="F94" s="485">
        <v>184149</v>
      </c>
      <c r="G94" s="473">
        <f t="shared" si="8"/>
        <v>71</v>
      </c>
      <c r="H94" s="460">
        <f>G94+'6'!H94</f>
        <v>618</v>
      </c>
      <c r="I94" s="480"/>
      <c r="J94" s="552">
        <f>H94/DAY(B2)</f>
        <v>88.285714285714292</v>
      </c>
      <c r="K94" s="380"/>
      <c r="L94" s="377"/>
      <c r="N94" s="382"/>
    </row>
    <row r="95" spans="1:15">
      <c r="A95" s="1579" t="s">
        <v>207</v>
      </c>
      <c r="B95" s="1580"/>
      <c r="C95" s="1581"/>
      <c r="D95" s="523"/>
      <c r="E95" s="484">
        <f>'6'!F95</f>
        <v>0</v>
      </c>
      <c r="F95" s="478"/>
      <c r="G95" s="473">
        <f>G93+G94</f>
        <v>71</v>
      </c>
      <c r="H95" s="460">
        <f>G95+'6'!H95</f>
        <v>676</v>
      </c>
      <c r="I95" s="480"/>
      <c r="J95" s="552">
        <f>H95/DAY(B2)</f>
        <v>96.571428571428569</v>
      </c>
      <c r="K95" s="380"/>
      <c r="L95" s="377"/>
      <c r="N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f>'6'!F96</f>
        <v>413193</v>
      </c>
      <c r="F96" s="478">
        <v>413224</v>
      </c>
      <c r="G96" s="473">
        <f t="shared" ref="G96:G101" si="9">F96-E96</f>
        <v>31</v>
      </c>
      <c r="H96" s="460">
        <f>G96+'6'!H96</f>
        <v>338</v>
      </c>
      <c r="I96" s="480"/>
      <c r="J96" s="552">
        <f>H96/DAY(B2)</f>
        <v>48.285714285714285</v>
      </c>
      <c r="K96" s="380"/>
      <c r="L96" s="377"/>
      <c r="N96" s="382"/>
    </row>
    <row r="97" spans="1:14" ht="27.75">
      <c r="A97" s="1143" t="s">
        <v>209</v>
      </c>
      <c r="B97" s="1144"/>
      <c r="C97" s="1144"/>
      <c r="D97" s="523" t="s">
        <v>143</v>
      </c>
      <c r="E97" s="484">
        <f>'6'!F97</f>
        <v>102408</v>
      </c>
      <c r="F97" s="478">
        <v>102416</v>
      </c>
      <c r="G97" s="473">
        <f t="shared" si="9"/>
        <v>8</v>
      </c>
      <c r="H97" s="460">
        <f>G97+'6'!H97</f>
        <v>73</v>
      </c>
      <c r="I97" s="480"/>
      <c r="J97" s="552">
        <f>H97/DAY(B2)</f>
        <v>10.428571428571429</v>
      </c>
      <c r="K97" s="427"/>
      <c r="L97" s="377"/>
      <c r="N97" s="382"/>
    </row>
    <row r="98" spans="1:14" ht="27.75">
      <c r="A98" s="1143" t="s">
        <v>210</v>
      </c>
      <c r="B98" s="1144"/>
      <c r="C98" s="1144"/>
      <c r="D98" s="523" t="s">
        <v>143</v>
      </c>
      <c r="E98" s="484">
        <f>'6'!F98</f>
        <v>97515</v>
      </c>
      <c r="F98" s="478">
        <v>97525</v>
      </c>
      <c r="G98" s="473">
        <f t="shared" si="9"/>
        <v>10</v>
      </c>
      <c r="H98" s="460">
        <f>G98+'6'!H98</f>
        <v>98</v>
      </c>
      <c r="I98" s="480"/>
      <c r="J98" s="552">
        <f>H98/DAY(B2)</f>
        <v>14</v>
      </c>
      <c r="K98" s="432"/>
      <c r="L98" s="377"/>
      <c r="N98" s="382"/>
    </row>
    <row r="99" spans="1:14" ht="27.75">
      <c r="A99" s="1143" t="s">
        <v>211</v>
      </c>
      <c r="B99" s="1144"/>
      <c r="C99" s="1144"/>
      <c r="D99" s="523" t="s">
        <v>143</v>
      </c>
      <c r="E99" s="484">
        <f>'6'!F99</f>
        <v>149568</v>
      </c>
      <c r="F99" s="478">
        <v>149573</v>
      </c>
      <c r="G99" s="473">
        <f t="shared" si="9"/>
        <v>5</v>
      </c>
      <c r="H99" s="460">
        <f>G99+'6'!H99</f>
        <v>40</v>
      </c>
      <c r="I99" s="480"/>
      <c r="J99" s="552">
        <f>H99/DAY(B2)</f>
        <v>5.7142857142857144</v>
      </c>
      <c r="K99" s="380"/>
      <c r="L99" s="377"/>
      <c r="N99" s="707"/>
    </row>
    <row r="100" spans="1:14" ht="27.75">
      <c r="A100" s="1143" t="s">
        <v>212</v>
      </c>
      <c r="B100" s="1144"/>
      <c r="C100" s="1144"/>
      <c r="D100" s="523" t="s">
        <v>143</v>
      </c>
      <c r="E100" s="484">
        <f>'6'!F100</f>
        <v>7207</v>
      </c>
      <c r="F100" s="478">
        <v>7214</v>
      </c>
      <c r="G100" s="473">
        <f t="shared" si="9"/>
        <v>7</v>
      </c>
      <c r="H100" s="460">
        <f>G100+'6'!H100</f>
        <v>29</v>
      </c>
      <c r="I100" s="480"/>
      <c r="J100" s="552">
        <f>H100/DAY(B2)</f>
        <v>4.1428571428571432</v>
      </c>
      <c r="K100" s="380"/>
      <c r="L100" s="377"/>
      <c r="N100" s="382"/>
    </row>
    <row r="101" spans="1:14" ht="27.75">
      <c r="A101" s="1143" t="s">
        <v>213</v>
      </c>
      <c r="B101" s="1144"/>
      <c r="C101" s="1144"/>
      <c r="D101" s="523" t="s">
        <v>143</v>
      </c>
      <c r="E101" s="484">
        <f>'6'!F101</f>
        <v>5195</v>
      </c>
      <c r="F101" s="478">
        <v>5205</v>
      </c>
      <c r="G101" s="473">
        <f t="shared" si="9"/>
        <v>10</v>
      </c>
      <c r="H101" s="460">
        <f>G101+'6'!H101</f>
        <v>67</v>
      </c>
      <c r="I101" s="480"/>
      <c r="J101" s="552">
        <f>H101/DAY(B2)</f>
        <v>9.5714285714285712</v>
      </c>
      <c r="K101" s="380"/>
      <c r="L101" s="377"/>
      <c r="N101" s="382"/>
    </row>
    <row r="102" spans="1:14">
      <c r="A102" s="1579" t="s">
        <v>215</v>
      </c>
      <c r="B102" s="1580"/>
      <c r="C102" s="1581"/>
      <c r="D102" s="524"/>
      <c r="E102" s="524"/>
      <c r="F102" s="524"/>
      <c r="G102" s="525">
        <f>SUM(G96:G101)</f>
        <v>71</v>
      </c>
      <c r="H102" s="460">
        <f>G102+'6'!H102</f>
        <v>645</v>
      </c>
      <c r="I102" s="526"/>
      <c r="J102" s="552">
        <f>H102/DAY(B2)</f>
        <v>92.142857142857139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82" t="s">
        <v>217</v>
      </c>
      <c r="B104" s="1583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43" t="s">
        <v>218</v>
      </c>
      <c r="B105" s="1544"/>
      <c r="C105" s="1142"/>
      <c r="D105" s="622" t="s">
        <v>143</v>
      </c>
      <c r="E105" s="661">
        <v>7344</v>
      </c>
      <c r="F105" s="661">
        <v>7349</v>
      </c>
      <c r="G105" s="532">
        <f>F105-E105</f>
        <v>5</v>
      </c>
      <c r="H105" s="460">
        <f>G105+'6'!H105</f>
        <v>13</v>
      </c>
      <c r="I105" s="532"/>
      <c r="J105" s="558">
        <f>H105/DAY(B2)</f>
        <v>1.8571428571428572</v>
      </c>
      <c r="N105" s="382"/>
    </row>
    <row r="106" spans="1:14" s="442" customFormat="1" ht="27.75">
      <c r="A106" s="1543" t="s">
        <v>77</v>
      </c>
      <c r="B106" s="1544"/>
      <c r="C106" s="1142"/>
      <c r="D106" s="622" t="s">
        <v>143</v>
      </c>
      <c r="E106" s="662">
        <v>35691</v>
      </c>
      <c r="F106" s="662">
        <v>35697</v>
      </c>
      <c r="G106" s="532">
        <f t="shared" ref="G106:G107" si="10">F106-E106</f>
        <v>6</v>
      </c>
      <c r="H106" s="460">
        <f>G106+'6'!H106</f>
        <v>25</v>
      </c>
      <c r="I106" s="532"/>
      <c r="J106" s="558">
        <f>H106/DAY(B2)</f>
        <v>3.5714285714285716</v>
      </c>
      <c r="N106" s="382"/>
    </row>
    <row r="107" spans="1:14" s="442" customFormat="1" ht="27.75">
      <c r="A107" s="1543" t="s">
        <v>78</v>
      </c>
      <c r="B107" s="1584"/>
      <c r="C107" s="1544"/>
      <c r="D107" s="622" t="s">
        <v>143</v>
      </c>
      <c r="E107" s="661">
        <v>19456</v>
      </c>
      <c r="F107" s="662">
        <v>19457</v>
      </c>
      <c r="G107" s="532">
        <f t="shared" si="10"/>
        <v>1</v>
      </c>
      <c r="H107" s="460">
        <f>G107+'6'!H107</f>
        <v>22</v>
      </c>
      <c r="I107" s="532"/>
      <c r="J107" s="558">
        <f>H107/DAY(B2)</f>
        <v>3.1428571428571428</v>
      </c>
      <c r="N107" s="382"/>
    </row>
    <row r="108" spans="1:14" s="442" customFormat="1" ht="27.75">
      <c r="A108" s="1545" t="s">
        <v>201</v>
      </c>
      <c r="B108" s="1546"/>
      <c r="C108" s="1142"/>
      <c r="D108" s="622"/>
      <c r="E108" s="532"/>
      <c r="F108" s="662"/>
      <c r="G108" s="532">
        <f>SUM(G105:G107)</f>
        <v>12</v>
      </c>
      <c r="H108" s="460">
        <f>G108+'6'!H108</f>
        <v>60</v>
      </c>
      <c r="I108" s="532"/>
      <c r="J108" s="558">
        <f>H108/DAY(B2)</f>
        <v>8.5714285714285712</v>
      </c>
      <c r="N108" s="382"/>
    </row>
    <row r="109" spans="1:14" s="442" customFormat="1" ht="27.75">
      <c r="A109" s="1549" t="s">
        <v>79</v>
      </c>
      <c r="B109" s="1550"/>
      <c r="C109" s="1142"/>
      <c r="D109" s="622" t="s">
        <v>143</v>
      </c>
      <c r="E109" s="532"/>
      <c r="F109" s="662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43" t="s">
        <v>219</v>
      </c>
      <c r="B110" s="1544"/>
      <c r="C110" s="1142"/>
      <c r="D110" s="622" t="s">
        <v>143</v>
      </c>
      <c r="E110" s="532">
        <f>'6'!F110</f>
        <v>61479</v>
      </c>
      <c r="F110" s="662">
        <v>61538</v>
      </c>
      <c r="G110" s="532">
        <f>F110-E110</f>
        <v>59</v>
      </c>
      <c r="H110" s="460">
        <f>G110+'6'!H110</f>
        <v>364</v>
      </c>
      <c r="I110" s="532"/>
      <c r="J110" s="558">
        <f>H110/DAY(B2)</f>
        <v>52</v>
      </c>
      <c r="N110" s="382"/>
    </row>
    <row r="111" spans="1:14" s="442" customFormat="1" ht="27.75">
      <c r="A111" s="1543" t="s">
        <v>220</v>
      </c>
      <c r="B111" s="1544"/>
      <c r="C111" s="1142"/>
      <c r="D111" s="622" t="s">
        <v>143</v>
      </c>
      <c r="E111" s="532">
        <f>'6'!F111</f>
        <v>32267</v>
      </c>
      <c r="F111" s="662">
        <v>32267</v>
      </c>
      <c r="G111" s="532">
        <f t="shared" ref="G111:G112" si="11">F111-E111</f>
        <v>0</v>
      </c>
      <c r="H111" s="460">
        <f>G111+'6'!H111</f>
        <v>32</v>
      </c>
      <c r="I111" s="532"/>
      <c r="J111" s="558">
        <f>H111/DAY(B2)</f>
        <v>4.5714285714285712</v>
      </c>
      <c r="N111" s="382"/>
    </row>
    <row r="112" spans="1:14" s="442" customFormat="1" ht="27.75">
      <c r="A112" s="1543" t="s">
        <v>221</v>
      </c>
      <c r="B112" s="1544"/>
      <c r="C112" s="1142"/>
      <c r="D112" s="622" t="s">
        <v>143</v>
      </c>
      <c r="E112" s="532">
        <f>'6'!F112</f>
        <v>4441</v>
      </c>
      <c r="F112" s="662">
        <v>4460</v>
      </c>
      <c r="G112" s="532">
        <f t="shared" si="11"/>
        <v>19</v>
      </c>
      <c r="H112" s="460">
        <f>G112+'6'!H112</f>
        <v>92</v>
      </c>
      <c r="I112" s="532"/>
      <c r="J112" s="558">
        <f>H112/DAY(B2)</f>
        <v>13.142857142857142</v>
      </c>
      <c r="N112" s="382"/>
    </row>
    <row r="113" spans="1:14" s="442" customFormat="1" ht="27.75">
      <c r="A113" s="1545" t="s">
        <v>110</v>
      </c>
      <c r="B113" s="1546"/>
      <c r="C113" s="1142"/>
      <c r="D113" s="622"/>
      <c r="E113" s="532"/>
      <c r="F113" s="662"/>
      <c r="G113" s="532">
        <f>SUM(G110:G112)</f>
        <v>78</v>
      </c>
      <c r="H113" s="460">
        <f>G113+'6'!H113</f>
        <v>488</v>
      </c>
      <c r="I113" s="532"/>
      <c r="J113" s="558">
        <f>H113/DAY(B2)</f>
        <v>69.714285714285708</v>
      </c>
      <c r="N113" s="382"/>
    </row>
    <row r="114" spans="1:14" s="442" customFormat="1" ht="27.75">
      <c r="A114" s="1549" t="s">
        <v>222</v>
      </c>
      <c r="B114" s="1550"/>
      <c r="C114" s="1142"/>
      <c r="D114" s="622"/>
      <c r="E114" s="532"/>
      <c r="F114" s="662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3" t="s">
        <v>223</v>
      </c>
      <c r="B115" s="1544"/>
      <c r="C115" s="574"/>
      <c r="D115" s="622" t="s">
        <v>143</v>
      </c>
      <c r="E115" s="532">
        <f>'6'!F115</f>
        <v>11289</v>
      </c>
      <c r="F115" s="662">
        <v>11294</v>
      </c>
      <c r="G115" s="534">
        <f>F115-E115</f>
        <v>5</v>
      </c>
      <c r="H115" s="460">
        <f>G115+'6'!H115</f>
        <v>35</v>
      </c>
      <c r="I115" s="532"/>
      <c r="J115" s="558">
        <f>H115/DAY(B2)</f>
        <v>5</v>
      </c>
      <c r="N115" s="382"/>
    </row>
    <row r="116" spans="1:14" s="442" customFormat="1" ht="27.75">
      <c r="A116" s="1543" t="s">
        <v>224</v>
      </c>
      <c r="B116" s="1544"/>
      <c r="C116" s="574"/>
      <c r="D116" s="622" t="s">
        <v>143</v>
      </c>
      <c r="E116" s="532">
        <f>'6'!F116</f>
        <v>8166</v>
      </c>
      <c r="F116" s="662">
        <v>8175</v>
      </c>
      <c r="G116" s="534">
        <f t="shared" ref="G116:G117" si="12">F116-E116</f>
        <v>9</v>
      </c>
      <c r="H116" s="460">
        <f>G116+'6'!H116</f>
        <v>49</v>
      </c>
      <c r="I116" s="532"/>
      <c r="J116" s="558">
        <f>H116/DAY(B2)</f>
        <v>7</v>
      </c>
      <c r="N116" s="382"/>
    </row>
    <row r="117" spans="1:14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14</v>
      </c>
      <c r="H118" s="460">
        <f>G118+'6'!H118</f>
        <v>84</v>
      </c>
      <c r="I118" s="534"/>
      <c r="J118" s="558">
        <f>H118/DAY(B2)</f>
        <v>12</v>
      </c>
      <c r="N118" s="382"/>
    </row>
    <row r="119" spans="1:14" s="446" customFormat="1" ht="27.75">
      <c r="A119" s="1539" t="s">
        <v>226</v>
      </c>
      <c r="B119" s="1540"/>
      <c r="C119" s="1140"/>
      <c r="D119" s="624" t="s">
        <v>143</v>
      </c>
      <c r="E119" s="536"/>
      <c r="F119" s="663">
        <f>SUM(G19+G93)</f>
        <v>56</v>
      </c>
      <c r="G119" s="536">
        <f>SUM(G19+G93)</f>
        <v>56</v>
      </c>
      <c r="H119" s="460">
        <f>G119+'6'!H119</f>
        <v>580</v>
      </c>
      <c r="I119" s="535"/>
      <c r="J119" s="559">
        <f>H119/DAY(B2)</f>
        <v>82.857142857142861</v>
      </c>
      <c r="N119" s="382"/>
    </row>
    <row r="120" spans="1:14" s="446" customFormat="1" ht="27.75">
      <c r="A120" s="1539" t="s">
        <v>227</v>
      </c>
      <c r="B120" s="1540"/>
      <c r="C120" s="1140"/>
      <c r="D120" s="624" t="s">
        <v>143</v>
      </c>
      <c r="E120" s="536"/>
      <c r="F120" s="663">
        <f>SUM(G96,G97,G98,G100,G101)</f>
        <v>66</v>
      </c>
      <c r="G120" s="536">
        <f>SUM(G96,G97,G98,G100,G101)</f>
        <v>66</v>
      </c>
      <c r="H120" s="460">
        <f>G120+'6'!H120</f>
        <v>605</v>
      </c>
      <c r="I120" s="535"/>
      <c r="J120" s="559">
        <f>H120/DAY(B2)</f>
        <v>86.428571428571431</v>
      </c>
      <c r="N120" s="382"/>
    </row>
    <row r="121" spans="1:14" s="446" customFormat="1" ht="27.75">
      <c r="A121" s="1539" t="s">
        <v>228</v>
      </c>
      <c r="B121" s="1540"/>
      <c r="C121" s="1140"/>
      <c r="D121" s="624" t="s">
        <v>143</v>
      </c>
      <c r="E121" s="534"/>
      <c r="F121" s="662">
        <f>SUM(G113)</f>
        <v>78</v>
      </c>
      <c r="G121" s="534">
        <f>SUM(G113)</f>
        <v>78</v>
      </c>
      <c r="H121" s="460">
        <f>G121+'6'!H121</f>
        <v>488</v>
      </c>
      <c r="I121" s="535"/>
      <c r="J121" s="559">
        <f>H121/DAY(B2)</f>
        <v>69.714285714285708</v>
      </c>
      <c r="N121" s="382"/>
    </row>
    <row r="122" spans="1:14" s="442" customFormat="1" ht="27.75">
      <c r="A122" s="1541"/>
      <c r="B122" s="1542"/>
      <c r="C122" s="1141"/>
      <c r="D122" s="560"/>
      <c r="E122" s="560"/>
      <c r="F122" s="664" t="s">
        <v>214</v>
      </c>
      <c r="G122" s="560"/>
      <c r="H122" s="561"/>
      <c r="I122" s="560"/>
      <c r="J122" s="562"/>
      <c r="N122" s="382"/>
    </row>
    <row r="123" spans="1:14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230</v>
      </c>
      <c r="B124" s="1144"/>
      <c r="C124" s="1144"/>
      <c r="D124" s="523" t="s">
        <v>140</v>
      </c>
      <c r="E124" s="1060">
        <f>'6'!F124</f>
        <v>827318</v>
      </c>
      <c r="F124" s="1060">
        <v>827522</v>
      </c>
      <c r="G124" s="1061">
        <f t="shared" ref="G124:G128" si="13">F124-E124</f>
        <v>204</v>
      </c>
      <c r="H124" s="460">
        <f>G124+'6'!H124</f>
        <v>1433.5400000000373</v>
      </c>
      <c r="I124" s="526"/>
      <c r="J124" s="552">
        <f>H124/DAY(B2)</f>
        <v>204.7914285714339</v>
      </c>
      <c r="K124" s="380"/>
      <c r="L124" s="377"/>
      <c r="N124" s="382"/>
    </row>
    <row r="125" spans="1:14" ht="27.75">
      <c r="A125" s="1143" t="s">
        <v>231</v>
      </c>
      <c r="B125" s="1144"/>
      <c r="C125" s="1144"/>
      <c r="D125" s="523" t="s">
        <v>140</v>
      </c>
      <c r="E125" s="1060">
        <f>'6'!F125</f>
        <v>73583</v>
      </c>
      <c r="F125" s="485">
        <v>73583</v>
      </c>
      <c r="G125" s="473">
        <f t="shared" si="13"/>
        <v>0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30" t="s">
        <v>232</v>
      </c>
      <c r="B126" s="1531"/>
      <c r="C126" s="1532"/>
      <c r="D126" s="523" t="s">
        <v>140</v>
      </c>
      <c r="E126" s="1060">
        <f>'6'!F126</f>
        <v>145031</v>
      </c>
      <c r="F126" s="1066">
        <v>145102</v>
      </c>
      <c r="G126" s="1062">
        <f t="shared" si="13"/>
        <v>71</v>
      </c>
      <c r="H126" s="460">
        <f>G126+'6'!H126</f>
        <v>414.55999999999767</v>
      </c>
      <c r="I126" s="526"/>
      <c r="J126" s="552">
        <f>H126/DAY(B2)</f>
        <v>59.22285714285681</v>
      </c>
      <c r="K126" s="380"/>
      <c r="L126" s="377"/>
      <c r="N126" s="382"/>
    </row>
    <row r="127" spans="1:14" ht="27.75">
      <c r="A127" s="609" t="s">
        <v>233</v>
      </c>
      <c r="B127" s="1144"/>
      <c r="C127" s="1144"/>
      <c r="D127" s="523" t="s">
        <v>140</v>
      </c>
      <c r="E127" s="1060">
        <f>'6'!F127</f>
        <v>31404</v>
      </c>
      <c r="F127" s="485">
        <v>31404</v>
      </c>
      <c r="G127" s="473">
        <f t="shared" si="13"/>
        <v>0</v>
      </c>
      <c r="H127" s="460">
        <f>G127+'6'!H127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234</v>
      </c>
      <c r="B128" s="1144"/>
      <c r="C128" s="1144"/>
      <c r="D128" s="523" t="s">
        <v>140</v>
      </c>
      <c r="E128" s="1060">
        <f>'6'!F128</f>
        <v>8970</v>
      </c>
      <c r="F128" s="485">
        <v>8970</v>
      </c>
      <c r="G128" s="473">
        <f t="shared" si="13"/>
        <v>0</v>
      </c>
      <c r="H128" s="460">
        <f>G128+'6'!H128</f>
        <v>0.2999999999992724</v>
      </c>
      <c r="I128" s="480"/>
      <c r="J128" s="552">
        <f>H128/DAY(B2)</f>
        <v>4.2857142857038913E-2</v>
      </c>
      <c r="K128" s="380"/>
      <c r="L128" s="377"/>
      <c r="N128" s="382"/>
    </row>
    <row r="129" spans="1:14" s="281" customFormat="1" ht="27.75">
      <c r="A129" s="609" t="s">
        <v>235</v>
      </c>
      <c r="B129" s="1144"/>
      <c r="C129" s="1144"/>
      <c r="D129" s="523"/>
      <c r="E129" s="478"/>
      <c r="F129" s="478"/>
      <c r="G129" s="1058">
        <f>G15-SUM(G124:G128)</f>
        <v>73</v>
      </c>
      <c r="H129" s="460">
        <f>G129+'6'!H129</f>
        <v>1064.99999999996</v>
      </c>
      <c r="I129" s="480"/>
      <c r="J129" s="552">
        <f>H129/DAY(B2)</f>
        <v>152.14285714285143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237</v>
      </c>
      <c r="B131" s="1144"/>
      <c r="C131" s="1144"/>
      <c r="D131" s="523" t="s">
        <v>238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3" t="s">
        <v>239</v>
      </c>
      <c r="B132" s="1144"/>
      <c r="C132" s="1144"/>
      <c r="D132" s="523" t="s">
        <v>238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3" t="s">
        <v>240</v>
      </c>
      <c r="B133" s="1144"/>
      <c r="C133" s="1144"/>
      <c r="D133" s="523" t="s">
        <v>238</v>
      </c>
      <c r="E133" s="522">
        <f>'6'!F133</f>
        <v>39890</v>
      </c>
      <c r="F133" s="485">
        <v>39913.599999999999</v>
      </c>
      <c r="G133" s="473">
        <f t="shared" si="14"/>
        <v>23.599999999998545</v>
      </c>
      <c r="H133" s="460">
        <f>G133+'6'!H133</f>
        <v>167.11999999999534</v>
      </c>
      <c r="I133" s="480"/>
      <c r="J133" s="552">
        <f>H133/DAY(B2)</f>
        <v>23.874285714285048</v>
      </c>
      <c r="N133" s="382"/>
    </row>
    <row r="134" spans="1:14" ht="27.75">
      <c r="A134" s="1143" t="s">
        <v>241</v>
      </c>
      <c r="B134" s="1144"/>
      <c r="C134" s="1144"/>
      <c r="D134" s="523" t="s">
        <v>238</v>
      </c>
      <c r="E134" s="704">
        <f>'6'!F134</f>
        <v>300</v>
      </c>
      <c r="F134" s="626">
        <v>300</v>
      </c>
      <c r="G134" s="776">
        <f t="shared" si="14"/>
        <v>0</v>
      </c>
      <c r="H134" s="460">
        <f>G134+'6'!H134</f>
        <v>0</v>
      </c>
      <c r="I134" s="480">
        <f>G133+G134+G135+G136</f>
        <v>23.599999999998545</v>
      </c>
      <c r="J134" s="552">
        <f>H134/DAY(B2)</f>
        <v>0</v>
      </c>
      <c r="N134" s="382"/>
    </row>
    <row r="135" spans="1:14" ht="27.75">
      <c r="A135" s="1143" t="s">
        <v>242</v>
      </c>
      <c r="B135" s="1144"/>
      <c r="C135" s="1144"/>
      <c r="D135" s="523" t="s">
        <v>238</v>
      </c>
      <c r="E135" s="522">
        <f>'6'!F135</f>
        <v>41385</v>
      </c>
      <c r="F135" s="485">
        <v>41385</v>
      </c>
      <c r="G135" s="473">
        <f t="shared" si="14"/>
        <v>0</v>
      </c>
      <c r="H135" s="460">
        <f>G135+'6'!H135</f>
        <v>0</v>
      </c>
      <c r="I135" s="480"/>
      <c r="J135" s="552">
        <f>H135/DAY(B2)</f>
        <v>0</v>
      </c>
      <c r="N135" s="382"/>
    </row>
    <row r="136" spans="1:14" ht="27.75">
      <c r="A136" s="1143" t="s">
        <v>243</v>
      </c>
      <c r="B136" s="1144"/>
      <c r="C136" s="1144"/>
      <c r="D136" s="523" t="s">
        <v>238</v>
      </c>
      <c r="E136" s="704">
        <f>'6'!F136</f>
        <v>32582.560000000001</v>
      </c>
      <c r="F136" s="626">
        <v>32582.560000000001</v>
      </c>
      <c r="G136" s="776">
        <f t="shared" si="14"/>
        <v>0</v>
      </c>
      <c r="H136" s="460">
        <f>G136+'6'!H136</f>
        <v>-0.43999999999869033</v>
      </c>
      <c r="I136" s="480"/>
      <c r="J136" s="552">
        <f>H136/DAY(B2)</f>
        <v>-6.2857142856955761E-2</v>
      </c>
      <c r="N136" s="382"/>
    </row>
    <row r="137" spans="1:14" ht="27.75">
      <c r="A137" s="1143" t="s">
        <v>244</v>
      </c>
      <c r="B137" s="1144"/>
      <c r="C137" s="1144"/>
      <c r="D137" s="523" t="s">
        <v>238</v>
      </c>
      <c r="E137" s="541">
        <f>'6'!F137</f>
        <v>22749.51</v>
      </c>
      <c r="F137" s="654">
        <v>22749.51</v>
      </c>
      <c r="G137" s="473">
        <f t="shared" si="14"/>
        <v>0</v>
      </c>
      <c r="H137" s="460">
        <f>G137+'6'!H137</f>
        <v>9.9199999999982538</v>
      </c>
      <c r="I137" s="480">
        <f>G137+G138+G139</f>
        <v>0</v>
      </c>
      <c r="J137" s="552">
        <f>H137/DAY(B2)</f>
        <v>1.4171428571426077</v>
      </c>
      <c r="N137" s="382"/>
    </row>
    <row r="138" spans="1:14" ht="27.75">
      <c r="A138" s="1143" t="s">
        <v>245</v>
      </c>
      <c r="B138" s="1144"/>
      <c r="C138" s="1144"/>
      <c r="D138" s="523" t="s">
        <v>238</v>
      </c>
      <c r="E138" s="541">
        <f>'6'!F138</f>
        <v>25051.59</v>
      </c>
      <c r="F138" s="654">
        <v>25051.59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>
      <c r="A139" s="1143" t="s">
        <v>246</v>
      </c>
      <c r="B139" s="1144"/>
      <c r="C139" s="1144"/>
      <c r="D139" s="523" t="s">
        <v>238</v>
      </c>
      <c r="E139" s="1064">
        <f>'6'!F139</f>
        <v>70336.2</v>
      </c>
      <c r="F139" s="1065">
        <v>70336.2</v>
      </c>
      <c r="G139" s="1058">
        <f t="shared" si="14"/>
        <v>0</v>
      </c>
      <c r="H139" s="460">
        <f>G139+'6'!H139</f>
        <v>20.389999999999418</v>
      </c>
      <c r="I139" s="480"/>
      <c r="J139" s="552">
        <f>H139/DAY(B2)</f>
        <v>2.9128571428570598</v>
      </c>
      <c r="N139" s="382"/>
    </row>
    <row r="140" spans="1:14" ht="27.75">
      <c r="A140" s="1143" t="s">
        <v>247</v>
      </c>
      <c r="B140" s="1144"/>
      <c r="C140" s="1144"/>
      <c r="D140" s="523" t="s">
        <v>238</v>
      </c>
      <c r="E140" s="522">
        <f>'6'!F140</f>
        <v>1663.48</v>
      </c>
      <c r="F140" s="485">
        <v>1671.25</v>
      </c>
      <c r="G140" s="473">
        <f t="shared" si="14"/>
        <v>7.7699999999999818</v>
      </c>
      <c r="H140" s="460">
        <f>G140+'6'!H140</f>
        <v>54.3900000000001</v>
      </c>
      <c r="I140" s="542">
        <f>G140+G141</f>
        <v>7.7699999999999818</v>
      </c>
      <c r="J140" s="552">
        <f>H140/DAY(B2)</f>
        <v>7.7700000000000147</v>
      </c>
      <c r="N140" s="382"/>
    </row>
    <row r="141" spans="1:14" ht="27.75">
      <c r="A141" s="1143" t="s">
        <v>248</v>
      </c>
      <c r="B141" s="1144"/>
      <c r="C141" s="1144"/>
      <c r="D141" s="523" t="s">
        <v>238</v>
      </c>
      <c r="E141" s="1063">
        <f>'6'!F141</f>
        <v>4637</v>
      </c>
      <c r="F141" s="1060">
        <v>4637</v>
      </c>
      <c r="G141" s="1061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57" t="s">
        <v>249</v>
      </c>
      <c r="B142" s="1558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4253</v>
      </c>
      <c r="H143" s="460">
        <f>G143+'6'!H143</f>
        <v>30559.869999999995</v>
      </c>
      <c r="I143" s="480"/>
      <c r="J143" s="552">
        <f>H143/DAY(B2)</f>
        <v>4365.6957142857136</v>
      </c>
      <c r="K143" s="380"/>
      <c r="L143" s="377"/>
      <c r="N143" s="382"/>
    </row>
    <row r="144" spans="1:14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0.28484361395753799</v>
      </c>
      <c r="H144" s="460">
        <f>G144+'6'!H144</f>
        <v>1.9384710332384714</v>
      </c>
      <c r="I144" s="544"/>
      <c r="J144" s="552">
        <f>H144/DAY(B2)</f>
        <v>0.27692443331978162</v>
      </c>
      <c r="K144" s="380"/>
      <c r="L144" s="377"/>
      <c r="N144" s="382"/>
    </row>
    <row r="145" spans="1:14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4616</v>
      </c>
      <c r="H145" s="460">
        <f>G145+'6'!H145</f>
        <v>34060.530000000028</v>
      </c>
      <c r="I145" s="480"/>
      <c r="J145" s="552">
        <f>H145/DAY(B2)</f>
        <v>4865.7900000000036</v>
      </c>
      <c r="K145" s="380"/>
      <c r="L145" s="377"/>
      <c r="N145" s="382"/>
    </row>
    <row r="146" spans="1:14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0.30915544839595471</v>
      </c>
      <c r="H146" s="460">
        <f>G146+'6'!H146</f>
        <v>2.1597149875420056</v>
      </c>
      <c r="I146" s="544"/>
      <c r="J146" s="552">
        <f>H146/DAY(B2)</f>
        <v>0.30853071250600078</v>
      </c>
      <c r="K146" s="380"/>
      <c r="L146" s="377"/>
      <c r="N146" s="382"/>
    </row>
    <row r="147" spans="1:14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2122</v>
      </c>
      <c r="H147" s="460">
        <f>G147+'6'!H147</f>
        <v>16145</v>
      </c>
      <c r="I147" s="545"/>
      <c r="J147" s="552">
        <f>H147/DAY(B2)</f>
        <v>2306.4285714285716</v>
      </c>
      <c r="K147" s="380"/>
      <c r="L147" s="377"/>
      <c r="N147" s="382"/>
    </row>
    <row r="148" spans="1:14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0.14212042060143326</v>
      </c>
      <c r="H148" s="460">
        <f>G148+'6'!H148</f>
        <v>1.0232204904935804</v>
      </c>
      <c r="I148" s="545"/>
      <c r="J148" s="552">
        <f>H148/DAY(B2)</f>
        <v>0.14617435578479721</v>
      </c>
      <c r="N148" s="382"/>
    </row>
    <row r="149" spans="1:14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1112</v>
      </c>
      <c r="H149" s="460">
        <f>G149+'6'!H149</f>
        <v>8769</v>
      </c>
      <c r="I149" s="480"/>
      <c r="J149" s="552">
        <f>H149/DAY(B2)</f>
        <v>1252.7142857142858</v>
      </c>
      <c r="K149" s="381"/>
      <c r="N149" s="382"/>
    </row>
    <row r="150" spans="1:14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7.4475922577188394E-2</v>
      </c>
      <c r="H150" s="460">
        <f>G150+'6'!H150</f>
        <v>0.55557165485833171</v>
      </c>
      <c r="I150" s="545"/>
      <c r="J150" s="552">
        <f>H150/DAY(B2)</f>
        <v>7.9367379265475962E-2</v>
      </c>
      <c r="N150" s="382"/>
    </row>
    <row r="151" spans="1:14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1167</v>
      </c>
      <c r="H151" s="460">
        <f>G151+'6'!H151</f>
        <v>9070</v>
      </c>
      <c r="I151" s="545"/>
      <c r="J151" s="552">
        <f>H151/DAY(B2)</f>
        <v>1295.7142857142858</v>
      </c>
      <c r="N151" s="382"/>
    </row>
    <row r="152" spans="1:14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7.8159533855736388E-2</v>
      </c>
      <c r="H152" s="460">
        <f>G152+'6'!H152</f>
        <v>0.57460721615560151</v>
      </c>
      <c r="I152" s="480"/>
      <c r="J152" s="552">
        <f>H152/DAY(B2)</f>
        <v>8.2086745165085934E-2</v>
      </c>
      <c r="N152" s="382"/>
    </row>
    <row r="153" spans="1:14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1225</v>
      </c>
      <c r="H153" s="460">
        <f>G153+'6'!H153</f>
        <v>8587</v>
      </c>
      <c r="I153" s="480"/>
      <c r="J153" s="552">
        <f>H153/DAY(B2)</f>
        <v>1226.7142857142858</v>
      </c>
      <c r="N153" s="382"/>
    </row>
    <row r="154" spans="1:14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8.2044069385841537E-2</v>
      </c>
      <c r="H154" s="460">
        <f>G154+'6'!H154</f>
        <v>0.54469864385907152</v>
      </c>
      <c r="I154" s="568"/>
      <c r="J154" s="569">
        <f>H154/DAY(B2)</f>
        <v>7.7814091979867356E-2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5" t="s">
        <v>266</v>
      </c>
      <c r="B158" s="1586"/>
      <c r="C158" s="1586"/>
      <c r="D158" s="1586"/>
      <c r="E158" s="1586"/>
      <c r="F158" s="1586"/>
      <c r="G158" s="1587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262</v>
      </c>
      <c r="B161" s="788"/>
      <c r="C161" s="788"/>
      <c r="D161" s="511" t="s">
        <v>186</v>
      </c>
      <c r="E161" s="661">
        <v>36420</v>
      </c>
      <c r="F161" s="661">
        <v>36502</v>
      </c>
      <c r="G161" s="473">
        <f t="shared" ref="G161:G172" si="15">F161-E161</f>
        <v>82</v>
      </c>
    </row>
    <row r="162" spans="1:7">
      <c r="A162" s="787" t="s">
        <v>263</v>
      </c>
      <c r="B162" s="788"/>
      <c r="C162" s="788"/>
      <c r="D162" s="511" t="s">
        <v>186</v>
      </c>
      <c r="E162" s="661">
        <v>84915</v>
      </c>
      <c r="F162" s="661">
        <v>85326</v>
      </c>
      <c r="G162" s="473">
        <f t="shared" si="15"/>
        <v>411</v>
      </c>
    </row>
    <row r="163" spans="1:7">
      <c r="A163" s="787" t="s">
        <v>264</v>
      </c>
      <c r="B163" s="788"/>
      <c r="C163" s="788"/>
      <c r="D163" s="511" t="s">
        <v>186</v>
      </c>
      <c r="E163" s="661">
        <v>39622</v>
      </c>
      <c r="F163" s="661">
        <v>39835</v>
      </c>
      <c r="G163" s="473">
        <f t="shared" si="15"/>
        <v>213</v>
      </c>
    </row>
    <row r="164" spans="1:7">
      <c r="A164" s="787" t="s">
        <v>265</v>
      </c>
      <c r="B164" s="788"/>
      <c r="C164" s="788"/>
      <c r="D164" s="511" t="s">
        <v>186</v>
      </c>
      <c r="E164" s="661">
        <v>6274</v>
      </c>
      <c r="F164" s="661">
        <v>6280</v>
      </c>
      <c r="G164" s="473">
        <f t="shared" si="15"/>
        <v>6</v>
      </c>
    </row>
    <row r="165" spans="1:7">
      <c r="A165" s="789" t="s">
        <v>98</v>
      </c>
      <c r="B165" s="604"/>
      <c r="C165" s="604"/>
      <c r="D165" s="511" t="s">
        <v>186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9" t="s">
        <v>187</v>
      </c>
      <c r="B166" s="604"/>
      <c r="C166" s="604"/>
      <c r="D166" s="511" t="s">
        <v>186</v>
      </c>
      <c r="E166" s="1063">
        <f>'6'!F166</f>
        <v>2382</v>
      </c>
      <c r="F166" s="514">
        <f t="shared" ref="F166:F172" si="16">F63</f>
        <v>2386</v>
      </c>
      <c r="G166" s="473">
        <f t="shared" si="15"/>
        <v>4</v>
      </c>
    </row>
    <row r="167" spans="1:7" ht="27.75">
      <c r="A167" s="1526" t="s">
        <v>99</v>
      </c>
      <c r="B167" s="1526"/>
      <c r="C167" s="1526"/>
      <c r="D167" s="523" t="s">
        <v>186</v>
      </c>
      <c r="E167" s="1063">
        <f>'6'!F167</f>
        <v>154546</v>
      </c>
      <c r="F167" s="514">
        <f t="shared" si="16"/>
        <v>154753</v>
      </c>
      <c r="G167" s="473">
        <f t="shared" si="15"/>
        <v>207</v>
      </c>
    </row>
    <row r="168" spans="1:7" ht="27.75">
      <c r="A168" s="1526" t="s">
        <v>100</v>
      </c>
      <c r="B168" s="1526"/>
      <c r="C168" s="1526"/>
      <c r="D168" s="523" t="s">
        <v>186</v>
      </c>
      <c r="E168" s="1063">
        <f>'6'!F168</f>
        <v>155781</v>
      </c>
      <c r="F168" s="514">
        <f t="shared" si="16"/>
        <v>155951</v>
      </c>
      <c r="G168" s="473">
        <f t="shared" si="15"/>
        <v>170</v>
      </c>
    </row>
    <row r="169" spans="1:7" ht="27.75">
      <c r="A169" s="1526" t="s">
        <v>101</v>
      </c>
      <c r="B169" s="1526"/>
      <c r="C169" s="1526"/>
      <c r="D169" s="523" t="s">
        <v>186</v>
      </c>
      <c r="E169" s="1063">
        <f>'6'!F169</f>
        <v>50147</v>
      </c>
      <c r="F169" s="514">
        <f t="shared" si="16"/>
        <v>50396</v>
      </c>
      <c r="G169" s="473">
        <f t="shared" si="15"/>
        <v>249</v>
      </c>
    </row>
    <row r="170" spans="1:7" ht="27.75">
      <c r="A170" s="1526" t="s">
        <v>102</v>
      </c>
      <c r="B170" s="1526"/>
      <c r="C170" s="1526"/>
      <c r="D170" s="523" t="s">
        <v>186</v>
      </c>
      <c r="E170" s="1063">
        <f>'6'!F170</f>
        <v>244238</v>
      </c>
      <c r="F170" s="514">
        <f t="shared" si="16"/>
        <v>244363</v>
      </c>
      <c r="G170" s="473">
        <f t="shared" si="15"/>
        <v>125</v>
      </c>
    </row>
    <row r="171" spans="1:7" ht="27.75">
      <c r="A171" s="1526" t="s">
        <v>103</v>
      </c>
      <c r="B171" s="1526"/>
      <c r="C171" s="1526"/>
      <c r="D171" s="523" t="s">
        <v>186</v>
      </c>
      <c r="E171" s="1063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1063">
        <f>'6'!F172</f>
        <v>79443</v>
      </c>
      <c r="F172" s="514">
        <f t="shared" si="16"/>
        <v>79477</v>
      </c>
      <c r="G172" s="473">
        <f t="shared" si="15"/>
        <v>34</v>
      </c>
    </row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347</v>
      </c>
      <c r="B2" s="1035">
        <v>44324</v>
      </c>
      <c r="C2" s="1145" t="s">
        <v>69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5" t="s">
        <v>119</v>
      </c>
      <c r="D3" s="612">
        <v>27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130</v>
      </c>
      <c r="B7" s="680"/>
      <c r="C7" s="680"/>
      <c r="D7" s="638" t="s">
        <v>131</v>
      </c>
      <c r="E7" s="633">
        <f>'7'!F7</f>
        <v>5837836</v>
      </c>
      <c r="F7" s="455">
        <v>5857289</v>
      </c>
      <c r="G7" s="681">
        <f>F7-E7</f>
        <v>19453</v>
      </c>
      <c r="H7" s="682">
        <f>G7+'7'!H7</f>
        <v>129856</v>
      </c>
      <c r="I7" s="683">
        <f>'1'!I7</f>
        <v>12000</v>
      </c>
      <c r="J7" s="684">
        <f>H7/DAY(B2)</f>
        <v>16232</v>
      </c>
      <c r="K7" s="549"/>
      <c r="L7" s="377"/>
      <c r="N7" s="711">
        <v>11335</v>
      </c>
      <c r="O7" s="382">
        <f>G7-N7</f>
        <v>8118</v>
      </c>
    </row>
    <row r="8" spans="1:15" ht="27.75" thickBot="1">
      <c r="A8" s="685" t="s">
        <v>132</v>
      </c>
      <c r="B8" s="686"/>
      <c r="C8" s="687"/>
      <c r="D8" s="688" t="s">
        <v>25</v>
      </c>
      <c r="E8" s="633">
        <f>'7'!F8</f>
        <v>5872131</v>
      </c>
      <c r="F8" s="475">
        <v>5891695</v>
      </c>
      <c r="G8" s="692">
        <f>F8-E8</f>
        <v>19564</v>
      </c>
      <c r="H8" s="682">
        <f>G8+'7'!H8</f>
        <v>130451</v>
      </c>
      <c r="I8" s="689">
        <v>12000</v>
      </c>
      <c r="J8" s="684">
        <f>H8/DAY(B2)</f>
        <v>16306.375</v>
      </c>
      <c r="K8" s="549"/>
      <c r="L8" s="425"/>
      <c r="M8" s="440"/>
      <c r="N8" s="706"/>
    </row>
    <row r="9" spans="1:15">
      <c r="A9" s="690" t="s">
        <v>133</v>
      </c>
      <c r="B9" s="691"/>
      <c r="C9" s="691"/>
      <c r="D9" s="638" t="s">
        <v>131</v>
      </c>
      <c r="E9" s="633">
        <f>'7'!F9</f>
        <v>1097539</v>
      </c>
      <c r="F9" s="478">
        <v>1116375.5</v>
      </c>
      <c r="G9" s="705">
        <f t="shared" ref="G9:G12" si="0">F9-E9</f>
        <v>18836.5</v>
      </c>
      <c r="H9" s="682">
        <f>G9+'7'!H9</f>
        <v>125661.5</v>
      </c>
      <c r="I9" s="693">
        <f>I7-J7</f>
        <v>-4232</v>
      </c>
      <c r="J9" s="684">
        <f>H9/DAY(B2)</f>
        <v>15707.6875</v>
      </c>
      <c r="K9" s="428"/>
      <c r="L9" s="377"/>
      <c r="N9" s="382"/>
    </row>
    <row r="10" spans="1:15">
      <c r="A10" s="679" t="s">
        <v>134</v>
      </c>
      <c r="B10" s="680"/>
      <c r="C10" s="680"/>
      <c r="D10" s="638" t="s">
        <v>131</v>
      </c>
      <c r="E10" s="633">
        <f>'7'!F10</f>
        <v>2322.58</v>
      </c>
      <c r="F10" s="478">
        <v>2322.58</v>
      </c>
      <c r="G10" s="692">
        <f t="shared" si="0"/>
        <v>0</v>
      </c>
      <c r="H10" s="682">
        <f>G10+'7'!H10</f>
        <v>0</v>
      </c>
      <c r="I10" s="694"/>
      <c r="J10" s="684">
        <f>H10/DAY(B2)</f>
        <v>0</v>
      </c>
      <c r="K10" s="428"/>
      <c r="L10" s="377"/>
      <c r="N10" s="382"/>
    </row>
    <row r="11" spans="1:15">
      <c r="A11" s="679" t="s">
        <v>135</v>
      </c>
      <c r="B11" s="680"/>
      <c r="C11" s="680"/>
      <c r="D11" s="638" t="s">
        <v>131</v>
      </c>
      <c r="E11" s="633">
        <f>'7'!F11</f>
        <v>37000</v>
      </c>
      <c r="F11" s="455">
        <v>37000</v>
      </c>
      <c r="G11" s="692">
        <f t="shared" si="0"/>
        <v>0</v>
      </c>
      <c r="H11" s="682">
        <f>G11+'7'!H11</f>
        <v>0</v>
      </c>
      <c r="I11" s="694"/>
      <c r="J11" s="684">
        <f>H11/DAY(B2)</f>
        <v>0</v>
      </c>
      <c r="K11" s="428"/>
      <c r="L11" s="377"/>
      <c r="N11" s="382"/>
    </row>
    <row r="12" spans="1:15">
      <c r="A12" s="679" t="s">
        <v>136</v>
      </c>
      <c r="B12" s="680"/>
      <c r="C12" s="680"/>
      <c r="D12" s="638" t="s">
        <v>131</v>
      </c>
      <c r="E12" s="633">
        <f>'7'!F12</f>
        <v>40010</v>
      </c>
      <c r="F12" s="478">
        <v>40010</v>
      </c>
      <c r="G12" s="692">
        <f t="shared" si="0"/>
        <v>0</v>
      </c>
      <c r="H12" s="682">
        <f>G12+'7'!H12</f>
        <v>0</v>
      </c>
      <c r="I12" s="694"/>
      <c r="J12" s="684">
        <f>H12/DAY(B2)</f>
        <v>0</v>
      </c>
      <c r="K12" s="428"/>
      <c r="L12" s="377"/>
      <c r="N12" s="382"/>
    </row>
    <row r="13" spans="1:15">
      <c r="A13" s="695" t="s">
        <v>137</v>
      </c>
      <c r="B13" s="696"/>
      <c r="C13" s="696"/>
      <c r="D13" s="638"/>
      <c r="E13" s="633"/>
      <c r="F13" s="455">
        <v>0</v>
      </c>
      <c r="G13" s="697">
        <f>G9+G10+G11+G12</f>
        <v>18836.5</v>
      </c>
      <c r="H13" s="682">
        <f>G13+'7'!H13</f>
        <v>125661.5</v>
      </c>
      <c r="I13" s="698">
        <f>G7-G13</f>
        <v>616.5</v>
      </c>
      <c r="J13" s="684">
        <f>H13/DAY(B2)</f>
        <v>15707.6875</v>
      </c>
      <c r="K13" s="428"/>
      <c r="L13" s="377"/>
      <c r="N13" s="382"/>
    </row>
    <row r="14" spans="1:15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214</v>
      </c>
    </row>
    <row r="15" spans="1:15">
      <c r="A15" s="668" t="s">
        <v>139</v>
      </c>
      <c r="B15" s="669"/>
      <c r="C15" s="669"/>
      <c r="D15" s="670" t="s">
        <v>140</v>
      </c>
      <c r="E15" s="671">
        <f>'7'!F15</f>
        <v>1673570</v>
      </c>
      <c r="F15" s="485">
        <v>1674183.48</v>
      </c>
      <c r="G15" s="667">
        <f>(F15-E15)</f>
        <v>613.47999999998137</v>
      </c>
      <c r="H15" s="1472">
        <f>G15+'7'!H15</f>
        <v>3526.4799999999814</v>
      </c>
      <c r="I15" s="1473">
        <v>800</v>
      </c>
      <c r="J15" s="1474">
        <f>H15/DAY(B2)</f>
        <v>440.80999999999767</v>
      </c>
      <c r="K15" s="428"/>
      <c r="L15" s="377"/>
      <c r="N15" s="382"/>
    </row>
    <row r="16" spans="1:15">
      <c r="A16" s="676"/>
      <c r="B16" s="677"/>
      <c r="C16" s="677"/>
      <c r="D16" s="670"/>
      <c r="E16" s="671"/>
      <c r="F16" s="703"/>
      <c r="G16" s="672"/>
      <c r="H16" s="673"/>
      <c r="I16" s="678">
        <f>I15-J15</f>
        <v>359.19000000000233</v>
      </c>
      <c r="J16" s="675"/>
      <c r="K16" s="428"/>
      <c r="L16" s="377"/>
      <c r="N16" s="382"/>
    </row>
    <row r="17" spans="1:14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1" t="s">
        <v>142</v>
      </c>
      <c r="B18" s="1592"/>
      <c r="C18" s="1593"/>
      <c r="D18" s="638" t="s">
        <v>143</v>
      </c>
      <c r="E18" s="635">
        <f>'7'!F18</f>
        <v>0</v>
      </c>
      <c r="F18" s="626">
        <v>6</v>
      </c>
      <c r="G18" s="697">
        <f>F18*10</f>
        <v>60</v>
      </c>
      <c r="H18" s="682">
        <f>G18+'7'!H18</f>
        <v>380</v>
      </c>
      <c r="I18" s="683">
        <f>'1'!I18</f>
        <v>65</v>
      </c>
      <c r="J18" s="684">
        <f>H18/DAY(B2)</f>
        <v>47.5</v>
      </c>
      <c r="K18" s="428"/>
      <c r="L18" s="377"/>
      <c r="N18" s="382"/>
    </row>
    <row r="19" spans="1:14" ht="27.75">
      <c r="A19" s="1591" t="s">
        <v>71</v>
      </c>
      <c r="B19" s="1592"/>
      <c r="C19" s="1593"/>
      <c r="D19" s="638" t="s">
        <v>143</v>
      </c>
      <c r="E19" s="635">
        <f>'7'!F19</f>
        <v>138187</v>
      </c>
      <c r="F19" s="478">
        <v>138242</v>
      </c>
      <c r="G19" s="692">
        <f t="shared" ref="G19" si="1">F19-E19</f>
        <v>55</v>
      </c>
      <c r="H19" s="682">
        <f>G19+'7'!H19</f>
        <v>430</v>
      </c>
      <c r="I19" s="699"/>
      <c r="J19" s="684">
        <f>H19/DAY(B2)</f>
        <v>53.75</v>
      </c>
      <c r="K19" s="428"/>
      <c r="L19" s="377"/>
      <c r="N19" s="382"/>
    </row>
    <row r="20" spans="1:14">
      <c r="A20" s="695" t="s">
        <v>144</v>
      </c>
      <c r="B20" s="696"/>
      <c r="C20" s="696"/>
      <c r="D20" s="638"/>
      <c r="E20" s="638"/>
      <c r="F20" s="523"/>
      <c r="G20" s="700">
        <f>G18+G19</f>
        <v>115</v>
      </c>
      <c r="H20" s="682">
        <f>G20+'7'!H20</f>
        <v>810</v>
      </c>
      <c r="I20" s="701">
        <f>I18-J20</f>
        <v>-36.25</v>
      </c>
      <c r="J20" s="684">
        <f>H20/DAY(B2)</f>
        <v>101.25</v>
      </c>
      <c r="K20" s="428"/>
      <c r="L20" s="377"/>
      <c r="N20" s="382"/>
    </row>
    <row r="21" spans="1:14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146</v>
      </c>
      <c r="B22" s="589"/>
      <c r="C22" s="589"/>
      <c r="D22" s="523" t="s">
        <v>147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148</v>
      </c>
      <c r="B23" s="589"/>
      <c r="C23" s="589"/>
      <c r="D23" s="523" t="s">
        <v>147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93">
        <f>'7'!F24</f>
        <v>4970</v>
      </c>
      <c r="F24" s="493">
        <v>4250</v>
      </c>
      <c r="G24" s="762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19564</v>
      </c>
      <c r="F27" s="501">
        <v>9</v>
      </c>
      <c r="G27" s="502">
        <f>E27*F27</f>
        <v>176076</v>
      </c>
      <c r="H27" s="460">
        <f>G27+'7'!H27</f>
        <v>1174059</v>
      </c>
      <c r="I27" s="503"/>
      <c r="J27" s="552">
        <f>H27/DAY(B2)</f>
        <v>146757.375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2">
        <f>G15</f>
        <v>613.47999999998137</v>
      </c>
      <c r="F28" s="501">
        <v>51.45</v>
      </c>
      <c r="G28" s="502">
        <f t="shared" ref="G28:G31" si="2">E28*F28</f>
        <v>31563.545999999042</v>
      </c>
      <c r="H28" s="460">
        <f>G28+'7'!H28</f>
        <v>175153.14599999905</v>
      </c>
      <c r="I28" s="505"/>
      <c r="J28" s="552">
        <f>H28/DAY(B2)</f>
        <v>21894.143249999881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2">
        <f>G19</f>
        <v>55</v>
      </c>
      <c r="F30" s="501">
        <v>134</v>
      </c>
      <c r="G30" s="502">
        <f t="shared" si="2"/>
        <v>7370</v>
      </c>
      <c r="H30" s="460">
        <f>G30+'7'!H30</f>
        <v>57620</v>
      </c>
      <c r="I30" s="505"/>
      <c r="J30" s="552">
        <f>H30/DAY(B2)</f>
        <v>7202.5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2">
        <f>G18</f>
        <v>60</v>
      </c>
      <c r="F31" s="501">
        <v>80</v>
      </c>
      <c r="G31" s="502">
        <f t="shared" si="2"/>
        <v>4800</v>
      </c>
      <c r="H31" s="460">
        <f>G31+'7'!H31</f>
        <v>30400</v>
      </c>
      <c r="I31" s="505"/>
      <c r="J31" s="552">
        <f>H31/DAY(B2)</f>
        <v>3800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219809.54599999904</v>
      </c>
      <c r="H32" s="460">
        <f>G32+'7'!H32</f>
        <v>1437232.1459999993</v>
      </c>
      <c r="I32" s="509"/>
      <c r="J32" s="552">
        <f>H32/DAY(B2)</f>
        <v>179654.01824999991</v>
      </c>
      <c r="K32" s="373"/>
      <c r="L32" s="443"/>
      <c r="N32" s="382"/>
    </row>
    <row r="33" spans="1:14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</row>
    <row r="34" spans="1:14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'7'!F35</f>
        <v>901319</v>
      </c>
      <c r="F35" s="510">
        <v>903746.47</v>
      </c>
      <c r="G35" s="473">
        <f t="shared" ref="G35:G46" si="3">F35-E35</f>
        <v>2427.4699999999721</v>
      </c>
      <c r="H35" s="460">
        <f>G35+'7'!H35</f>
        <v>17287.469999999972</v>
      </c>
      <c r="I35" s="455"/>
      <c r="J35" s="552">
        <f>H35/DAY(B2)</f>
        <v>2160.9337499999965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'7'!F36</f>
        <v>347065</v>
      </c>
      <c r="F36" s="510">
        <v>347065</v>
      </c>
      <c r="G36" s="473">
        <f t="shared" si="3"/>
        <v>0</v>
      </c>
      <c r="H36" s="460">
        <f>G36+'7'!H36</f>
        <v>2457</v>
      </c>
      <c r="I36" s="455"/>
      <c r="J36" s="552">
        <f>H36/DAY(B2)</f>
        <v>307.125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'7'!F37</f>
        <v>103812</v>
      </c>
      <c r="F37" s="510">
        <v>105159.02</v>
      </c>
      <c r="G37" s="473">
        <f t="shared" si="3"/>
        <v>1347.0200000000041</v>
      </c>
      <c r="H37" s="460">
        <f>G37+'7'!H37</f>
        <v>9934.0200000000041</v>
      </c>
      <c r="I37" s="455"/>
      <c r="J37" s="552">
        <f>H37/DAY(B2)</f>
        <v>1241.7525000000005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469">
        <f>'7'!F38</f>
        <v>128365</v>
      </c>
      <c r="F38" s="469">
        <v>129568.27</v>
      </c>
      <c r="G38" s="473">
        <f t="shared" si="3"/>
        <v>1203.2700000000041</v>
      </c>
      <c r="H38" s="460">
        <f>G38+'7'!H38</f>
        <v>9972.2700000000041</v>
      </c>
      <c r="I38" s="455"/>
      <c r="J38" s="552">
        <f>H38/DAY(B2)</f>
        <v>1246.5337500000005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'7'!F39</f>
        <v>258976</v>
      </c>
      <c r="F39" s="510">
        <v>260900.75</v>
      </c>
      <c r="G39" s="473">
        <f t="shared" si="3"/>
        <v>1924.75</v>
      </c>
      <c r="H39" s="460">
        <f>G39+'7'!H39</f>
        <v>14247.75</v>
      </c>
      <c r="I39" s="455"/>
      <c r="J39" s="552">
        <f>H39/DAY(B2)</f>
        <v>1780.96875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'7'!F40</f>
        <v>0</v>
      </c>
      <c r="F40" s="510">
        <v>0.23</v>
      </c>
      <c r="G40" s="473">
        <f t="shared" si="3"/>
        <v>0.23</v>
      </c>
      <c r="H40" s="460">
        <f>G40+'7'!H40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'7'!F41</f>
        <v>215512</v>
      </c>
      <c r="F41" s="1059">
        <v>220397.19</v>
      </c>
      <c r="G41" s="473">
        <f t="shared" si="3"/>
        <v>4885.1900000000023</v>
      </c>
      <c r="H41" s="460">
        <f>G41+'7'!H41</f>
        <v>38869.19</v>
      </c>
      <c r="I41" s="455"/>
      <c r="J41" s="552">
        <f>H41/DAY(B2)</f>
        <v>4858.6487500000003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'7'!F42</f>
        <v>59200</v>
      </c>
      <c r="F42" s="510">
        <v>59200.08</v>
      </c>
      <c r="G42" s="473">
        <f t="shared" si="3"/>
        <v>8.000000000174623E-2</v>
      </c>
      <c r="H42" s="460">
        <f>G42+'7'!H42</f>
        <v>8.000000000174623E-2</v>
      </c>
      <c r="I42" s="455"/>
      <c r="J42" s="552">
        <f>H42/DAY(B2)</f>
        <v>1.0000000000218279E-2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'7'!F43</f>
        <v>989658</v>
      </c>
      <c r="F43" s="510">
        <v>992083.27</v>
      </c>
      <c r="G43" s="473">
        <f t="shared" si="3"/>
        <v>2425.2700000000186</v>
      </c>
      <c r="H43" s="460">
        <f>G43+'7'!H43</f>
        <v>18125.270000000019</v>
      </c>
      <c r="I43" s="455"/>
      <c r="J43" s="552">
        <f>H43/DAY(B2)</f>
        <v>2265.6587500000023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14213.280000000002</v>
      </c>
      <c r="H47" s="460">
        <f>G47+'7'!H47</f>
        <v>110893.05</v>
      </c>
      <c r="I47" s="455"/>
      <c r="J47" s="552">
        <f>H47/DAY(B2)</f>
        <v>13861.63125</v>
      </c>
      <c r="K47" s="428"/>
      <c r="L47" s="377"/>
      <c r="N47" s="382"/>
    </row>
    <row r="48" spans="1:14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'7'!F49</f>
        <v>260732</v>
      </c>
      <c r="F49" s="1059">
        <v>260732.13</v>
      </c>
      <c r="G49" s="473">
        <f t="shared" ref="G49:G58" si="4">F49-E49</f>
        <v>0.13000000000465661</v>
      </c>
      <c r="H49" s="460">
        <f>G49+'7'!H49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'7'!F50</f>
        <v>481149</v>
      </c>
      <c r="F50" s="510">
        <v>482535.31</v>
      </c>
      <c r="G50" s="473">
        <f>F50-E50</f>
        <v>1386.3099999999977</v>
      </c>
      <c r="H50" s="460">
        <f>G50+'7'!H50</f>
        <v>7999.3099999999977</v>
      </c>
      <c r="I50" s="455"/>
      <c r="J50" s="552">
        <f>H50/DAY(B2)</f>
        <v>999.91374999999971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'7'!F51</f>
        <v>144640</v>
      </c>
      <c r="F51" s="1059">
        <v>144639.87</v>
      </c>
      <c r="G51" s="473">
        <f t="shared" si="4"/>
        <v>-0.13000000000465661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'7'!F52</f>
        <v>539606</v>
      </c>
      <c r="F52" s="1059">
        <v>539606.06999999995</v>
      </c>
      <c r="G52" s="473">
        <f t="shared" si="4"/>
        <v>6.9999999948777258E-2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'7'!F53</f>
        <v>420133</v>
      </c>
      <c r="F53" s="1059">
        <v>420654.07</v>
      </c>
      <c r="G53" s="473">
        <f t="shared" si="4"/>
        <v>521.07000000000698</v>
      </c>
      <c r="H53" s="460">
        <f>G53+'7'!H53</f>
        <v>4343.070000000007</v>
      </c>
      <c r="I53" s="455"/>
      <c r="J53" s="552">
        <f>H53/DAY(B2)</f>
        <v>542.88375000000087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v>8200</v>
      </c>
      <c r="F54" s="510">
        <v>11960.7</v>
      </c>
      <c r="G54" s="473">
        <f t="shared" si="4"/>
        <v>3760.7000000000007</v>
      </c>
      <c r="H54" s="460">
        <f>G54+'7'!H54</f>
        <v>4271.7000000000007</v>
      </c>
      <c r="I54" s="455"/>
      <c r="J54" s="552">
        <f>H54/DAY(B2)</f>
        <v>533.96250000000009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v>1979.37</v>
      </c>
      <c r="F55" s="656">
        <v>1979.37</v>
      </c>
      <c r="G55" s="655">
        <f t="shared" si="4"/>
        <v>0</v>
      </c>
      <c r="H55" s="708">
        <f>G55+'7'!H55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'7'!F56</f>
        <v>589365</v>
      </c>
      <c r="F56" s="656">
        <v>589375.11</v>
      </c>
      <c r="G56" s="473">
        <f t="shared" si="4"/>
        <v>10.10999999998603</v>
      </c>
      <c r="H56" s="460">
        <f>G56+'7'!H56</f>
        <v>86.64000000001397</v>
      </c>
      <c r="I56" s="455"/>
      <c r="J56" s="552">
        <f>H56/DAY(B2)</f>
        <v>10.830000000001746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'7'!F57</f>
        <v>7711</v>
      </c>
      <c r="F57" s="1059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'7'!F58</f>
        <v>47256</v>
      </c>
      <c r="F58" s="656">
        <v>47461.13</v>
      </c>
      <c r="G58" s="473">
        <f t="shared" si="4"/>
        <v>205.12999999999738</v>
      </c>
      <c r="H58" s="460">
        <f>G58+'7'!H58</f>
        <v>793.12999999999738</v>
      </c>
      <c r="I58" s="455"/>
      <c r="J58" s="552">
        <f>H58/DAY(B2)</f>
        <v>99.141249999999673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5883.3899999999376</v>
      </c>
      <c r="H59" s="460">
        <f>G59+'7'!H59</f>
        <v>17493.789999999961</v>
      </c>
      <c r="I59" s="455">
        <f>G7-G60</f>
        <v>-643.66999999994005</v>
      </c>
      <c r="J59" s="552">
        <f>H59/DAY(B2)</f>
        <v>2186.7237499999951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20096.66999999994</v>
      </c>
      <c r="H60" s="460">
        <f>G60+'7'!H60</f>
        <v>128386.83999999997</v>
      </c>
      <c r="I60" s="455">
        <f>G13-G60</f>
        <v>-1260.16999999994</v>
      </c>
      <c r="J60" s="552">
        <f>H60/DAY(B2)</f>
        <v>16048.354999999996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'7'!F63</f>
        <v>2386</v>
      </c>
      <c r="F63" s="514">
        <v>2389.54</v>
      </c>
      <c r="G63" s="473">
        <f t="shared" si="5"/>
        <v>3.5399999999999636</v>
      </c>
      <c r="H63" s="460">
        <f>G63+'7'!H63</f>
        <v>30.539999999999964</v>
      </c>
      <c r="I63" s="515"/>
      <c r="J63" s="552">
        <f>H63/DAY(B2)</f>
        <v>3.8174999999999955</v>
      </c>
      <c r="K63" s="428"/>
      <c r="L63" s="377"/>
      <c r="N63" s="382"/>
    </row>
    <row r="64" spans="1:14" ht="27.75">
      <c r="A64" s="1530" t="s">
        <v>99</v>
      </c>
      <c r="B64" s="1531"/>
      <c r="C64" s="1532"/>
      <c r="D64" s="523" t="s">
        <v>186</v>
      </c>
      <c r="E64" s="514">
        <f>'7'!F64</f>
        <v>154753</v>
      </c>
      <c r="F64" s="478">
        <v>154960.59</v>
      </c>
      <c r="G64" s="473">
        <f t="shared" si="5"/>
        <v>207.58999999999651</v>
      </c>
      <c r="H64" s="460">
        <f>G64+'7'!H64</f>
        <v>1661.5899999999965</v>
      </c>
      <c r="I64" s="480"/>
      <c r="J64" s="552">
        <f>H64/DAY(B2)</f>
        <v>207.69874999999956</v>
      </c>
      <c r="K64" s="428"/>
      <c r="L64" s="377"/>
      <c r="N64" s="382"/>
    </row>
    <row r="65" spans="1:14" ht="27.75">
      <c r="A65" s="1530" t="s">
        <v>100</v>
      </c>
      <c r="B65" s="1531"/>
      <c r="C65" s="1532"/>
      <c r="D65" s="523" t="s">
        <v>186</v>
      </c>
      <c r="E65" s="514">
        <f>'7'!F65</f>
        <v>155951</v>
      </c>
      <c r="F65" s="654">
        <v>156159.20000000001</v>
      </c>
      <c r="G65" s="473">
        <f t="shared" si="5"/>
        <v>208.20000000001164</v>
      </c>
      <c r="H65" s="460">
        <f>G65+'7'!H65</f>
        <v>1560.2000000000116</v>
      </c>
      <c r="I65" s="489"/>
      <c r="J65" s="552">
        <f>H65/DAY(B2)</f>
        <v>195.02500000000146</v>
      </c>
      <c r="K65" s="428"/>
      <c r="L65" s="377"/>
      <c r="N65" s="382"/>
    </row>
    <row r="66" spans="1:14" ht="27.75">
      <c r="A66" s="1530" t="s">
        <v>101</v>
      </c>
      <c r="B66" s="1531"/>
      <c r="C66" s="1532"/>
      <c r="D66" s="523" t="s">
        <v>186</v>
      </c>
      <c r="E66" s="514">
        <f>'7'!F66</f>
        <v>50396</v>
      </c>
      <c r="F66" s="478">
        <v>50673.49</v>
      </c>
      <c r="G66" s="473">
        <f t="shared" si="5"/>
        <v>277.48999999999796</v>
      </c>
      <c r="H66" s="460">
        <f>G66+'7'!H66</f>
        <v>2102.489999999998</v>
      </c>
      <c r="I66" s="480"/>
      <c r="J66" s="552">
        <f>H66/DAY(B2)</f>
        <v>262.81124999999975</v>
      </c>
      <c r="K66" s="428"/>
      <c r="L66" s="377"/>
      <c r="N66" s="382"/>
    </row>
    <row r="67" spans="1:14" ht="27.75">
      <c r="A67" s="1530" t="s">
        <v>102</v>
      </c>
      <c r="B67" s="1531"/>
      <c r="C67" s="1532"/>
      <c r="D67" s="523" t="s">
        <v>186</v>
      </c>
      <c r="E67" s="514">
        <f>'7'!F67</f>
        <v>244363</v>
      </c>
      <c r="F67" s="478">
        <v>244529.27</v>
      </c>
      <c r="G67" s="473">
        <f t="shared" si="5"/>
        <v>166.26999999998952</v>
      </c>
      <c r="H67" s="460">
        <f>G67+'7'!H67</f>
        <v>1355.2699999999895</v>
      </c>
      <c r="I67" s="489"/>
      <c r="J67" s="552">
        <f>H67/DAY(B2)</f>
        <v>169.40874999999869</v>
      </c>
      <c r="K67" s="429"/>
      <c r="L67" s="377"/>
      <c r="N67" s="382"/>
    </row>
    <row r="68" spans="1:14" ht="27.75">
      <c r="A68" s="1530" t="s">
        <v>103</v>
      </c>
      <c r="B68" s="1531"/>
      <c r="C68" s="1532"/>
      <c r="D68" s="523" t="s">
        <v>186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0" t="s">
        <v>104</v>
      </c>
      <c r="B69" s="1531"/>
      <c r="C69" s="1532"/>
      <c r="D69" s="523" t="s">
        <v>186</v>
      </c>
      <c r="E69" s="514">
        <f>'7'!F69</f>
        <v>79477</v>
      </c>
      <c r="F69" s="478">
        <v>79618.399999999994</v>
      </c>
      <c r="G69" s="473">
        <f t="shared" si="5"/>
        <v>141.39999999999418</v>
      </c>
      <c r="H69" s="460">
        <f>G69+'7'!H69</f>
        <v>624.39999999999418</v>
      </c>
      <c r="I69" s="516"/>
      <c r="J69" s="552">
        <f>H69/DAY(B2)</f>
        <v>78.049999999999272</v>
      </c>
      <c r="K69" s="431"/>
      <c r="L69" s="377"/>
      <c r="N69" s="382"/>
    </row>
    <row r="70" spans="1:14" ht="27.75">
      <c r="A70" s="1536" t="s">
        <v>188</v>
      </c>
      <c r="B70" s="1537"/>
      <c r="C70" s="1538"/>
      <c r="D70" s="523" t="s">
        <v>186</v>
      </c>
      <c r="E70" s="518"/>
      <c r="F70" s="518" t="s">
        <v>267</v>
      </c>
      <c r="G70" s="518"/>
      <c r="H70" s="460"/>
      <c r="I70" s="518"/>
      <c r="J70" s="556"/>
      <c r="K70" s="431"/>
      <c r="L70" s="377"/>
      <c r="N70" s="382"/>
    </row>
    <row r="71" spans="1:14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</row>
    <row r="72" spans="1:14" ht="27.75">
      <c r="A72" s="1530" t="s">
        <v>190</v>
      </c>
      <c r="B72" s="1531"/>
      <c r="C72" s="1532"/>
      <c r="D72" s="523" t="s">
        <v>186</v>
      </c>
      <c r="E72" s="519">
        <f>'7'!F72</f>
        <v>855573</v>
      </c>
      <c r="F72" s="657">
        <v>855588</v>
      </c>
      <c r="G72" s="473">
        <f t="shared" ref="G72:G84" si="6">F72-E72</f>
        <v>15</v>
      </c>
      <c r="H72" s="460">
        <f>G72+'7'!H72</f>
        <v>127</v>
      </c>
      <c r="I72" s="480"/>
      <c r="J72" s="552">
        <f>H72/DAY(B2)</f>
        <v>15.875</v>
      </c>
      <c r="K72" s="431"/>
      <c r="L72" s="377"/>
      <c r="N72" s="382"/>
    </row>
    <row r="73" spans="1:14" ht="27.75">
      <c r="A73" s="1530" t="s">
        <v>191</v>
      </c>
      <c r="B73" s="1531"/>
      <c r="C73" s="1532"/>
      <c r="D73" s="523" t="s">
        <v>186</v>
      </c>
      <c r="E73" s="519">
        <f>'7'!F73</f>
        <v>885884</v>
      </c>
      <c r="F73" s="658">
        <v>885885</v>
      </c>
      <c r="G73" s="655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>
      <c r="A74" s="1530" t="s">
        <v>192</v>
      </c>
      <c r="B74" s="1531"/>
      <c r="C74" s="1532"/>
      <c r="D74" s="523" t="s">
        <v>186</v>
      </c>
      <c r="E74" s="519">
        <f>'7'!F74</f>
        <v>2400</v>
      </c>
      <c r="F74" s="657">
        <v>2411.6999999999998</v>
      </c>
      <c r="G74" s="473">
        <f t="shared" si="6"/>
        <v>11.699999999999818</v>
      </c>
      <c r="H74" s="460">
        <f>G74+'7'!H74</f>
        <v>132.69999999999982</v>
      </c>
      <c r="I74" s="480"/>
      <c r="J74" s="552">
        <f>H74/DAY(B2)</f>
        <v>16.587499999999977</v>
      </c>
      <c r="K74" s="431"/>
      <c r="L74" s="377"/>
      <c r="N74" s="382"/>
    </row>
    <row r="75" spans="1:14" ht="27.75">
      <c r="A75" s="1527" t="s">
        <v>193</v>
      </c>
      <c r="B75" s="1528"/>
      <c r="C75" s="1529"/>
      <c r="D75" s="523" t="s">
        <v>186</v>
      </c>
      <c r="E75" s="519">
        <f>'7'!F75</f>
        <v>11340</v>
      </c>
      <c r="F75" s="658">
        <v>11406.63</v>
      </c>
      <c r="G75" s="473">
        <f t="shared" si="6"/>
        <v>66.6299999999992</v>
      </c>
      <c r="H75" s="460">
        <f>G75+'7'!H75</f>
        <v>436.6299999999992</v>
      </c>
      <c r="I75" s="480"/>
      <c r="J75" s="552">
        <f>H75/DAY(B2)</f>
        <v>54.5787499999999</v>
      </c>
      <c r="K75" s="430"/>
      <c r="L75" s="377"/>
      <c r="N75" s="382"/>
    </row>
    <row r="76" spans="1:14" ht="27.75">
      <c r="A76" s="1527" t="s">
        <v>194</v>
      </c>
      <c r="B76" s="1528"/>
      <c r="C76" s="1529"/>
      <c r="D76" s="523" t="s">
        <v>186</v>
      </c>
      <c r="E76" s="519">
        <f>'7'!F76</f>
        <v>6086</v>
      </c>
      <c r="F76" s="658">
        <v>6140.92</v>
      </c>
      <c r="G76" s="473">
        <f t="shared" si="6"/>
        <v>54.920000000000073</v>
      </c>
      <c r="H76" s="460">
        <f>G76+'7'!H76</f>
        <v>431.92000000000007</v>
      </c>
      <c r="I76" s="505"/>
      <c r="J76" s="552">
        <f>H76/DAY(B2)</f>
        <v>53.990000000000009</v>
      </c>
      <c r="K76" s="430"/>
      <c r="L76" s="377"/>
      <c r="N76" s="382"/>
    </row>
    <row r="77" spans="1:14" ht="27.75">
      <c r="A77" s="1530" t="s">
        <v>195</v>
      </c>
      <c r="B77" s="1531"/>
      <c r="C77" s="1532"/>
      <c r="D77" s="523" t="s">
        <v>186</v>
      </c>
      <c r="E77" s="519">
        <f>'7'!F77</f>
        <v>701907</v>
      </c>
      <c r="F77" s="657">
        <v>701955</v>
      </c>
      <c r="G77" s="655">
        <f t="shared" si="6"/>
        <v>48</v>
      </c>
      <c r="H77" s="460">
        <f>G77+'7'!H77</f>
        <v>393</v>
      </c>
      <c r="I77" s="505"/>
      <c r="J77" s="552">
        <f>H77/DAY(B2)</f>
        <v>49.125</v>
      </c>
      <c r="K77" s="430"/>
      <c r="L77" s="377"/>
      <c r="N77" s="382"/>
    </row>
    <row r="78" spans="1:14" ht="27.75">
      <c r="A78" s="1146" t="s">
        <v>196</v>
      </c>
      <c r="B78" s="1119"/>
      <c r="C78" s="1119"/>
      <c r="D78" s="523" t="s">
        <v>186</v>
      </c>
      <c r="E78" s="519">
        <f>'7'!F78</f>
        <v>670567</v>
      </c>
      <c r="F78" s="659">
        <v>670636</v>
      </c>
      <c r="G78" s="473">
        <f t="shared" si="6"/>
        <v>69</v>
      </c>
      <c r="H78" s="460">
        <f>G78+'7'!H78</f>
        <v>611</v>
      </c>
      <c r="I78" s="505"/>
      <c r="J78" s="552">
        <f>H78/DAY(B2)</f>
        <v>76.375</v>
      </c>
      <c r="K78" s="430"/>
      <c r="L78" s="377"/>
      <c r="N78" s="382"/>
    </row>
    <row r="79" spans="1:14" ht="27.75">
      <c r="A79" s="1527" t="s">
        <v>92</v>
      </c>
      <c r="B79" s="1528"/>
      <c r="C79" s="1529"/>
      <c r="D79" s="524" t="s">
        <v>186</v>
      </c>
      <c r="E79" s="519">
        <f>'7'!F79</f>
        <v>827990</v>
      </c>
      <c r="F79" s="657">
        <v>828094</v>
      </c>
      <c r="G79" s="473">
        <f t="shared" si="6"/>
        <v>104</v>
      </c>
      <c r="H79" s="460">
        <f>G79+'7'!H79</f>
        <v>1310</v>
      </c>
      <c r="I79" s="505"/>
      <c r="J79" s="552">
        <f>H79/DAY(B2)</f>
        <v>163.75</v>
      </c>
      <c r="K79" s="430"/>
      <c r="L79" s="377"/>
      <c r="N79" s="382"/>
    </row>
    <row r="80" spans="1:14" ht="27.75">
      <c r="A80" s="1527" t="s">
        <v>197</v>
      </c>
      <c r="B80" s="1528"/>
      <c r="C80" s="1529"/>
      <c r="D80" s="524" t="s">
        <v>186</v>
      </c>
      <c r="E80" s="519">
        <f>'7'!F80</f>
        <v>519290</v>
      </c>
      <c r="F80" s="658">
        <v>519663.72</v>
      </c>
      <c r="G80" s="473">
        <f t="shared" si="6"/>
        <v>373.71999999997206</v>
      </c>
      <c r="H80" s="460">
        <f>G80+'7'!H80</f>
        <v>2925.7199999999721</v>
      </c>
      <c r="I80" s="505"/>
      <c r="J80" s="552">
        <f>H80/DAY(B2)</f>
        <v>365.71499999999651</v>
      </c>
      <c r="K80" s="430"/>
      <c r="L80" s="377"/>
      <c r="N80" s="382"/>
    </row>
    <row r="81" spans="1:15" ht="27.75">
      <c r="A81" s="1527" t="s">
        <v>198</v>
      </c>
      <c r="B81" s="1528"/>
      <c r="C81" s="1529"/>
      <c r="D81" s="524" t="s">
        <v>186</v>
      </c>
      <c r="E81" s="519">
        <f>'7'!F81</f>
        <v>636992</v>
      </c>
      <c r="F81" s="658">
        <v>637063.80000000005</v>
      </c>
      <c r="G81" s="473">
        <f t="shared" si="6"/>
        <v>71.800000000046566</v>
      </c>
      <c r="H81" s="460">
        <f>G81+'7'!H81</f>
        <v>585.80000000004657</v>
      </c>
      <c r="I81" s="505"/>
      <c r="J81" s="552">
        <f>H81/DAY(B2)</f>
        <v>73.225000000005821</v>
      </c>
      <c r="K81" s="430"/>
      <c r="L81" s="377"/>
      <c r="N81" s="382"/>
    </row>
    <row r="82" spans="1:15" ht="27.75">
      <c r="A82" s="1527" t="s">
        <v>93</v>
      </c>
      <c r="B82" s="1528"/>
      <c r="C82" s="1529"/>
      <c r="D82" s="485" t="s">
        <v>131</v>
      </c>
      <c r="E82" s="519">
        <f>'7'!F82</f>
        <v>107745</v>
      </c>
      <c r="F82" s="654">
        <v>107756.66</v>
      </c>
      <c r="G82" s="473">
        <f t="shared" si="6"/>
        <v>11.660000000003492</v>
      </c>
      <c r="H82" s="460">
        <f>G82+'7'!H82</f>
        <v>144.66000000000349</v>
      </c>
      <c r="I82" s="486"/>
      <c r="J82" s="552">
        <f>H82/DAY(B2)</f>
        <v>18.082500000000437</v>
      </c>
      <c r="K82" s="430"/>
      <c r="L82" s="377"/>
      <c r="N82" s="382"/>
    </row>
    <row r="83" spans="1:15" ht="27.75">
      <c r="A83" s="1527" t="s">
        <v>199</v>
      </c>
      <c r="B83" s="1528"/>
      <c r="C83" s="1529"/>
      <c r="D83" s="620" t="s">
        <v>131</v>
      </c>
      <c r="E83" s="519">
        <f>'7'!F83</f>
        <v>16295</v>
      </c>
      <c r="F83" s="620">
        <v>16451</v>
      </c>
      <c r="G83" s="473">
        <f t="shared" si="6"/>
        <v>156</v>
      </c>
      <c r="H83" s="460">
        <f>G83+'7'!H83</f>
        <v>1680</v>
      </c>
      <c r="I83" s="481"/>
      <c r="J83" s="552">
        <f>H83/DAY(B2)</f>
        <v>210</v>
      </c>
      <c r="K83" s="429"/>
      <c r="L83" s="377"/>
      <c r="N83" s="382"/>
    </row>
    <row r="84" spans="1:15">
      <c r="A84" s="1147" t="s">
        <v>200</v>
      </c>
      <c r="B84" s="571"/>
      <c r="C84" s="571"/>
      <c r="D84" s="478" t="s">
        <v>131</v>
      </c>
      <c r="E84" s="519">
        <f>'7'!F84</f>
        <v>485652</v>
      </c>
      <c r="F84" s="627">
        <v>486446</v>
      </c>
      <c r="G84" s="473">
        <f t="shared" si="6"/>
        <v>794</v>
      </c>
      <c r="H84" s="460">
        <f>G84+'7'!H84</f>
        <v>6313</v>
      </c>
      <c r="I84" s="481"/>
      <c r="J84" s="552">
        <f>H84/DAY(B2)</f>
        <v>789.125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1777.4300000000212</v>
      </c>
      <c r="H85" s="460">
        <f>G85+'7'!H85</f>
        <v>15100.430000000022</v>
      </c>
      <c r="I85" s="481"/>
      <c r="J85" s="552">
        <f>H85/DAY(B2)</f>
        <v>1887.5537500000028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182</v>
      </c>
      <c r="E86" s="627">
        <f>'7'!F86</f>
        <v>460025</v>
      </c>
      <c r="F86" s="650">
        <v>460053.72</v>
      </c>
      <c r="G86" s="708">
        <f t="shared" ref="G86:G91" si="7">F86-E86</f>
        <v>28.71999999997206</v>
      </c>
      <c r="H86" s="708">
        <f t="shared" ref="H86:H88" si="8">G86</f>
        <v>28.71999999997206</v>
      </c>
      <c r="I86" s="655"/>
      <c r="J86" s="710">
        <f>H86/DAY(B2)</f>
        <v>3.5899999999965075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182</v>
      </c>
      <c r="E87" s="627">
        <f>'7'!F87</f>
        <v>81025</v>
      </c>
      <c r="F87" s="650">
        <v>81026.7</v>
      </c>
      <c r="G87" s="708">
        <f t="shared" si="7"/>
        <v>1.6999999999970896</v>
      </c>
      <c r="H87" s="708">
        <f t="shared" si="8"/>
        <v>1.6999999999970896</v>
      </c>
      <c r="I87" s="655"/>
      <c r="J87" s="710">
        <f>H87/DAY(B2)</f>
        <v>0.2124999999996362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182</v>
      </c>
      <c r="E88" s="627">
        <f>'7'!F88</f>
        <v>152103</v>
      </c>
      <c r="F88" s="650">
        <v>152123.95000000001</v>
      </c>
      <c r="G88" s="708">
        <f t="shared" si="7"/>
        <v>20.950000000011642</v>
      </c>
      <c r="H88" s="708">
        <f t="shared" si="8"/>
        <v>20.950000000011642</v>
      </c>
      <c r="I88" s="655"/>
      <c r="J88" s="710">
        <f>H88/DAY(B2)</f>
        <v>2.6187500000014552</v>
      </c>
      <c r="K88" s="736"/>
      <c r="L88" s="737"/>
      <c r="O88" s="716"/>
    </row>
    <row r="89" spans="1:15" s="738" customFormat="1">
      <c r="A89" s="733" t="s">
        <v>203</v>
      </c>
      <c r="B89" s="734"/>
      <c r="C89" s="734"/>
      <c r="D89" s="735" t="s">
        <v>182</v>
      </c>
      <c r="E89" s="627">
        <f>'7'!F89</f>
        <v>64879</v>
      </c>
      <c r="F89" s="650">
        <v>64885.9</v>
      </c>
      <c r="G89" s="708">
        <f t="shared" si="7"/>
        <v>6.9000000000014552</v>
      </c>
      <c r="H89" s="708">
        <f>G89</f>
        <v>6.9000000000014552</v>
      </c>
      <c r="I89" s="655"/>
      <c r="J89" s="710">
        <f>H89/DAY(B2)</f>
        <v>0.8625000000001819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27">
        <f>'7'!F90</f>
        <v>3272</v>
      </c>
      <c r="F90" s="650">
        <v>3272.4</v>
      </c>
      <c r="G90" s="708">
        <f t="shared" si="7"/>
        <v>0.40000000000009095</v>
      </c>
      <c r="H90" s="708">
        <f>G90</f>
        <v>0.40000000000009095</v>
      </c>
      <c r="I90" s="655"/>
      <c r="J90" s="710">
        <f>H90/DAY(B2)</f>
        <v>5.0000000000011369E-2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27">
        <f>'7'!F91</f>
        <v>27927</v>
      </c>
      <c r="F91" s="650">
        <v>27929</v>
      </c>
      <c r="G91" s="708">
        <f t="shared" si="7"/>
        <v>2</v>
      </c>
      <c r="H91" s="708">
        <f>G91</f>
        <v>2</v>
      </c>
      <c r="I91" s="655"/>
      <c r="J91" s="710"/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f>'7'!F93</f>
        <v>244729</v>
      </c>
      <c r="F93" s="478">
        <v>244782</v>
      </c>
      <c r="G93" s="473">
        <f t="shared" ref="G93" si="9">F93-E93</f>
        <v>53</v>
      </c>
      <c r="H93" s="460">
        <f>G93+'7'!H93</f>
        <v>258</v>
      </c>
      <c r="I93" s="480"/>
      <c r="J93" s="552">
        <f>H93/DAY(B2)</f>
        <v>32.25</v>
      </c>
      <c r="K93" s="429"/>
      <c r="L93" s="377"/>
      <c r="N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f>'7'!F94</f>
        <v>184149</v>
      </c>
      <c r="F94" s="485">
        <v>184198</v>
      </c>
      <c r="G94" s="473">
        <f>F94-E94</f>
        <v>49</v>
      </c>
      <c r="H94" s="460">
        <f>G94+'7'!H94</f>
        <v>667</v>
      </c>
      <c r="I94" s="480"/>
      <c r="J94" s="552">
        <f>H94/DAY(B2)</f>
        <v>83.375</v>
      </c>
      <c r="K94" s="380"/>
      <c r="L94" s="377"/>
      <c r="N94" s="382"/>
    </row>
    <row r="95" spans="1:15">
      <c r="A95" s="1579" t="s">
        <v>207</v>
      </c>
      <c r="B95" s="1580"/>
      <c r="C95" s="1581"/>
      <c r="D95" s="523"/>
      <c r="E95" s="484">
        <f>'7'!F95</f>
        <v>0</v>
      </c>
      <c r="F95" s="478"/>
      <c r="G95" s="473">
        <f>G93+G94</f>
        <v>102</v>
      </c>
      <c r="H95" s="460">
        <f>G95+'7'!H95</f>
        <v>778</v>
      </c>
      <c r="I95" s="480"/>
      <c r="J95" s="552">
        <f>H95/DAY(B2)</f>
        <v>97.25</v>
      </c>
      <c r="K95" s="380"/>
      <c r="L95" s="377"/>
      <c r="N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f>'7'!F96</f>
        <v>413224</v>
      </c>
      <c r="F96" s="478">
        <v>413302</v>
      </c>
      <c r="G96" s="473">
        <f t="shared" ref="G96:G101" si="10">F96-E96</f>
        <v>78</v>
      </c>
      <c r="H96" s="460">
        <f>G96+'7'!H96</f>
        <v>416</v>
      </c>
      <c r="I96" s="480"/>
      <c r="J96" s="552">
        <f>H96/DAY(B2)</f>
        <v>52</v>
      </c>
      <c r="K96" s="380"/>
      <c r="L96" s="377"/>
      <c r="N96" s="382"/>
    </row>
    <row r="97" spans="1:14" ht="27.75">
      <c r="A97" s="1143" t="s">
        <v>209</v>
      </c>
      <c r="B97" s="1144"/>
      <c r="C97" s="1144"/>
      <c r="D97" s="523" t="s">
        <v>143</v>
      </c>
      <c r="E97" s="484">
        <f>'7'!F97</f>
        <v>102416</v>
      </c>
      <c r="F97" s="478">
        <v>102425</v>
      </c>
      <c r="G97" s="473">
        <f t="shared" si="10"/>
        <v>9</v>
      </c>
      <c r="H97" s="460">
        <f>G97+'7'!H97</f>
        <v>82</v>
      </c>
      <c r="I97" s="480"/>
      <c r="J97" s="552">
        <f>H97/DAY(B2)</f>
        <v>10.25</v>
      </c>
      <c r="K97" s="427"/>
      <c r="L97" s="377"/>
      <c r="N97" s="382"/>
    </row>
    <row r="98" spans="1:14" ht="27.75">
      <c r="A98" s="1143" t="s">
        <v>210</v>
      </c>
      <c r="B98" s="1144"/>
      <c r="C98" s="1144"/>
      <c r="D98" s="523" t="s">
        <v>143</v>
      </c>
      <c r="E98" s="484">
        <f>'7'!F98</f>
        <v>97525</v>
      </c>
      <c r="F98" s="478">
        <v>97538</v>
      </c>
      <c r="G98" s="473">
        <f t="shared" si="10"/>
        <v>13</v>
      </c>
      <c r="H98" s="460">
        <f>G98+'7'!H98</f>
        <v>111</v>
      </c>
      <c r="I98" s="480"/>
      <c r="J98" s="552">
        <f>H98/DAY(B2)</f>
        <v>13.875</v>
      </c>
      <c r="K98" s="432"/>
      <c r="L98" s="377"/>
      <c r="N98" s="382"/>
    </row>
    <row r="99" spans="1:14" ht="27.75">
      <c r="A99" s="1143" t="s">
        <v>211</v>
      </c>
      <c r="B99" s="1144"/>
      <c r="C99" s="1144"/>
      <c r="D99" s="523" t="s">
        <v>143</v>
      </c>
      <c r="E99" s="484">
        <f>'7'!F99</f>
        <v>149573</v>
      </c>
      <c r="F99" s="478">
        <v>149587</v>
      </c>
      <c r="G99" s="473">
        <f t="shared" si="10"/>
        <v>14</v>
      </c>
      <c r="H99" s="460">
        <f>G99+'7'!H99</f>
        <v>54</v>
      </c>
      <c r="I99" s="480"/>
      <c r="J99" s="552">
        <f>H99/DAY(B2)</f>
        <v>6.75</v>
      </c>
      <c r="K99" s="380"/>
      <c r="L99" s="377"/>
      <c r="N99" s="707"/>
    </row>
    <row r="100" spans="1:14" ht="27.75">
      <c r="A100" s="1143" t="s">
        <v>212</v>
      </c>
      <c r="B100" s="1144"/>
      <c r="C100" s="1144"/>
      <c r="D100" s="523" t="s">
        <v>143</v>
      </c>
      <c r="E100" s="484">
        <f>'7'!F100</f>
        <v>7214</v>
      </c>
      <c r="F100" s="478">
        <v>7214</v>
      </c>
      <c r="G100" s="473">
        <f t="shared" si="10"/>
        <v>0</v>
      </c>
      <c r="H100" s="460">
        <f>G100+'7'!H100</f>
        <v>29</v>
      </c>
      <c r="I100" s="480"/>
      <c r="J100" s="552">
        <f>H100/DAY(B2)</f>
        <v>3.625</v>
      </c>
      <c r="K100" s="380"/>
      <c r="L100" s="377"/>
      <c r="N100" s="382"/>
    </row>
    <row r="101" spans="1:14" ht="27.75">
      <c r="A101" s="1143" t="s">
        <v>213</v>
      </c>
      <c r="B101" s="1144"/>
      <c r="C101" s="1144"/>
      <c r="D101" s="523" t="s">
        <v>143</v>
      </c>
      <c r="E101" s="484">
        <f>'7'!F101</f>
        <v>5205</v>
      </c>
      <c r="F101" s="478">
        <v>5212</v>
      </c>
      <c r="G101" s="473">
        <f t="shared" si="10"/>
        <v>7</v>
      </c>
      <c r="H101" s="460">
        <f>G101+'7'!H101</f>
        <v>74</v>
      </c>
      <c r="I101" s="480"/>
      <c r="J101" s="552">
        <f>H101/DAY(B2)</f>
        <v>9.25</v>
      </c>
      <c r="K101" s="380"/>
      <c r="L101" s="377"/>
      <c r="N101" s="382"/>
    </row>
    <row r="102" spans="1:14">
      <c r="A102" s="1579" t="s">
        <v>215</v>
      </c>
      <c r="B102" s="1580"/>
      <c r="C102" s="1581"/>
      <c r="D102" s="524"/>
      <c r="E102" s="524"/>
      <c r="F102" s="524"/>
      <c r="G102" s="525">
        <f>SUM(G96:G101)</f>
        <v>121</v>
      </c>
      <c r="H102" s="460">
        <f>G102+'7'!H102</f>
        <v>766</v>
      </c>
      <c r="I102" s="526"/>
      <c r="J102" s="552">
        <f>H102/DAY(B2)</f>
        <v>95.75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82" t="s">
        <v>217</v>
      </c>
      <c r="B104" s="1583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43" t="s">
        <v>218</v>
      </c>
      <c r="B105" s="1544"/>
      <c r="C105" s="1142"/>
      <c r="D105" s="622" t="s">
        <v>143</v>
      </c>
      <c r="E105" s="532">
        <f>'7'!F105</f>
        <v>7349</v>
      </c>
      <c r="F105" s="661">
        <v>7349</v>
      </c>
      <c r="G105" s="532">
        <f>F105-E105</f>
        <v>0</v>
      </c>
      <c r="H105" s="460">
        <f>G105+'7'!H105</f>
        <v>13</v>
      </c>
      <c r="I105" s="532"/>
      <c r="J105" s="558">
        <f>H105/DAY(B2)</f>
        <v>1.625</v>
      </c>
      <c r="N105" s="382"/>
    </row>
    <row r="106" spans="1:14" s="442" customFormat="1" ht="27.75">
      <c r="A106" s="1543" t="s">
        <v>77</v>
      </c>
      <c r="B106" s="1544"/>
      <c r="C106" s="1142"/>
      <c r="D106" s="622" t="s">
        <v>143</v>
      </c>
      <c r="E106" s="532">
        <f>'7'!F106</f>
        <v>35697</v>
      </c>
      <c r="F106" s="806">
        <v>35703</v>
      </c>
      <c r="G106" s="532">
        <f t="shared" ref="G106:G107" si="11">F106-E106</f>
        <v>6</v>
      </c>
      <c r="H106" s="460">
        <f>G106+'7'!H106</f>
        <v>31</v>
      </c>
      <c r="I106" s="532"/>
      <c r="J106" s="558">
        <f>H106/DAY(B2)</f>
        <v>3.875</v>
      </c>
      <c r="N106" s="382"/>
    </row>
    <row r="107" spans="1:14" s="442" customFormat="1" ht="27.75">
      <c r="A107" s="1543" t="s">
        <v>78</v>
      </c>
      <c r="B107" s="1584"/>
      <c r="C107" s="1544"/>
      <c r="D107" s="622" t="s">
        <v>143</v>
      </c>
      <c r="E107" s="532">
        <f>'7'!F107</f>
        <v>19457</v>
      </c>
      <c r="F107" s="662">
        <v>19465</v>
      </c>
      <c r="G107" s="532">
        <f t="shared" si="11"/>
        <v>8</v>
      </c>
      <c r="H107" s="460">
        <f>G107+'7'!H107</f>
        <v>30</v>
      </c>
      <c r="I107" s="532"/>
      <c r="J107" s="558">
        <f>H107/DAY(B2)</f>
        <v>3.75</v>
      </c>
      <c r="N107" s="382"/>
    </row>
    <row r="108" spans="1:14" s="442" customFormat="1" ht="27.75">
      <c r="A108" s="1545" t="s">
        <v>201</v>
      </c>
      <c r="B108" s="1546"/>
      <c r="C108" s="1142"/>
      <c r="D108" s="622"/>
      <c r="E108" s="532"/>
      <c r="F108" s="662"/>
      <c r="G108" s="532">
        <f>SUM(G105:G107)</f>
        <v>14</v>
      </c>
      <c r="H108" s="460">
        <f>G108+'7'!H108</f>
        <v>74</v>
      </c>
      <c r="I108" s="532"/>
      <c r="J108" s="558">
        <f>H108/DAY(B2)</f>
        <v>9.25</v>
      </c>
      <c r="N108" s="382"/>
    </row>
    <row r="109" spans="1:14" s="442" customFormat="1" ht="27.75">
      <c r="A109" s="1549" t="s">
        <v>79</v>
      </c>
      <c r="B109" s="1550"/>
      <c r="C109" s="1142"/>
      <c r="D109" s="622" t="s">
        <v>143</v>
      </c>
      <c r="E109" s="532"/>
      <c r="F109" s="662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43" t="s">
        <v>219</v>
      </c>
      <c r="B110" s="1544"/>
      <c r="C110" s="1142"/>
      <c r="D110" s="622" t="s">
        <v>143</v>
      </c>
      <c r="E110" s="532">
        <f>'7'!F110</f>
        <v>61538</v>
      </c>
      <c r="F110" s="662">
        <v>61579</v>
      </c>
      <c r="G110" s="532">
        <f>F110-E110</f>
        <v>41</v>
      </c>
      <c r="H110" s="460">
        <f>G110+'7'!H110</f>
        <v>405</v>
      </c>
      <c r="I110" s="532"/>
      <c r="J110" s="558">
        <f>H110/DAY(B2)</f>
        <v>50.625</v>
      </c>
      <c r="N110" s="382"/>
    </row>
    <row r="111" spans="1:14" s="442" customFormat="1" ht="27.75">
      <c r="A111" s="1543" t="s">
        <v>220</v>
      </c>
      <c r="B111" s="1544"/>
      <c r="C111" s="1142"/>
      <c r="D111" s="622" t="s">
        <v>143</v>
      </c>
      <c r="E111" s="532">
        <f>'7'!F111</f>
        <v>32267</v>
      </c>
      <c r="F111" s="806">
        <v>32279</v>
      </c>
      <c r="G111" s="532">
        <f t="shared" ref="G111:G112" si="12">F111-E111</f>
        <v>12</v>
      </c>
      <c r="H111" s="460">
        <f>G111+'7'!H111</f>
        <v>44</v>
      </c>
      <c r="I111" s="532"/>
      <c r="J111" s="558">
        <f>H111/DAY(B2)</f>
        <v>5.5</v>
      </c>
      <c r="N111" s="382"/>
    </row>
    <row r="112" spans="1:14" s="442" customFormat="1" ht="27.75">
      <c r="A112" s="1543" t="s">
        <v>221</v>
      </c>
      <c r="B112" s="1544"/>
      <c r="C112" s="1142"/>
      <c r="D112" s="622" t="s">
        <v>143</v>
      </c>
      <c r="E112" s="532">
        <f>'7'!F112</f>
        <v>4460</v>
      </c>
      <c r="F112" s="806">
        <v>4460</v>
      </c>
      <c r="G112" s="532">
        <f t="shared" si="12"/>
        <v>0</v>
      </c>
      <c r="H112" s="460">
        <f>G112+'7'!H112</f>
        <v>92</v>
      </c>
      <c r="I112" s="532"/>
      <c r="J112" s="558">
        <f>H112/DAY(B2)</f>
        <v>11.5</v>
      </c>
      <c r="N112" s="382"/>
    </row>
    <row r="113" spans="1:14" s="442" customFormat="1" ht="27.75">
      <c r="A113" s="1545" t="s">
        <v>110</v>
      </c>
      <c r="B113" s="1546"/>
      <c r="C113" s="1142"/>
      <c r="D113" s="622"/>
      <c r="E113" s="532"/>
      <c r="F113" s="662"/>
      <c r="G113" s="532">
        <f>SUM(G110:G112)</f>
        <v>53</v>
      </c>
      <c r="H113" s="460">
        <f>G113+'7'!H113</f>
        <v>541</v>
      </c>
      <c r="I113" s="532"/>
      <c r="J113" s="558">
        <f>H113/DAY(B2)</f>
        <v>67.625</v>
      </c>
      <c r="N113" s="382"/>
    </row>
    <row r="114" spans="1:14" s="442" customFormat="1" ht="27.75">
      <c r="A114" s="1549" t="s">
        <v>222</v>
      </c>
      <c r="B114" s="1550"/>
      <c r="C114" s="1142"/>
      <c r="D114" s="622"/>
      <c r="E114" s="532"/>
      <c r="F114" s="662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3" t="s">
        <v>223</v>
      </c>
      <c r="B115" s="1544"/>
      <c r="C115" s="574"/>
      <c r="D115" s="622" t="s">
        <v>143</v>
      </c>
      <c r="E115" s="532">
        <f>'7'!F115</f>
        <v>11294</v>
      </c>
      <c r="F115" s="662">
        <v>11298</v>
      </c>
      <c r="G115" s="534">
        <f>F115-E115</f>
        <v>4</v>
      </c>
      <c r="H115" s="460">
        <f>G115+'7'!H115</f>
        <v>39</v>
      </c>
      <c r="I115" s="532"/>
      <c r="J115" s="558">
        <f>H115/DAY(B2)</f>
        <v>4.875</v>
      </c>
      <c r="N115" s="382"/>
    </row>
    <row r="116" spans="1:14" s="442" customFormat="1" ht="27.75">
      <c r="A116" s="1543" t="s">
        <v>224</v>
      </c>
      <c r="B116" s="1544"/>
      <c r="C116" s="574"/>
      <c r="D116" s="622" t="s">
        <v>143</v>
      </c>
      <c r="E116" s="532">
        <f>'7'!F116</f>
        <v>8175</v>
      </c>
      <c r="F116" s="662">
        <v>8179</v>
      </c>
      <c r="G116" s="534">
        <f t="shared" ref="G116:G117" si="13">F116-E116</f>
        <v>4</v>
      </c>
      <c r="H116" s="460">
        <f>G116+'7'!H116</f>
        <v>53</v>
      </c>
      <c r="I116" s="532"/>
      <c r="J116" s="558">
        <f>H116/DAY(B2)</f>
        <v>6.625</v>
      </c>
      <c r="N116" s="382"/>
    </row>
    <row r="117" spans="1:14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8</v>
      </c>
      <c r="H118" s="460">
        <f>G118+'7'!H118</f>
        <v>92</v>
      </c>
      <c r="I118" s="534"/>
      <c r="J118" s="558">
        <f>H118/DAY(B2)</f>
        <v>11.5</v>
      </c>
      <c r="N118" s="382"/>
    </row>
    <row r="119" spans="1:14" s="446" customFormat="1" ht="27.75">
      <c r="A119" s="1539" t="s">
        <v>226</v>
      </c>
      <c r="B119" s="1540"/>
      <c r="C119" s="1140"/>
      <c r="D119" s="624" t="s">
        <v>143</v>
      </c>
      <c r="E119" s="536"/>
      <c r="F119" s="663">
        <f>SUM(G19+G93)</f>
        <v>108</v>
      </c>
      <c r="G119" s="536">
        <f>SUM(G19+G93)</f>
        <v>108</v>
      </c>
      <c r="H119" s="460">
        <f>G119+'7'!H119</f>
        <v>688</v>
      </c>
      <c r="I119" s="535"/>
      <c r="J119" s="559">
        <f>H119/DAY(B2)</f>
        <v>86</v>
      </c>
      <c r="N119" s="382"/>
    </row>
    <row r="120" spans="1:14" s="446" customFormat="1" ht="27.75">
      <c r="A120" s="1539" t="s">
        <v>227</v>
      </c>
      <c r="B120" s="1540"/>
      <c r="C120" s="1140"/>
      <c r="D120" s="624" t="s">
        <v>143</v>
      </c>
      <c r="E120" s="536"/>
      <c r="F120" s="663">
        <f>SUM(G96,G97,G98,G100,G101)</f>
        <v>107</v>
      </c>
      <c r="G120" s="536">
        <f>SUM(G96,G97,G98,G100,G101)</f>
        <v>107</v>
      </c>
      <c r="H120" s="460">
        <f>G120+'7'!H120</f>
        <v>712</v>
      </c>
      <c r="I120" s="535"/>
      <c r="J120" s="559">
        <f>H120/DAY(B2)</f>
        <v>89</v>
      </c>
      <c r="N120" s="382"/>
    </row>
    <row r="121" spans="1:14" s="446" customFormat="1" ht="27.75">
      <c r="A121" s="1539" t="s">
        <v>228</v>
      </c>
      <c r="B121" s="1540"/>
      <c r="C121" s="1140"/>
      <c r="D121" s="624" t="s">
        <v>143</v>
      </c>
      <c r="E121" s="534"/>
      <c r="F121" s="662">
        <f>SUM(G113)</f>
        <v>53</v>
      </c>
      <c r="G121" s="534">
        <f>SUM(G113)</f>
        <v>53</v>
      </c>
      <c r="H121" s="460">
        <f>G121+'7'!H121</f>
        <v>541</v>
      </c>
      <c r="I121" s="535"/>
      <c r="J121" s="559">
        <f>H121/DAY(B2)</f>
        <v>67.625</v>
      </c>
      <c r="N121" s="382"/>
    </row>
    <row r="122" spans="1:14" s="442" customFormat="1" ht="27.75">
      <c r="A122" s="1541"/>
      <c r="B122" s="1542"/>
      <c r="C122" s="1141"/>
      <c r="D122" s="560"/>
      <c r="E122" s="560"/>
      <c r="F122" s="664" t="s">
        <v>214</v>
      </c>
      <c r="G122" s="560"/>
      <c r="H122" s="561"/>
      <c r="I122" s="560"/>
      <c r="J122" s="562"/>
      <c r="N122" s="382"/>
    </row>
    <row r="123" spans="1:14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230</v>
      </c>
      <c r="B124" s="1144"/>
      <c r="C124" s="1144"/>
      <c r="D124" s="523" t="s">
        <v>140</v>
      </c>
      <c r="E124" s="478">
        <f>'7'!F124</f>
        <v>827522</v>
      </c>
      <c r="F124" s="478">
        <v>827731.84</v>
      </c>
      <c r="G124" s="473">
        <f t="shared" ref="G124:G128" si="14">F124-E124</f>
        <v>209.8399999999674</v>
      </c>
      <c r="H124" s="460">
        <f>G124+'7'!H124</f>
        <v>1643.3800000000047</v>
      </c>
      <c r="I124" s="526"/>
      <c r="J124" s="552">
        <f>H124/DAY(B2)</f>
        <v>205.42250000000058</v>
      </c>
      <c r="K124" s="380"/>
      <c r="L124" s="377"/>
      <c r="N124" s="382"/>
    </row>
    <row r="125" spans="1:14" ht="27.75">
      <c r="A125" s="1143" t="s">
        <v>231</v>
      </c>
      <c r="B125" s="1144"/>
      <c r="C125" s="1144"/>
      <c r="D125" s="523" t="s">
        <v>140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0" t="s">
        <v>232</v>
      </c>
      <c r="B126" s="1531"/>
      <c r="C126" s="1532"/>
      <c r="D126" s="523" t="s">
        <v>140</v>
      </c>
      <c r="E126" s="478">
        <f>'7'!F126</f>
        <v>145102</v>
      </c>
      <c r="F126" s="478">
        <v>145179.5</v>
      </c>
      <c r="G126" s="473">
        <f t="shared" si="14"/>
        <v>77.5</v>
      </c>
      <c r="H126" s="460">
        <f>G126+'7'!H126</f>
        <v>492.05999999999767</v>
      </c>
      <c r="I126" s="526"/>
      <c r="J126" s="552">
        <f>H126/DAY(B2)</f>
        <v>61.507499999999709</v>
      </c>
      <c r="K126" s="380"/>
      <c r="L126" s="377"/>
      <c r="N126" s="382"/>
    </row>
    <row r="127" spans="1:14" ht="27.75">
      <c r="A127" s="609" t="s">
        <v>233</v>
      </c>
      <c r="B127" s="1144"/>
      <c r="C127" s="1144"/>
      <c r="D127" s="523" t="s">
        <v>140</v>
      </c>
      <c r="E127" s="626">
        <f>'7'!F127</f>
        <v>31404</v>
      </c>
      <c r="F127" s="626">
        <v>31404.2</v>
      </c>
      <c r="G127" s="473">
        <f t="shared" si="14"/>
        <v>0.2000000000007276</v>
      </c>
      <c r="H127" s="460">
        <f>G127+'7'!H127</f>
        <v>0.2000000000007276</v>
      </c>
      <c r="I127" s="526"/>
      <c r="J127" s="552">
        <f>H127/DAY(B2)</f>
        <v>2.5000000000090949E-2</v>
      </c>
      <c r="K127" s="380"/>
      <c r="L127" s="377"/>
      <c r="N127" s="382"/>
    </row>
    <row r="128" spans="1:14" ht="27.75">
      <c r="A128" s="609" t="s">
        <v>234</v>
      </c>
      <c r="B128" s="1144"/>
      <c r="C128" s="1144"/>
      <c r="D128" s="523" t="s">
        <v>140</v>
      </c>
      <c r="E128" s="626">
        <f>'7'!F128</f>
        <v>8970</v>
      </c>
      <c r="F128" s="626">
        <v>8970.6</v>
      </c>
      <c r="G128" s="473">
        <f t="shared" si="14"/>
        <v>0.6000000000003638</v>
      </c>
      <c r="H128" s="460">
        <f>G128+'7'!H128</f>
        <v>0.8999999999996362</v>
      </c>
      <c r="I128" s="480"/>
      <c r="J128" s="552">
        <f>H128/DAY(B2)</f>
        <v>0.11249999999995453</v>
      </c>
      <c r="K128" s="380"/>
      <c r="L128" s="377"/>
      <c r="N128" s="382"/>
    </row>
    <row r="129" spans="1:14" s="281" customFormat="1" ht="27.75">
      <c r="A129" s="609" t="s">
        <v>235</v>
      </c>
      <c r="B129" s="1144"/>
      <c r="C129" s="1144"/>
      <c r="D129" s="523"/>
      <c r="E129" s="478"/>
      <c r="F129" s="478"/>
      <c r="G129" s="473">
        <f>G15-SUM(G124:G128)</f>
        <v>324.9400000000187</v>
      </c>
      <c r="H129" s="460"/>
      <c r="I129" s="480"/>
      <c r="J129" s="552"/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237</v>
      </c>
      <c r="B131" s="1144"/>
      <c r="C131" s="1144"/>
      <c r="D131" s="523" t="s">
        <v>238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3" t="s">
        <v>239</v>
      </c>
      <c r="B132" s="1144"/>
      <c r="C132" s="1144"/>
      <c r="D132" s="523" t="s">
        <v>238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3" t="s">
        <v>240</v>
      </c>
      <c r="B133" s="1144"/>
      <c r="C133" s="1144"/>
      <c r="D133" s="523" t="s">
        <v>238</v>
      </c>
      <c r="E133" s="704">
        <f>'7'!F133</f>
        <v>39913.599999999999</v>
      </c>
      <c r="F133" s="626">
        <v>39937.25</v>
      </c>
      <c r="G133" s="473">
        <f t="shared" si="15"/>
        <v>23.650000000001455</v>
      </c>
      <c r="H133" s="460">
        <f>G133+'7'!H133</f>
        <v>190.7699999999968</v>
      </c>
      <c r="I133" s="480"/>
      <c r="J133" s="552">
        <f>H133/DAY(B2)</f>
        <v>23.8462499999996</v>
      </c>
      <c r="N133" s="382">
        <f>F133-24</f>
        <v>39913.25</v>
      </c>
    </row>
    <row r="134" spans="1:14" ht="27.75">
      <c r="A134" s="1143" t="s">
        <v>241</v>
      </c>
      <c r="B134" s="1144"/>
      <c r="C134" s="1144"/>
      <c r="D134" s="523" t="s">
        <v>238</v>
      </c>
      <c r="E134" s="522">
        <f>'7'!F134</f>
        <v>300</v>
      </c>
      <c r="F134" s="485">
        <v>300</v>
      </c>
      <c r="G134" s="473">
        <f t="shared" si="15"/>
        <v>0</v>
      </c>
      <c r="H134" s="460">
        <f>G134+'7'!H134</f>
        <v>0</v>
      </c>
      <c r="I134" s="480">
        <f>G131+G132+G133+G134</f>
        <v>23.650000000001455</v>
      </c>
      <c r="J134" s="552">
        <f>H134/DAY(B2)</f>
        <v>0</v>
      </c>
      <c r="N134" s="382"/>
    </row>
    <row r="135" spans="1:14" ht="27.75">
      <c r="A135" s="1143" t="s">
        <v>242</v>
      </c>
      <c r="B135" s="1144"/>
      <c r="C135" s="1144"/>
      <c r="D135" s="523" t="s">
        <v>238</v>
      </c>
      <c r="E135" s="704">
        <f>'7'!F135</f>
        <v>41385</v>
      </c>
      <c r="F135" s="626">
        <v>41393.33</v>
      </c>
      <c r="G135" s="473">
        <f t="shared" si="15"/>
        <v>8.3300000000017462</v>
      </c>
      <c r="H135" s="460">
        <f>G135+'7'!H135</f>
        <v>8.3300000000017462</v>
      </c>
      <c r="I135" s="480"/>
      <c r="J135" s="552">
        <f>H135/DAY(B2)</f>
        <v>1.0412500000002183</v>
      </c>
      <c r="N135" s="382"/>
    </row>
    <row r="136" spans="1:14" ht="27.75">
      <c r="A136" s="1143" t="s">
        <v>243</v>
      </c>
      <c r="B136" s="1144"/>
      <c r="C136" s="1144"/>
      <c r="D136" s="523" t="s">
        <v>238</v>
      </c>
      <c r="E136" s="704">
        <f>'7'!F136</f>
        <v>32582.560000000001</v>
      </c>
      <c r="F136" s="626">
        <v>32582.560000000001</v>
      </c>
      <c r="G136" s="473">
        <f t="shared" si="15"/>
        <v>0</v>
      </c>
      <c r="H136" s="460">
        <f>G136+'7'!H136</f>
        <v>-0.43999999999869033</v>
      </c>
      <c r="I136" s="480"/>
      <c r="J136" s="552">
        <f>H136/DAY(B2)</f>
        <v>-5.4999999999836291E-2</v>
      </c>
      <c r="N136" s="382"/>
    </row>
    <row r="137" spans="1:14" ht="27.75">
      <c r="A137" s="1143" t="s">
        <v>244</v>
      </c>
      <c r="B137" s="1144"/>
      <c r="C137" s="1144"/>
      <c r="D137" s="523" t="s">
        <v>238</v>
      </c>
      <c r="E137" s="541">
        <f>'7'!F137</f>
        <v>22749.51</v>
      </c>
      <c r="F137" s="654">
        <v>22755.26</v>
      </c>
      <c r="G137" s="473">
        <f t="shared" si="15"/>
        <v>5.75</v>
      </c>
      <c r="H137" s="460">
        <f>G137+'7'!H137</f>
        <v>15.669999999998254</v>
      </c>
      <c r="I137" s="480">
        <f>G135+G136+G137</f>
        <v>14.080000000001746</v>
      </c>
      <c r="J137" s="552">
        <f>H137/DAY(B2)</f>
        <v>1.9587499999997817</v>
      </c>
      <c r="N137" s="382"/>
    </row>
    <row r="138" spans="1:14" ht="27.75">
      <c r="A138" s="1143" t="s">
        <v>245</v>
      </c>
      <c r="B138" s="1144"/>
      <c r="C138" s="1144"/>
      <c r="D138" s="523" t="s">
        <v>238</v>
      </c>
      <c r="E138" s="541">
        <f>'7'!F138</f>
        <v>25051.59</v>
      </c>
      <c r="F138" s="654">
        <v>25051.59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>
      <c r="A139" s="1143" t="s">
        <v>246</v>
      </c>
      <c r="B139" s="1144"/>
      <c r="C139" s="1144"/>
      <c r="D139" s="523" t="s">
        <v>238</v>
      </c>
      <c r="E139" s="541">
        <f>'7'!F139</f>
        <v>70336.2</v>
      </c>
      <c r="F139" s="654">
        <v>70338.14</v>
      </c>
      <c r="G139" s="473">
        <f t="shared" si="15"/>
        <v>1.9400000000023283</v>
      </c>
      <c r="H139" s="460">
        <f>G139+'7'!H139</f>
        <v>22.330000000001746</v>
      </c>
      <c r="I139" s="480">
        <f>G138+G139</f>
        <v>1.9400000000023283</v>
      </c>
      <c r="J139" s="552">
        <f>H139/DAY(B2)</f>
        <v>2.7912500000002183</v>
      </c>
      <c r="N139" s="382"/>
    </row>
    <row r="140" spans="1:14" ht="27.75">
      <c r="A140" s="1143" t="s">
        <v>247</v>
      </c>
      <c r="B140" s="1144"/>
      <c r="C140" s="1144"/>
      <c r="D140" s="523" t="s">
        <v>238</v>
      </c>
      <c r="E140" s="704">
        <f>'7'!F140</f>
        <v>1671.25</v>
      </c>
      <c r="F140" s="626">
        <v>1679.24</v>
      </c>
      <c r="G140" s="473">
        <f t="shared" si="15"/>
        <v>7.9900000000000091</v>
      </c>
      <c r="H140" s="460">
        <f>G140+'7'!H140</f>
        <v>62.380000000000109</v>
      </c>
      <c r="I140" s="542"/>
      <c r="J140" s="552">
        <f>H140/DAY(B2)</f>
        <v>7.7975000000000136</v>
      </c>
      <c r="N140" s="382"/>
    </row>
    <row r="141" spans="1:14" ht="27.75">
      <c r="A141" s="1143" t="s">
        <v>248</v>
      </c>
      <c r="B141" s="1144"/>
      <c r="C141" s="1144"/>
      <c r="D141" s="523" t="s">
        <v>238</v>
      </c>
      <c r="E141" s="484">
        <f>'7'!F141</f>
        <v>4637</v>
      </c>
      <c r="F141" s="478">
        <v>4636.88</v>
      </c>
      <c r="G141" s="473">
        <f t="shared" si="15"/>
        <v>-0.11999999999989086</v>
      </c>
      <c r="H141" s="460">
        <f>G141+'7'!H141</f>
        <v>-0.11999999999989086</v>
      </c>
      <c r="I141" s="542"/>
      <c r="J141" s="552">
        <f>H141/DAY(B2)</f>
        <v>-1.4999999999986358E-2</v>
      </c>
      <c r="N141" s="382"/>
    </row>
    <row r="142" spans="1:14">
      <c r="A142" s="1557" t="s">
        <v>249</v>
      </c>
      <c r="B142" s="1558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4852.8699999999953</v>
      </c>
      <c r="H143" s="460">
        <f>G143+'7'!H143</f>
        <v>35412.739999999991</v>
      </c>
      <c r="I143" s="480"/>
      <c r="J143" s="552">
        <f>H143/DAY(B2)</f>
        <v>4426.5924999999988</v>
      </c>
      <c r="K143" s="380"/>
      <c r="L143" s="377"/>
      <c r="N143" s="382"/>
    </row>
    <row r="144" spans="1:14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0.24946640620983887</v>
      </c>
      <c r="H144" s="460">
        <f>G144+'7'!H144</f>
        <v>2.1879374394483104</v>
      </c>
      <c r="I144" s="544"/>
      <c r="J144" s="552">
        <f>H144/DAY(B2)</f>
        <v>0.2734921799310388</v>
      </c>
      <c r="K144" s="380"/>
      <c r="L144" s="377"/>
      <c r="N144" s="382"/>
    </row>
    <row r="145" spans="1:14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4895.3799999999901</v>
      </c>
      <c r="H145" s="460">
        <f>G145+'7'!H145</f>
        <v>38955.910000000018</v>
      </c>
      <c r="I145" s="480"/>
      <c r="J145" s="552">
        <f>H145/DAY(B2)</f>
        <v>4869.4887500000023</v>
      </c>
      <c r="K145" s="380"/>
      <c r="L145" s="377"/>
      <c r="N145" s="382"/>
    </row>
    <row r="146" spans="1:14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0.25165167326376342</v>
      </c>
      <c r="H146" s="460">
        <f>G146+'7'!H146</f>
        <v>2.4113666608057689</v>
      </c>
      <c r="I146" s="544"/>
      <c r="J146" s="552">
        <f>H146/DAY(B2)</f>
        <v>0.30142083260072111</v>
      </c>
      <c r="K146" s="380"/>
      <c r="L146" s="377"/>
      <c r="N146" s="382"/>
    </row>
    <row r="147" spans="1:14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2445.820000000007</v>
      </c>
      <c r="H147" s="460">
        <f>G147+'7'!H147</f>
        <v>18590.820000000007</v>
      </c>
      <c r="I147" s="545"/>
      <c r="J147" s="552">
        <f>H147/DAY(B2)</f>
        <v>2323.8525000000009</v>
      </c>
      <c r="K147" s="380"/>
      <c r="L147" s="377"/>
      <c r="N147" s="382"/>
    </row>
    <row r="148" spans="1:14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0.12572970750012888</v>
      </c>
      <c r="H148" s="460">
        <f>G148+'7'!H148</f>
        <v>1.1489501979937093</v>
      </c>
      <c r="I148" s="545"/>
      <c r="J148" s="552">
        <f>H148/DAY(B2)</f>
        <v>0.14361877474921367</v>
      </c>
      <c r="N148" s="382"/>
    </row>
    <row r="149" spans="1:14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1203.3399999999529</v>
      </c>
      <c r="H149" s="460">
        <f>G149+'7'!H149</f>
        <v>9972.3399999999529</v>
      </c>
      <c r="I149" s="480"/>
      <c r="J149" s="552">
        <f>H149/DAY(B2)</f>
        <v>1246.5424999999941</v>
      </c>
      <c r="K149" s="381"/>
      <c r="N149" s="382"/>
    </row>
    <row r="150" spans="1:14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6.1858839253583139E-2</v>
      </c>
      <c r="H150" s="460">
        <f>G150+'7'!H150</f>
        <v>0.61743049411191486</v>
      </c>
      <c r="I150" s="545"/>
      <c r="J150" s="552">
        <f>H150/DAY(B2)</f>
        <v>7.7178811763989358E-2</v>
      </c>
      <c r="N150" s="382"/>
    </row>
    <row r="151" spans="1:14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1386.3099999999977</v>
      </c>
      <c r="H151" s="460">
        <f>G151+'7'!H151</f>
        <v>10456.309999999998</v>
      </c>
      <c r="I151" s="545"/>
      <c r="J151" s="552">
        <f>H151/DAY(B2)</f>
        <v>1307.0387499999997</v>
      </c>
      <c r="N151" s="382"/>
    </row>
    <row r="152" spans="1:14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7.1264586439109531E-2</v>
      </c>
      <c r="H152" s="460">
        <f>G152+'7'!H152</f>
        <v>0.645871802594711</v>
      </c>
      <c r="I152" s="480"/>
      <c r="J152" s="552">
        <f>H152/DAY(B2)</f>
        <v>8.0733975324338875E-2</v>
      </c>
      <c r="N152" s="382"/>
    </row>
    <row r="153" spans="1:14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1346.8899999999994</v>
      </c>
      <c r="H153" s="460">
        <f>G153+'7'!H153</f>
        <v>9933.89</v>
      </c>
      <c r="I153" s="480"/>
      <c r="J153" s="552">
        <f>H153/DAY(B2)</f>
        <v>1241.7362499999999</v>
      </c>
      <c r="N153" s="382"/>
    </row>
    <row r="154" spans="1:14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6.9238163779365619E-2</v>
      </c>
      <c r="H154" s="460">
        <f>G154+'7'!H154</f>
        <v>0.61393680763843717</v>
      </c>
      <c r="I154" s="568"/>
      <c r="J154" s="569">
        <f>H154/DAY(B2)</f>
        <v>7.6742100954804646E-2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5" t="s">
        <v>266</v>
      </c>
      <c r="B158" s="1586"/>
      <c r="C158" s="1586"/>
      <c r="D158" s="1586"/>
      <c r="E158" s="1586"/>
      <c r="F158" s="1586"/>
      <c r="G158" s="1587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262</v>
      </c>
      <c r="B161" s="788"/>
      <c r="C161" s="788"/>
      <c r="D161" s="511" t="s">
        <v>186</v>
      </c>
      <c r="E161" s="1063">
        <f>'7'!F161</f>
        <v>36502</v>
      </c>
      <c r="F161" s="661">
        <v>36586.199999999997</v>
      </c>
      <c r="G161" s="473">
        <f t="shared" ref="G161:G172" si="16">F161-E161</f>
        <v>84.19999999999709</v>
      </c>
    </row>
    <row r="162" spans="1:7">
      <c r="A162" s="787" t="s">
        <v>263</v>
      </c>
      <c r="B162" s="788"/>
      <c r="C162" s="788"/>
      <c r="D162" s="511" t="s">
        <v>186</v>
      </c>
      <c r="E162" s="1063">
        <f>'7'!F162</f>
        <v>85326</v>
      </c>
      <c r="F162" s="661">
        <v>85741.57</v>
      </c>
      <c r="G162" s="473">
        <f t="shared" si="16"/>
        <v>415.57000000000698</v>
      </c>
    </row>
    <row r="163" spans="1:7">
      <c r="A163" s="787" t="s">
        <v>264</v>
      </c>
      <c r="B163" s="788"/>
      <c r="C163" s="788"/>
      <c r="D163" s="511" t="s">
        <v>186</v>
      </c>
      <c r="E163" s="1063">
        <f>'7'!F163</f>
        <v>39835</v>
      </c>
      <c r="F163" s="661">
        <v>40045.4</v>
      </c>
      <c r="G163" s="473">
        <f t="shared" si="16"/>
        <v>210.40000000000146</v>
      </c>
    </row>
    <row r="164" spans="1:7">
      <c r="A164" s="787" t="s">
        <v>265</v>
      </c>
      <c r="B164" s="788"/>
      <c r="C164" s="788"/>
      <c r="D164" s="511" t="s">
        <v>186</v>
      </c>
      <c r="E164" s="1063">
        <f>'7'!F164</f>
        <v>6280</v>
      </c>
      <c r="F164" s="661">
        <v>6289.63</v>
      </c>
      <c r="G164" s="473">
        <f t="shared" si="16"/>
        <v>9.6300000000001091</v>
      </c>
    </row>
    <row r="165" spans="1:7">
      <c r="A165" s="789" t="s">
        <v>98</v>
      </c>
      <c r="B165" s="604"/>
      <c r="C165" s="604"/>
      <c r="D165" s="511" t="s">
        <v>186</v>
      </c>
      <c r="E165" s="1063">
        <v>20419</v>
      </c>
      <c r="F165" s="514">
        <f>F62</f>
        <v>20419</v>
      </c>
      <c r="G165" s="473">
        <f t="shared" si="16"/>
        <v>0</v>
      </c>
    </row>
    <row r="166" spans="1:7">
      <c r="A166" s="789" t="s">
        <v>187</v>
      </c>
      <c r="B166" s="604"/>
      <c r="C166" s="604"/>
      <c r="D166" s="511" t="s">
        <v>186</v>
      </c>
      <c r="E166" s="1063">
        <f>'7'!F166</f>
        <v>2386</v>
      </c>
      <c r="F166" s="514">
        <f t="shared" ref="F166:F172" si="17">F63</f>
        <v>2389.54</v>
      </c>
      <c r="G166" s="473">
        <f t="shared" si="16"/>
        <v>3.5399999999999636</v>
      </c>
    </row>
    <row r="167" spans="1:7" ht="27.75">
      <c r="A167" s="1526" t="s">
        <v>99</v>
      </c>
      <c r="B167" s="1526"/>
      <c r="C167" s="1526"/>
      <c r="D167" s="523" t="s">
        <v>186</v>
      </c>
      <c r="E167" s="1063">
        <f>'7'!F167</f>
        <v>154753</v>
      </c>
      <c r="F167" s="514">
        <f t="shared" si="17"/>
        <v>154960.59</v>
      </c>
      <c r="G167" s="473">
        <f t="shared" si="16"/>
        <v>207.58999999999651</v>
      </c>
    </row>
    <row r="168" spans="1:7" ht="27.75">
      <c r="A168" s="1526" t="s">
        <v>100</v>
      </c>
      <c r="B168" s="1526"/>
      <c r="C168" s="1526"/>
      <c r="D168" s="523" t="s">
        <v>186</v>
      </c>
      <c r="E168" s="1063">
        <f>'7'!F168</f>
        <v>155951</v>
      </c>
      <c r="F168" s="514">
        <f t="shared" si="17"/>
        <v>156159.20000000001</v>
      </c>
      <c r="G168" s="473">
        <f t="shared" si="16"/>
        <v>208.20000000001164</v>
      </c>
    </row>
    <row r="169" spans="1:7" ht="27.75">
      <c r="A169" s="1526" t="s">
        <v>101</v>
      </c>
      <c r="B169" s="1526"/>
      <c r="C169" s="1526"/>
      <c r="D169" s="523" t="s">
        <v>186</v>
      </c>
      <c r="E169" s="1063">
        <f>'7'!F169</f>
        <v>50396</v>
      </c>
      <c r="F169" s="514">
        <f t="shared" si="17"/>
        <v>50673.49</v>
      </c>
      <c r="G169" s="473">
        <f t="shared" si="16"/>
        <v>277.48999999999796</v>
      </c>
    </row>
    <row r="170" spans="1:7" ht="27.75">
      <c r="A170" s="1526" t="s">
        <v>102</v>
      </c>
      <c r="B170" s="1526"/>
      <c r="C170" s="1526"/>
      <c r="D170" s="523" t="s">
        <v>186</v>
      </c>
      <c r="E170" s="1063">
        <f>'7'!F170</f>
        <v>244363</v>
      </c>
      <c r="F170" s="514">
        <f t="shared" si="17"/>
        <v>244529.27</v>
      </c>
      <c r="G170" s="473">
        <f t="shared" si="16"/>
        <v>166.26999999998952</v>
      </c>
    </row>
    <row r="171" spans="1:7" ht="27.75">
      <c r="A171" s="1526" t="s">
        <v>103</v>
      </c>
      <c r="B171" s="1526"/>
      <c r="C171" s="1526"/>
      <c r="D171" s="523" t="s">
        <v>186</v>
      </c>
      <c r="E171" s="1063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1063">
        <f>'7'!F172</f>
        <v>79477</v>
      </c>
      <c r="F172" s="514">
        <f t="shared" si="17"/>
        <v>79618.399999999994</v>
      </c>
      <c r="G172" s="473">
        <f t="shared" si="16"/>
        <v>141.39999999999418</v>
      </c>
    </row>
    <row r="177" ht="18.75" customHeight="1"/>
    <row r="185" ht="20.25" customHeight="1"/>
    <row r="186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Normal="80" zoomScaleSheetLayoutView="55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4" s="281" customFormat="1" ht="27">
      <c r="A2" s="575" t="s">
        <v>363</v>
      </c>
      <c r="B2" s="1035">
        <v>44325</v>
      </c>
      <c r="C2" s="1145" t="s">
        <v>69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281" t="s">
        <v>117</v>
      </c>
    </row>
    <row r="3" spans="1:14" s="281" customFormat="1" ht="27">
      <c r="A3" s="570"/>
      <c r="B3" s="614"/>
      <c r="C3" s="1145" t="s">
        <v>119</v>
      </c>
      <c r="D3" s="612">
        <v>29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5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376" t="s">
        <v>125</v>
      </c>
    </row>
    <row r="6" spans="1:14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130</v>
      </c>
      <c r="B7" s="680"/>
      <c r="C7" s="680"/>
      <c r="D7" s="638" t="s">
        <v>131</v>
      </c>
      <c r="E7" s="633">
        <f>'8'!F7</f>
        <v>5857289</v>
      </c>
      <c r="F7" s="455">
        <v>5872618</v>
      </c>
      <c r="G7" s="681">
        <f>F7-E7</f>
        <v>15329</v>
      </c>
      <c r="H7" s="682">
        <f>G7+'8'!H7</f>
        <v>145185</v>
      </c>
      <c r="I7" s="683">
        <f>'1'!I7</f>
        <v>12000</v>
      </c>
      <c r="J7" s="684">
        <f>H7/DAY(B2)</f>
        <v>16131.666666666666</v>
      </c>
      <c r="K7" s="549"/>
      <c r="L7" s="377"/>
      <c r="N7" s="382">
        <v>11359</v>
      </c>
    </row>
    <row r="8" spans="1:14" ht="27.75" thickBot="1">
      <c r="A8" s="685" t="s">
        <v>132</v>
      </c>
      <c r="B8" s="686"/>
      <c r="C8" s="687"/>
      <c r="D8" s="688" t="s">
        <v>25</v>
      </c>
      <c r="E8" s="633">
        <f>'8'!F8</f>
        <v>5891695</v>
      </c>
      <c r="F8" s="475">
        <v>5907092</v>
      </c>
      <c r="G8" s="692">
        <f>F8-E8</f>
        <v>15397</v>
      </c>
      <c r="H8" s="682">
        <f>G8+'8'!H8</f>
        <v>145848</v>
      </c>
      <c r="I8" s="689">
        <v>12000</v>
      </c>
      <c r="J8" s="684">
        <f>H8/DAY(B2)</f>
        <v>16205.333333333334</v>
      </c>
      <c r="K8" s="549"/>
      <c r="L8" s="425"/>
      <c r="M8" s="440"/>
      <c r="N8" s="382">
        <v>11487</v>
      </c>
    </row>
    <row r="9" spans="1:14">
      <c r="A9" s="690" t="s">
        <v>133</v>
      </c>
      <c r="B9" s="691"/>
      <c r="C9" s="691"/>
      <c r="D9" s="638" t="s">
        <v>131</v>
      </c>
      <c r="E9" s="633">
        <f>'8'!F9</f>
        <v>1116375.5</v>
      </c>
      <c r="F9" s="478">
        <v>1131200</v>
      </c>
      <c r="G9" s="705">
        <f t="shared" ref="G9:G12" si="0">F9-E9</f>
        <v>14824.5</v>
      </c>
      <c r="H9" s="682">
        <f>G9+'8'!H9</f>
        <v>140486</v>
      </c>
      <c r="I9" s="693">
        <f>I7-J7</f>
        <v>-4131.6666666666661</v>
      </c>
      <c r="J9" s="684">
        <f>H9/DAY(B2)</f>
        <v>15609.555555555555</v>
      </c>
      <c r="K9" s="428"/>
      <c r="L9" s="377"/>
      <c r="N9" s="382">
        <v>11077</v>
      </c>
    </row>
    <row r="10" spans="1:14">
      <c r="A10" s="679" t="s">
        <v>134</v>
      </c>
      <c r="B10" s="680"/>
      <c r="C10" s="680"/>
      <c r="D10" s="638" t="s">
        <v>131</v>
      </c>
      <c r="E10" s="633">
        <f>'8'!F10</f>
        <v>2322.58</v>
      </c>
      <c r="F10" s="478">
        <v>2322.58</v>
      </c>
      <c r="G10" s="692">
        <f t="shared" si="0"/>
        <v>0</v>
      </c>
      <c r="H10" s="682">
        <f>G10+'8'!H10</f>
        <v>0</v>
      </c>
      <c r="I10" s="694"/>
      <c r="J10" s="684">
        <f>H10/DAY(B2)</f>
        <v>0</v>
      </c>
      <c r="K10" s="428"/>
      <c r="L10" s="377"/>
      <c r="N10" s="382">
        <v>0</v>
      </c>
    </row>
    <row r="11" spans="1:14">
      <c r="A11" s="679" t="s">
        <v>135</v>
      </c>
      <c r="B11" s="680"/>
      <c r="C11" s="680"/>
      <c r="D11" s="638" t="s">
        <v>131</v>
      </c>
      <c r="E11" s="633">
        <f>'8'!F11</f>
        <v>37000</v>
      </c>
      <c r="F11" s="455">
        <v>37000</v>
      </c>
      <c r="G11" s="692">
        <f t="shared" si="0"/>
        <v>0</v>
      </c>
      <c r="H11" s="682">
        <f>G11+'8'!H11</f>
        <v>0</v>
      </c>
      <c r="I11" s="694"/>
      <c r="J11" s="684">
        <f>H11/DAY(B2)</f>
        <v>0</v>
      </c>
      <c r="K11" s="428"/>
      <c r="L11" s="377"/>
      <c r="N11" s="382">
        <v>0</v>
      </c>
    </row>
    <row r="12" spans="1:14">
      <c r="A12" s="679" t="s">
        <v>136</v>
      </c>
      <c r="B12" s="680"/>
      <c r="C12" s="680"/>
      <c r="D12" s="638" t="s">
        <v>131</v>
      </c>
      <c r="E12" s="633">
        <f>'8'!F12</f>
        <v>40010</v>
      </c>
      <c r="F12" s="478">
        <v>40010</v>
      </c>
      <c r="G12" s="692">
        <f t="shared" si="0"/>
        <v>0</v>
      </c>
      <c r="H12" s="682">
        <f>G12+'8'!H12</f>
        <v>0</v>
      </c>
      <c r="I12" s="694"/>
      <c r="J12" s="684">
        <f>H12/DAY(B2)</f>
        <v>0</v>
      </c>
      <c r="K12" s="428"/>
      <c r="L12" s="377"/>
      <c r="N12" s="382">
        <v>0</v>
      </c>
    </row>
    <row r="13" spans="1:14">
      <c r="A13" s="695" t="s">
        <v>137</v>
      </c>
      <c r="B13" s="696"/>
      <c r="C13" s="696"/>
      <c r="D13" s="638"/>
      <c r="E13" s="633"/>
      <c r="F13" s="455"/>
      <c r="G13" s="697">
        <f>G9+G10+G11+G12</f>
        <v>14824.5</v>
      </c>
      <c r="H13" s="682">
        <f>G13+'8'!H13</f>
        <v>140486</v>
      </c>
      <c r="I13" s="698">
        <f>G7-G13</f>
        <v>504.5</v>
      </c>
      <c r="J13" s="684">
        <f>H13/DAY(B2)</f>
        <v>15609.555555555555</v>
      </c>
      <c r="K13" s="428"/>
      <c r="L13" s="377"/>
      <c r="N13" s="382">
        <v>11077</v>
      </c>
    </row>
    <row r="14" spans="1:14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1" t="s">
        <v>139</v>
      </c>
      <c r="B15" s="1182"/>
      <c r="C15" s="1182"/>
      <c r="D15" s="1183" t="s">
        <v>140</v>
      </c>
      <c r="E15" s="703">
        <f>'8'!F15</f>
        <v>1674183.48</v>
      </c>
      <c r="F15" s="703">
        <v>1674707</v>
      </c>
      <c r="G15" s="681">
        <f>(F15-E15)</f>
        <v>523.52000000001863</v>
      </c>
      <c r="H15" s="1176">
        <f>G15+'8'!H15</f>
        <v>4050</v>
      </c>
      <c r="I15" s="1177">
        <v>800</v>
      </c>
      <c r="J15" s="1178">
        <f>H15/DAY(B2)</f>
        <v>450</v>
      </c>
      <c r="K15" s="1170"/>
      <c r="L15" s="1171"/>
      <c r="M15" s="1172"/>
      <c r="N15" s="1173">
        <v>330.54600000008941</v>
      </c>
    </row>
    <row r="16" spans="1:14">
      <c r="A16" s="1174"/>
      <c r="B16" s="1175"/>
      <c r="C16" s="1175"/>
      <c r="D16" s="1168"/>
      <c r="E16" s="1169"/>
      <c r="F16" s="1169"/>
      <c r="G16" s="1179"/>
      <c r="H16" s="1176"/>
      <c r="I16" s="1180">
        <f>I15-J15</f>
        <v>350</v>
      </c>
      <c r="J16" s="1178"/>
      <c r="K16" s="1170"/>
      <c r="L16" s="1171"/>
      <c r="M16" s="1172"/>
      <c r="N16" s="1173"/>
    </row>
    <row r="17" spans="1:14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1" t="s">
        <v>142</v>
      </c>
      <c r="B18" s="1592"/>
      <c r="C18" s="1593"/>
      <c r="D18" s="638" t="s">
        <v>143</v>
      </c>
      <c r="E18" s="635">
        <f>'8'!F18</f>
        <v>6</v>
      </c>
      <c r="F18" s="478">
        <v>4</v>
      </c>
      <c r="G18" s="697">
        <f>F18*10</f>
        <v>40</v>
      </c>
      <c r="H18" s="682">
        <f>G18+'8'!H18</f>
        <v>420</v>
      </c>
      <c r="I18" s="683">
        <v>65</v>
      </c>
      <c r="J18" s="684">
        <f>H18/DAY(B2)</f>
        <v>46.666666666666664</v>
      </c>
      <c r="K18" s="428"/>
      <c r="L18" s="377"/>
      <c r="N18" s="382">
        <v>0</v>
      </c>
    </row>
    <row r="19" spans="1:14" ht="27.75">
      <c r="A19" s="1591" t="s">
        <v>71</v>
      </c>
      <c r="B19" s="1592"/>
      <c r="C19" s="1593"/>
      <c r="D19" s="638" t="s">
        <v>143</v>
      </c>
      <c r="E19" s="635">
        <f>'8'!F19</f>
        <v>138242</v>
      </c>
      <c r="F19" s="478">
        <v>138297</v>
      </c>
      <c r="G19" s="692">
        <f t="shared" ref="G19" si="1">F19-E19</f>
        <v>55</v>
      </c>
      <c r="H19" s="682">
        <f>G19+'8'!H19</f>
        <v>485</v>
      </c>
      <c r="I19" s="699"/>
      <c r="J19" s="684">
        <f>H19/DAY(B2)</f>
        <v>53.888888888888886</v>
      </c>
      <c r="K19" s="428"/>
      <c r="L19" s="377"/>
      <c r="N19" s="382">
        <v>55</v>
      </c>
    </row>
    <row r="20" spans="1:14">
      <c r="A20" s="695" t="s">
        <v>144</v>
      </c>
      <c r="B20" s="696"/>
      <c r="C20" s="696"/>
      <c r="D20" s="638"/>
      <c r="E20" s="638"/>
      <c r="F20" s="524"/>
      <c r="G20" s="700">
        <f>G18+G19</f>
        <v>95</v>
      </c>
      <c r="H20" s="682">
        <f>G20+'8'!H20</f>
        <v>905</v>
      </c>
      <c r="I20" s="701">
        <f>I18-J20</f>
        <v>-35.555555555555557</v>
      </c>
      <c r="J20" s="684">
        <f>H20/DAY(B2)</f>
        <v>100.55555555555556</v>
      </c>
      <c r="K20" s="428"/>
      <c r="L20" s="377"/>
      <c r="N20" s="382">
        <v>55</v>
      </c>
    </row>
    <row r="21" spans="1:14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146</v>
      </c>
      <c r="B22" s="589"/>
      <c r="C22" s="589"/>
      <c r="D22" s="523" t="s">
        <v>147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3" t="s">
        <v>148</v>
      </c>
      <c r="B23" s="589"/>
      <c r="C23" s="589"/>
      <c r="D23" s="523" t="s">
        <v>147</v>
      </c>
      <c r="E23" s="635">
        <f>'8'!F23</f>
        <v>2000</v>
      </c>
      <c r="F23" s="478">
        <v>2000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149</v>
      </c>
      <c r="B24" s="591"/>
      <c r="C24" s="591"/>
      <c r="D24" s="511" t="s">
        <v>147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15397</v>
      </c>
      <c r="F27" s="501">
        <v>9</v>
      </c>
      <c r="G27" s="502">
        <f>E27*F27</f>
        <v>138573</v>
      </c>
      <c r="H27" s="460">
        <f>G27+'8'!H27</f>
        <v>1312632</v>
      </c>
      <c r="I27" s="503"/>
      <c r="J27" s="552">
        <f>H27/DAY(B2)</f>
        <v>145848</v>
      </c>
      <c r="K27" s="373"/>
      <c r="L27" s="443"/>
      <c r="N27" s="382">
        <v>114870</v>
      </c>
    </row>
    <row r="28" spans="1:14" s="442" customFormat="1" ht="27.75">
      <c r="A28" s="592" t="s">
        <v>153</v>
      </c>
      <c r="B28" s="593"/>
      <c r="C28" s="594"/>
      <c r="D28" s="619" t="s">
        <v>154</v>
      </c>
      <c r="E28" s="702">
        <f>G15</f>
        <v>523.52000000001863</v>
      </c>
      <c r="F28" s="501">
        <v>51.45</v>
      </c>
      <c r="G28" s="502">
        <f>E28*F28</f>
        <v>26935.10400000096</v>
      </c>
      <c r="H28" s="460">
        <f>G28+'8'!H28</f>
        <v>202088.25</v>
      </c>
      <c r="I28" s="505"/>
      <c r="J28" s="552">
        <f>H28/DAY(B2)</f>
        <v>22454.25</v>
      </c>
      <c r="K28" s="373"/>
      <c r="L28" s="443"/>
      <c r="N28" s="382">
        <v>11569.110000003129</v>
      </c>
    </row>
    <row r="29" spans="1:14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157</v>
      </c>
      <c r="B30" s="593"/>
      <c r="C30" s="594"/>
      <c r="D30" s="619" t="s">
        <v>158</v>
      </c>
      <c r="E30" s="702">
        <f>G19</f>
        <v>55</v>
      </c>
      <c r="F30" s="501">
        <v>134</v>
      </c>
      <c r="G30" s="502">
        <f>E30*F30</f>
        <v>7370</v>
      </c>
      <c r="H30" s="460">
        <f>G30+'8'!H30</f>
        <v>64990</v>
      </c>
      <c r="I30" s="505"/>
      <c r="J30" s="552">
        <f>H30/DAY(B2)</f>
        <v>7221.1111111111113</v>
      </c>
      <c r="K30" s="373"/>
      <c r="L30" s="443"/>
      <c r="N30" s="382">
        <v>7370</v>
      </c>
    </row>
    <row r="31" spans="1:14" s="442" customFormat="1" ht="27.75">
      <c r="A31" s="592" t="s">
        <v>159</v>
      </c>
      <c r="B31" s="593"/>
      <c r="C31" s="594"/>
      <c r="D31" s="619" t="s">
        <v>143</v>
      </c>
      <c r="E31" s="702">
        <f>G18</f>
        <v>40</v>
      </c>
      <c r="F31" s="501">
        <v>80</v>
      </c>
      <c r="G31" s="502">
        <f>E31*F31</f>
        <v>3200</v>
      </c>
      <c r="H31" s="460">
        <f>G31+'8'!H31</f>
        <v>33600</v>
      </c>
      <c r="I31" s="505"/>
      <c r="J31" s="552">
        <f>H31/DAY(B2)</f>
        <v>3733.3333333333335</v>
      </c>
      <c r="K31" s="373"/>
      <c r="L31" s="443"/>
      <c r="N31" s="382">
        <v>0</v>
      </c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176078.10400000095</v>
      </c>
      <c r="H32" s="460">
        <f>G32+'8'!H32</f>
        <v>1613310.2500000002</v>
      </c>
      <c r="I32" s="509"/>
      <c r="J32" s="552">
        <f>H32/DAY(B2)</f>
        <v>179256.69444444447</v>
      </c>
      <c r="K32" s="373"/>
      <c r="L32" s="443"/>
      <c r="N32" s="382">
        <v>133809.11000000313</v>
      </c>
    </row>
    <row r="33" spans="1:14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</row>
    <row r="34" spans="1:14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'8'!F35</f>
        <v>903746.47</v>
      </c>
      <c r="F35" s="510">
        <v>905872</v>
      </c>
      <c r="G35" s="473">
        <f t="shared" ref="G35:G46" si="3">F35-E35</f>
        <v>2125.5300000000279</v>
      </c>
      <c r="H35" s="460">
        <f>G35+'8'!H35</f>
        <v>19413</v>
      </c>
      <c r="I35" s="455"/>
      <c r="J35" s="552">
        <f>H35/DAY(B2)</f>
        <v>2157</v>
      </c>
      <c r="K35" s="428"/>
      <c r="L35" s="377"/>
      <c r="N35" s="382">
        <v>1380.8400000000256</v>
      </c>
    </row>
    <row r="36" spans="1:14">
      <c r="A36" s="578" t="s">
        <v>164</v>
      </c>
      <c r="B36" s="579"/>
      <c r="C36" s="579"/>
      <c r="D36" s="523" t="s">
        <v>131</v>
      </c>
      <c r="E36" s="510">
        <f>'8'!F36</f>
        <v>347065</v>
      </c>
      <c r="F36" s="510">
        <v>347065</v>
      </c>
      <c r="G36" s="473">
        <f t="shared" si="3"/>
        <v>0</v>
      </c>
      <c r="H36" s="460">
        <f>G36+'8'!H36</f>
        <v>2457</v>
      </c>
      <c r="I36" s="455"/>
      <c r="J36" s="552">
        <f>H36/DAY(B2)</f>
        <v>273</v>
      </c>
      <c r="K36" s="428"/>
      <c r="L36" s="377"/>
      <c r="N36" s="628">
        <v>514.63999999999942</v>
      </c>
    </row>
    <row r="37" spans="1:14">
      <c r="A37" s="578" t="s">
        <v>165</v>
      </c>
      <c r="B37" s="579"/>
      <c r="C37" s="579"/>
      <c r="D37" s="523" t="s">
        <v>131</v>
      </c>
      <c r="E37" s="510">
        <f>'8'!F37</f>
        <v>105159.02</v>
      </c>
      <c r="F37" s="510">
        <v>106343</v>
      </c>
      <c r="G37" s="473">
        <f t="shared" si="3"/>
        <v>1183.9799999999959</v>
      </c>
      <c r="H37" s="460">
        <f>G37+'8'!H37</f>
        <v>11118</v>
      </c>
      <c r="I37" s="455"/>
      <c r="J37" s="552">
        <f>H37/DAY(B2)</f>
        <v>1235.3333333333333</v>
      </c>
      <c r="K37" s="428"/>
      <c r="L37" s="377"/>
      <c r="N37" s="629">
        <v>1164.4599999999919</v>
      </c>
    </row>
    <row r="38" spans="1:14">
      <c r="A38" s="578" t="s">
        <v>166</v>
      </c>
      <c r="B38" s="579"/>
      <c r="C38" s="579"/>
      <c r="D38" s="523" t="s">
        <v>131</v>
      </c>
      <c r="E38" s="510">
        <f>'8'!F38</f>
        <v>129568.27</v>
      </c>
      <c r="F38" s="469">
        <v>130798</v>
      </c>
      <c r="G38" s="473">
        <f t="shared" si="3"/>
        <v>1229.7299999999959</v>
      </c>
      <c r="H38" s="460">
        <f>G38+'8'!H38</f>
        <v>11202</v>
      </c>
      <c r="I38" s="455"/>
      <c r="J38" s="552">
        <f>H38/DAY(B2)</f>
        <v>1244.6666666666667</v>
      </c>
      <c r="K38" s="428"/>
      <c r="L38" s="377"/>
      <c r="N38" s="382">
        <v>0</v>
      </c>
    </row>
    <row r="39" spans="1:14">
      <c r="A39" s="578" t="s">
        <v>167</v>
      </c>
      <c r="B39" s="579"/>
      <c r="C39" s="579"/>
      <c r="D39" s="523" t="s">
        <v>131</v>
      </c>
      <c r="E39" s="510">
        <f>'8'!F39</f>
        <v>260900.75</v>
      </c>
      <c r="F39" s="510">
        <v>262691</v>
      </c>
      <c r="G39" s="473">
        <f t="shared" si="3"/>
        <v>1790.25</v>
      </c>
      <c r="H39" s="460">
        <f>G39+'8'!H39</f>
        <v>16038</v>
      </c>
      <c r="I39" s="455"/>
      <c r="J39" s="552">
        <f>H39/DAY(B2)</f>
        <v>1782</v>
      </c>
      <c r="K39" s="428"/>
      <c r="L39" s="377"/>
      <c r="N39" s="382">
        <v>1951.1300000000047</v>
      </c>
    </row>
    <row r="40" spans="1:14">
      <c r="A40" s="599" t="s">
        <v>168</v>
      </c>
      <c r="B40" s="600"/>
      <c r="C40" s="600"/>
      <c r="D40" s="523" t="s">
        <v>131</v>
      </c>
      <c r="E40" s="510">
        <f>'8'!F40</f>
        <v>0.23</v>
      </c>
      <c r="F40" s="510">
        <v>0.23</v>
      </c>
      <c r="G40" s="473">
        <f t="shared" si="3"/>
        <v>0</v>
      </c>
      <c r="H40" s="460">
        <f>G40+'8'!H40</f>
        <v>0</v>
      </c>
      <c r="I40" s="455"/>
      <c r="J40" s="552">
        <f>H40/DAY(B2)</f>
        <v>0</v>
      </c>
      <c r="K40" s="429"/>
      <c r="L40" s="377"/>
      <c r="N40" s="382">
        <v>0</v>
      </c>
    </row>
    <row r="41" spans="1:14">
      <c r="A41" s="578" t="s">
        <v>169</v>
      </c>
      <c r="B41" s="579"/>
      <c r="C41" s="579"/>
      <c r="D41" s="523" t="s">
        <v>131</v>
      </c>
      <c r="E41" s="510">
        <f>'8'!F41</f>
        <v>220397.19</v>
      </c>
      <c r="F41" s="510">
        <v>225164</v>
      </c>
      <c r="G41" s="473">
        <f t="shared" si="3"/>
        <v>4766.8099999999977</v>
      </c>
      <c r="H41" s="460">
        <f>G41+'8'!H41</f>
        <v>43636</v>
      </c>
      <c r="I41" s="455"/>
      <c r="J41" s="552">
        <f>H41/DAY(B2)</f>
        <v>4848.4444444444443</v>
      </c>
      <c r="K41" s="428"/>
      <c r="L41" s="377"/>
      <c r="N41" s="382">
        <v>2876.3199999999779</v>
      </c>
    </row>
    <row r="42" spans="1:14">
      <c r="A42" s="578" t="s">
        <v>170</v>
      </c>
      <c r="B42" s="579"/>
      <c r="C42" s="579"/>
      <c r="D42" s="523" t="s">
        <v>131</v>
      </c>
      <c r="E42" s="510">
        <f>'8'!F42</f>
        <v>59200.08</v>
      </c>
      <c r="F42" s="510">
        <v>59200</v>
      </c>
      <c r="G42" s="473">
        <f t="shared" si="3"/>
        <v>-8.000000000174623E-2</v>
      </c>
      <c r="H42" s="460">
        <f>G42+'8'!H42</f>
        <v>0</v>
      </c>
      <c r="I42" s="455"/>
      <c r="J42" s="552">
        <f>H42/DAY(B2)</f>
        <v>0</v>
      </c>
      <c r="K42" s="428"/>
      <c r="L42" s="377"/>
      <c r="N42" s="382">
        <v>0</v>
      </c>
    </row>
    <row r="43" spans="1:14">
      <c r="A43" s="578" t="s">
        <v>171</v>
      </c>
      <c r="B43" s="579"/>
      <c r="C43" s="579"/>
      <c r="D43" s="523" t="s">
        <v>131</v>
      </c>
      <c r="E43" s="510">
        <f>'8'!F43</f>
        <v>992083.27</v>
      </c>
      <c r="F43" s="510">
        <v>994224</v>
      </c>
      <c r="G43" s="473">
        <f t="shared" si="3"/>
        <v>2140.7299999999814</v>
      </c>
      <c r="H43" s="460">
        <f>G43+'8'!H43</f>
        <v>20266</v>
      </c>
      <c r="I43" s="455"/>
      <c r="J43" s="552">
        <f>H43/DAY(B2)</f>
        <v>2251.7777777777778</v>
      </c>
      <c r="K43" s="428"/>
      <c r="L43" s="377"/>
      <c r="N43" s="382">
        <v>1531.2399999999907</v>
      </c>
    </row>
    <row r="44" spans="1:14">
      <c r="A44" s="578" t="s">
        <v>172</v>
      </c>
      <c r="B44" s="579"/>
      <c r="C44" s="579"/>
      <c r="D44" s="523" t="s">
        <v>131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173</v>
      </c>
      <c r="B45" s="579"/>
      <c r="C45" s="579"/>
      <c r="D45" s="523" t="s">
        <v>131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174</v>
      </c>
      <c r="B46" s="579"/>
      <c r="C46" s="579"/>
      <c r="D46" s="523" t="s">
        <v>131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13236.949999999997</v>
      </c>
      <c r="H47" s="460">
        <f>G47+'8'!H47</f>
        <v>124130</v>
      </c>
      <c r="I47" s="455"/>
      <c r="J47" s="552">
        <f>H47/DAY(B2)</f>
        <v>13792.222222222223</v>
      </c>
      <c r="K47" s="428"/>
      <c r="L47" s="377"/>
      <c r="N47" s="382">
        <v>9418.6299999999901</v>
      </c>
    </row>
    <row r="48" spans="1:14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</v>
      </c>
      <c r="I49" s="455"/>
      <c r="J49" s="552">
        <f>H49/DAY(B2)</f>
        <v>0</v>
      </c>
      <c r="K49" s="428"/>
      <c r="L49" s="377"/>
      <c r="N49" s="382">
        <v>0</v>
      </c>
    </row>
    <row r="50" spans="1:14">
      <c r="A50" s="578" t="s">
        <v>177</v>
      </c>
      <c r="B50" s="601"/>
      <c r="C50" s="601"/>
      <c r="D50" s="523" t="s">
        <v>131</v>
      </c>
      <c r="E50" s="510">
        <f>'8'!F50</f>
        <v>482535.31</v>
      </c>
      <c r="F50" s="510">
        <v>483397</v>
      </c>
      <c r="G50" s="473">
        <f t="shared" si="4"/>
        <v>861.69000000000233</v>
      </c>
      <c r="H50" s="460">
        <f>G50+'8'!H50</f>
        <v>8861</v>
      </c>
      <c r="I50" s="455"/>
      <c r="J50" s="552">
        <f>H50/DAY(B2)</f>
        <v>984.55555555555554</v>
      </c>
      <c r="K50" s="428"/>
      <c r="L50" s="377"/>
      <c r="N50" s="382">
        <v>609.48999999999069</v>
      </c>
    </row>
    <row r="51" spans="1:14">
      <c r="A51" s="578" t="s">
        <v>165</v>
      </c>
      <c r="B51" s="601"/>
      <c r="C51" s="601"/>
      <c r="D51" s="523" t="s">
        <v>131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178</v>
      </c>
      <c r="B52" s="601"/>
      <c r="C52" s="601"/>
      <c r="D52" s="523" t="s">
        <v>131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167</v>
      </c>
      <c r="B53" s="601"/>
      <c r="C53" s="601"/>
      <c r="D53" s="523" t="s">
        <v>131</v>
      </c>
      <c r="E53" s="510">
        <f>'8'!F53</f>
        <v>420654.07</v>
      </c>
      <c r="F53" s="510">
        <v>421167</v>
      </c>
      <c r="G53" s="473">
        <f t="shared" si="4"/>
        <v>512.92999999999302</v>
      </c>
      <c r="H53" s="460">
        <f>G53+'8'!H53</f>
        <v>4856</v>
      </c>
      <c r="I53" s="455"/>
      <c r="J53" s="552">
        <f>H53/DAY(B2)</f>
        <v>539.55555555555554</v>
      </c>
      <c r="K53" s="428"/>
      <c r="L53" s="377"/>
      <c r="N53" s="382">
        <v>85.455900000000838</v>
      </c>
    </row>
    <row r="54" spans="1:14">
      <c r="A54" s="578" t="s">
        <v>179</v>
      </c>
      <c r="B54" s="601"/>
      <c r="C54" s="601"/>
      <c r="D54" s="523" t="s">
        <v>131</v>
      </c>
      <c r="E54" s="510">
        <f>'8'!F54</f>
        <v>11960.7</v>
      </c>
      <c r="F54" s="510">
        <v>12032</v>
      </c>
      <c r="G54" s="473">
        <f t="shared" si="4"/>
        <v>71.299999999999272</v>
      </c>
      <c r="H54" s="460">
        <f>G54+'8'!H54</f>
        <v>4343</v>
      </c>
      <c r="I54" s="455"/>
      <c r="J54" s="552">
        <f>H54/DAY(B2)</f>
        <v>482.55555555555554</v>
      </c>
      <c r="K54" s="428"/>
      <c r="L54" s="377"/>
      <c r="N54" s="382">
        <v>0</v>
      </c>
    </row>
    <row r="55" spans="1:14">
      <c r="A55" s="578" t="s">
        <v>180</v>
      </c>
      <c r="B55" s="601"/>
      <c r="C55" s="601"/>
      <c r="D55" s="523" t="s">
        <v>131</v>
      </c>
      <c r="E55" s="510">
        <f>'8'!F55</f>
        <v>1979.37</v>
      </c>
      <c r="F55" s="656">
        <v>1979.37</v>
      </c>
      <c r="G55" s="655">
        <f t="shared" si="4"/>
        <v>0</v>
      </c>
      <c r="H55" s="708">
        <f>G55+'8'!H55</f>
        <v>0</v>
      </c>
      <c r="I55" s="709"/>
      <c r="J55" s="710">
        <f>H55/DAY(B2)</f>
        <v>0</v>
      </c>
      <c r="K55" s="428"/>
      <c r="L55" s="377"/>
      <c r="N55" s="382">
        <v>0</v>
      </c>
    </row>
    <row r="56" spans="1:14">
      <c r="A56" s="578" t="s">
        <v>181</v>
      </c>
      <c r="B56" s="601"/>
      <c r="C56" s="601"/>
      <c r="D56" s="523" t="s">
        <v>182</v>
      </c>
      <c r="E56" s="510">
        <f>'8'!F56</f>
        <v>589375.11</v>
      </c>
      <c r="F56" s="656">
        <v>589375.11</v>
      </c>
      <c r="G56" s="473">
        <f t="shared" si="4"/>
        <v>0</v>
      </c>
      <c r="H56" s="460">
        <f>G56+'8'!H56</f>
        <v>86.64000000001397</v>
      </c>
      <c r="I56" s="455"/>
      <c r="J56" s="552">
        <f>H56/DAY(B2)</f>
        <v>9.6266666666682195</v>
      </c>
      <c r="K56" s="427"/>
      <c r="L56" s="377"/>
      <c r="N56" s="382">
        <v>0</v>
      </c>
    </row>
    <row r="57" spans="1:14">
      <c r="A57" s="578" t="s">
        <v>171</v>
      </c>
      <c r="B57" s="601"/>
      <c r="C57" s="601"/>
      <c r="D57" s="523" t="s">
        <v>131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183</v>
      </c>
      <c r="B58" s="601"/>
      <c r="C58" s="601"/>
      <c r="D58" s="523" t="s">
        <v>131</v>
      </c>
      <c r="E58" s="510">
        <f>'8'!F58</f>
        <v>47461.13</v>
      </c>
      <c r="F58" s="656">
        <v>47473</v>
      </c>
      <c r="G58" s="473">
        <f t="shared" si="4"/>
        <v>11.870000000002619</v>
      </c>
      <c r="H58" s="460">
        <f>G58+'8'!H58</f>
        <v>805</v>
      </c>
      <c r="I58" s="455"/>
      <c r="J58" s="552">
        <f>H58/DAY(B2)</f>
        <v>89.444444444444443</v>
      </c>
      <c r="K58" s="428"/>
      <c r="L58" s="377"/>
      <c r="N58" s="382">
        <v>-0.29700000000048021</v>
      </c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1457.7899999999972</v>
      </c>
      <c r="H59" s="460">
        <f>G59+'8'!H59</f>
        <v>18951.579999999958</v>
      </c>
      <c r="I59" s="455">
        <f>G7-G60</f>
        <v>634.26000000000568</v>
      </c>
      <c r="J59" s="552">
        <f>H59/DAY(B2)</f>
        <v>2105.7311111111067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14694.739999999994</v>
      </c>
      <c r="H60" s="460">
        <f>G60+'8'!H60</f>
        <v>143081.57999999996</v>
      </c>
      <c r="I60" s="455">
        <f>G13-G60</f>
        <v>129.76000000000568</v>
      </c>
      <c r="J60" s="552">
        <f>H60/DAY(B2)</f>
        <v>15897.953333333329</v>
      </c>
      <c r="K60" s="428"/>
      <c r="L60" s="377"/>
      <c r="N60" s="382">
        <v>11185.168899999966</v>
      </c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186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187</v>
      </c>
      <c r="B63" s="604"/>
      <c r="C63" s="604"/>
      <c r="D63" s="511" t="s">
        <v>186</v>
      </c>
      <c r="E63" s="514">
        <f>'8'!F63</f>
        <v>2389.54</v>
      </c>
      <c r="F63" s="514">
        <v>2393</v>
      </c>
      <c r="G63" s="473">
        <f t="shared" si="5"/>
        <v>3.4600000000000364</v>
      </c>
      <c r="H63" s="460">
        <f>G63+'8'!H63</f>
        <v>34</v>
      </c>
      <c r="I63" s="515"/>
      <c r="J63" s="552">
        <f>H63/DAY(B2)</f>
        <v>3.7777777777777777</v>
      </c>
      <c r="K63" s="428"/>
      <c r="L63" s="377"/>
      <c r="N63" s="382">
        <v>0</v>
      </c>
    </row>
    <row r="64" spans="1:14" ht="27.75">
      <c r="A64" s="1530" t="s">
        <v>99</v>
      </c>
      <c r="B64" s="1531"/>
      <c r="C64" s="1532"/>
      <c r="D64" s="523" t="s">
        <v>186</v>
      </c>
      <c r="E64" s="514">
        <f>'8'!F64</f>
        <v>154960.59</v>
      </c>
      <c r="F64" s="478">
        <v>155156</v>
      </c>
      <c r="G64" s="473">
        <f t="shared" si="5"/>
        <v>195.41000000000349</v>
      </c>
      <c r="H64" s="460">
        <f>G64+'8'!H64</f>
        <v>1857</v>
      </c>
      <c r="I64" s="480"/>
      <c r="J64" s="552">
        <f>H64/DAY(B2)</f>
        <v>206.33333333333334</v>
      </c>
      <c r="K64" s="428"/>
      <c r="L64" s="377"/>
      <c r="N64" s="382">
        <v>161.90400000000227</v>
      </c>
    </row>
    <row r="65" spans="1:14" ht="27.75">
      <c r="A65" s="1530" t="s">
        <v>100</v>
      </c>
      <c r="B65" s="1531"/>
      <c r="C65" s="1532"/>
      <c r="D65" s="523" t="s">
        <v>186</v>
      </c>
      <c r="E65" s="514">
        <f>'8'!F65</f>
        <v>156159.20000000001</v>
      </c>
      <c r="F65" s="654">
        <v>156346</v>
      </c>
      <c r="G65" s="473">
        <f t="shared" si="5"/>
        <v>186.79999999998836</v>
      </c>
      <c r="H65" s="460">
        <f>G65+'8'!H65</f>
        <v>1747</v>
      </c>
      <c r="I65" s="489"/>
      <c r="J65" s="552">
        <f>H65/DAY(B2)</f>
        <v>194.11111111111111</v>
      </c>
      <c r="K65" s="428"/>
      <c r="L65" s="377"/>
      <c r="N65" s="382">
        <v>215.74700000000303</v>
      </c>
    </row>
    <row r="66" spans="1:14" ht="27.75">
      <c r="A66" s="1530" t="s">
        <v>101</v>
      </c>
      <c r="B66" s="1531"/>
      <c r="C66" s="1532"/>
      <c r="D66" s="523" t="s">
        <v>186</v>
      </c>
      <c r="E66" s="514">
        <f>'8'!F66</f>
        <v>50673.49</v>
      </c>
      <c r="F66" s="654">
        <v>50927</v>
      </c>
      <c r="G66" s="473">
        <f t="shared" si="5"/>
        <v>253.51000000000204</v>
      </c>
      <c r="H66" s="460">
        <f>G66+'8'!H66</f>
        <v>2356</v>
      </c>
      <c r="I66" s="480"/>
      <c r="J66" s="552">
        <f>H66/DAY(B2)</f>
        <v>261.77777777777777</v>
      </c>
      <c r="K66" s="428"/>
      <c r="L66" s="377"/>
      <c r="N66" s="382">
        <v>243.63500000000204</v>
      </c>
    </row>
    <row r="67" spans="1:14" ht="27.75">
      <c r="A67" s="1530" t="s">
        <v>102</v>
      </c>
      <c r="B67" s="1531"/>
      <c r="C67" s="1532"/>
      <c r="D67" s="523" t="s">
        <v>186</v>
      </c>
      <c r="E67" s="514">
        <f>'8'!F67</f>
        <v>244529.27</v>
      </c>
      <c r="F67" s="478">
        <v>244700</v>
      </c>
      <c r="G67" s="473">
        <f t="shared" si="5"/>
        <v>170.73000000001048</v>
      </c>
      <c r="H67" s="460">
        <f>G67+'8'!H67</f>
        <v>1526</v>
      </c>
      <c r="I67" s="489"/>
      <c r="J67" s="552">
        <f>H67/DAY(B2)</f>
        <v>169.55555555555554</v>
      </c>
      <c r="K67" s="429"/>
      <c r="L67" s="377"/>
      <c r="N67" s="382">
        <v>74.99199999999837</v>
      </c>
    </row>
    <row r="68" spans="1:14" ht="27.75">
      <c r="A68" s="1530" t="s">
        <v>103</v>
      </c>
      <c r="B68" s="1531"/>
      <c r="C68" s="1532"/>
      <c r="D68" s="523" t="s">
        <v>186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30" t="s">
        <v>104</v>
      </c>
      <c r="B69" s="1531"/>
      <c r="C69" s="1532"/>
      <c r="D69" s="523" t="s">
        <v>186</v>
      </c>
      <c r="E69" s="514">
        <f>'8'!F69</f>
        <v>79618.399999999994</v>
      </c>
      <c r="F69" s="478">
        <v>79731</v>
      </c>
      <c r="G69" s="473">
        <f t="shared" si="5"/>
        <v>112.60000000000582</v>
      </c>
      <c r="H69" s="460">
        <f>G69+'8'!H69</f>
        <v>737</v>
      </c>
      <c r="I69" s="516"/>
      <c r="J69" s="552">
        <f>H69/DAY(B2)</f>
        <v>81.888888888888886</v>
      </c>
      <c r="K69" s="431"/>
      <c r="L69" s="377"/>
      <c r="N69" s="382">
        <v>12.727999999999156</v>
      </c>
    </row>
    <row r="70" spans="1:14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</row>
    <row r="72" spans="1:14" ht="27.75">
      <c r="A72" s="1530" t="s">
        <v>190</v>
      </c>
      <c r="B72" s="1531"/>
      <c r="C72" s="1532"/>
      <c r="D72" s="523" t="s">
        <v>186</v>
      </c>
      <c r="E72" s="519">
        <f>'8'!F72</f>
        <v>855588</v>
      </c>
      <c r="F72" s="657">
        <v>855604</v>
      </c>
      <c r="G72" s="473">
        <f t="shared" ref="G72:G84" si="6">F72-E72</f>
        <v>16</v>
      </c>
      <c r="H72" s="460">
        <f>G72+'8'!H72</f>
        <v>143</v>
      </c>
      <c r="I72" s="480"/>
      <c r="J72" s="552">
        <f>H72/DAY(B2)</f>
        <v>15.888888888888889</v>
      </c>
      <c r="K72" s="431"/>
      <c r="L72" s="377"/>
      <c r="N72" s="382">
        <v>11</v>
      </c>
    </row>
    <row r="73" spans="1:14" ht="27.75">
      <c r="A73" s="1530" t="s">
        <v>191</v>
      </c>
      <c r="B73" s="1531"/>
      <c r="C73" s="1532"/>
      <c r="D73" s="523" t="s">
        <v>186</v>
      </c>
      <c r="E73" s="519">
        <f>'8'!F73</f>
        <v>885885</v>
      </c>
      <c r="F73" s="658">
        <v>885886</v>
      </c>
      <c r="G73" s="655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>
      <c r="A74" s="1530" t="s">
        <v>192</v>
      </c>
      <c r="B74" s="1531"/>
      <c r="C74" s="1532"/>
      <c r="D74" s="523" t="s">
        <v>186</v>
      </c>
      <c r="E74" s="519">
        <f>'8'!F74</f>
        <v>2411.6999999999998</v>
      </c>
      <c r="F74" s="657">
        <v>2422</v>
      </c>
      <c r="G74" s="473">
        <f t="shared" si="6"/>
        <v>10.300000000000182</v>
      </c>
      <c r="H74" s="460">
        <f>G74+'8'!H74</f>
        <v>143</v>
      </c>
      <c r="I74" s="480"/>
      <c r="J74" s="552">
        <f>H74/DAY(B2)</f>
        <v>15.888888888888889</v>
      </c>
      <c r="K74" s="431"/>
      <c r="L74" s="377"/>
      <c r="N74" s="382">
        <v>11</v>
      </c>
    </row>
    <row r="75" spans="1:14" ht="27.75">
      <c r="A75" s="1527" t="s">
        <v>193</v>
      </c>
      <c r="B75" s="1528"/>
      <c r="C75" s="1529"/>
      <c r="D75" s="523" t="s">
        <v>186</v>
      </c>
      <c r="E75" s="519">
        <f>'8'!F75</f>
        <v>11406.63</v>
      </c>
      <c r="F75" s="658">
        <v>11458</v>
      </c>
      <c r="G75" s="473">
        <f t="shared" si="6"/>
        <v>51.3700000000008</v>
      </c>
      <c r="H75" s="460">
        <f>G75+'8'!H75</f>
        <v>488</v>
      </c>
      <c r="I75" s="480"/>
      <c r="J75" s="552">
        <f>H75/DAY(B2)</f>
        <v>54.222222222222221</v>
      </c>
      <c r="K75" s="430"/>
      <c r="L75" s="377"/>
      <c r="N75" s="382">
        <v>62</v>
      </c>
    </row>
    <row r="76" spans="1:14" ht="27.75">
      <c r="A76" s="1527" t="s">
        <v>194</v>
      </c>
      <c r="B76" s="1528"/>
      <c r="C76" s="1529"/>
      <c r="D76" s="523" t="s">
        <v>186</v>
      </c>
      <c r="E76" s="519">
        <f>'8'!F76</f>
        <v>6140.92</v>
      </c>
      <c r="F76" s="658">
        <v>6196</v>
      </c>
      <c r="G76" s="473">
        <f t="shared" si="6"/>
        <v>55.079999999999927</v>
      </c>
      <c r="H76" s="460">
        <f>G76+'8'!H76</f>
        <v>487</v>
      </c>
      <c r="I76" s="505"/>
      <c r="J76" s="552">
        <f>H76/DAY(B2)</f>
        <v>54.111111111111114</v>
      </c>
      <c r="K76" s="430"/>
      <c r="L76" s="377"/>
      <c r="N76" s="382">
        <v>4</v>
      </c>
    </row>
    <row r="77" spans="1:14" ht="27.75">
      <c r="A77" s="1530" t="s">
        <v>195</v>
      </c>
      <c r="B77" s="1531"/>
      <c r="C77" s="1532"/>
      <c r="D77" s="523" t="s">
        <v>186</v>
      </c>
      <c r="E77" s="519">
        <f>'8'!F77</f>
        <v>701955</v>
      </c>
      <c r="F77" s="658">
        <v>702003</v>
      </c>
      <c r="G77" s="655">
        <f t="shared" si="6"/>
        <v>48</v>
      </c>
      <c r="H77" s="460">
        <f>G77+'8'!H77</f>
        <v>441</v>
      </c>
      <c r="I77" s="505"/>
      <c r="J77" s="552">
        <f>H77/DAY(B2)</f>
        <v>49</v>
      </c>
      <c r="K77" s="430"/>
      <c r="L77" s="377"/>
      <c r="N77" s="382">
        <v>19</v>
      </c>
    </row>
    <row r="78" spans="1:14" ht="27.75">
      <c r="A78" s="1146" t="s">
        <v>196</v>
      </c>
      <c r="B78" s="1119"/>
      <c r="C78" s="1119"/>
      <c r="D78" s="523" t="s">
        <v>186</v>
      </c>
      <c r="E78" s="519">
        <f>'8'!F78</f>
        <v>670636</v>
      </c>
      <c r="F78" s="659">
        <v>670702</v>
      </c>
      <c r="G78" s="473">
        <f t="shared" si="6"/>
        <v>66</v>
      </c>
      <c r="H78" s="460">
        <f>G78+'8'!H78</f>
        <v>677</v>
      </c>
      <c r="I78" s="505"/>
      <c r="J78" s="552">
        <f>H78/DAY(B2)</f>
        <v>75.222222222222229</v>
      </c>
      <c r="K78" s="430"/>
      <c r="L78" s="377"/>
      <c r="N78" s="382">
        <v>31</v>
      </c>
    </row>
    <row r="79" spans="1:14" ht="27.75">
      <c r="A79" s="1527" t="s">
        <v>92</v>
      </c>
      <c r="B79" s="1528"/>
      <c r="C79" s="1529"/>
      <c r="D79" s="524" t="s">
        <v>186</v>
      </c>
      <c r="E79" s="519">
        <f>'8'!F79</f>
        <v>828094</v>
      </c>
      <c r="F79" s="659">
        <v>828200</v>
      </c>
      <c r="G79" s="473">
        <f t="shared" si="6"/>
        <v>106</v>
      </c>
      <c r="H79" s="460">
        <f>G79+'8'!H79</f>
        <v>1416</v>
      </c>
      <c r="I79" s="505"/>
      <c r="J79" s="552">
        <f>H79/DAY(B2)</f>
        <v>157.33333333333334</v>
      </c>
      <c r="K79" s="430"/>
      <c r="L79" s="377"/>
      <c r="N79" s="382">
        <v>100</v>
      </c>
    </row>
    <row r="80" spans="1:14" ht="27.75">
      <c r="A80" s="1527" t="s">
        <v>197</v>
      </c>
      <c r="B80" s="1528"/>
      <c r="C80" s="1529"/>
      <c r="D80" s="524" t="s">
        <v>186</v>
      </c>
      <c r="E80" s="519">
        <f>'8'!F80</f>
        <v>519663.72</v>
      </c>
      <c r="F80" s="1317">
        <v>520053</v>
      </c>
      <c r="G80" s="473">
        <f t="shared" si="6"/>
        <v>389.28000000002794</v>
      </c>
      <c r="H80" s="460">
        <f>G80+'8'!H80</f>
        <v>3315</v>
      </c>
      <c r="I80" s="505"/>
      <c r="J80" s="552">
        <f>H80/DAY(B2)</f>
        <v>368.33333333333331</v>
      </c>
      <c r="K80" s="430"/>
      <c r="L80" s="377"/>
      <c r="N80" s="382">
        <v>158.95999999996275</v>
      </c>
    </row>
    <row r="81" spans="1:15" ht="27.75">
      <c r="A81" s="1527" t="s">
        <v>198</v>
      </c>
      <c r="B81" s="1528"/>
      <c r="C81" s="1529"/>
      <c r="D81" s="524" t="s">
        <v>186</v>
      </c>
      <c r="E81" s="519">
        <f>'8'!F81</f>
        <v>637063.80000000005</v>
      </c>
      <c r="F81" s="658">
        <v>637140</v>
      </c>
      <c r="G81" s="473">
        <f t="shared" si="6"/>
        <v>76.199999999953434</v>
      </c>
      <c r="H81" s="460">
        <f>G81+'8'!H81</f>
        <v>662</v>
      </c>
      <c r="I81" s="505"/>
      <c r="J81" s="552">
        <f>H81/DAY(B2)</f>
        <v>73.555555555555557</v>
      </c>
      <c r="K81" s="430"/>
      <c r="L81" s="377"/>
      <c r="N81" s="382">
        <v>79.199999999953434</v>
      </c>
    </row>
    <row r="82" spans="1:15" ht="27.75">
      <c r="A82" s="1527" t="s">
        <v>93</v>
      </c>
      <c r="B82" s="1528"/>
      <c r="C82" s="1529"/>
      <c r="D82" s="485" t="s">
        <v>131</v>
      </c>
      <c r="E82" s="519">
        <f>'8'!F82</f>
        <v>107756.66</v>
      </c>
      <c r="F82" s="654">
        <v>107790</v>
      </c>
      <c r="G82" s="473">
        <f t="shared" si="6"/>
        <v>33.339999999996508</v>
      </c>
      <c r="H82" s="460">
        <f>G82+'8'!H82</f>
        <v>178</v>
      </c>
      <c r="I82" s="486"/>
      <c r="J82" s="552">
        <f>H82/DAY(B2)</f>
        <v>19.777777777777779</v>
      </c>
      <c r="K82" s="430"/>
      <c r="L82" s="377"/>
      <c r="N82" s="382">
        <v>30.149999999994179</v>
      </c>
    </row>
    <row r="83" spans="1:15" ht="27.75">
      <c r="A83" s="1527" t="s">
        <v>199</v>
      </c>
      <c r="B83" s="1528"/>
      <c r="C83" s="1529"/>
      <c r="D83" s="620" t="s">
        <v>131</v>
      </c>
      <c r="E83" s="519">
        <f>'8'!F83</f>
        <v>16451</v>
      </c>
      <c r="F83" s="511">
        <v>16683</v>
      </c>
      <c r="G83" s="473">
        <f t="shared" si="6"/>
        <v>232</v>
      </c>
      <c r="H83" s="460">
        <f>G83+'8'!H83</f>
        <v>1912</v>
      </c>
      <c r="I83" s="481"/>
      <c r="J83" s="552">
        <f>H83/DAY(B2)</f>
        <v>212.44444444444446</v>
      </c>
      <c r="K83" s="429"/>
      <c r="L83" s="377"/>
      <c r="N83" s="382">
        <v>316</v>
      </c>
    </row>
    <row r="84" spans="1:15">
      <c r="A84" s="1147" t="s">
        <v>200</v>
      </c>
      <c r="B84" s="571"/>
      <c r="C84" s="571"/>
      <c r="D84" s="478" t="s">
        <v>131</v>
      </c>
      <c r="E84" s="519">
        <f>'8'!F84</f>
        <v>486446</v>
      </c>
      <c r="F84" s="627">
        <v>487244</v>
      </c>
      <c r="G84" s="473">
        <f t="shared" si="6"/>
        <v>798</v>
      </c>
      <c r="H84" s="460">
        <f>G84+'8'!H84</f>
        <v>7111</v>
      </c>
      <c r="I84" s="481"/>
      <c r="J84" s="552">
        <f>H84/DAY(B2)</f>
        <v>790.11111111111109</v>
      </c>
      <c r="K84" s="380"/>
      <c r="L84" s="377"/>
      <c r="N84" s="382">
        <v>408</v>
      </c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1882.5699999999788</v>
      </c>
      <c r="H85" s="460">
        <f>G85+'8'!H85</f>
        <v>16983</v>
      </c>
      <c r="I85" s="481"/>
      <c r="J85" s="552">
        <f>H85/DAY(B2)</f>
        <v>1887</v>
      </c>
      <c r="K85" s="380"/>
      <c r="L85" s="378"/>
      <c r="N85" s="382">
        <v>1232.3099999999104</v>
      </c>
    </row>
    <row r="86" spans="1:15" s="738" customFormat="1">
      <c r="A86" s="733" t="s">
        <v>94</v>
      </c>
      <c r="B86" s="734"/>
      <c r="C86" s="734"/>
      <c r="D86" s="735" t="s">
        <v>182</v>
      </c>
      <c r="E86" s="627">
        <f>'8'!F86</f>
        <v>460053.72</v>
      </c>
      <c r="F86" s="639">
        <v>460084</v>
      </c>
      <c r="G86" s="708">
        <f t="shared" ref="G86:G91" si="7">F86-E86</f>
        <v>30.28000000002794</v>
      </c>
      <c r="H86" s="460">
        <f>G86+'8'!H86</f>
        <v>59</v>
      </c>
      <c r="I86" s="655"/>
      <c r="J86" s="710">
        <f>H86/DAY(B2)</f>
        <v>6.5555555555555554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182</v>
      </c>
      <c r="E87" s="627">
        <f>'8'!F87</f>
        <v>81026.7</v>
      </c>
      <c r="F87" s="650">
        <v>81037</v>
      </c>
      <c r="G87" s="708">
        <f t="shared" si="7"/>
        <v>10.30000000000291</v>
      </c>
      <c r="H87" s="460">
        <f>G87+'8'!H87</f>
        <v>12</v>
      </c>
      <c r="I87" s="655"/>
      <c r="J87" s="710">
        <f>H87/DAY(B2)</f>
        <v>1.3333333333333333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182</v>
      </c>
      <c r="E88" s="627">
        <f>'8'!F88</f>
        <v>152123.95000000001</v>
      </c>
      <c r="F88" s="639">
        <v>152146</v>
      </c>
      <c r="G88" s="708">
        <f t="shared" si="7"/>
        <v>22.049999999988358</v>
      </c>
      <c r="H88" s="460">
        <f>G88+'8'!H88</f>
        <v>43</v>
      </c>
      <c r="I88" s="655"/>
      <c r="J88" s="710">
        <f>H88/DAY(B2)</f>
        <v>4.7777777777777777</v>
      </c>
      <c r="K88" s="736"/>
      <c r="L88" s="737"/>
      <c r="O88" s="716"/>
    </row>
    <row r="89" spans="1:15" s="738" customFormat="1">
      <c r="A89" s="733" t="s">
        <v>203</v>
      </c>
      <c r="B89" s="734"/>
      <c r="C89" s="734"/>
      <c r="D89" s="735" t="s">
        <v>182</v>
      </c>
      <c r="E89" s="627">
        <f>'8'!F89</f>
        <v>64885.9</v>
      </c>
      <c r="F89" s="650">
        <v>64892</v>
      </c>
      <c r="G89" s="708">
        <f t="shared" si="7"/>
        <v>6.0999999999985448</v>
      </c>
      <c r="H89" s="460">
        <f>G89+'8'!H89</f>
        <v>13</v>
      </c>
      <c r="I89" s="655"/>
      <c r="J89" s="710">
        <f>H89/DAY(B2)</f>
        <v>1.4444444444444444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27">
        <f>'8'!F90</f>
        <v>3272.4</v>
      </c>
      <c r="F90" s="650">
        <v>3272</v>
      </c>
      <c r="G90" s="708">
        <f t="shared" si="7"/>
        <v>-0.40000000000009095</v>
      </c>
      <c r="H90" s="460">
        <f>G90+'8'!H90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 t="s">
        <v>131</v>
      </c>
      <c r="E91" s="627">
        <f>'8'!F91</f>
        <v>27929</v>
      </c>
      <c r="F91" s="650">
        <v>27931</v>
      </c>
      <c r="G91" s="708">
        <f t="shared" si="7"/>
        <v>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f>'8'!F93</f>
        <v>244782</v>
      </c>
      <c r="F93" s="478">
        <v>244814</v>
      </c>
      <c r="G93" s="473">
        <f t="shared" ref="G93:G94" si="8">F93-E93</f>
        <v>32</v>
      </c>
      <c r="H93" s="460">
        <f>G93+'8'!H93</f>
        <v>290</v>
      </c>
      <c r="I93" s="480"/>
      <c r="J93" s="552">
        <f>H93/DAY(B2)</f>
        <v>32.222222222222221</v>
      </c>
      <c r="K93" s="429"/>
      <c r="L93" s="377"/>
      <c r="N93" s="382">
        <v>0</v>
      </c>
    </row>
    <row r="94" spans="1:15" ht="27.75">
      <c r="A94" s="1551" t="s">
        <v>206</v>
      </c>
      <c r="B94" s="1552"/>
      <c r="C94" s="1553"/>
      <c r="D94" s="523" t="s">
        <v>143</v>
      </c>
      <c r="E94" s="484">
        <f>'8'!F94</f>
        <v>184198</v>
      </c>
      <c r="F94" s="478">
        <v>184304</v>
      </c>
      <c r="G94" s="473">
        <f t="shared" si="8"/>
        <v>106</v>
      </c>
      <c r="H94" s="460">
        <f>G94+'8'!H94</f>
        <v>773</v>
      </c>
      <c r="I94" s="480"/>
      <c r="J94" s="552">
        <f>H94/DAY(B2)</f>
        <v>85.888888888888886</v>
      </c>
      <c r="K94" s="380"/>
      <c r="L94" s="377"/>
      <c r="N94" s="382">
        <v>71</v>
      </c>
    </row>
    <row r="95" spans="1:15">
      <c r="A95" s="1579" t="s">
        <v>207</v>
      </c>
      <c r="B95" s="1580"/>
      <c r="C95" s="1581"/>
      <c r="D95" s="523"/>
      <c r="E95" s="484">
        <f>'8'!F95</f>
        <v>0</v>
      </c>
      <c r="F95" s="478"/>
      <c r="G95" s="473">
        <f>G93+G94</f>
        <v>138</v>
      </c>
      <c r="H95" s="460">
        <f>G95+'8'!H95</f>
        <v>916</v>
      </c>
      <c r="I95" s="480"/>
      <c r="J95" s="552">
        <f>H95/DAY(B2)</f>
        <v>101.77777777777777</v>
      </c>
      <c r="K95" s="380"/>
      <c r="L95" s="377"/>
      <c r="N95" s="382">
        <v>71</v>
      </c>
    </row>
    <row r="96" spans="1:15" ht="27.75">
      <c r="A96" s="1551" t="s">
        <v>208</v>
      </c>
      <c r="B96" s="1552"/>
      <c r="C96" s="1553"/>
      <c r="D96" s="523" t="s">
        <v>143</v>
      </c>
      <c r="E96" s="484">
        <f>'8'!F96</f>
        <v>413302</v>
      </c>
      <c r="F96" s="478">
        <v>413342</v>
      </c>
      <c r="G96" s="473">
        <f t="shared" ref="G96:G101" si="9">F96-E96</f>
        <v>40</v>
      </c>
      <c r="H96" s="460">
        <f>G96+'8'!H96</f>
        <v>456</v>
      </c>
      <c r="I96" s="480"/>
      <c r="J96" s="552">
        <f>H96/DAY(B2)</f>
        <v>50.666666666666664</v>
      </c>
      <c r="K96" s="380"/>
      <c r="L96" s="377"/>
      <c r="N96" s="382">
        <v>26</v>
      </c>
    </row>
    <row r="97" spans="1:14" ht="27.75">
      <c r="A97" s="1143" t="s">
        <v>209</v>
      </c>
      <c r="B97" s="1144"/>
      <c r="C97" s="1144"/>
      <c r="D97" s="523" t="s">
        <v>143</v>
      </c>
      <c r="E97" s="484">
        <f>'8'!F97</f>
        <v>102425</v>
      </c>
      <c r="F97" s="478">
        <v>102436</v>
      </c>
      <c r="G97" s="473">
        <f t="shared" si="9"/>
        <v>11</v>
      </c>
      <c r="H97" s="460">
        <f>G97+'8'!H97</f>
        <v>93</v>
      </c>
      <c r="I97" s="480"/>
      <c r="J97" s="552">
        <f>H97/DAY(B2)</f>
        <v>10.333333333333334</v>
      </c>
      <c r="K97" s="427"/>
      <c r="L97" s="377"/>
      <c r="N97" s="382">
        <v>11</v>
      </c>
    </row>
    <row r="98" spans="1:14" ht="27.75">
      <c r="A98" s="1143" t="s">
        <v>210</v>
      </c>
      <c r="B98" s="1144"/>
      <c r="C98" s="1144"/>
      <c r="D98" s="523" t="s">
        <v>143</v>
      </c>
      <c r="E98" s="484">
        <f>'8'!F98</f>
        <v>97538</v>
      </c>
      <c r="F98" s="478">
        <v>97553</v>
      </c>
      <c r="G98" s="473">
        <f t="shared" si="9"/>
        <v>15</v>
      </c>
      <c r="H98" s="460">
        <f>G98+'8'!H98</f>
        <v>126</v>
      </c>
      <c r="I98" s="480"/>
      <c r="J98" s="552">
        <f>H98/DAY(B2)</f>
        <v>14</v>
      </c>
      <c r="K98" s="432"/>
      <c r="L98" s="377"/>
      <c r="N98" s="382">
        <v>9</v>
      </c>
    </row>
    <row r="99" spans="1:14" ht="27.75">
      <c r="A99" s="1143" t="s">
        <v>211</v>
      </c>
      <c r="B99" s="1144"/>
      <c r="C99" s="1144"/>
      <c r="D99" s="523" t="s">
        <v>143</v>
      </c>
      <c r="E99" s="484">
        <f>'8'!F99</f>
        <v>149587</v>
      </c>
      <c r="F99" s="478">
        <v>149597</v>
      </c>
      <c r="G99" s="473">
        <f t="shared" si="9"/>
        <v>10</v>
      </c>
      <c r="H99" s="460">
        <f>G99+'8'!H99</f>
        <v>64</v>
      </c>
      <c r="I99" s="480"/>
      <c r="J99" s="552">
        <f>H99/DAY(B2)</f>
        <v>7.1111111111111107</v>
      </c>
      <c r="K99" s="380"/>
      <c r="L99" s="377"/>
      <c r="N99" s="707">
        <v>24</v>
      </c>
    </row>
    <row r="100" spans="1:14" ht="27.75">
      <c r="A100" s="1143" t="s">
        <v>212</v>
      </c>
      <c r="B100" s="1144"/>
      <c r="C100" s="1144"/>
      <c r="D100" s="523" t="s">
        <v>143</v>
      </c>
      <c r="E100" s="484">
        <f>'8'!F100</f>
        <v>7214</v>
      </c>
      <c r="F100" s="478">
        <v>7217</v>
      </c>
      <c r="G100" s="473">
        <f t="shared" si="9"/>
        <v>3</v>
      </c>
      <c r="H100" s="460">
        <f>G100+'8'!H100</f>
        <v>32</v>
      </c>
      <c r="I100" s="480"/>
      <c r="J100" s="552">
        <f>H100/DAY(B2)</f>
        <v>3.5555555555555554</v>
      </c>
      <c r="K100" s="380"/>
      <c r="L100" s="377"/>
      <c r="N100" s="382">
        <v>3</v>
      </c>
    </row>
    <row r="101" spans="1:14" ht="27.75">
      <c r="A101" s="1143" t="s">
        <v>213</v>
      </c>
      <c r="B101" s="1144"/>
      <c r="C101" s="1144"/>
      <c r="D101" s="523" t="s">
        <v>143</v>
      </c>
      <c r="E101" s="484">
        <f>'8'!F101</f>
        <v>5212</v>
      </c>
      <c r="F101" s="478">
        <v>5215</v>
      </c>
      <c r="G101" s="473">
        <f t="shared" si="9"/>
        <v>3</v>
      </c>
      <c r="H101" s="460">
        <f>G101+'8'!H101</f>
        <v>77</v>
      </c>
      <c r="I101" s="480"/>
      <c r="J101" s="552">
        <f>H101/DAY(B2)</f>
        <v>8.5555555555555554</v>
      </c>
      <c r="K101" s="380"/>
      <c r="L101" s="377"/>
      <c r="N101" s="382">
        <v>0</v>
      </c>
    </row>
    <row r="102" spans="1:14">
      <c r="A102" s="1579" t="s">
        <v>215</v>
      </c>
      <c r="B102" s="1580"/>
      <c r="C102" s="1581"/>
      <c r="D102" s="524"/>
      <c r="E102" s="484"/>
      <c r="F102" s="524"/>
      <c r="G102" s="525">
        <f>SUM(G96:G101)</f>
        <v>82</v>
      </c>
      <c r="H102" s="460">
        <f>G102+'8'!H102</f>
        <v>848</v>
      </c>
      <c r="I102" s="526"/>
      <c r="J102" s="552">
        <f>H102/DAY(B2)</f>
        <v>94.222222222222229</v>
      </c>
      <c r="K102" s="380"/>
      <c r="L102" s="377"/>
      <c r="N102" s="382">
        <v>73</v>
      </c>
    </row>
    <row r="103" spans="1:14" s="442" customFormat="1" ht="27">
      <c r="A103" s="607" t="s">
        <v>216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382"/>
    </row>
    <row r="104" spans="1:14" s="442" customFormat="1" ht="27.75">
      <c r="A104" s="1582" t="s">
        <v>217</v>
      </c>
      <c r="B104" s="1583"/>
      <c r="C104" s="573"/>
      <c r="D104" s="622"/>
      <c r="E104" s="484"/>
      <c r="F104" s="661"/>
      <c r="G104" s="532"/>
      <c r="H104" s="533"/>
      <c r="I104" s="532"/>
      <c r="J104" s="558"/>
      <c r="N104" s="382"/>
    </row>
    <row r="105" spans="1:14" s="442" customFormat="1" ht="27.75">
      <c r="A105" s="1543" t="s">
        <v>218</v>
      </c>
      <c r="B105" s="1544"/>
      <c r="C105" s="1142"/>
      <c r="D105" s="622" t="s">
        <v>143</v>
      </c>
      <c r="E105" s="484">
        <f>'8'!F105</f>
        <v>7349</v>
      </c>
      <c r="F105" s="661">
        <v>7349</v>
      </c>
      <c r="G105" s="532">
        <f>F105-E105</f>
        <v>0</v>
      </c>
      <c r="H105" s="460">
        <f>G105+'8'!H105</f>
        <v>13</v>
      </c>
      <c r="I105" s="532"/>
      <c r="J105" s="558">
        <f>H105/DAY(B2)</f>
        <v>1.4444444444444444</v>
      </c>
      <c r="N105" s="382">
        <v>0</v>
      </c>
    </row>
    <row r="106" spans="1:14" s="442" customFormat="1" ht="27.75">
      <c r="A106" s="1543" t="s">
        <v>77</v>
      </c>
      <c r="B106" s="1544"/>
      <c r="C106" s="1142"/>
      <c r="D106" s="622" t="s">
        <v>143</v>
      </c>
      <c r="E106" s="484">
        <f>'8'!F106</f>
        <v>35703</v>
      </c>
      <c r="F106" s="662">
        <v>35860</v>
      </c>
      <c r="G106" s="532">
        <f t="shared" ref="G106:G107" si="10">F106-E106</f>
        <v>157</v>
      </c>
      <c r="H106" s="460">
        <f>G106+'8'!H106</f>
        <v>188</v>
      </c>
      <c r="I106" s="532"/>
      <c r="J106" s="558">
        <f>H106/DAY(B2)</f>
        <v>20.888888888888889</v>
      </c>
      <c r="N106" s="382">
        <v>0</v>
      </c>
    </row>
    <row r="107" spans="1:14" s="442" customFormat="1" ht="27.75">
      <c r="A107" s="1543" t="s">
        <v>78</v>
      </c>
      <c r="B107" s="1584"/>
      <c r="C107" s="1544"/>
      <c r="D107" s="622" t="s">
        <v>143</v>
      </c>
      <c r="E107" s="484">
        <f>'8'!F107</f>
        <v>19465</v>
      </c>
      <c r="F107" s="786">
        <v>19649</v>
      </c>
      <c r="G107" s="532">
        <f t="shared" si="10"/>
        <v>184</v>
      </c>
      <c r="H107" s="460">
        <f>G107+'8'!H107</f>
        <v>214</v>
      </c>
      <c r="I107" s="532"/>
      <c r="J107" s="558">
        <f>H107/DAY(B2)</f>
        <v>23.777777777777779</v>
      </c>
      <c r="N107" s="382">
        <v>4</v>
      </c>
    </row>
    <row r="108" spans="1:14" s="442" customFormat="1" ht="27.75">
      <c r="A108" s="1545" t="s">
        <v>201</v>
      </c>
      <c r="B108" s="1546"/>
      <c r="C108" s="1142"/>
      <c r="D108" s="622"/>
      <c r="E108" s="484"/>
      <c r="F108" s="662"/>
      <c r="G108" s="532">
        <f>SUM(G105:G107)</f>
        <v>341</v>
      </c>
      <c r="H108" s="460">
        <f>G108+'8'!H108</f>
        <v>415</v>
      </c>
      <c r="I108" s="532"/>
      <c r="J108" s="558">
        <f>H108/DAY(B2)</f>
        <v>46.111111111111114</v>
      </c>
      <c r="N108" s="382">
        <v>4</v>
      </c>
    </row>
    <row r="109" spans="1:14" s="442" customFormat="1" ht="27.75">
      <c r="A109" s="1549" t="s">
        <v>79</v>
      </c>
      <c r="B109" s="1550"/>
      <c r="C109" s="1142"/>
      <c r="D109" s="622" t="s">
        <v>143</v>
      </c>
      <c r="E109" s="484">
        <f>'8'!F109</f>
        <v>0</v>
      </c>
      <c r="F109" s="662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43" t="s">
        <v>219</v>
      </c>
      <c r="B110" s="1544"/>
      <c r="C110" s="1142"/>
      <c r="D110" s="622" t="s">
        <v>143</v>
      </c>
      <c r="E110" s="484">
        <f>'8'!F110</f>
        <v>61579</v>
      </c>
      <c r="F110" s="662">
        <v>61629</v>
      </c>
      <c r="G110" s="532">
        <f>F110-E110</f>
        <v>50</v>
      </c>
      <c r="H110" s="460">
        <f>G110+'8'!H110</f>
        <v>455</v>
      </c>
      <c r="I110" s="532"/>
      <c r="J110" s="558">
        <f>H110/DAY(B2)</f>
        <v>50.555555555555557</v>
      </c>
      <c r="N110" s="382">
        <v>40</v>
      </c>
    </row>
    <row r="111" spans="1:14" s="442" customFormat="1" ht="27.75">
      <c r="A111" s="1543" t="s">
        <v>220</v>
      </c>
      <c r="B111" s="1544"/>
      <c r="C111" s="1142"/>
      <c r="D111" s="622" t="s">
        <v>143</v>
      </c>
      <c r="E111" s="484">
        <f>'8'!F111</f>
        <v>32279</v>
      </c>
      <c r="F111" s="662">
        <v>32288</v>
      </c>
      <c r="G111" s="532">
        <f t="shared" ref="G111:G112" si="11">F111-E111</f>
        <v>9</v>
      </c>
      <c r="H111" s="460">
        <f>G111+'8'!H111</f>
        <v>53</v>
      </c>
      <c r="I111" s="532"/>
      <c r="J111" s="558">
        <f>H111/DAY(B2)</f>
        <v>5.8888888888888893</v>
      </c>
      <c r="N111" s="382">
        <v>43</v>
      </c>
    </row>
    <row r="112" spans="1:14" s="442" customFormat="1" ht="27.75">
      <c r="A112" s="1543" t="s">
        <v>221</v>
      </c>
      <c r="B112" s="1544"/>
      <c r="C112" s="1142"/>
      <c r="D112" s="622" t="s">
        <v>143</v>
      </c>
      <c r="E112" s="484">
        <f>'8'!F112</f>
        <v>4460</v>
      </c>
      <c r="F112" s="662">
        <v>4460</v>
      </c>
      <c r="G112" s="532">
        <f t="shared" si="11"/>
        <v>0</v>
      </c>
      <c r="H112" s="460">
        <f>G112+'8'!H112</f>
        <v>92</v>
      </c>
      <c r="I112" s="532"/>
      <c r="J112" s="558">
        <f>H112/DAY(B2)</f>
        <v>10.222222222222221</v>
      </c>
      <c r="N112" s="382">
        <v>0</v>
      </c>
    </row>
    <row r="113" spans="1:14" s="442" customFormat="1" ht="27.75">
      <c r="A113" s="1545" t="s">
        <v>110</v>
      </c>
      <c r="B113" s="1546"/>
      <c r="C113" s="1142"/>
      <c r="D113" s="622"/>
      <c r="E113" s="484"/>
      <c r="F113" s="662"/>
      <c r="G113" s="532">
        <f>SUM(G110:G112)</f>
        <v>59</v>
      </c>
      <c r="H113" s="460">
        <f>G113+'8'!H113</f>
        <v>600</v>
      </c>
      <c r="I113" s="532"/>
      <c r="J113" s="558">
        <f>H113/DAY(B2)</f>
        <v>66.666666666666671</v>
      </c>
      <c r="N113" s="382">
        <v>83</v>
      </c>
    </row>
    <row r="114" spans="1:14" s="442" customFormat="1" ht="27.75">
      <c r="A114" s="1549" t="s">
        <v>222</v>
      </c>
      <c r="B114" s="1550"/>
      <c r="C114" s="1142"/>
      <c r="D114" s="622"/>
      <c r="E114" s="484"/>
      <c r="F114" s="662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3" t="s">
        <v>223</v>
      </c>
      <c r="B115" s="1544"/>
      <c r="C115" s="574"/>
      <c r="D115" s="622" t="s">
        <v>143</v>
      </c>
      <c r="E115" s="484">
        <f>'8'!F115</f>
        <v>11298</v>
      </c>
      <c r="F115" s="662">
        <v>11303</v>
      </c>
      <c r="G115" s="534">
        <f>F115-E115</f>
        <v>5</v>
      </c>
      <c r="H115" s="460">
        <f>G115+'8'!H115</f>
        <v>44</v>
      </c>
      <c r="I115" s="532"/>
      <c r="J115" s="558">
        <f>H115/DAY(B2)</f>
        <v>4.8888888888888893</v>
      </c>
      <c r="N115" s="382">
        <v>5</v>
      </c>
    </row>
    <row r="116" spans="1:14" s="442" customFormat="1" ht="27.75">
      <c r="A116" s="1543" t="s">
        <v>224</v>
      </c>
      <c r="B116" s="1544"/>
      <c r="C116" s="574"/>
      <c r="D116" s="622" t="s">
        <v>143</v>
      </c>
      <c r="E116" s="484">
        <f>'8'!F116</f>
        <v>8179</v>
      </c>
      <c r="F116" s="662">
        <v>8183</v>
      </c>
      <c r="G116" s="534">
        <f t="shared" ref="G116:G117" si="12">F116-E116</f>
        <v>4</v>
      </c>
      <c r="H116" s="460">
        <f>G116+'8'!H116</f>
        <v>57</v>
      </c>
      <c r="I116" s="532"/>
      <c r="J116" s="558">
        <f>H116/DAY(B2)</f>
        <v>6.333333333333333</v>
      </c>
      <c r="N116" s="382">
        <v>3</v>
      </c>
    </row>
    <row r="117" spans="1:14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9</v>
      </c>
      <c r="H118" s="460">
        <f>G118+'8'!H118</f>
        <v>101</v>
      </c>
      <c r="I118" s="534"/>
      <c r="J118" s="558">
        <f>H118/DAY(B2)</f>
        <v>11.222222222222221</v>
      </c>
      <c r="N118" s="382">
        <v>8</v>
      </c>
    </row>
    <row r="119" spans="1:14" s="446" customFormat="1" ht="27.75">
      <c r="A119" s="1539" t="s">
        <v>226</v>
      </c>
      <c r="B119" s="1540"/>
      <c r="C119" s="1140"/>
      <c r="D119" s="624" t="s">
        <v>143</v>
      </c>
      <c r="E119" s="536"/>
      <c r="F119" s="663">
        <f>SUM(G19+G93)</f>
        <v>87</v>
      </c>
      <c r="G119" s="536">
        <f>SUM(G19+G93)</f>
        <v>87</v>
      </c>
      <c r="H119" s="460">
        <f>G119+'8'!H119</f>
        <v>775</v>
      </c>
      <c r="I119" s="535"/>
      <c r="J119" s="559">
        <f>H119/DAY(B2)</f>
        <v>86.111111111111114</v>
      </c>
      <c r="N119" s="382">
        <v>55</v>
      </c>
    </row>
    <row r="120" spans="1:14" s="446" customFormat="1" ht="27.75">
      <c r="A120" s="1539" t="s">
        <v>227</v>
      </c>
      <c r="B120" s="1540"/>
      <c r="C120" s="1140"/>
      <c r="D120" s="624" t="s">
        <v>143</v>
      </c>
      <c r="E120" s="536"/>
      <c r="F120" s="663">
        <f>SUM(G96,G97,G98,G100,G101)</f>
        <v>72</v>
      </c>
      <c r="G120" s="536">
        <f>SUM(G96,G97,G98,G100,G101)</f>
        <v>72</v>
      </c>
      <c r="H120" s="460">
        <f>G120+'8'!H120</f>
        <v>784</v>
      </c>
      <c r="I120" s="535"/>
      <c r="J120" s="559">
        <f>H120/DAY(B2)</f>
        <v>87.111111111111114</v>
      </c>
      <c r="N120" s="382">
        <v>49</v>
      </c>
    </row>
    <row r="121" spans="1:14" s="446" customFormat="1" ht="27.75">
      <c r="A121" s="1539" t="s">
        <v>228</v>
      </c>
      <c r="B121" s="1540"/>
      <c r="C121" s="1140"/>
      <c r="D121" s="624" t="s">
        <v>143</v>
      </c>
      <c r="E121" s="534"/>
      <c r="F121" s="662">
        <f>SUM(G113)</f>
        <v>59</v>
      </c>
      <c r="G121" s="534">
        <f>SUM(G113)</f>
        <v>59</v>
      </c>
      <c r="H121" s="460">
        <f>G121+'8'!H121</f>
        <v>600</v>
      </c>
      <c r="I121" s="535"/>
      <c r="J121" s="559">
        <f>H121/DAY(B2)</f>
        <v>66.666666666666671</v>
      </c>
      <c r="N121" s="382">
        <v>83</v>
      </c>
    </row>
    <row r="122" spans="1:14" s="442" customFormat="1" ht="27.75">
      <c r="A122" s="1541"/>
      <c r="B122" s="1542"/>
      <c r="C122" s="1141"/>
      <c r="D122" s="560"/>
      <c r="E122" s="560"/>
      <c r="F122" s="664" t="s">
        <v>214</v>
      </c>
      <c r="G122" s="560"/>
      <c r="H122" s="561"/>
      <c r="I122" s="560"/>
      <c r="J122" s="562"/>
      <c r="N122" s="382"/>
    </row>
    <row r="123" spans="1:14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230</v>
      </c>
      <c r="B124" s="1144"/>
      <c r="C124" s="1144"/>
      <c r="D124" s="523" t="s">
        <v>140</v>
      </c>
      <c r="E124" s="478">
        <f>'8'!F124</f>
        <v>827731.84</v>
      </c>
      <c r="F124" s="478">
        <v>827918</v>
      </c>
      <c r="G124" s="473">
        <f t="shared" ref="G124:G128" si="13">F124-E124</f>
        <v>186.1600000000326</v>
      </c>
      <c r="H124" s="460">
        <f>G124+'8'!H124</f>
        <v>1829.5400000000373</v>
      </c>
      <c r="I124" s="526"/>
      <c r="J124" s="552">
        <f>H124/DAY(B2)</f>
        <v>203.28222222222635</v>
      </c>
      <c r="K124" s="380"/>
      <c r="L124" s="377"/>
      <c r="N124" s="382">
        <v>111.45100000000093</v>
      </c>
    </row>
    <row r="125" spans="1:14" ht="27.75">
      <c r="A125" s="1143" t="s">
        <v>231</v>
      </c>
      <c r="B125" s="1144"/>
      <c r="C125" s="1144"/>
      <c r="D125" s="523" t="s">
        <v>140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30" t="s">
        <v>232</v>
      </c>
      <c r="B126" s="1531"/>
      <c r="C126" s="1532"/>
      <c r="D126" s="523" t="s">
        <v>140</v>
      </c>
      <c r="E126" s="478">
        <f>'8'!F126</f>
        <v>145179.5</v>
      </c>
      <c r="F126" s="478">
        <v>145242</v>
      </c>
      <c r="G126" s="473">
        <f t="shared" si="13"/>
        <v>62.5</v>
      </c>
      <c r="H126" s="460">
        <f>G126+'8'!H126</f>
        <v>554.55999999999767</v>
      </c>
      <c r="I126" s="526"/>
      <c r="J126" s="552">
        <f>H126/DAY(B2)</f>
        <v>61.617777777777519</v>
      </c>
      <c r="K126" s="380"/>
      <c r="L126" s="377"/>
      <c r="N126" s="382">
        <v>43.220000000001164</v>
      </c>
    </row>
    <row r="127" spans="1:14" ht="27.75">
      <c r="A127" s="609" t="s">
        <v>233</v>
      </c>
      <c r="B127" s="1144"/>
      <c r="C127" s="1144"/>
      <c r="D127" s="523" t="s">
        <v>140</v>
      </c>
      <c r="E127" s="478">
        <f>'8'!F127</f>
        <v>31404.2</v>
      </c>
      <c r="F127" s="626">
        <v>31404.2</v>
      </c>
      <c r="G127" s="473">
        <f t="shared" si="13"/>
        <v>0</v>
      </c>
      <c r="H127" s="460">
        <f>G127+'8'!H127</f>
        <v>0.2000000000007276</v>
      </c>
      <c r="I127" s="526"/>
      <c r="J127" s="552">
        <f>H127/DAY(B2)</f>
        <v>2.2222222222303065E-2</v>
      </c>
      <c r="K127" s="380"/>
      <c r="L127" s="377"/>
      <c r="N127" s="382">
        <v>0</v>
      </c>
    </row>
    <row r="128" spans="1:14" ht="27.75">
      <c r="A128" s="609" t="s">
        <v>234</v>
      </c>
      <c r="B128" s="1144"/>
      <c r="C128" s="1144"/>
      <c r="D128" s="523" t="s">
        <v>140</v>
      </c>
      <c r="E128" s="478">
        <f>'8'!F128</f>
        <v>8970.6</v>
      </c>
      <c r="F128" s="626">
        <v>8971</v>
      </c>
      <c r="G128" s="473">
        <f t="shared" si="13"/>
        <v>0.3999999999996362</v>
      </c>
      <c r="H128" s="460">
        <f>G128+'8'!H128</f>
        <v>1.2999999999992724</v>
      </c>
      <c r="I128" s="480"/>
      <c r="J128" s="552">
        <f>H128/DAY(B2)</f>
        <v>0.14444444444436361</v>
      </c>
      <c r="K128" s="380"/>
      <c r="L128" s="377"/>
      <c r="N128" s="382">
        <v>0</v>
      </c>
    </row>
    <row r="129" spans="1:14" s="281" customFormat="1" ht="27.75">
      <c r="A129" s="609" t="s">
        <v>235</v>
      </c>
      <c r="B129" s="1144"/>
      <c r="C129" s="1144"/>
      <c r="D129" s="523"/>
      <c r="E129" s="478"/>
      <c r="F129" s="478"/>
      <c r="G129" s="473">
        <f>G15-SUM(G124:G128)</f>
        <v>274.45999999998639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237</v>
      </c>
      <c r="B131" s="1144"/>
      <c r="C131" s="1144"/>
      <c r="D131" s="523" t="s">
        <v>238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3" t="s">
        <v>239</v>
      </c>
      <c r="B132" s="1144"/>
      <c r="C132" s="1144"/>
      <c r="D132" s="523" t="s">
        <v>238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3" t="s">
        <v>240</v>
      </c>
      <c r="B133" s="1144"/>
      <c r="C133" s="1144"/>
      <c r="D133" s="523" t="s">
        <v>238</v>
      </c>
      <c r="E133" s="484">
        <f>'8'!F133</f>
        <v>39937.25</v>
      </c>
      <c r="F133" s="626">
        <v>39960.33</v>
      </c>
      <c r="G133" s="473">
        <f t="shared" si="14"/>
        <v>23.080000000001746</v>
      </c>
      <c r="H133" s="460">
        <f>G133+'8'!H133</f>
        <v>213.84999999999854</v>
      </c>
      <c r="I133" s="480"/>
      <c r="J133" s="552">
        <f>H133/DAY(B2)</f>
        <v>23.761111111110949</v>
      </c>
      <c r="N133" s="382">
        <v>22</v>
      </c>
    </row>
    <row r="134" spans="1:14" ht="27.75">
      <c r="A134" s="1143" t="s">
        <v>241</v>
      </c>
      <c r="B134" s="1144"/>
      <c r="C134" s="1144"/>
      <c r="D134" s="523" t="s">
        <v>238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23.080000000001746</v>
      </c>
      <c r="J134" s="552">
        <f>H134/DAY(B2)</f>
        <v>0</v>
      </c>
      <c r="N134" s="382">
        <v>0</v>
      </c>
    </row>
    <row r="135" spans="1:14" ht="27.75">
      <c r="A135" s="1143" t="s">
        <v>242</v>
      </c>
      <c r="B135" s="1144"/>
      <c r="C135" s="1144"/>
      <c r="D135" s="523" t="s">
        <v>238</v>
      </c>
      <c r="E135" s="484">
        <f>'8'!F135</f>
        <v>41393.33</v>
      </c>
      <c r="F135" s="626">
        <v>41393.33</v>
      </c>
      <c r="G135" s="473">
        <f t="shared" si="14"/>
        <v>0</v>
      </c>
      <c r="H135" s="460">
        <f>G135+'8'!H135</f>
        <v>8.3300000000017462</v>
      </c>
      <c r="I135" s="480"/>
      <c r="J135" s="552">
        <f>H135/DAY(B2)</f>
        <v>0.92555555555574953</v>
      </c>
      <c r="N135" s="382">
        <v>0</v>
      </c>
    </row>
    <row r="136" spans="1:14" ht="27.75">
      <c r="A136" s="1143" t="s">
        <v>243</v>
      </c>
      <c r="B136" s="1144"/>
      <c r="C136" s="1144"/>
      <c r="D136" s="523" t="s">
        <v>238</v>
      </c>
      <c r="E136" s="484">
        <f>'8'!F136</f>
        <v>32582.560000000001</v>
      </c>
      <c r="F136" s="626">
        <v>32582.560000000001</v>
      </c>
      <c r="G136" s="473">
        <f t="shared" si="14"/>
        <v>0</v>
      </c>
      <c r="H136" s="460">
        <f>G136+'8'!H136</f>
        <v>-0.43999999999869033</v>
      </c>
      <c r="I136" s="480"/>
      <c r="J136" s="552">
        <f>H136/DAY(B2)</f>
        <v>-4.8888888888743369E-2</v>
      </c>
      <c r="N136" s="382">
        <v>0</v>
      </c>
    </row>
    <row r="137" spans="1:14" ht="27.75">
      <c r="A137" s="1143" t="s">
        <v>244</v>
      </c>
      <c r="B137" s="1144"/>
      <c r="C137" s="1144"/>
      <c r="D137" s="523" t="s">
        <v>238</v>
      </c>
      <c r="E137" s="484">
        <f>'8'!F137</f>
        <v>22755.26</v>
      </c>
      <c r="F137" s="654">
        <v>22759</v>
      </c>
      <c r="G137" s="473">
        <f t="shared" si="14"/>
        <v>3.7400000000016007</v>
      </c>
      <c r="H137" s="460">
        <f>G137+'8'!H137</f>
        <v>19.409999999999854</v>
      </c>
      <c r="I137" s="480">
        <f>G135+G136+G137</f>
        <v>3.7400000000016007</v>
      </c>
      <c r="J137" s="552">
        <f>H137/DAY(B2)</f>
        <v>2.1566666666666503</v>
      </c>
      <c r="N137" s="382">
        <v>-0.2999999999992724</v>
      </c>
    </row>
    <row r="138" spans="1:14" ht="27.75">
      <c r="A138" s="1143" t="s">
        <v>245</v>
      </c>
      <c r="B138" s="1144"/>
      <c r="C138" s="1144"/>
      <c r="D138" s="523" t="s">
        <v>238</v>
      </c>
      <c r="E138" s="484">
        <f>'8'!F138</f>
        <v>25051.59</v>
      </c>
      <c r="F138" s="654">
        <v>25051.26</v>
      </c>
      <c r="G138" s="473">
        <f t="shared" si="14"/>
        <v>-0.33000000000174623</v>
      </c>
      <c r="H138" s="460">
        <f>G138+'8'!H138</f>
        <v>-0.33000000000174623</v>
      </c>
      <c r="I138" s="480"/>
      <c r="J138" s="552">
        <f>H138/DAY(B2)</f>
        <v>-3.6666666666860692E-2</v>
      </c>
      <c r="N138" s="382">
        <v>0</v>
      </c>
    </row>
    <row r="139" spans="1:14" ht="27.75">
      <c r="A139" s="1143" t="s">
        <v>246</v>
      </c>
      <c r="B139" s="1144"/>
      <c r="C139" s="1144"/>
      <c r="D139" s="523" t="s">
        <v>238</v>
      </c>
      <c r="E139" s="484">
        <f>'8'!F139</f>
        <v>70338.14</v>
      </c>
      <c r="F139" s="654">
        <v>70341.759999999995</v>
      </c>
      <c r="G139" s="473">
        <f t="shared" si="14"/>
        <v>3.6199999999953434</v>
      </c>
      <c r="H139" s="460">
        <f>G139+'8'!H139</f>
        <v>25.94999999999709</v>
      </c>
      <c r="I139" s="480">
        <f>G138+G139</f>
        <v>3.2899999999935972</v>
      </c>
      <c r="J139" s="552">
        <f>H139/DAY(B2)</f>
        <v>2.88333333333301</v>
      </c>
      <c r="N139" s="382">
        <v>9.7100000000064028</v>
      </c>
    </row>
    <row r="140" spans="1:14" ht="27.75">
      <c r="A140" s="1143" t="s">
        <v>247</v>
      </c>
      <c r="B140" s="1144"/>
      <c r="C140" s="1144"/>
      <c r="D140" s="523" t="s">
        <v>238</v>
      </c>
      <c r="E140" s="484">
        <f>'8'!F140</f>
        <v>1679.24</v>
      </c>
      <c r="F140" s="626">
        <v>1685.98</v>
      </c>
      <c r="G140" s="473">
        <f t="shared" si="14"/>
        <v>6.7400000000000091</v>
      </c>
      <c r="H140" s="460">
        <f>G140+'8'!H140</f>
        <v>69.120000000000118</v>
      </c>
      <c r="I140" s="542"/>
      <c r="J140" s="552">
        <f>H140/DAY(B2)</f>
        <v>7.680000000000013</v>
      </c>
      <c r="N140" s="382">
        <v>0</v>
      </c>
    </row>
    <row r="141" spans="1:14" ht="27.75">
      <c r="A141" s="1143" t="s">
        <v>248</v>
      </c>
      <c r="B141" s="1144"/>
      <c r="C141" s="1144"/>
      <c r="D141" s="523" t="s">
        <v>238</v>
      </c>
      <c r="E141" s="484">
        <f>'8'!F141</f>
        <v>4636.88</v>
      </c>
      <c r="F141" s="478">
        <v>4636.88</v>
      </c>
      <c r="G141" s="473">
        <f t="shared" si="14"/>
        <v>0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57" t="s">
        <v>249</v>
      </c>
      <c r="B142" s="1558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4266.2600000000093</v>
      </c>
      <c r="H143" s="460">
        <f>G143+'8'!H143</f>
        <v>39679</v>
      </c>
      <c r="I143" s="480"/>
      <c r="J143" s="552">
        <f>H143/DAY(B2)</f>
        <v>4408.7777777777774</v>
      </c>
      <c r="K143" s="380"/>
      <c r="L143" s="377"/>
      <c r="N143" s="382">
        <v>2912.0800000000163</v>
      </c>
    </row>
    <row r="144" spans="1:14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0.27831300150042465</v>
      </c>
      <c r="H144" s="460">
        <f>G144+'8'!H144</f>
        <v>2.4662504409487349</v>
      </c>
      <c r="I144" s="544"/>
      <c r="J144" s="552">
        <f>H144/DAY(B2)</f>
        <v>0.27402782677208165</v>
      </c>
      <c r="K144" s="380"/>
      <c r="L144" s="377"/>
      <c r="N144" s="382">
        <v>0.25636763799630391</v>
      </c>
    </row>
    <row r="145" spans="1:14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4766.7299999999959</v>
      </c>
      <c r="H145" s="460">
        <f>G145+'8'!H145</f>
        <v>43722.640000000014</v>
      </c>
      <c r="I145" s="480"/>
      <c r="J145" s="552">
        <f>H145/DAY(B2)</f>
        <v>4858.0711111111123</v>
      </c>
      <c r="K145" s="380"/>
      <c r="L145" s="377"/>
      <c r="N145" s="382">
        <v>2876.3199999999779</v>
      </c>
    </row>
    <row r="146" spans="1:14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0.31096157609759251</v>
      </c>
      <c r="H146" s="460">
        <f>G146+'8'!H146</f>
        <v>2.7223282369033615</v>
      </c>
      <c r="I146" s="544"/>
      <c r="J146" s="552">
        <f>H146/DAY(B2)</f>
        <v>0.30248091521148462</v>
      </c>
      <c r="K146" s="380"/>
      <c r="L146" s="377"/>
      <c r="N146" s="382">
        <v>0.25321947354520452</v>
      </c>
    </row>
    <row r="147" spans="1:14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2303.179999999993</v>
      </c>
      <c r="H147" s="460">
        <f>G147+'8'!H147</f>
        <v>20894</v>
      </c>
      <c r="I147" s="545"/>
      <c r="J147" s="552">
        <f>H147/DAY(B2)</f>
        <v>2321.5555555555557</v>
      </c>
      <c r="K147" s="380"/>
      <c r="L147" s="377"/>
      <c r="N147" s="382">
        <v>2036.5859000000055</v>
      </c>
    </row>
    <row r="148" spans="1:14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0.15024985321938764</v>
      </c>
      <c r="H148" s="460">
        <f>G148+'8'!H148</f>
        <v>1.299200051213097</v>
      </c>
      <c r="I148" s="545"/>
      <c r="J148" s="552">
        <f>H148/DAY(B2)</f>
        <v>0.14435556124589966</v>
      </c>
      <c r="N148" s="382">
        <v>0.17929271062593585</v>
      </c>
    </row>
    <row r="149" spans="1:14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1229.7299999999959</v>
      </c>
      <c r="H149" s="460">
        <f>G149+'8'!H149</f>
        <v>11202.069999999949</v>
      </c>
      <c r="I149" s="480"/>
      <c r="J149" s="552">
        <f>H149/DAY(B2)</f>
        <v>1244.6744444444387</v>
      </c>
      <c r="K149" s="381"/>
      <c r="N149" s="382">
        <v>1071.8899999999849</v>
      </c>
    </row>
    <row r="150" spans="1:14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8.0222454171830909E-2</v>
      </c>
      <c r="H150" s="460">
        <f>G150+'8'!H150</f>
        <v>0.6976529482837458</v>
      </c>
      <c r="I150" s="545"/>
      <c r="J150" s="552">
        <f>H150/DAY(B2)</f>
        <v>7.7516994253749527E-2</v>
      </c>
      <c r="N150" s="382">
        <v>9.4364820846904202E-2</v>
      </c>
    </row>
    <row r="151" spans="1:14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861.69000000000233</v>
      </c>
      <c r="H151" s="460">
        <f>G151+'8'!H151</f>
        <v>11318</v>
      </c>
      <c r="I151" s="545"/>
      <c r="J151" s="552">
        <f>H151/DAY(B2)</f>
        <v>1257.5555555555557</v>
      </c>
      <c r="N151" s="382">
        <v>1124.1299999999901</v>
      </c>
    </row>
    <row r="152" spans="1:14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5.6213060212668947E-2</v>
      </c>
      <c r="H152" s="460">
        <f>G152+'8'!H152</f>
        <v>0.70208486280737992</v>
      </c>
      <c r="I152" s="480"/>
      <c r="J152" s="552">
        <f>H152/DAY(B2)</f>
        <v>7.8009429200819991E-2</v>
      </c>
      <c r="N152" s="382">
        <v>9.8963817237432E-2</v>
      </c>
    </row>
    <row r="153" spans="1:14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1183.9799999999959</v>
      </c>
      <c r="H153" s="460">
        <f>G153+'8'!H153</f>
        <v>11117.869999999995</v>
      </c>
      <c r="I153" s="480"/>
      <c r="J153" s="552">
        <f>H153/DAY(B2)</f>
        <v>1235.3188888888883</v>
      </c>
      <c r="N153" s="382">
        <v>1164.4599999999919</v>
      </c>
    </row>
    <row r="154" spans="1:14" ht="27" customHeight="1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7.7237915062952314E-2</v>
      </c>
      <c r="H154" s="460">
        <f>G154+'8'!H154</f>
        <v>0.69117472270138947</v>
      </c>
      <c r="I154" s="568"/>
      <c r="J154" s="569">
        <f>H154/DAY(B2)</f>
        <v>7.6797191411265495E-2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5" t="s">
        <v>266</v>
      </c>
      <c r="B158" s="1586"/>
      <c r="C158" s="1586"/>
      <c r="D158" s="1586"/>
      <c r="E158" s="1586"/>
      <c r="F158" s="1586"/>
      <c r="G158" s="1587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262</v>
      </c>
      <c r="B161" s="788"/>
      <c r="C161" s="788"/>
      <c r="D161" s="511" t="s">
        <v>186</v>
      </c>
      <c r="E161" s="1063">
        <f>'8'!F161</f>
        <v>36586.199999999997</v>
      </c>
      <c r="F161" s="661">
        <v>36665</v>
      </c>
      <c r="G161" s="473">
        <f t="shared" ref="G161:G172" si="15">F161-E161</f>
        <v>78.80000000000291</v>
      </c>
    </row>
    <row r="162" spans="1:7">
      <c r="A162" s="787" t="s">
        <v>263</v>
      </c>
      <c r="B162" s="788"/>
      <c r="C162" s="788"/>
      <c r="D162" s="511" t="s">
        <v>186</v>
      </c>
      <c r="E162" s="1063">
        <f>'8'!F162</f>
        <v>85741.57</v>
      </c>
      <c r="F162" s="661">
        <v>86130</v>
      </c>
      <c r="G162" s="473">
        <f t="shared" si="15"/>
        <v>388.42999999999302</v>
      </c>
    </row>
    <row r="163" spans="1:7">
      <c r="A163" s="787" t="s">
        <v>264</v>
      </c>
      <c r="B163" s="788"/>
      <c r="C163" s="788"/>
      <c r="D163" s="511" t="s">
        <v>186</v>
      </c>
      <c r="E163" s="1063">
        <f>'8'!F163</f>
        <v>40045.4</v>
      </c>
      <c r="F163" s="661">
        <v>40244</v>
      </c>
      <c r="G163" s="473">
        <f t="shared" si="15"/>
        <v>198.59999999999854</v>
      </c>
    </row>
    <row r="164" spans="1:7">
      <c r="A164" s="787" t="s">
        <v>265</v>
      </c>
      <c r="B164" s="788"/>
      <c r="C164" s="788"/>
      <c r="D164" s="511" t="s">
        <v>186</v>
      </c>
      <c r="E164" s="1063">
        <f>'8'!F164</f>
        <v>6289.63</v>
      </c>
      <c r="F164" s="661">
        <v>6310</v>
      </c>
      <c r="G164" s="473">
        <f t="shared" si="15"/>
        <v>20.369999999999891</v>
      </c>
    </row>
    <row r="165" spans="1:7">
      <c r="A165" s="789" t="s">
        <v>98</v>
      </c>
      <c r="B165" s="604"/>
      <c r="C165" s="604"/>
      <c r="D165" s="511" t="s">
        <v>186</v>
      </c>
      <c r="E165" s="1063">
        <f>'8'!F165</f>
        <v>20419</v>
      </c>
      <c r="F165" s="514">
        <f>F62</f>
        <v>20419</v>
      </c>
      <c r="G165" s="473">
        <f t="shared" si="15"/>
        <v>0</v>
      </c>
    </row>
    <row r="166" spans="1:7">
      <c r="A166" s="789" t="s">
        <v>187</v>
      </c>
      <c r="B166" s="604"/>
      <c r="C166" s="604"/>
      <c r="D166" s="511" t="s">
        <v>186</v>
      </c>
      <c r="E166" s="1063">
        <f>'8'!F166</f>
        <v>2389.54</v>
      </c>
      <c r="F166" s="514">
        <f t="shared" ref="F166:F172" si="16">F63</f>
        <v>2393</v>
      </c>
      <c r="G166" s="473">
        <f t="shared" si="15"/>
        <v>3.4600000000000364</v>
      </c>
    </row>
    <row r="167" spans="1:7" ht="27.75">
      <c r="A167" s="1526" t="s">
        <v>99</v>
      </c>
      <c r="B167" s="1526"/>
      <c r="C167" s="1526"/>
      <c r="D167" s="523" t="s">
        <v>186</v>
      </c>
      <c r="E167" s="1063">
        <f>'8'!F167</f>
        <v>154960.59</v>
      </c>
      <c r="F167" s="514">
        <f t="shared" si="16"/>
        <v>155156</v>
      </c>
      <c r="G167" s="473">
        <f t="shared" si="15"/>
        <v>195.41000000000349</v>
      </c>
    </row>
    <row r="168" spans="1:7" ht="27.75">
      <c r="A168" s="1526" t="s">
        <v>100</v>
      </c>
      <c r="B168" s="1526"/>
      <c r="C168" s="1526"/>
      <c r="D168" s="523" t="s">
        <v>186</v>
      </c>
      <c r="E168" s="1063">
        <f>'8'!F168</f>
        <v>156159.20000000001</v>
      </c>
      <c r="F168" s="514">
        <f t="shared" si="16"/>
        <v>156346</v>
      </c>
      <c r="G168" s="473">
        <f t="shared" si="15"/>
        <v>186.79999999998836</v>
      </c>
    </row>
    <row r="169" spans="1:7" ht="27.75">
      <c r="A169" s="1526" t="s">
        <v>101</v>
      </c>
      <c r="B169" s="1526"/>
      <c r="C169" s="1526"/>
      <c r="D169" s="523" t="s">
        <v>186</v>
      </c>
      <c r="E169" s="1063">
        <f>'8'!F169</f>
        <v>50673.49</v>
      </c>
      <c r="F169" s="514">
        <f t="shared" si="16"/>
        <v>50927</v>
      </c>
      <c r="G169" s="473">
        <f t="shared" si="15"/>
        <v>253.51000000000204</v>
      </c>
    </row>
    <row r="170" spans="1:7" ht="27.75">
      <c r="A170" s="1526" t="s">
        <v>102</v>
      </c>
      <c r="B170" s="1526"/>
      <c r="C170" s="1526"/>
      <c r="D170" s="523" t="s">
        <v>186</v>
      </c>
      <c r="E170" s="1063">
        <f>'8'!F170</f>
        <v>244529.27</v>
      </c>
      <c r="F170" s="514">
        <f t="shared" si="16"/>
        <v>244700</v>
      </c>
      <c r="G170" s="473">
        <f t="shared" si="15"/>
        <v>170.73000000001048</v>
      </c>
    </row>
    <row r="171" spans="1:7" ht="27.75">
      <c r="A171" s="1526" t="s">
        <v>103</v>
      </c>
      <c r="B171" s="1526"/>
      <c r="C171" s="1526"/>
      <c r="D171" s="523" t="s">
        <v>186</v>
      </c>
      <c r="E171" s="1063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1063">
        <f>'8'!F172</f>
        <v>79618.399999999994</v>
      </c>
      <c r="F172" s="514">
        <f t="shared" si="16"/>
        <v>79731</v>
      </c>
      <c r="G172" s="473">
        <f t="shared" si="15"/>
        <v>112.60000000000582</v>
      </c>
    </row>
    <row r="177" spans="6:6" ht="18.75" customHeight="1"/>
    <row r="178" spans="6:6" ht="18.75" customHeight="1">
      <c r="F178" s="666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zoomScale="60" zoomScaleNormal="55" workbookViewId="0">
      <selection activeCell="H8" sqref="H8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4" s="281" customFormat="1" ht="27">
      <c r="A2" s="575" t="s">
        <v>364</v>
      </c>
      <c r="B2" s="1035">
        <v>44326</v>
      </c>
      <c r="C2" s="1145" t="s">
        <v>69</v>
      </c>
      <c r="D2" s="611">
        <v>0.52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3"/>
    </row>
    <row r="3" spans="1:14" s="281" customFormat="1" ht="27">
      <c r="A3" s="570"/>
      <c r="B3" s="614"/>
      <c r="C3" s="1145" t="s">
        <v>119</v>
      </c>
      <c r="D3" s="612">
        <v>30</v>
      </c>
      <c r="E3" s="1568" t="s">
        <v>120</v>
      </c>
      <c r="F3" s="1569"/>
      <c r="G3" s="462"/>
      <c r="H3" s="463"/>
      <c r="I3" s="463"/>
      <c r="J3" s="615"/>
      <c r="K3" s="371"/>
      <c r="L3" s="292"/>
      <c r="N3" s="713"/>
    </row>
    <row r="4" spans="1:14" s="281" customFormat="1" ht="27">
      <c r="A4" s="576"/>
      <c r="B4" s="616"/>
      <c r="C4" s="1145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3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130</v>
      </c>
      <c r="B7" s="680"/>
      <c r="C7" s="680"/>
      <c r="D7" s="638" t="s">
        <v>131</v>
      </c>
      <c r="E7" s="633">
        <f>'9'!F7</f>
        <v>5872618</v>
      </c>
      <c r="F7" s="455">
        <v>5887762</v>
      </c>
      <c r="G7" s="681">
        <f>F7-E7</f>
        <v>15144</v>
      </c>
      <c r="H7" s="682">
        <f>G7+'9'!H7</f>
        <v>160329</v>
      </c>
      <c r="I7" s="683">
        <v>12000</v>
      </c>
      <c r="J7" s="684">
        <f>H7/DAY(B2)</f>
        <v>16032.9</v>
      </c>
      <c r="K7" s="549"/>
      <c r="L7" s="377"/>
      <c r="N7" s="714"/>
    </row>
    <row r="8" spans="1:14" ht="27.75" thickBot="1">
      <c r="A8" s="685" t="s">
        <v>132</v>
      </c>
      <c r="B8" s="686"/>
      <c r="C8" s="687"/>
      <c r="D8" s="688" t="s">
        <v>25</v>
      </c>
      <c r="E8" s="633">
        <f>'9'!F8</f>
        <v>5907092</v>
      </c>
      <c r="F8" s="475">
        <v>5922347</v>
      </c>
      <c r="G8" s="692">
        <f>F8-E8</f>
        <v>15255</v>
      </c>
      <c r="H8" s="682">
        <f>G8+'9'!H8</f>
        <v>161103</v>
      </c>
      <c r="I8" s="689">
        <v>12000</v>
      </c>
      <c r="J8" s="684">
        <f>H8/DAY(B2)</f>
        <v>16110.3</v>
      </c>
      <c r="K8" s="549"/>
      <c r="L8" s="425"/>
      <c r="M8" s="440"/>
      <c r="N8" s="715"/>
    </row>
    <row r="9" spans="1:14">
      <c r="A9" s="690" t="s">
        <v>133</v>
      </c>
      <c r="B9" s="691"/>
      <c r="C9" s="691"/>
      <c r="D9" s="638" t="s">
        <v>131</v>
      </c>
      <c r="E9" s="633">
        <f>'9'!F9</f>
        <v>1131200</v>
      </c>
      <c r="F9" s="478">
        <v>1145721</v>
      </c>
      <c r="G9" s="705">
        <f t="shared" ref="G9:G12" si="0">F9-E9</f>
        <v>14521</v>
      </c>
      <c r="H9" s="682">
        <f>G9+'9'!H9</f>
        <v>155007</v>
      </c>
      <c r="I9" s="693">
        <f>I7-J7</f>
        <v>-4032.8999999999996</v>
      </c>
      <c r="J9" s="684">
        <f>H9/DAY(B2)</f>
        <v>15500.7</v>
      </c>
      <c r="K9" s="428"/>
      <c r="L9" s="377"/>
      <c r="N9" s="716"/>
    </row>
    <row r="10" spans="1:14">
      <c r="A10" s="679" t="s">
        <v>134</v>
      </c>
      <c r="B10" s="680"/>
      <c r="C10" s="680"/>
      <c r="D10" s="638" t="s">
        <v>131</v>
      </c>
      <c r="E10" s="633">
        <f>'9'!F10</f>
        <v>2322.58</v>
      </c>
      <c r="F10" s="478">
        <v>2322.58</v>
      </c>
      <c r="G10" s="692">
        <f t="shared" si="0"/>
        <v>0</v>
      </c>
      <c r="H10" s="682">
        <f>G10+'9'!H10</f>
        <v>0</v>
      </c>
      <c r="I10" s="694"/>
      <c r="J10" s="684">
        <f>H10/DAY(B2)</f>
        <v>0</v>
      </c>
      <c r="K10" s="428"/>
      <c r="L10" s="377"/>
      <c r="N10" s="716"/>
    </row>
    <row r="11" spans="1:14">
      <c r="A11" s="679" t="s">
        <v>135</v>
      </c>
      <c r="B11" s="680"/>
      <c r="C11" s="680"/>
      <c r="D11" s="638" t="s">
        <v>131</v>
      </c>
      <c r="E11" s="633">
        <f>'9'!E11</f>
        <v>37000</v>
      </c>
      <c r="F11" s="455">
        <v>37000</v>
      </c>
      <c r="G11" s="692">
        <f t="shared" si="0"/>
        <v>0</v>
      </c>
      <c r="H11" s="682">
        <f>G11+'9'!H11</f>
        <v>0</v>
      </c>
      <c r="I11" s="694"/>
      <c r="J11" s="684">
        <f>H11/DAY(B2)</f>
        <v>0</v>
      </c>
      <c r="K11" s="428"/>
      <c r="L11" s="377"/>
      <c r="N11" s="716"/>
    </row>
    <row r="12" spans="1:14">
      <c r="A12" s="679" t="s">
        <v>136</v>
      </c>
      <c r="B12" s="680"/>
      <c r="C12" s="680"/>
      <c r="D12" s="638" t="s">
        <v>131</v>
      </c>
      <c r="E12" s="633">
        <f>'9'!E12</f>
        <v>40010</v>
      </c>
      <c r="F12" s="478">
        <v>40010</v>
      </c>
      <c r="G12" s="692">
        <f t="shared" si="0"/>
        <v>0</v>
      </c>
      <c r="H12" s="682">
        <f>G12+'9'!H12</f>
        <v>0</v>
      </c>
      <c r="I12" s="694"/>
      <c r="J12" s="684">
        <f>H12/DAY(B2)</f>
        <v>0</v>
      </c>
      <c r="K12" s="428"/>
      <c r="L12" s="377"/>
      <c r="N12" s="716"/>
    </row>
    <row r="13" spans="1:14">
      <c r="A13" s="695" t="s">
        <v>137</v>
      </c>
      <c r="B13" s="696"/>
      <c r="C13" s="696"/>
      <c r="D13" s="638"/>
      <c r="E13" s="633"/>
      <c r="F13" s="455"/>
      <c r="G13" s="697">
        <f>G9+G10+G11+G12</f>
        <v>14521</v>
      </c>
      <c r="H13" s="682">
        <f>G13+'9'!H13</f>
        <v>155007</v>
      </c>
      <c r="I13" s="698">
        <f>G7-G13</f>
        <v>623</v>
      </c>
      <c r="J13" s="684">
        <f>H13/DAY(B2)</f>
        <v>15500.7</v>
      </c>
      <c r="K13" s="428"/>
      <c r="L13" s="377"/>
      <c r="N13" s="716"/>
    </row>
    <row r="14" spans="1:14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716"/>
    </row>
    <row r="15" spans="1:14">
      <c r="A15" s="795" t="s">
        <v>139</v>
      </c>
      <c r="B15" s="790"/>
      <c r="C15" s="790"/>
      <c r="D15" s="524" t="s">
        <v>140</v>
      </c>
      <c r="E15" s="485">
        <f>'9'!F15</f>
        <v>1674707</v>
      </c>
      <c r="F15" s="485">
        <v>1674950</v>
      </c>
      <c r="G15" s="667">
        <f>(F15-E15)</f>
        <v>243</v>
      </c>
      <c r="H15" s="486">
        <f>G15+'9'!H15</f>
        <v>4293</v>
      </c>
      <c r="I15" s="474">
        <v>800</v>
      </c>
      <c r="J15" s="553">
        <f>H15/DAY(B2)</f>
        <v>429.3</v>
      </c>
      <c r="K15" s="428"/>
      <c r="L15" s="377"/>
      <c r="N15" s="716"/>
    </row>
    <row r="16" spans="1:14">
      <c r="A16" s="793"/>
      <c r="B16" s="794"/>
      <c r="C16" s="794"/>
      <c r="D16" s="791"/>
      <c r="E16" s="792"/>
      <c r="F16" s="485"/>
      <c r="G16" s="672"/>
      <c r="H16" s="486"/>
      <c r="I16" s="482">
        <f>I15-J15</f>
        <v>370.7</v>
      </c>
      <c r="J16" s="553"/>
      <c r="K16" s="428"/>
      <c r="L16" s="377"/>
      <c r="N16" s="716"/>
    </row>
    <row r="17" spans="1:14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716"/>
    </row>
    <row r="18" spans="1:14" ht="27.75">
      <c r="A18" s="1591" t="s">
        <v>142</v>
      </c>
      <c r="B18" s="1592"/>
      <c r="C18" s="1593"/>
      <c r="D18" s="638" t="s">
        <v>143</v>
      </c>
      <c r="E18" s="635">
        <f>'9'!F18</f>
        <v>4</v>
      </c>
      <c r="F18" s="478">
        <v>2</v>
      </c>
      <c r="G18" s="697">
        <f>F18*10</f>
        <v>20</v>
      </c>
      <c r="H18" s="682">
        <f>G18+'9'!H18</f>
        <v>440</v>
      </c>
      <c r="I18" s="683">
        <v>65</v>
      </c>
      <c r="J18" s="684">
        <f>H18/DAY(B2)</f>
        <v>44</v>
      </c>
      <c r="K18" s="428"/>
      <c r="L18" s="377"/>
      <c r="N18" s="716"/>
    </row>
    <row r="19" spans="1:14" ht="27.75">
      <c r="A19" s="1591" t="s">
        <v>71</v>
      </c>
      <c r="B19" s="1592"/>
      <c r="C19" s="1593"/>
      <c r="D19" s="638" t="s">
        <v>143</v>
      </c>
      <c r="E19" s="635">
        <f>'9'!F19</f>
        <v>138297</v>
      </c>
      <c r="F19" s="478">
        <v>138354</v>
      </c>
      <c r="G19" s="692">
        <f t="shared" ref="G19" si="1">F19-E19</f>
        <v>57</v>
      </c>
      <c r="H19" s="682">
        <f>G19+'9'!H19</f>
        <v>542</v>
      </c>
      <c r="I19" s="699"/>
      <c r="J19" s="684">
        <f>H19/DAY(B2)</f>
        <v>54.2</v>
      </c>
      <c r="K19" s="428"/>
      <c r="L19" s="377"/>
      <c r="N19" s="716"/>
    </row>
    <row r="20" spans="1:14">
      <c r="A20" s="695" t="s">
        <v>144</v>
      </c>
      <c r="B20" s="696"/>
      <c r="C20" s="696"/>
      <c r="D20" s="638"/>
      <c r="E20" s="638"/>
      <c r="F20" s="524"/>
      <c r="G20" s="700">
        <f>G18+G19</f>
        <v>77</v>
      </c>
      <c r="H20" s="682">
        <f>G20+'9'!H20</f>
        <v>982</v>
      </c>
      <c r="I20" s="701">
        <f>I18-J20</f>
        <v>-33.200000000000003</v>
      </c>
      <c r="J20" s="684">
        <f>H20/DAY(B2)</f>
        <v>98.2</v>
      </c>
      <c r="K20" s="428"/>
      <c r="L20" s="377"/>
      <c r="N20" s="716"/>
    </row>
    <row r="21" spans="1:14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716"/>
    </row>
    <row r="22" spans="1:14">
      <c r="A22" s="1143" t="s">
        <v>146</v>
      </c>
      <c r="B22" s="589"/>
      <c r="C22" s="589"/>
      <c r="D22" s="523" t="s">
        <v>147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6"/>
    </row>
    <row r="23" spans="1:14">
      <c r="A23" s="1143" t="s">
        <v>148</v>
      </c>
      <c r="B23" s="589"/>
      <c r="C23" s="589"/>
      <c r="D23" s="523" t="s">
        <v>147</v>
      </c>
      <c r="E23" s="635">
        <f>'9'!F23</f>
        <v>2000</v>
      </c>
      <c r="F23" s="478">
        <v>2000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6"/>
    </row>
    <row r="24" spans="1:14">
      <c r="A24" s="590" t="s">
        <v>149</v>
      </c>
      <c r="B24" s="591"/>
      <c r="C24" s="591"/>
      <c r="D24" s="511" t="s">
        <v>147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6"/>
    </row>
    <row r="25" spans="1:14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716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6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15255</v>
      </c>
      <c r="F27" s="501">
        <v>9</v>
      </c>
      <c r="G27" s="502">
        <f>E27*F27</f>
        <v>137295</v>
      </c>
      <c r="H27" s="460">
        <f>G27+'9'!H27</f>
        <v>1449927</v>
      </c>
      <c r="I27" s="503"/>
      <c r="J27" s="552">
        <f>H27/DAY(B2)</f>
        <v>144992.70000000001</v>
      </c>
      <c r="K27" s="373"/>
      <c r="L27" s="443"/>
      <c r="N27" s="716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2">
        <f>G15</f>
        <v>243</v>
      </c>
      <c r="F28" s="501">
        <v>51.45</v>
      </c>
      <c r="G28" s="502">
        <f>E28*F28</f>
        <v>12502.35</v>
      </c>
      <c r="H28" s="460">
        <f>G28+'9'!H28</f>
        <v>214590.6</v>
      </c>
      <c r="I28" s="505"/>
      <c r="J28" s="552">
        <f>H28/DAY(B2)</f>
        <v>21459.06</v>
      </c>
      <c r="K28" s="373"/>
      <c r="L28" s="443"/>
      <c r="N28" s="716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6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2">
        <f>G19</f>
        <v>57</v>
      </c>
      <c r="F30" s="501">
        <v>134</v>
      </c>
      <c r="G30" s="502">
        <f>E30*F30</f>
        <v>7638</v>
      </c>
      <c r="H30" s="460">
        <f>G30+'9'!H30</f>
        <v>72628</v>
      </c>
      <c r="I30" s="505"/>
      <c r="J30" s="552">
        <f>H30/DAY(B2)</f>
        <v>7262.8</v>
      </c>
      <c r="K30" s="373"/>
      <c r="L30" s="443"/>
      <c r="N30" s="716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2">
        <f>G18</f>
        <v>20</v>
      </c>
      <c r="F31" s="501">
        <v>80</v>
      </c>
      <c r="G31" s="502">
        <f>E31*F31</f>
        <v>1600</v>
      </c>
      <c r="H31" s="460">
        <f>G31+'9'!H31</f>
        <v>35200</v>
      </c>
      <c r="I31" s="505"/>
      <c r="J31" s="552">
        <f>H31/DAY(B2)</f>
        <v>3520</v>
      </c>
      <c r="K31" s="373"/>
      <c r="L31" s="443"/>
      <c r="N31" s="716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159035.35</v>
      </c>
      <c r="H32" s="460">
        <f>G32+'9'!H32</f>
        <v>1772345.6000000003</v>
      </c>
      <c r="I32" s="509"/>
      <c r="J32" s="552">
        <f>H32/DAY(B2)</f>
        <v>177234.56000000003</v>
      </c>
      <c r="K32" s="373"/>
      <c r="L32" s="443"/>
      <c r="N32" s="716"/>
    </row>
    <row r="33" spans="1:14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716"/>
    </row>
    <row r="34" spans="1:14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716"/>
    </row>
    <row r="35" spans="1:14">
      <c r="A35" s="578" t="s">
        <v>163</v>
      </c>
      <c r="B35" s="579"/>
      <c r="C35" s="579"/>
      <c r="D35" s="523" t="s">
        <v>131</v>
      </c>
      <c r="E35" s="510">
        <f>'9'!F35</f>
        <v>905872</v>
      </c>
      <c r="F35" s="1036">
        <v>907723</v>
      </c>
      <c r="G35" s="473">
        <f t="shared" ref="G35:G46" si="3">F35-E35</f>
        <v>1851</v>
      </c>
      <c r="H35" s="460">
        <f>G35+'9'!H35</f>
        <v>21264</v>
      </c>
      <c r="I35" s="455"/>
      <c r="J35" s="552">
        <f>H35/DAY(B2)</f>
        <v>2126.4</v>
      </c>
      <c r="K35" s="428"/>
      <c r="L35" s="377"/>
      <c r="N35" s="716"/>
    </row>
    <row r="36" spans="1:14">
      <c r="A36" s="578" t="s">
        <v>164</v>
      </c>
      <c r="B36" s="579"/>
      <c r="C36" s="579"/>
      <c r="D36" s="523" t="s">
        <v>131</v>
      </c>
      <c r="E36" s="510">
        <f>'9'!F36</f>
        <v>347065</v>
      </c>
      <c r="F36" s="1036">
        <v>347065</v>
      </c>
      <c r="G36" s="473">
        <f t="shared" si="3"/>
        <v>0</v>
      </c>
      <c r="H36" s="460">
        <f>G36+'9'!H36</f>
        <v>2457</v>
      </c>
      <c r="I36" s="455"/>
      <c r="J36" s="552">
        <f>H36/DAY(B2)</f>
        <v>245.7</v>
      </c>
      <c r="K36" s="428"/>
      <c r="L36" s="377"/>
      <c r="N36" s="717"/>
    </row>
    <row r="37" spans="1:14">
      <c r="A37" s="578" t="s">
        <v>165</v>
      </c>
      <c r="B37" s="579"/>
      <c r="C37" s="579"/>
      <c r="D37" s="523" t="s">
        <v>131</v>
      </c>
      <c r="E37" s="510">
        <f>'9'!F37</f>
        <v>106343</v>
      </c>
      <c r="F37" s="1036">
        <v>107530</v>
      </c>
      <c r="G37" s="473">
        <f t="shared" si="3"/>
        <v>1187</v>
      </c>
      <c r="H37" s="460">
        <f>G37+'9'!H37</f>
        <v>12305</v>
      </c>
      <c r="I37" s="455"/>
      <c r="J37" s="552">
        <f>H37/DAY(B2)</f>
        <v>1230.5</v>
      </c>
      <c r="K37" s="428"/>
      <c r="L37" s="377"/>
      <c r="N37" s="717"/>
    </row>
    <row r="38" spans="1:14">
      <c r="A38" s="578" t="s">
        <v>166</v>
      </c>
      <c r="B38" s="579"/>
      <c r="C38" s="579"/>
      <c r="D38" s="523" t="s">
        <v>131</v>
      </c>
      <c r="E38" s="510">
        <f>'9'!F38</f>
        <v>130798</v>
      </c>
      <c r="F38" s="467">
        <v>131865</v>
      </c>
      <c r="G38" s="473">
        <f t="shared" si="3"/>
        <v>1067</v>
      </c>
      <c r="H38" s="460">
        <f>G38+'9'!H38</f>
        <v>12269</v>
      </c>
      <c r="I38" s="455"/>
      <c r="J38" s="552">
        <f>H38/DAY(B2)</f>
        <v>1226.9000000000001</v>
      </c>
      <c r="K38" s="428"/>
      <c r="L38" s="377"/>
      <c r="N38" s="716"/>
    </row>
    <row r="39" spans="1:14">
      <c r="A39" s="578" t="s">
        <v>167</v>
      </c>
      <c r="B39" s="579"/>
      <c r="C39" s="579"/>
      <c r="D39" s="523" t="s">
        <v>131</v>
      </c>
      <c r="E39" s="510">
        <f>'9'!F39</f>
        <v>262691</v>
      </c>
      <c r="F39" s="1036">
        <v>264341</v>
      </c>
      <c r="G39" s="473">
        <f t="shared" si="3"/>
        <v>1650</v>
      </c>
      <c r="H39" s="460">
        <f>G39+'9'!H39</f>
        <v>17688</v>
      </c>
      <c r="I39" s="455"/>
      <c r="J39" s="552">
        <f>H39/DAY(B2)</f>
        <v>1768.8</v>
      </c>
      <c r="K39" s="428"/>
      <c r="L39" s="377"/>
      <c r="N39" s="716"/>
    </row>
    <row r="40" spans="1:14">
      <c r="A40" s="599" t="s">
        <v>168</v>
      </c>
      <c r="B40" s="600"/>
      <c r="C40" s="600"/>
      <c r="D40" s="523" t="s">
        <v>131</v>
      </c>
      <c r="E40" s="510">
        <f>'9'!F40</f>
        <v>0.23</v>
      </c>
      <c r="F40" s="1036">
        <v>0.23</v>
      </c>
      <c r="G40" s="473">
        <f t="shared" si="3"/>
        <v>0</v>
      </c>
      <c r="H40" s="460">
        <f>G40+'9'!H40</f>
        <v>0</v>
      </c>
      <c r="I40" s="455"/>
      <c r="J40" s="552">
        <f>H40/DAY(B2)</f>
        <v>0</v>
      </c>
      <c r="K40" s="429"/>
      <c r="L40" s="377"/>
      <c r="N40" s="716"/>
    </row>
    <row r="41" spans="1:14">
      <c r="A41" s="578" t="s">
        <v>169</v>
      </c>
      <c r="B41" s="579"/>
      <c r="C41" s="579"/>
      <c r="D41" s="523" t="s">
        <v>131</v>
      </c>
      <c r="E41" s="510">
        <f>'9'!F41</f>
        <v>225164</v>
      </c>
      <c r="F41" s="1036">
        <v>230025</v>
      </c>
      <c r="G41" s="473">
        <f>F41-E41</f>
        <v>4861</v>
      </c>
      <c r="H41" s="460">
        <f>G41+'9'!H41</f>
        <v>48497</v>
      </c>
      <c r="I41" s="455"/>
      <c r="J41" s="552">
        <f>H41/DAY(B2)</f>
        <v>4849.7</v>
      </c>
      <c r="K41" s="428"/>
      <c r="L41" s="377"/>
      <c r="N41" s="716"/>
    </row>
    <row r="42" spans="1:14">
      <c r="A42" s="578" t="s">
        <v>170</v>
      </c>
      <c r="B42" s="579"/>
      <c r="C42" s="579"/>
      <c r="D42" s="523" t="s">
        <v>131</v>
      </c>
      <c r="E42" s="510">
        <f>'9'!F42</f>
        <v>59200</v>
      </c>
      <c r="F42" s="1036">
        <v>59200</v>
      </c>
      <c r="G42" s="473">
        <f t="shared" si="3"/>
        <v>0</v>
      </c>
      <c r="H42" s="460">
        <f>G42+'9'!H42</f>
        <v>0</v>
      </c>
      <c r="I42" s="455"/>
      <c r="J42" s="552">
        <f>H42/DAY(B2)</f>
        <v>0</v>
      </c>
      <c r="K42" s="428"/>
      <c r="L42" s="377"/>
      <c r="N42" s="716"/>
    </row>
    <row r="43" spans="1:14">
      <c r="A43" s="578" t="s">
        <v>171</v>
      </c>
      <c r="B43" s="579"/>
      <c r="C43" s="579"/>
      <c r="D43" s="523" t="s">
        <v>131</v>
      </c>
      <c r="E43" s="510">
        <f>'9'!F43</f>
        <v>994224</v>
      </c>
      <c r="F43" s="1036">
        <v>996352</v>
      </c>
      <c r="G43" s="473">
        <f t="shared" si="3"/>
        <v>2128</v>
      </c>
      <c r="H43" s="460">
        <f>G43+'9'!H43</f>
        <v>22394</v>
      </c>
      <c r="I43" s="455"/>
      <c r="J43" s="552">
        <f>H43/DAY(B2)</f>
        <v>2239.4</v>
      </c>
      <c r="K43" s="428"/>
      <c r="L43" s="377"/>
      <c r="N43" s="716"/>
    </row>
    <row r="44" spans="1:14">
      <c r="A44" s="578" t="s">
        <v>172</v>
      </c>
      <c r="B44" s="579"/>
      <c r="C44" s="579"/>
      <c r="D44" s="523" t="s">
        <v>131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6"/>
    </row>
    <row r="45" spans="1:14">
      <c r="A45" s="578" t="s">
        <v>173</v>
      </c>
      <c r="B45" s="579"/>
      <c r="C45" s="579"/>
      <c r="D45" s="523" t="s">
        <v>131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6"/>
    </row>
    <row r="46" spans="1:14">
      <c r="A46" s="578" t="s">
        <v>174</v>
      </c>
      <c r="B46" s="579"/>
      <c r="C46" s="579"/>
      <c r="D46" s="523" t="s">
        <v>131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6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12744</v>
      </c>
      <c r="H47" s="460">
        <f>G47+'9'!H47</f>
        <v>136874</v>
      </c>
      <c r="I47" s="455"/>
      <c r="J47" s="552">
        <f>H47/DAY(B2)</f>
        <v>13687.4</v>
      </c>
      <c r="K47" s="428"/>
      <c r="L47" s="377"/>
      <c r="N47" s="716"/>
    </row>
    <row r="48" spans="1:14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716"/>
    </row>
    <row r="49" spans="1:14">
      <c r="A49" s="578" t="s">
        <v>163</v>
      </c>
      <c r="B49" s="601"/>
      <c r="C49" s="601"/>
      <c r="D49" s="523" t="s">
        <v>131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</v>
      </c>
      <c r="I49" s="455"/>
      <c r="J49" s="552">
        <f>H49/DAY(B2)</f>
        <v>0</v>
      </c>
      <c r="K49" s="428"/>
      <c r="L49" s="377"/>
      <c r="N49" s="716"/>
    </row>
    <row r="50" spans="1:14">
      <c r="A50" s="578" t="s">
        <v>177</v>
      </c>
      <c r="B50" s="601"/>
      <c r="C50" s="601"/>
      <c r="D50" s="523" t="s">
        <v>131</v>
      </c>
      <c r="E50" s="510">
        <f>'9'!F50</f>
        <v>483397</v>
      </c>
      <c r="F50" s="1036">
        <v>484336</v>
      </c>
      <c r="G50" s="473">
        <f t="shared" si="4"/>
        <v>939</v>
      </c>
      <c r="H50" s="460">
        <f>G50+'9'!H50</f>
        <v>9800</v>
      </c>
      <c r="I50" s="455"/>
      <c r="J50" s="552">
        <f>H50/DAY(B2)</f>
        <v>980</v>
      </c>
      <c r="K50" s="428"/>
      <c r="L50" s="377"/>
      <c r="N50" s="716"/>
    </row>
    <row r="51" spans="1:14">
      <c r="A51" s="578" t="s">
        <v>165</v>
      </c>
      <c r="B51" s="601"/>
      <c r="C51" s="601"/>
      <c r="D51" s="523" t="s">
        <v>131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6"/>
    </row>
    <row r="52" spans="1:14">
      <c r="A52" s="578" t="s">
        <v>178</v>
      </c>
      <c r="B52" s="601"/>
      <c r="C52" s="601"/>
      <c r="D52" s="523" t="s">
        <v>131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6"/>
    </row>
    <row r="53" spans="1:14">
      <c r="A53" s="578" t="s">
        <v>167</v>
      </c>
      <c r="B53" s="601"/>
      <c r="C53" s="601"/>
      <c r="D53" s="523" t="s">
        <v>131</v>
      </c>
      <c r="E53" s="510">
        <f>'9'!F53</f>
        <v>421167</v>
      </c>
      <c r="F53" s="510">
        <v>421690</v>
      </c>
      <c r="G53" s="473">
        <f t="shared" si="4"/>
        <v>523</v>
      </c>
      <c r="H53" s="460">
        <f>G53+'9'!H53</f>
        <v>5379</v>
      </c>
      <c r="I53" s="455"/>
      <c r="J53" s="552">
        <f>H53/DAY(B2)</f>
        <v>537.9</v>
      </c>
      <c r="K53" s="428"/>
      <c r="L53" s="377"/>
      <c r="N53" s="716"/>
    </row>
    <row r="54" spans="1:14">
      <c r="A54" s="578" t="s">
        <v>179</v>
      </c>
      <c r="B54" s="601"/>
      <c r="C54" s="601"/>
      <c r="D54" s="523" t="s">
        <v>131</v>
      </c>
      <c r="E54" s="510">
        <f>'9'!F54</f>
        <v>12032</v>
      </c>
      <c r="F54" s="510">
        <v>12105</v>
      </c>
      <c r="G54" s="473">
        <f t="shared" si="4"/>
        <v>73</v>
      </c>
      <c r="H54" s="460">
        <f>G54+'9'!H54</f>
        <v>4416</v>
      </c>
      <c r="I54" s="455"/>
      <c r="J54" s="552">
        <f>H54/DAY(B2)</f>
        <v>441.6</v>
      </c>
      <c r="K54" s="428"/>
      <c r="L54" s="377"/>
      <c r="N54" s="716"/>
    </row>
    <row r="55" spans="1:14">
      <c r="A55" s="578" t="s">
        <v>180</v>
      </c>
      <c r="B55" s="601"/>
      <c r="C55" s="601"/>
      <c r="D55" s="523" t="s">
        <v>131</v>
      </c>
      <c r="E55" s="510">
        <f>'9'!F55</f>
        <v>1979.37</v>
      </c>
      <c r="F55" s="656">
        <v>1979.37</v>
      </c>
      <c r="G55" s="655">
        <f t="shared" si="4"/>
        <v>0</v>
      </c>
      <c r="H55" s="708">
        <f>G55+'9'!H55</f>
        <v>0</v>
      </c>
      <c r="I55" s="709"/>
      <c r="J55" s="710">
        <f>H55/DAY(B2)</f>
        <v>0</v>
      </c>
      <c r="K55" s="428"/>
      <c r="L55" s="377"/>
      <c r="N55" s="716"/>
    </row>
    <row r="56" spans="1:14">
      <c r="A56" s="578" t="s">
        <v>181</v>
      </c>
      <c r="B56" s="601"/>
      <c r="C56" s="601"/>
      <c r="D56" s="523" t="s">
        <v>182</v>
      </c>
      <c r="E56" s="510">
        <f>'9'!F56</f>
        <v>589375.11</v>
      </c>
      <c r="F56" s="656">
        <v>589375</v>
      </c>
      <c r="G56" s="473">
        <f t="shared" si="4"/>
        <v>-0.10999999998603016</v>
      </c>
      <c r="H56" s="460">
        <f>G56+'9'!H56</f>
        <v>86.53000000002794</v>
      </c>
      <c r="I56" s="455"/>
      <c r="J56" s="552">
        <f>H56/DAY(B2)</f>
        <v>8.6530000000027947</v>
      </c>
      <c r="K56" s="427"/>
      <c r="L56" s="377"/>
      <c r="N56" s="716"/>
    </row>
    <row r="57" spans="1:14">
      <c r="A57" s="578" t="s">
        <v>171</v>
      </c>
      <c r="B57" s="601"/>
      <c r="C57" s="601"/>
      <c r="D57" s="523" t="s">
        <v>131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6"/>
    </row>
    <row r="58" spans="1:14">
      <c r="A58" s="578" t="s">
        <v>183</v>
      </c>
      <c r="B58" s="601"/>
      <c r="C58" s="601"/>
      <c r="D58" s="523" t="s">
        <v>131</v>
      </c>
      <c r="E58" s="510">
        <f>'9'!F58</f>
        <v>47473</v>
      </c>
      <c r="F58" s="656">
        <v>47522</v>
      </c>
      <c r="G58" s="473">
        <f t="shared" si="4"/>
        <v>49</v>
      </c>
      <c r="H58" s="460">
        <f>G58+'9'!H58</f>
        <v>854</v>
      </c>
      <c r="I58" s="455"/>
      <c r="J58" s="552">
        <f>H58/DAY(B2)</f>
        <v>85.4</v>
      </c>
      <c r="K58" s="428"/>
      <c r="L58" s="377"/>
      <c r="N58" s="716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1583.890000000014</v>
      </c>
      <c r="H59" s="460">
        <f>G59+'9'!H59</f>
        <v>20535.469999999972</v>
      </c>
      <c r="I59" s="455">
        <f>G7-G60</f>
        <v>816.10999999998603</v>
      </c>
      <c r="J59" s="552">
        <f>H59/DAY(B2)</f>
        <v>2053.5469999999973</v>
      </c>
      <c r="K59" s="428"/>
      <c r="L59" s="377"/>
      <c r="N59" s="716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14327.890000000014</v>
      </c>
      <c r="H60" s="460">
        <f>G60+'9'!H60</f>
        <v>157409.46999999997</v>
      </c>
      <c r="I60" s="455">
        <f>G8-G60</f>
        <v>927.10999999998603</v>
      </c>
      <c r="J60" s="552">
        <f>H60/DAY(B2)</f>
        <v>15740.946999999996</v>
      </c>
      <c r="K60" s="428"/>
      <c r="L60" s="377"/>
      <c r="N60" s="716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6"/>
    </row>
    <row r="62" spans="1:14">
      <c r="A62" s="603" t="s">
        <v>98</v>
      </c>
      <c r="B62" s="604"/>
      <c r="C62" s="604"/>
      <c r="D62" s="511" t="s">
        <v>186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6"/>
    </row>
    <row r="63" spans="1:14">
      <c r="A63" s="603" t="s">
        <v>187</v>
      </c>
      <c r="B63" s="604"/>
      <c r="C63" s="604"/>
      <c r="D63" s="511" t="s">
        <v>186</v>
      </c>
      <c r="E63" s="514">
        <f>'9'!F63</f>
        <v>2393</v>
      </c>
      <c r="F63" s="514">
        <v>2397</v>
      </c>
      <c r="G63" s="473">
        <f t="shared" si="5"/>
        <v>4</v>
      </c>
      <c r="H63" s="460">
        <f>G63+'9'!H63</f>
        <v>38</v>
      </c>
      <c r="I63" s="515"/>
      <c r="J63" s="552">
        <f>H63/DAY(B2)</f>
        <v>3.8</v>
      </c>
      <c r="K63" s="428"/>
      <c r="L63" s="377"/>
      <c r="N63" s="716"/>
    </row>
    <row r="64" spans="1:14" ht="27.75">
      <c r="A64" s="1530" t="s">
        <v>99</v>
      </c>
      <c r="B64" s="1531"/>
      <c r="C64" s="1532"/>
      <c r="D64" s="523" t="s">
        <v>186</v>
      </c>
      <c r="E64" s="514">
        <f>'9'!F64</f>
        <v>155156</v>
      </c>
      <c r="F64" s="478">
        <v>155359</v>
      </c>
      <c r="G64" s="473">
        <f t="shared" si="5"/>
        <v>203</v>
      </c>
      <c r="H64" s="460">
        <f>G64+'9'!H64</f>
        <v>2060</v>
      </c>
      <c r="I64" s="480"/>
      <c r="J64" s="552">
        <f>H64/DAY(B2)</f>
        <v>206</v>
      </c>
      <c r="K64" s="428"/>
      <c r="L64" s="377"/>
      <c r="N64" s="716"/>
    </row>
    <row r="65" spans="1:14" ht="27.75">
      <c r="A65" s="1530" t="s">
        <v>100</v>
      </c>
      <c r="B65" s="1531"/>
      <c r="C65" s="1532"/>
      <c r="D65" s="523" t="s">
        <v>186</v>
      </c>
      <c r="E65" s="514">
        <f>'9'!F65</f>
        <v>156346</v>
      </c>
      <c r="F65" s="654">
        <v>156480</v>
      </c>
      <c r="G65" s="473">
        <f t="shared" si="5"/>
        <v>134</v>
      </c>
      <c r="H65" s="460">
        <f>G65+'9'!H65</f>
        <v>1881</v>
      </c>
      <c r="I65" s="489"/>
      <c r="J65" s="552">
        <f>H65/DAY(B2)</f>
        <v>188.1</v>
      </c>
      <c r="K65" s="428"/>
      <c r="L65" s="377"/>
      <c r="N65" s="716"/>
    </row>
    <row r="66" spans="1:14" ht="27.75">
      <c r="A66" s="1530" t="s">
        <v>101</v>
      </c>
      <c r="B66" s="1531"/>
      <c r="C66" s="1532"/>
      <c r="D66" s="523" t="s">
        <v>186</v>
      </c>
      <c r="E66" s="514">
        <f>'9'!F66</f>
        <v>50927</v>
      </c>
      <c r="F66" s="478">
        <v>51186</v>
      </c>
      <c r="G66" s="473">
        <f t="shared" si="5"/>
        <v>259</v>
      </c>
      <c r="H66" s="460">
        <f>G66+'9'!H66</f>
        <v>2615</v>
      </c>
      <c r="I66" s="480"/>
      <c r="J66" s="552">
        <f>H66/DAY(B2)</f>
        <v>261.5</v>
      </c>
      <c r="K66" s="428"/>
      <c r="L66" s="377"/>
      <c r="N66" s="716"/>
    </row>
    <row r="67" spans="1:14" ht="27.75">
      <c r="A67" s="1530" t="s">
        <v>102</v>
      </c>
      <c r="B67" s="1531"/>
      <c r="C67" s="1532"/>
      <c r="D67" s="523" t="s">
        <v>186</v>
      </c>
      <c r="E67" s="514">
        <f>'9'!F67</f>
        <v>244700</v>
      </c>
      <c r="F67" s="478">
        <v>244826</v>
      </c>
      <c r="G67" s="473">
        <f t="shared" si="5"/>
        <v>126</v>
      </c>
      <c r="H67" s="460">
        <f>G67+'9'!H67</f>
        <v>1652</v>
      </c>
      <c r="I67" s="489"/>
      <c r="J67" s="552">
        <f>H67/DAY(B2)</f>
        <v>165.2</v>
      </c>
      <c r="K67" s="429"/>
      <c r="L67" s="377"/>
      <c r="N67" s="716"/>
    </row>
    <row r="68" spans="1:14" ht="27.75">
      <c r="A68" s="1530" t="s">
        <v>103</v>
      </c>
      <c r="B68" s="1531"/>
      <c r="C68" s="1532"/>
      <c r="D68" s="523" t="s">
        <v>186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6"/>
    </row>
    <row r="69" spans="1:14" ht="27.75">
      <c r="A69" s="1530" t="s">
        <v>104</v>
      </c>
      <c r="B69" s="1531"/>
      <c r="C69" s="1532"/>
      <c r="D69" s="523" t="s">
        <v>186</v>
      </c>
      <c r="E69" s="514">
        <f>'9'!F69</f>
        <v>79731</v>
      </c>
      <c r="F69" s="478">
        <v>79831</v>
      </c>
      <c r="G69" s="473">
        <f t="shared" si="5"/>
        <v>100</v>
      </c>
      <c r="H69" s="460">
        <f>G69+'9'!H69</f>
        <v>837</v>
      </c>
      <c r="I69" s="516"/>
      <c r="J69" s="552">
        <f>H69/DAY(B2)</f>
        <v>83.7</v>
      </c>
      <c r="K69" s="431"/>
      <c r="L69" s="377"/>
      <c r="N69" s="716"/>
    </row>
    <row r="70" spans="1:14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6"/>
    </row>
    <row r="71" spans="1:14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716"/>
    </row>
    <row r="72" spans="1:14" ht="27.75">
      <c r="A72" s="1530" t="s">
        <v>190</v>
      </c>
      <c r="B72" s="1531"/>
      <c r="C72" s="1532"/>
      <c r="D72" s="523" t="s">
        <v>186</v>
      </c>
      <c r="E72" s="519">
        <f>'9'!F72</f>
        <v>855604</v>
      </c>
      <c r="F72" s="657">
        <v>855621</v>
      </c>
      <c r="G72" s="473">
        <f t="shared" ref="G72:G84" si="6">F72-E72</f>
        <v>17</v>
      </c>
      <c r="H72" s="460">
        <f>G72+'9'!H72</f>
        <v>160</v>
      </c>
      <c r="I72" s="480"/>
      <c r="J72" s="552">
        <f>H72/DAY(B2)</f>
        <v>16</v>
      </c>
      <c r="K72" s="431"/>
      <c r="L72" s="377"/>
      <c r="N72" s="716"/>
    </row>
    <row r="73" spans="1:14" ht="27.75">
      <c r="A73" s="1530" t="s">
        <v>191</v>
      </c>
      <c r="B73" s="1531"/>
      <c r="C73" s="1532"/>
      <c r="D73" s="523" t="s">
        <v>186</v>
      </c>
      <c r="E73" s="519">
        <f>'9'!F73</f>
        <v>885886</v>
      </c>
      <c r="F73" s="658">
        <v>885887</v>
      </c>
      <c r="G73" s="655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6"/>
    </row>
    <row r="74" spans="1:14" ht="27.75">
      <c r="A74" s="1530" t="s">
        <v>192</v>
      </c>
      <c r="B74" s="1531"/>
      <c r="C74" s="1532"/>
      <c r="D74" s="523" t="s">
        <v>186</v>
      </c>
      <c r="E74" s="519">
        <f>'9'!F74</f>
        <v>2422</v>
      </c>
      <c r="F74" s="657">
        <v>2434</v>
      </c>
      <c r="G74" s="473">
        <f t="shared" si="6"/>
        <v>12</v>
      </c>
      <c r="H74" s="460">
        <f>G74+'9'!H74</f>
        <v>155</v>
      </c>
      <c r="I74" s="480"/>
      <c r="J74" s="552">
        <f>H74/DAY(B2)</f>
        <v>15.5</v>
      </c>
      <c r="K74" s="431"/>
      <c r="L74" s="377"/>
      <c r="N74" s="716"/>
    </row>
    <row r="75" spans="1:14" ht="27.75">
      <c r="A75" s="1527" t="s">
        <v>193</v>
      </c>
      <c r="B75" s="1528"/>
      <c r="C75" s="1529"/>
      <c r="D75" s="523" t="s">
        <v>186</v>
      </c>
      <c r="E75" s="519">
        <f>'9'!F75</f>
        <v>11458</v>
      </c>
      <c r="F75" s="658">
        <v>11511</v>
      </c>
      <c r="G75" s="473">
        <f t="shared" si="6"/>
        <v>53</v>
      </c>
      <c r="H75" s="460">
        <f>G75+'9'!H75</f>
        <v>541</v>
      </c>
      <c r="I75" s="480"/>
      <c r="J75" s="552">
        <f>H75/DAY(B2)</f>
        <v>54.1</v>
      </c>
      <c r="K75" s="430"/>
      <c r="L75" s="377"/>
      <c r="N75" s="716"/>
    </row>
    <row r="76" spans="1:14" ht="27.75">
      <c r="A76" s="1527" t="s">
        <v>194</v>
      </c>
      <c r="B76" s="1528"/>
      <c r="C76" s="1529"/>
      <c r="D76" s="523" t="s">
        <v>186</v>
      </c>
      <c r="E76" s="519">
        <f>'9'!F76</f>
        <v>6196</v>
      </c>
      <c r="F76" s="658">
        <v>6253</v>
      </c>
      <c r="G76" s="473">
        <f t="shared" si="6"/>
        <v>57</v>
      </c>
      <c r="H76" s="460">
        <f>G76+'9'!H76</f>
        <v>544</v>
      </c>
      <c r="I76" s="505"/>
      <c r="J76" s="552">
        <f>H76/DAY(B2)</f>
        <v>54.4</v>
      </c>
      <c r="K76" s="430"/>
      <c r="L76" s="377"/>
      <c r="N76" s="716"/>
    </row>
    <row r="77" spans="1:14" ht="27.75">
      <c r="A77" s="1530" t="s">
        <v>195</v>
      </c>
      <c r="B77" s="1531"/>
      <c r="C77" s="1532"/>
      <c r="D77" s="523" t="s">
        <v>186</v>
      </c>
      <c r="E77" s="519">
        <f>'9'!F77</f>
        <v>702003</v>
      </c>
      <c r="F77" s="658">
        <v>702055</v>
      </c>
      <c r="G77" s="655">
        <f t="shared" si="6"/>
        <v>52</v>
      </c>
      <c r="H77" s="460">
        <f>G77+'9'!H77</f>
        <v>493</v>
      </c>
      <c r="I77" s="505"/>
      <c r="J77" s="552">
        <f>H77/DAY(B2)</f>
        <v>49.3</v>
      </c>
      <c r="K77" s="430"/>
      <c r="L77" s="377"/>
      <c r="N77" s="716"/>
    </row>
    <row r="78" spans="1:14" ht="27.75">
      <c r="A78" s="1146" t="s">
        <v>196</v>
      </c>
      <c r="B78" s="1119"/>
      <c r="C78" s="1119"/>
      <c r="D78" s="523" t="s">
        <v>186</v>
      </c>
      <c r="E78" s="519">
        <f>'9'!F78</f>
        <v>670702</v>
      </c>
      <c r="F78" s="659">
        <v>670772</v>
      </c>
      <c r="G78" s="473">
        <f t="shared" si="6"/>
        <v>70</v>
      </c>
      <c r="H78" s="460">
        <f>G78+'9'!H78</f>
        <v>747</v>
      </c>
      <c r="I78" s="505"/>
      <c r="J78" s="552">
        <f>H78/DAY(B2)</f>
        <v>74.7</v>
      </c>
      <c r="K78" s="430"/>
      <c r="L78" s="377"/>
      <c r="N78" s="716"/>
    </row>
    <row r="79" spans="1:14" ht="27.75">
      <c r="A79" s="1527" t="s">
        <v>92</v>
      </c>
      <c r="B79" s="1528"/>
      <c r="C79" s="1529"/>
      <c r="D79" s="524" t="s">
        <v>186</v>
      </c>
      <c r="E79" s="519">
        <f>'9'!F79</f>
        <v>828200</v>
      </c>
      <c r="F79" s="659">
        <v>828309</v>
      </c>
      <c r="G79" s="473">
        <f t="shared" si="6"/>
        <v>109</v>
      </c>
      <c r="H79" s="460">
        <f>G79+'9'!H79</f>
        <v>1525</v>
      </c>
      <c r="I79" s="505"/>
      <c r="J79" s="552">
        <f>H79/DAY(B2)</f>
        <v>152.5</v>
      </c>
      <c r="K79" s="430"/>
      <c r="L79" s="377"/>
      <c r="N79" s="716"/>
    </row>
    <row r="80" spans="1:14" ht="27.75">
      <c r="A80" s="1527" t="s">
        <v>197</v>
      </c>
      <c r="B80" s="1528"/>
      <c r="C80" s="1529"/>
      <c r="D80" s="524" t="s">
        <v>186</v>
      </c>
      <c r="E80" s="519">
        <f>'9'!F80</f>
        <v>520053</v>
      </c>
      <c r="F80" s="658">
        <v>520396</v>
      </c>
      <c r="G80" s="473">
        <f>F80-E80</f>
        <v>343</v>
      </c>
      <c r="H80" s="460">
        <f>G80+'9'!H80</f>
        <v>3658</v>
      </c>
      <c r="I80" s="505"/>
      <c r="J80" s="552">
        <f>H80/DAY(B2)</f>
        <v>365.8</v>
      </c>
      <c r="K80" s="430"/>
      <c r="L80" s="377"/>
      <c r="N80" s="716"/>
    </row>
    <row r="81" spans="1:15" ht="27.75">
      <c r="A81" s="1527" t="s">
        <v>198</v>
      </c>
      <c r="B81" s="1528"/>
      <c r="C81" s="1529"/>
      <c r="D81" s="524" t="s">
        <v>186</v>
      </c>
      <c r="E81" s="519">
        <f>'9'!F81</f>
        <v>637140</v>
      </c>
      <c r="F81" s="658">
        <v>637217</v>
      </c>
      <c r="G81" s="473">
        <f t="shared" si="6"/>
        <v>77</v>
      </c>
      <c r="H81" s="460">
        <f>G81+'9'!H81</f>
        <v>739</v>
      </c>
      <c r="I81" s="505"/>
      <c r="J81" s="552">
        <f>H81/DAY(B2)</f>
        <v>73.900000000000006</v>
      </c>
      <c r="K81" s="430"/>
      <c r="L81" s="377"/>
      <c r="N81" s="716"/>
    </row>
    <row r="82" spans="1:15" ht="27.75">
      <c r="A82" s="1527" t="s">
        <v>93</v>
      </c>
      <c r="B82" s="1528"/>
      <c r="C82" s="1529"/>
      <c r="D82" s="485" t="s">
        <v>131</v>
      </c>
      <c r="E82" s="519">
        <f>'9'!F82</f>
        <v>107790</v>
      </c>
      <c r="F82" s="654">
        <v>107801</v>
      </c>
      <c r="G82" s="473">
        <f t="shared" si="6"/>
        <v>11</v>
      </c>
      <c r="H82" s="460">
        <f>G82+'9'!H82</f>
        <v>189</v>
      </c>
      <c r="I82" s="486"/>
      <c r="J82" s="552">
        <f>H82/DAY(B2)</f>
        <v>18.899999999999999</v>
      </c>
      <c r="K82" s="430"/>
      <c r="L82" s="377"/>
      <c r="N82" s="716"/>
    </row>
    <row r="83" spans="1:15" ht="27.75">
      <c r="A83" s="1527" t="s">
        <v>199</v>
      </c>
      <c r="B83" s="1528"/>
      <c r="C83" s="1529"/>
      <c r="D83" s="620" t="s">
        <v>131</v>
      </c>
      <c r="E83" s="519">
        <f>'9'!F83</f>
        <v>16683</v>
      </c>
      <c r="F83" s="511">
        <v>16845</v>
      </c>
      <c r="G83" s="473">
        <f t="shared" si="6"/>
        <v>162</v>
      </c>
      <c r="H83" s="460">
        <f>G83+'9'!H83</f>
        <v>2074</v>
      </c>
      <c r="I83" s="481"/>
      <c r="J83" s="552">
        <f>H83/DAY(B2)</f>
        <v>207.4</v>
      </c>
      <c r="K83" s="429"/>
      <c r="L83" s="377"/>
      <c r="N83" s="716"/>
    </row>
    <row r="84" spans="1:15">
      <c r="A84" s="1147" t="s">
        <v>200</v>
      </c>
      <c r="B84" s="571"/>
      <c r="C84" s="571"/>
      <c r="D84" s="478" t="s">
        <v>131</v>
      </c>
      <c r="E84" s="519">
        <f>'9'!F84</f>
        <v>487244</v>
      </c>
      <c r="F84" s="627">
        <v>487880</v>
      </c>
      <c r="G84" s="473">
        <f t="shared" si="6"/>
        <v>636</v>
      </c>
      <c r="H84" s="460">
        <f>G84+'9'!H84</f>
        <v>7747</v>
      </c>
      <c r="I84" s="481"/>
      <c r="J84" s="552">
        <f>H84/DAY(B2)</f>
        <v>774.7</v>
      </c>
      <c r="K84" s="380"/>
      <c r="L84" s="377"/>
      <c r="N84" s="716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1600</v>
      </c>
      <c r="H85" s="460">
        <f>G85+'9'!H85</f>
        <v>18583</v>
      </c>
      <c r="I85" s="481"/>
      <c r="J85" s="552">
        <f>H85/DAY(B2)</f>
        <v>1858.3</v>
      </c>
      <c r="K85" s="380"/>
      <c r="L85" s="378"/>
      <c r="N85" s="716"/>
    </row>
    <row r="86" spans="1:15" s="738" customFormat="1">
      <c r="A86" s="733" t="s">
        <v>94</v>
      </c>
      <c r="B86" s="734"/>
      <c r="C86" s="734"/>
      <c r="D86" s="735" t="s">
        <v>182</v>
      </c>
      <c r="E86" s="627">
        <f>'9'!F86</f>
        <v>460084</v>
      </c>
      <c r="F86" s="650">
        <v>460177</v>
      </c>
      <c r="G86" s="708">
        <f t="shared" ref="G86:G91" si="7">F86-E86</f>
        <v>93</v>
      </c>
      <c r="H86" s="460">
        <f>G86+'9'!H86</f>
        <v>152</v>
      </c>
      <c r="I86" s="655"/>
      <c r="J86" s="710">
        <f>H86/DAY(B2)</f>
        <v>15.2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182</v>
      </c>
      <c r="E87" s="627">
        <f>'9'!F87</f>
        <v>81037</v>
      </c>
      <c r="F87" s="650">
        <v>81054</v>
      </c>
      <c r="G87" s="708">
        <f t="shared" si="7"/>
        <v>17</v>
      </c>
      <c r="H87" s="460">
        <f>G87+'9'!H87</f>
        <v>29</v>
      </c>
      <c r="I87" s="655"/>
      <c r="J87" s="710">
        <f>H87/DAY(B2)</f>
        <v>2.9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182</v>
      </c>
      <c r="E88" s="627">
        <f>'9'!F88</f>
        <v>152146</v>
      </c>
      <c r="F88" s="639">
        <v>152265</v>
      </c>
      <c r="G88" s="708">
        <f t="shared" si="7"/>
        <v>119</v>
      </c>
      <c r="H88" s="460">
        <f>G88+'9'!H88</f>
        <v>162</v>
      </c>
      <c r="I88" s="655"/>
      <c r="J88" s="710">
        <f>H88/DAY(B2)</f>
        <v>16.2</v>
      </c>
      <c r="K88" s="736"/>
      <c r="L88" s="737"/>
      <c r="O88" s="716"/>
    </row>
    <row r="89" spans="1:15" s="738" customFormat="1">
      <c r="A89" s="733" t="s">
        <v>203</v>
      </c>
      <c r="B89" s="734"/>
      <c r="C89" s="734"/>
      <c r="D89" s="735" t="s">
        <v>182</v>
      </c>
      <c r="E89" s="627">
        <f>'9'!F89</f>
        <v>64892</v>
      </c>
      <c r="F89" s="650">
        <v>64898</v>
      </c>
      <c r="G89" s="708">
        <f t="shared" si="7"/>
        <v>6</v>
      </c>
      <c r="H89" s="460">
        <f>G89+'9'!H89</f>
        <v>19</v>
      </c>
      <c r="I89" s="655"/>
      <c r="J89" s="710">
        <f>H89/DAY(B2)</f>
        <v>1.9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27">
        <f>'9'!F90</f>
        <v>3272</v>
      </c>
      <c r="F90" s="650">
        <v>3272</v>
      </c>
      <c r="G90" s="708">
        <f t="shared" si="7"/>
        <v>0</v>
      </c>
      <c r="H90" s="460">
        <f>G90+'9'!H90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27">
        <f>'9'!F91</f>
        <v>27931</v>
      </c>
      <c r="F91" s="650">
        <v>27933</v>
      </c>
      <c r="G91" s="708">
        <f t="shared" si="7"/>
        <v>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16"/>
    </row>
    <row r="93" spans="1:15" ht="27.75">
      <c r="A93" s="1551" t="s">
        <v>205</v>
      </c>
      <c r="B93" s="1552"/>
      <c r="C93" s="1553"/>
      <c r="D93" s="523" t="s">
        <v>143</v>
      </c>
      <c r="E93" s="484">
        <f>'9'!F93</f>
        <v>244814</v>
      </c>
      <c r="F93" s="478">
        <v>244814</v>
      </c>
      <c r="G93" s="473">
        <f t="shared" ref="G93:G94" si="8">F93-E93</f>
        <v>0</v>
      </c>
      <c r="H93" s="460">
        <f>G93+'9'!H93</f>
        <v>290</v>
      </c>
      <c r="I93" s="480"/>
      <c r="J93" s="552">
        <f>H93/DAY(B2)</f>
        <v>29</v>
      </c>
      <c r="K93" s="429"/>
      <c r="L93" s="377"/>
      <c r="N93" s="716"/>
    </row>
    <row r="94" spans="1:15" ht="27.75">
      <c r="A94" s="1551" t="s">
        <v>206</v>
      </c>
      <c r="B94" s="1552"/>
      <c r="C94" s="1553"/>
      <c r="D94" s="523" t="s">
        <v>143</v>
      </c>
      <c r="E94" s="484">
        <f>'9'!F94</f>
        <v>184304</v>
      </c>
      <c r="F94" s="478">
        <v>184349</v>
      </c>
      <c r="G94" s="473">
        <f t="shared" si="8"/>
        <v>45</v>
      </c>
      <c r="H94" s="460">
        <f>G94+'9'!H94</f>
        <v>818</v>
      </c>
      <c r="I94" s="480"/>
      <c r="J94" s="552">
        <f>H94/DAY(B2)</f>
        <v>81.8</v>
      </c>
      <c r="K94" s="380"/>
      <c r="L94" s="377"/>
      <c r="N94" s="716"/>
    </row>
    <row r="95" spans="1:15">
      <c r="A95" s="1579" t="s">
        <v>207</v>
      </c>
      <c r="B95" s="1580"/>
      <c r="C95" s="1581"/>
      <c r="D95" s="523"/>
      <c r="E95" s="484"/>
      <c r="F95" s="478"/>
      <c r="G95" s="473">
        <f>G93+G94</f>
        <v>45</v>
      </c>
      <c r="H95" s="460">
        <f>G95+'9'!H95</f>
        <v>961</v>
      </c>
      <c r="I95" s="480"/>
      <c r="J95" s="552">
        <f>H95/DAY(B2)</f>
        <v>96.1</v>
      </c>
      <c r="K95" s="380"/>
      <c r="L95" s="377"/>
      <c r="N95" s="716"/>
    </row>
    <row r="96" spans="1:15" ht="27.75">
      <c r="A96" s="1551" t="s">
        <v>208</v>
      </c>
      <c r="B96" s="1552"/>
      <c r="C96" s="1553"/>
      <c r="D96" s="523" t="s">
        <v>143</v>
      </c>
      <c r="E96" s="484">
        <f>'9'!F96</f>
        <v>413342</v>
      </c>
      <c r="F96" s="478">
        <v>413366</v>
      </c>
      <c r="G96" s="473">
        <f t="shared" ref="G96:G101" si="9">F96-E96</f>
        <v>24</v>
      </c>
      <c r="H96" s="460">
        <f>G96+'9'!H96</f>
        <v>480</v>
      </c>
      <c r="I96" s="480"/>
      <c r="J96" s="552">
        <f>H96/DAY(B2)</f>
        <v>48</v>
      </c>
      <c r="K96" s="380"/>
      <c r="L96" s="377"/>
      <c r="N96" s="716"/>
    </row>
    <row r="97" spans="1:14" ht="27.75">
      <c r="A97" s="1143" t="s">
        <v>209</v>
      </c>
      <c r="B97" s="1144"/>
      <c r="C97" s="1144"/>
      <c r="D97" s="523" t="s">
        <v>143</v>
      </c>
      <c r="E97" s="484">
        <f>'9'!F97</f>
        <v>102436</v>
      </c>
      <c r="F97" s="478">
        <v>102443</v>
      </c>
      <c r="G97" s="473">
        <f t="shared" si="9"/>
        <v>7</v>
      </c>
      <c r="H97" s="460">
        <f>G97+'9'!H97</f>
        <v>100</v>
      </c>
      <c r="I97" s="480"/>
      <c r="J97" s="552">
        <f>H97/DAY(B2)</f>
        <v>10</v>
      </c>
      <c r="K97" s="427"/>
      <c r="L97" s="377"/>
      <c r="N97" s="716"/>
    </row>
    <row r="98" spans="1:14" ht="27.75">
      <c r="A98" s="1143" t="s">
        <v>210</v>
      </c>
      <c r="B98" s="1144"/>
      <c r="C98" s="1144"/>
      <c r="D98" s="523" t="s">
        <v>143</v>
      </c>
      <c r="E98" s="484">
        <f>'9'!F98</f>
        <v>97553</v>
      </c>
      <c r="F98" s="478">
        <v>97562</v>
      </c>
      <c r="G98" s="473">
        <f t="shared" si="9"/>
        <v>9</v>
      </c>
      <c r="H98" s="460">
        <f>G98+'9'!H98</f>
        <v>135</v>
      </c>
      <c r="I98" s="480"/>
      <c r="J98" s="552">
        <f>H98/DAY(B2)</f>
        <v>13.5</v>
      </c>
      <c r="K98" s="432"/>
      <c r="L98" s="377"/>
      <c r="N98" s="716"/>
    </row>
    <row r="99" spans="1:14" ht="27.75">
      <c r="A99" s="1143" t="s">
        <v>211</v>
      </c>
      <c r="B99" s="1144"/>
      <c r="C99" s="1144"/>
      <c r="D99" s="523" t="s">
        <v>143</v>
      </c>
      <c r="E99" s="484">
        <f>'9'!F99</f>
        <v>149597</v>
      </c>
      <c r="F99" s="478">
        <v>149609</v>
      </c>
      <c r="G99" s="473">
        <f t="shared" si="9"/>
        <v>12</v>
      </c>
      <c r="H99" s="460">
        <f>G99+'9'!H99</f>
        <v>76</v>
      </c>
      <c r="I99" s="480"/>
      <c r="J99" s="552">
        <f>H99/DAY(B2)</f>
        <v>7.6</v>
      </c>
      <c r="K99" s="380"/>
      <c r="L99" s="377"/>
      <c r="N99" s="718"/>
    </row>
    <row r="100" spans="1:14" ht="27.75">
      <c r="A100" s="1143" t="s">
        <v>212</v>
      </c>
      <c r="B100" s="1144"/>
      <c r="C100" s="1144"/>
      <c r="D100" s="523" t="s">
        <v>143</v>
      </c>
      <c r="E100" s="484">
        <f>'9'!F100</f>
        <v>7217</v>
      </c>
      <c r="F100" s="478">
        <v>7220</v>
      </c>
      <c r="G100" s="473">
        <f t="shared" si="9"/>
        <v>3</v>
      </c>
      <c r="H100" s="460">
        <f>G100+'9'!H100</f>
        <v>35</v>
      </c>
      <c r="I100" s="480"/>
      <c r="J100" s="552">
        <f>H100/DAY(B2)</f>
        <v>3.5</v>
      </c>
      <c r="K100" s="380"/>
      <c r="L100" s="377"/>
      <c r="N100" s="716"/>
    </row>
    <row r="101" spans="1:14" ht="27.75">
      <c r="A101" s="1143" t="s">
        <v>213</v>
      </c>
      <c r="B101" s="1144"/>
      <c r="C101" s="1144"/>
      <c r="D101" s="523" t="s">
        <v>143</v>
      </c>
      <c r="E101" s="484">
        <f>'9'!F101</f>
        <v>5215</v>
      </c>
      <c r="F101" s="478">
        <v>5218</v>
      </c>
      <c r="G101" s="473">
        <f t="shared" si="9"/>
        <v>3</v>
      </c>
      <c r="H101" s="460">
        <f>G101+'9'!H101</f>
        <v>80</v>
      </c>
      <c r="I101" s="480"/>
      <c r="J101" s="552">
        <f>H101/DAY(B2)</f>
        <v>8</v>
      </c>
      <c r="K101" s="380"/>
      <c r="L101" s="377"/>
      <c r="N101" s="716"/>
    </row>
    <row r="102" spans="1:14">
      <c r="A102" s="1579" t="s">
        <v>215</v>
      </c>
      <c r="B102" s="1580"/>
      <c r="C102" s="1581"/>
      <c r="D102" s="524"/>
      <c r="E102" s="484"/>
      <c r="F102" s="524"/>
      <c r="G102" s="525">
        <f>SUM(G96:G101)</f>
        <v>58</v>
      </c>
      <c r="H102" s="460">
        <f>G102+'9'!H102</f>
        <v>906</v>
      </c>
      <c r="I102" s="526"/>
      <c r="J102" s="552">
        <f>H102/DAY(B2)</f>
        <v>90.6</v>
      </c>
      <c r="K102" s="380"/>
      <c r="L102" s="377"/>
      <c r="N102" s="716"/>
    </row>
    <row r="103" spans="1:14" s="442" customFormat="1" ht="27">
      <c r="A103" s="607" t="s">
        <v>216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16"/>
    </row>
    <row r="104" spans="1:14" s="442" customFormat="1" ht="27.75">
      <c r="A104" s="1582" t="s">
        <v>217</v>
      </c>
      <c r="B104" s="1583"/>
      <c r="C104" s="573"/>
      <c r="D104" s="622"/>
      <c r="E104" s="484"/>
      <c r="F104" s="661"/>
      <c r="G104" s="532"/>
      <c r="H104" s="533"/>
      <c r="I104" s="532"/>
      <c r="J104" s="558"/>
      <c r="N104" s="716"/>
    </row>
    <row r="105" spans="1:14" s="442" customFormat="1" ht="27.75">
      <c r="A105" s="1543" t="s">
        <v>218</v>
      </c>
      <c r="B105" s="1544"/>
      <c r="C105" s="1142"/>
      <c r="D105" s="622" t="s">
        <v>143</v>
      </c>
      <c r="E105" s="484">
        <f>'9'!F105</f>
        <v>7349</v>
      </c>
      <c r="F105" s="661">
        <v>7349</v>
      </c>
      <c r="G105" s="532">
        <v>8</v>
      </c>
      <c r="H105" s="460">
        <f>G105+'9'!H105</f>
        <v>21</v>
      </c>
      <c r="I105" s="532"/>
      <c r="J105" s="558">
        <f>H105/DAY(B2)</f>
        <v>2.1</v>
      </c>
      <c r="N105" s="716"/>
    </row>
    <row r="106" spans="1:14" s="442" customFormat="1" ht="27.75">
      <c r="A106" s="1543" t="s">
        <v>77</v>
      </c>
      <c r="B106" s="1544"/>
      <c r="C106" s="1142"/>
      <c r="D106" s="622" t="s">
        <v>143</v>
      </c>
      <c r="E106" s="484">
        <f>'9'!F106</f>
        <v>35860</v>
      </c>
      <c r="F106" s="662">
        <v>35860</v>
      </c>
      <c r="G106" s="532">
        <f t="shared" ref="G106:G107" si="10">F106-E106</f>
        <v>0</v>
      </c>
      <c r="H106" s="460">
        <f>G106+'9'!H106</f>
        <v>188</v>
      </c>
      <c r="I106" s="532"/>
      <c r="J106" s="558">
        <f>H106/DAY(B2)</f>
        <v>18.8</v>
      </c>
      <c r="N106" s="716"/>
    </row>
    <row r="107" spans="1:14" s="442" customFormat="1" ht="27.75">
      <c r="A107" s="1543" t="s">
        <v>78</v>
      </c>
      <c r="B107" s="1584"/>
      <c r="C107" s="1544"/>
      <c r="D107" s="622" t="s">
        <v>143</v>
      </c>
      <c r="E107" s="484">
        <f>'9'!F107</f>
        <v>19649</v>
      </c>
      <c r="F107" s="662">
        <v>19650</v>
      </c>
      <c r="G107" s="532">
        <f t="shared" si="10"/>
        <v>1</v>
      </c>
      <c r="H107" s="460">
        <f>G107+'9'!H107</f>
        <v>215</v>
      </c>
      <c r="I107" s="532"/>
      <c r="J107" s="558">
        <f>H107/DAY(B2)</f>
        <v>21.5</v>
      </c>
      <c r="N107" s="716"/>
    </row>
    <row r="108" spans="1:14" s="442" customFormat="1" ht="27.75">
      <c r="A108" s="1545" t="s">
        <v>201</v>
      </c>
      <c r="B108" s="1546"/>
      <c r="C108" s="1142"/>
      <c r="D108" s="622"/>
      <c r="E108" s="484"/>
      <c r="F108" s="662"/>
      <c r="G108" s="532">
        <f>SUM(G105:G107)</f>
        <v>9</v>
      </c>
      <c r="H108" s="460">
        <f>G108+'9'!H108</f>
        <v>424</v>
      </c>
      <c r="I108" s="532"/>
      <c r="J108" s="558">
        <f>H108/DAY(B2)</f>
        <v>42.4</v>
      </c>
      <c r="N108" s="716"/>
    </row>
    <row r="109" spans="1:14" s="442" customFormat="1" ht="27.75">
      <c r="A109" s="1549" t="s">
        <v>79</v>
      </c>
      <c r="B109" s="1550"/>
      <c r="C109" s="1142"/>
      <c r="D109" s="622" t="s">
        <v>143</v>
      </c>
      <c r="E109" s="484"/>
      <c r="F109" s="662"/>
      <c r="G109" s="532"/>
      <c r="H109" s="533"/>
      <c r="I109" s="532"/>
      <c r="J109" s="558"/>
      <c r="N109" s="716"/>
    </row>
    <row r="110" spans="1:14" s="442" customFormat="1" ht="27.75">
      <c r="A110" s="1543" t="s">
        <v>219</v>
      </c>
      <c r="B110" s="1544"/>
      <c r="C110" s="1142"/>
      <c r="D110" s="622" t="s">
        <v>143</v>
      </c>
      <c r="E110" s="484">
        <f>'9'!F110</f>
        <v>61629</v>
      </c>
      <c r="F110" s="662">
        <v>61669</v>
      </c>
      <c r="G110" s="532">
        <f>F110-E110</f>
        <v>40</v>
      </c>
      <c r="H110" s="460">
        <f>G110+'9'!H110</f>
        <v>495</v>
      </c>
      <c r="I110" s="532"/>
      <c r="J110" s="558">
        <f>H110/DAY(B2)</f>
        <v>49.5</v>
      </c>
      <c r="N110" s="716"/>
    </row>
    <row r="111" spans="1:14" s="442" customFormat="1" ht="27.75">
      <c r="A111" s="1543" t="s">
        <v>220</v>
      </c>
      <c r="B111" s="1544"/>
      <c r="C111" s="1142"/>
      <c r="D111" s="622" t="s">
        <v>143</v>
      </c>
      <c r="E111" s="484">
        <f>'9'!F111</f>
        <v>32288</v>
      </c>
      <c r="F111" s="662">
        <v>32299</v>
      </c>
      <c r="G111" s="532">
        <f t="shared" ref="G111:G112" si="11">F111-E111</f>
        <v>11</v>
      </c>
      <c r="H111" s="460">
        <f>G111+'9'!H111</f>
        <v>64</v>
      </c>
      <c r="I111" s="532"/>
      <c r="J111" s="558">
        <f>H111/DAY(B2)</f>
        <v>6.4</v>
      </c>
      <c r="N111" s="716"/>
    </row>
    <row r="112" spans="1:14" s="442" customFormat="1" ht="27.75">
      <c r="A112" s="1543" t="s">
        <v>221</v>
      </c>
      <c r="B112" s="1544"/>
      <c r="C112" s="1142"/>
      <c r="D112" s="622" t="s">
        <v>143</v>
      </c>
      <c r="E112" s="484">
        <f>'9'!F112</f>
        <v>4460</v>
      </c>
      <c r="F112" s="662">
        <v>4466</v>
      </c>
      <c r="G112" s="532">
        <f t="shared" si="11"/>
        <v>6</v>
      </c>
      <c r="H112" s="460">
        <f>G112+'9'!H112</f>
        <v>98</v>
      </c>
      <c r="I112" s="532"/>
      <c r="J112" s="558">
        <f>H112/DAY(B2)</f>
        <v>9.8000000000000007</v>
      </c>
      <c r="N112" s="716"/>
    </row>
    <row r="113" spans="1:14" s="442" customFormat="1" ht="27.75">
      <c r="A113" s="1545" t="s">
        <v>110</v>
      </c>
      <c r="B113" s="1546"/>
      <c r="C113" s="1142"/>
      <c r="D113" s="622"/>
      <c r="E113" s="484"/>
      <c r="F113" s="662"/>
      <c r="G113" s="532">
        <f>SUM(G110:G112)</f>
        <v>57</v>
      </c>
      <c r="H113" s="460">
        <f>G113+'9'!H113</f>
        <v>657</v>
      </c>
      <c r="I113" s="532"/>
      <c r="J113" s="558">
        <f>H113/DAY(B2)</f>
        <v>65.7</v>
      </c>
      <c r="N113" s="716"/>
    </row>
    <row r="114" spans="1:14" s="442" customFormat="1" ht="27.75">
      <c r="A114" s="1549" t="s">
        <v>222</v>
      </c>
      <c r="B114" s="1550"/>
      <c r="C114" s="1142"/>
      <c r="D114" s="622"/>
      <c r="E114" s="484"/>
      <c r="F114" s="662"/>
      <c r="G114" s="532"/>
      <c r="H114" s="460">
        <f>G114+'9'!H114</f>
        <v>0</v>
      </c>
      <c r="I114" s="532"/>
      <c r="J114" s="558">
        <f>H114/DAY(B2)</f>
        <v>0</v>
      </c>
      <c r="N114" s="716"/>
    </row>
    <row r="115" spans="1:14" s="442" customFormat="1" ht="27.75">
      <c r="A115" s="1543" t="s">
        <v>223</v>
      </c>
      <c r="B115" s="1544"/>
      <c r="C115" s="574"/>
      <c r="D115" s="622" t="s">
        <v>143</v>
      </c>
      <c r="E115" s="484">
        <f>'9'!F115</f>
        <v>11303</v>
      </c>
      <c r="F115" s="662">
        <v>11309</v>
      </c>
      <c r="G115" s="534">
        <f>F115-E115</f>
        <v>6</v>
      </c>
      <c r="H115" s="460">
        <f>G115+'9'!H115</f>
        <v>50</v>
      </c>
      <c r="I115" s="532"/>
      <c r="J115" s="558">
        <f>H115/DAY(B2)</f>
        <v>5</v>
      </c>
      <c r="N115" s="716"/>
    </row>
    <row r="116" spans="1:14" s="442" customFormat="1" ht="27.75">
      <c r="A116" s="1543" t="s">
        <v>224</v>
      </c>
      <c r="B116" s="1544"/>
      <c r="C116" s="574"/>
      <c r="D116" s="622" t="s">
        <v>143</v>
      </c>
      <c r="E116" s="484">
        <f>'9'!F116</f>
        <v>8183</v>
      </c>
      <c r="F116" s="662">
        <v>8185</v>
      </c>
      <c r="G116" s="534">
        <f t="shared" ref="G116:G117" si="12">F116-E116</f>
        <v>2</v>
      </c>
      <c r="H116" s="460">
        <f>G116+'9'!H116</f>
        <v>59</v>
      </c>
      <c r="I116" s="532"/>
      <c r="J116" s="558">
        <f>H116/DAY(B2)</f>
        <v>5.9</v>
      </c>
      <c r="N116" s="716"/>
    </row>
    <row r="117" spans="1:14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6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8</v>
      </c>
      <c r="H118" s="460">
        <f>G118+'9'!H118</f>
        <v>109</v>
      </c>
      <c r="I118" s="534"/>
      <c r="J118" s="558">
        <f>H118/DAY(B2)</f>
        <v>10.9</v>
      </c>
      <c r="N118" s="716"/>
    </row>
    <row r="119" spans="1:14" s="446" customFormat="1" ht="27.75">
      <c r="A119" s="1539" t="s">
        <v>226</v>
      </c>
      <c r="B119" s="1540"/>
      <c r="C119" s="1140"/>
      <c r="D119" s="624" t="s">
        <v>143</v>
      </c>
      <c r="E119" s="536"/>
      <c r="F119" s="663">
        <f>SUM(G19+G93)</f>
        <v>57</v>
      </c>
      <c r="G119" s="536">
        <f>SUM(G19+G93)</f>
        <v>57</v>
      </c>
      <c r="H119" s="460">
        <f>G119+'9'!H119</f>
        <v>832</v>
      </c>
      <c r="I119" s="535"/>
      <c r="J119" s="559">
        <f>H119/DAY(B2)</f>
        <v>83.2</v>
      </c>
      <c r="N119" s="716"/>
    </row>
    <row r="120" spans="1:14" s="446" customFormat="1" ht="27.75">
      <c r="A120" s="1539" t="s">
        <v>227</v>
      </c>
      <c r="B120" s="1540"/>
      <c r="C120" s="1140"/>
      <c r="D120" s="624" t="s">
        <v>143</v>
      </c>
      <c r="E120" s="536"/>
      <c r="F120" s="663">
        <f>SUM(G96,G97,G98,G100,G101)</f>
        <v>46</v>
      </c>
      <c r="G120" s="536">
        <f>SUM(G96,G97,G98,G100,G101)</f>
        <v>46</v>
      </c>
      <c r="H120" s="460">
        <f>G120+'9'!H120</f>
        <v>830</v>
      </c>
      <c r="I120" s="535"/>
      <c r="J120" s="559">
        <f>H120/DAY(B2)</f>
        <v>83</v>
      </c>
      <c r="N120" s="716"/>
    </row>
    <row r="121" spans="1:14" s="446" customFormat="1" ht="27.75">
      <c r="A121" s="1539" t="s">
        <v>228</v>
      </c>
      <c r="B121" s="1540"/>
      <c r="C121" s="1140"/>
      <c r="D121" s="624" t="s">
        <v>143</v>
      </c>
      <c r="E121" s="534"/>
      <c r="F121" s="662">
        <f>SUM(G113)</f>
        <v>57</v>
      </c>
      <c r="G121" s="534">
        <f>SUM(G113)</f>
        <v>57</v>
      </c>
      <c r="H121" s="460">
        <f>G121+'9'!H121</f>
        <v>657</v>
      </c>
      <c r="I121" s="535"/>
      <c r="J121" s="559">
        <f>H121/DAY(B2)</f>
        <v>65.7</v>
      </c>
      <c r="N121" s="716"/>
    </row>
    <row r="122" spans="1:14" s="442" customFormat="1" ht="27.75">
      <c r="A122" s="1541"/>
      <c r="B122" s="1542"/>
      <c r="C122" s="1141"/>
      <c r="D122" s="560"/>
      <c r="E122" s="560"/>
      <c r="F122" s="664" t="s">
        <v>214</v>
      </c>
      <c r="G122" s="560"/>
      <c r="H122" s="561"/>
      <c r="I122" s="560"/>
      <c r="J122" s="562"/>
      <c r="N122" s="716"/>
    </row>
    <row r="123" spans="1:14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716"/>
    </row>
    <row r="124" spans="1:14" ht="27.75">
      <c r="A124" s="1143" t="s">
        <v>230</v>
      </c>
      <c r="B124" s="1144"/>
      <c r="C124" s="1144"/>
      <c r="D124" s="523" t="s">
        <v>140</v>
      </c>
      <c r="E124" s="478">
        <f>'9'!F124</f>
        <v>827918</v>
      </c>
      <c r="F124" s="478">
        <v>828118</v>
      </c>
      <c r="G124" s="473">
        <f t="shared" ref="G124:G128" si="13">F124-E124</f>
        <v>200</v>
      </c>
      <c r="H124" s="460">
        <f>G124+'9'!H124</f>
        <v>2029.5400000000373</v>
      </c>
      <c r="I124" s="526"/>
      <c r="J124" s="552">
        <f>H124/DAY(B2)</f>
        <v>202.95400000000373</v>
      </c>
      <c r="K124" s="380"/>
      <c r="L124" s="377"/>
      <c r="N124" s="716"/>
    </row>
    <row r="125" spans="1:14" ht="27.75">
      <c r="A125" s="1143" t="s">
        <v>231</v>
      </c>
      <c r="B125" s="1144"/>
      <c r="C125" s="1144"/>
      <c r="D125" s="523" t="s">
        <v>140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6"/>
    </row>
    <row r="126" spans="1:14" ht="27.75">
      <c r="A126" s="1530" t="s">
        <v>232</v>
      </c>
      <c r="B126" s="1531"/>
      <c r="C126" s="1532"/>
      <c r="D126" s="523" t="s">
        <v>140</v>
      </c>
      <c r="E126" s="478">
        <f>'9'!F126</f>
        <v>145242</v>
      </c>
      <c r="F126" s="478">
        <v>145277</v>
      </c>
      <c r="G126" s="473">
        <f t="shared" si="13"/>
        <v>35</v>
      </c>
      <c r="H126" s="460">
        <f>G126+'9'!H126</f>
        <v>589.55999999999767</v>
      </c>
      <c r="I126" s="526"/>
      <c r="J126" s="552">
        <f>H126/DAY(B2)</f>
        <v>58.955999999999769</v>
      </c>
      <c r="K126" s="380"/>
      <c r="L126" s="377"/>
      <c r="N126" s="716"/>
    </row>
    <row r="127" spans="1:14" ht="27.75">
      <c r="A127" s="609" t="s">
        <v>233</v>
      </c>
      <c r="B127" s="1144"/>
      <c r="C127" s="1144"/>
      <c r="D127" s="523" t="s">
        <v>140</v>
      </c>
      <c r="E127" s="626">
        <f>'9'!F127</f>
        <v>31404.2</v>
      </c>
      <c r="F127" s="626">
        <v>31404.2</v>
      </c>
      <c r="G127" s="473">
        <f t="shared" si="13"/>
        <v>0</v>
      </c>
      <c r="H127" s="460">
        <f>G127+'9'!H127</f>
        <v>0.2000000000007276</v>
      </c>
      <c r="I127" s="526"/>
      <c r="J127" s="552">
        <f>H127/DAY(B2)</f>
        <v>2.0000000000072758E-2</v>
      </c>
      <c r="K127" s="380"/>
      <c r="L127" s="377"/>
      <c r="N127" s="716"/>
    </row>
    <row r="128" spans="1:14" ht="27.75">
      <c r="A128" s="609" t="s">
        <v>234</v>
      </c>
      <c r="B128" s="1144"/>
      <c r="C128" s="1144"/>
      <c r="D128" s="523" t="s">
        <v>140</v>
      </c>
      <c r="E128" s="626">
        <f>'9'!F128</f>
        <v>8971</v>
      </c>
      <c r="F128" s="626">
        <v>8971</v>
      </c>
      <c r="G128" s="473">
        <f t="shared" si="13"/>
        <v>0</v>
      </c>
      <c r="H128" s="460">
        <f>G128+'9'!H128</f>
        <v>1.2999999999992724</v>
      </c>
      <c r="I128" s="480"/>
      <c r="J128" s="552">
        <f>H128/DAY(B2)</f>
        <v>0.12999999999992723</v>
      </c>
      <c r="K128" s="380"/>
      <c r="L128" s="377"/>
      <c r="N128" s="716"/>
    </row>
    <row r="129" spans="1:14" s="281" customFormat="1" ht="27.75">
      <c r="A129" s="609" t="s">
        <v>235</v>
      </c>
      <c r="B129" s="1144"/>
      <c r="C129" s="1144"/>
      <c r="D129" s="523"/>
      <c r="E129" s="478"/>
      <c r="F129" s="478"/>
      <c r="G129" s="473">
        <f>G15-SUM(G124:G128)</f>
        <v>8</v>
      </c>
      <c r="H129" s="460"/>
      <c r="I129" s="480"/>
      <c r="J129" s="552"/>
      <c r="K129" s="364"/>
      <c r="L129" s="292"/>
      <c r="N129" s="716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6"/>
    </row>
    <row r="131" spans="1:14" ht="27.75">
      <c r="A131" s="1143" t="s">
        <v>237</v>
      </c>
      <c r="B131" s="1144"/>
      <c r="C131" s="1144"/>
      <c r="D131" s="523" t="s">
        <v>238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6"/>
    </row>
    <row r="132" spans="1:14" ht="27.75">
      <c r="A132" s="1143" t="s">
        <v>239</v>
      </c>
      <c r="B132" s="1144"/>
      <c r="C132" s="1144"/>
      <c r="D132" s="523" t="s">
        <v>238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6"/>
    </row>
    <row r="133" spans="1:14" ht="27.75">
      <c r="A133" s="1143" t="s">
        <v>240</v>
      </c>
      <c r="B133" s="1144"/>
      <c r="C133" s="1144"/>
      <c r="D133" s="523" t="s">
        <v>238</v>
      </c>
      <c r="E133" s="1385">
        <f>'9'!F133</f>
        <v>39960.33</v>
      </c>
      <c r="F133" s="1386">
        <v>39984.36</v>
      </c>
      <c r="G133" s="1387">
        <f t="shared" si="14"/>
        <v>24.029999999998836</v>
      </c>
      <c r="H133" s="460">
        <f>G133+'9'!H133</f>
        <v>237.87999999999738</v>
      </c>
      <c r="I133" s="480"/>
      <c r="J133" s="552">
        <f>H133/DAY(B2)</f>
        <v>23.787999999999737</v>
      </c>
      <c r="N133" s="716"/>
    </row>
    <row r="134" spans="1:14" ht="27.75">
      <c r="A134" s="1143" t="s">
        <v>241</v>
      </c>
      <c r="B134" s="1144"/>
      <c r="C134" s="1144"/>
      <c r="D134" s="523" t="s">
        <v>238</v>
      </c>
      <c r="E134" s="1385">
        <f>'9'!F134</f>
        <v>300</v>
      </c>
      <c r="F134" s="1386">
        <v>300</v>
      </c>
      <c r="G134" s="1387">
        <f t="shared" si="14"/>
        <v>0</v>
      </c>
      <c r="H134" s="460">
        <f>G134+'9'!H134</f>
        <v>0</v>
      </c>
      <c r="I134" s="480">
        <f>G131+G132+G133+G134</f>
        <v>24.029999999998836</v>
      </c>
      <c r="J134" s="552">
        <f>H134/DAY(B2)</f>
        <v>0</v>
      </c>
      <c r="N134" s="716"/>
    </row>
    <row r="135" spans="1:14" ht="27.75">
      <c r="A135" s="1143" t="s">
        <v>242</v>
      </c>
      <c r="B135" s="1144"/>
      <c r="C135" s="1144"/>
      <c r="D135" s="523" t="s">
        <v>238</v>
      </c>
      <c r="E135" s="1385">
        <f>'9'!F135</f>
        <v>41393.33</v>
      </c>
      <c r="F135" s="1386">
        <v>41393.33</v>
      </c>
      <c r="G135" s="1387">
        <f t="shared" si="14"/>
        <v>0</v>
      </c>
      <c r="H135" s="460">
        <f>G135+'9'!H135</f>
        <v>8.3300000000017462</v>
      </c>
      <c r="I135" s="480"/>
      <c r="J135" s="552">
        <f>H135/DAY(B2)</f>
        <v>0.8330000000001746</v>
      </c>
      <c r="N135" s="716"/>
    </row>
    <row r="136" spans="1:14" ht="27.75">
      <c r="A136" s="1143" t="s">
        <v>243</v>
      </c>
      <c r="B136" s="1144"/>
      <c r="C136" s="1144"/>
      <c r="D136" s="523" t="s">
        <v>238</v>
      </c>
      <c r="E136" s="1385">
        <f>'9'!F136</f>
        <v>32582.560000000001</v>
      </c>
      <c r="F136" s="1386">
        <v>32582.560000000001</v>
      </c>
      <c r="G136" s="1387">
        <f t="shared" si="14"/>
        <v>0</v>
      </c>
      <c r="H136" s="460">
        <f>G136+'9'!H136</f>
        <v>-0.43999999999869033</v>
      </c>
      <c r="I136" s="480"/>
      <c r="J136" s="552">
        <f>H136/DAY(B2)</f>
        <v>-4.3999999999869033E-2</v>
      </c>
      <c r="N136" s="716"/>
    </row>
    <row r="137" spans="1:14" ht="27.75">
      <c r="A137" s="1143" t="s">
        <v>244</v>
      </c>
      <c r="B137" s="1144"/>
      <c r="C137" s="1144"/>
      <c r="D137" s="523" t="s">
        <v>238</v>
      </c>
      <c r="E137" s="1385">
        <f>'9'!F137</f>
        <v>22759</v>
      </c>
      <c r="F137" s="1386">
        <v>22759</v>
      </c>
      <c r="G137" s="1387">
        <f t="shared" si="14"/>
        <v>0</v>
      </c>
      <c r="H137" s="460">
        <f>G137+'9'!H137</f>
        <v>19.409999999999854</v>
      </c>
      <c r="I137" s="480">
        <f>G135+G136+G137</f>
        <v>0</v>
      </c>
      <c r="J137" s="552">
        <f>H137/DAY(B2)</f>
        <v>1.9409999999999854</v>
      </c>
      <c r="N137" s="716"/>
    </row>
    <row r="138" spans="1:14" ht="27.75">
      <c r="A138" s="1143" t="s">
        <v>245</v>
      </c>
      <c r="B138" s="1144"/>
      <c r="C138" s="1144"/>
      <c r="D138" s="523" t="s">
        <v>238</v>
      </c>
      <c r="E138" s="1385">
        <f>'9'!F138</f>
        <v>25051.26</v>
      </c>
      <c r="F138" s="1386">
        <v>25051.26</v>
      </c>
      <c r="G138" s="1387">
        <f t="shared" si="14"/>
        <v>0</v>
      </c>
      <c r="H138" s="460">
        <f>G138+'9'!H138</f>
        <v>-0.33000000000174623</v>
      </c>
      <c r="I138" s="480"/>
      <c r="J138" s="552">
        <f>H138/DAY(B2)</f>
        <v>-3.3000000000174626E-2</v>
      </c>
      <c r="N138" s="716"/>
    </row>
    <row r="139" spans="1:14" ht="27.75">
      <c r="A139" s="1143" t="s">
        <v>246</v>
      </c>
      <c r="B139" s="1144"/>
      <c r="C139" s="1144"/>
      <c r="D139" s="523" t="s">
        <v>238</v>
      </c>
      <c r="E139" s="1385">
        <f>'9'!F139</f>
        <v>70341.759999999995</v>
      </c>
      <c r="F139" s="1386">
        <v>70341.89</v>
      </c>
      <c r="G139" s="1387">
        <f t="shared" si="14"/>
        <v>0.13000000000465661</v>
      </c>
      <c r="H139" s="460">
        <f>G139+'9'!H139</f>
        <v>26.080000000001746</v>
      </c>
      <c r="I139" s="480">
        <f>G138+G139</f>
        <v>0.13000000000465661</v>
      </c>
      <c r="J139" s="552">
        <f>H139/DAY(B2)</f>
        <v>2.6080000000001746</v>
      </c>
      <c r="N139" s="716"/>
    </row>
    <row r="140" spans="1:14" ht="27.75">
      <c r="A140" s="1143" t="s">
        <v>247</v>
      </c>
      <c r="B140" s="1144"/>
      <c r="C140" s="1144"/>
      <c r="D140" s="523" t="s">
        <v>238</v>
      </c>
      <c r="E140" s="1385">
        <f>'9'!F140</f>
        <v>1685.98</v>
      </c>
      <c r="F140" s="1386">
        <v>1693.56</v>
      </c>
      <c r="G140" s="1387">
        <f t="shared" si="14"/>
        <v>7.5799999999999272</v>
      </c>
      <c r="H140" s="460">
        <f>G140+'9'!H140</f>
        <v>76.700000000000045</v>
      </c>
      <c r="I140" s="542"/>
      <c r="J140" s="552">
        <f>H140/DAY(B2)</f>
        <v>7.6700000000000044</v>
      </c>
      <c r="N140" s="716"/>
    </row>
    <row r="141" spans="1:14" ht="27.75">
      <c r="A141" s="1143" t="s">
        <v>248</v>
      </c>
      <c r="B141" s="1144"/>
      <c r="C141" s="1144"/>
      <c r="D141" s="523" t="s">
        <v>238</v>
      </c>
      <c r="E141" s="1385">
        <f>'9'!F141</f>
        <v>4636.88</v>
      </c>
      <c r="F141" s="1386">
        <v>4636.88</v>
      </c>
      <c r="G141" s="1387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6"/>
    </row>
    <row r="142" spans="1:14">
      <c r="A142" s="1557" t="s">
        <v>249</v>
      </c>
      <c r="B142" s="1558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6"/>
    </row>
    <row r="143" spans="1:14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3979</v>
      </c>
      <c r="H143" s="460">
        <f>G143+'9'!H143</f>
        <v>43658</v>
      </c>
      <c r="I143" s="480"/>
      <c r="J143" s="552">
        <f>H143/DAY(B2)</f>
        <v>4365.8</v>
      </c>
      <c r="K143" s="380"/>
      <c r="L143" s="377"/>
      <c r="N143" s="716"/>
    </row>
    <row r="144" spans="1:14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0.26274432118330693</v>
      </c>
      <c r="H144" s="460">
        <f>G144+'9'!H144</f>
        <v>2.7289947621320421</v>
      </c>
      <c r="I144" s="544"/>
      <c r="J144" s="552">
        <f>H144/DAY(B2)</f>
        <v>0.27289947621320421</v>
      </c>
      <c r="K144" s="380"/>
      <c r="L144" s="377"/>
      <c r="N144" s="716"/>
    </row>
    <row r="145" spans="1:14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4860.890000000014</v>
      </c>
      <c r="H145" s="460">
        <f>G145+'9'!H145</f>
        <v>48583.530000000028</v>
      </c>
      <c r="I145" s="480"/>
      <c r="J145" s="552">
        <f>H145/DAY(B2)</f>
        <v>4858.3530000000028</v>
      </c>
      <c r="K145" s="380"/>
      <c r="L145" s="377"/>
      <c r="N145" s="716"/>
    </row>
    <row r="146" spans="1:14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0.32097794506075106</v>
      </c>
      <c r="H146" s="460">
        <f>G146+'9'!H146</f>
        <v>3.0433061819641125</v>
      </c>
      <c r="I146" s="544"/>
      <c r="J146" s="552">
        <f>H146/DAY(B2)</f>
        <v>0.30433061819641127</v>
      </c>
      <c r="K146" s="380"/>
      <c r="L146" s="377"/>
      <c r="N146" s="716"/>
    </row>
    <row r="147" spans="1:14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2173</v>
      </c>
      <c r="H147" s="460">
        <f>G147+'9'!H147</f>
        <v>23067</v>
      </c>
      <c r="I147" s="545"/>
      <c r="J147" s="552">
        <f>H147/DAY(B2)</f>
        <v>2306.6999999999998</v>
      </c>
      <c r="K147" s="380"/>
      <c r="L147" s="377"/>
      <c r="N147" s="716"/>
    </row>
    <row r="148" spans="1:14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0.14348917062863181</v>
      </c>
      <c r="H148" s="460">
        <f>G148+'9'!H148</f>
        <v>1.4426892218417289</v>
      </c>
      <c r="I148" s="545"/>
      <c r="J148" s="552">
        <f>H148/DAY(B2)</f>
        <v>0.14426892218417289</v>
      </c>
      <c r="N148" s="716"/>
    </row>
    <row r="149" spans="1:14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1067</v>
      </c>
      <c r="H149" s="460">
        <f>G149+'9'!H149</f>
        <v>12269.069999999949</v>
      </c>
      <c r="I149" s="480"/>
      <c r="J149" s="552">
        <f>H149/DAY(B2)</f>
        <v>1226.9069999999949</v>
      </c>
      <c r="K149" s="381"/>
      <c r="N149" s="716"/>
    </row>
    <row r="150" spans="1:14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7.0456946645536186E-2</v>
      </c>
      <c r="H150" s="460">
        <f>G150+'9'!H150</f>
        <v>0.76810989492928194</v>
      </c>
      <c r="I150" s="545"/>
      <c r="J150" s="552">
        <f>H150/DAY(B2)</f>
        <v>7.6810989492928194E-2</v>
      </c>
      <c r="N150" s="716"/>
    </row>
    <row r="151" spans="1:14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939</v>
      </c>
      <c r="H151" s="460">
        <f>G151+'9'!H151</f>
        <v>12257</v>
      </c>
      <c r="I151" s="545"/>
      <c r="J151" s="552">
        <f>H151/DAY(B2)</f>
        <v>1225.7</v>
      </c>
      <c r="N151" s="716"/>
    </row>
    <row r="152" spans="1:14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6.2004754358161648E-2</v>
      </c>
      <c r="H152" s="460">
        <f>G152+'9'!H152</f>
        <v>0.76408961716554158</v>
      </c>
      <c r="I152" s="480"/>
      <c r="J152" s="552">
        <f>H152/DAY(B2)</f>
        <v>7.6408961716554161E-2</v>
      </c>
      <c r="N152" s="716"/>
    </row>
    <row r="153" spans="1:14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1187</v>
      </c>
      <c r="H153" s="460">
        <f>G153+'9'!H153</f>
        <v>12304.869999999995</v>
      </c>
      <c r="I153" s="480"/>
      <c r="J153" s="552">
        <f>H153/DAY(B2)</f>
        <v>1230.4869999999996</v>
      </c>
      <c r="N153" s="716"/>
    </row>
    <row r="154" spans="1:14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7.8380876914949812E-2</v>
      </c>
      <c r="H154" s="567">
        <f>G154+'9'!H154</f>
        <v>0.76955559961633924</v>
      </c>
      <c r="I154" s="568"/>
      <c r="J154" s="569">
        <f>H154/DAY(B2)</f>
        <v>7.6955559961633918E-2</v>
      </c>
      <c r="N154" s="716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16"/>
    </row>
    <row r="158" spans="1:14" ht="27.75">
      <c r="A158" s="1585" t="s">
        <v>266</v>
      </c>
      <c r="B158" s="1586"/>
      <c r="C158" s="1586"/>
      <c r="D158" s="1586"/>
      <c r="E158" s="1586"/>
      <c r="F158" s="1586"/>
      <c r="G158" s="1587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8">
      <c r="A161" s="787" t="s">
        <v>262</v>
      </c>
      <c r="B161" s="788"/>
      <c r="C161" s="788"/>
      <c r="D161" s="511" t="s">
        <v>186</v>
      </c>
      <c r="E161" s="1063">
        <f>'9'!F161</f>
        <v>36665</v>
      </c>
      <c r="F161" s="661">
        <v>36748</v>
      </c>
      <c r="G161" s="473">
        <f>F161-E161</f>
        <v>83</v>
      </c>
    </row>
    <row r="162" spans="1:8">
      <c r="A162" s="787" t="s">
        <v>263</v>
      </c>
      <c r="B162" s="788"/>
      <c r="C162" s="788"/>
      <c r="D162" s="511" t="s">
        <v>186</v>
      </c>
      <c r="E162" s="1063">
        <f>'9'!F162</f>
        <v>86130</v>
      </c>
      <c r="F162" s="661">
        <v>86560</v>
      </c>
      <c r="G162" s="473">
        <f t="shared" ref="G162:G172" si="15">F162-E162</f>
        <v>430</v>
      </c>
    </row>
    <row r="163" spans="1:8">
      <c r="A163" s="787" t="s">
        <v>264</v>
      </c>
      <c r="B163" s="788"/>
      <c r="C163" s="788"/>
      <c r="D163" s="511" t="s">
        <v>186</v>
      </c>
      <c r="E163" s="1063">
        <f>'9'!F163</f>
        <v>40244</v>
      </c>
      <c r="F163" s="661">
        <v>40455</v>
      </c>
      <c r="G163" s="473">
        <f t="shared" si="15"/>
        <v>211</v>
      </c>
      <c r="H163" s="514"/>
    </row>
    <row r="164" spans="1:8">
      <c r="A164" s="787" t="s">
        <v>265</v>
      </c>
      <c r="B164" s="788"/>
      <c r="C164" s="788"/>
      <c r="D164" s="511" t="s">
        <v>186</v>
      </c>
      <c r="E164" s="1063">
        <f>'9'!F164</f>
        <v>6310</v>
      </c>
      <c r="F164" s="661">
        <v>6329</v>
      </c>
      <c r="G164" s="473">
        <f t="shared" si="15"/>
        <v>19</v>
      </c>
    </row>
    <row r="165" spans="1:8">
      <c r="A165" s="789" t="s">
        <v>98</v>
      </c>
      <c r="B165" s="604"/>
      <c r="C165" s="604"/>
      <c r="D165" s="511" t="s">
        <v>186</v>
      </c>
      <c r="E165" s="1063">
        <f>'9'!F165</f>
        <v>20419</v>
      </c>
      <c r="F165" s="514">
        <f>F62</f>
        <v>20419</v>
      </c>
      <c r="G165" s="473">
        <f t="shared" si="15"/>
        <v>0</v>
      </c>
    </row>
    <row r="166" spans="1:8" ht="34.5" customHeight="1">
      <c r="A166" s="789" t="s">
        <v>187</v>
      </c>
      <c r="B166" s="604"/>
      <c r="C166" s="604"/>
      <c r="D166" s="511" t="s">
        <v>186</v>
      </c>
      <c r="E166" s="1063">
        <f>'9'!F166</f>
        <v>2393</v>
      </c>
      <c r="F166" s="514">
        <f t="shared" ref="F166:F172" si="16">F63</f>
        <v>2397</v>
      </c>
      <c r="G166" s="473">
        <f t="shared" si="15"/>
        <v>4</v>
      </c>
    </row>
    <row r="167" spans="1:8" ht="31.5" customHeight="1">
      <c r="A167" s="1526" t="s">
        <v>99</v>
      </c>
      <c r="B167" s="1526"/>
      <c r="C167" s="1526"/>
      <c r="D167" s="523" t="s">
        <v>186</v>
      </c>
      <c r="E167" s="1063">
        <f>'9'!F167</f>
        <v>155156</v>
      </c>
      <c r="F167" s="514">
        <f t="shared" si="16"/>
        <v>155359</v>
      </c>
      <c r="G167" s="473">
        <f t="shared" si="15"/>
        <v>203</v>
      </c>
    </row>
    <row r="168" spans="1:8" ht="21.75" customHeight="1">
      <c r="A168" s="1526" t="s">
        <v>100</v>
      </c>
      <c r="B168" s="1526"/>
      <c r="C168" s="1526"/>
      <c r="D168" s="523" t="s">
        <v>186</v>
      </c>
      <c r="E168" s="1063">
        <f>'9'!F168</f>
        <v>156346</v>
      </c>
      <c r="F168" s="514">
        <f t="shared" si="16"/>
        <v>156480</v>
      </c>
      <c r="G168" s="473">
        <f t="shared" si="15"/>
        <v>134</v>
      </c>
    </row>
    <row r="169" spans="1:8" ht="27.75" customHeight="1">
      <c r="A169" s="1526" t="s">
        <v>101</v>
      </c>
      <c r="B169" s="1526"/>
      <c r="C169" s="1526"/>
      <c r="D169" s="523" t="s">
        <v>186</v>
      </c>
      <c r="E169" s="1063">
        <f>'9'!F169</f>
        <v>50927</v>
      </c>
      <c r="F169" s="514">
        <f t="shared" si="16"/>
        <v>51186</v>
      </c>
      <c r="G169" s="473">
        <f t="shared" si="15"/>
        <v>259</v>
      </c>
    </row>
    <row r="170" spans="1:8" ht="21.75" customHeight="1">
      <c r="A170" s="1526" t="s">
        <v>102</v>
      </c>
      <c r="B170" s="1526"/>
      <c r="C170" s="1526"/>
      <c r="D170" s="523" t="s">
        <v>186</v>
      </c>
      <c r="E170" s="1063">
        <f>'9'!F170</f>
        <v>244700</v>
      </c>
      <c r="F170" s="514">
        <f t="shared" si="16"/>
        <v>244826</v>
      </c>
      <c r="G170" s="473">
        <f t="shared" si="15"/>
        <v>126</v>
      </c>
    </row>
    <row r="171" spans="1:8" ht="27.75" customHeight="1">
      <c r="A171" s="1526" t="s">
        <v>103</v>
      </c>
      <c r="B171" s="1526"/>
      <c r="C171" s="1526"/>
      <c r="D171" s="523" t="s">
        <v>186</v>
      </c>
      <c r="E171" s="1063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26" t="s">
        <v>104</v>
      </c>
      <c r="B172" s="1526"/>
      <c r="C172" s="1526"/>
      <c r="D172" s="523" t="s">
        <v>186</v>
      </c>
      <c r="E172" s="1063">
        <f>'9'!F172</f>
        <v>79731</v>
      </c>
      <c r="F172" s="514">
        <f t="shared" si="16"/>
        <v>79831</v>
      </c>
      <c r="G172" s="473">
        <f t="shared" si="15"/>
        <v>100</v>
      </c>
    </row>
    <row r="177" spans="1:7" ht="18.75" customHeight="1"/>
    <row r="178" spans="1:7" ht="44.25" customHeight="1">
      <c r="A178" s="454" t="s">
        <v>216</v>
      </c>
    </row>
    <row r="179" spans="1:7" ht="21.75" customHeight="1">
      <c r="A179" s="454" t="s">
        <v>217</v>
      </c>
    </row>
    <row r="180" spans="1:7" ht="21.75" customHeight="1">
      <c r="A180" s="454" t="s">
        <v>218</v>
      </c>
      <c r="D180" s="537" t="s">
        <v>143</v>
      </c>
      <c r="E180" s="537">
        <v>7010</v>
      </c>
      <c r="F180" s="666">
        <v>7010</v>
      </c>
      <c r="G180" s="537">
        <f>F180-E180</f>
        <v>0</v>
      </c>
    </row>
    <row r="181" spans="1:7" ht="21.75" customHeight="1">
      <c r="A181" s="454" t="s">
        <v>77</v>
      </c>
      <c r="D181" s="537" t="s">
        <v>143</v>
      </c>
      <c r="E181" s="537">
        <v>34070</v>
      </c>
      <c r="F181" s="666">
        <v>34070</v>
      </c>
      <c r="G181" s="537">
        <f t="shared" ref="G181:G182" si="17">F181-E181</f>
        <v>0</v>
      </c>
    </row>
    <row r="182" spans="1:7" ht="21.75" customHeight="1">
      <c r="A182" s="454" t="s">
        <v>78</v>
      </c>
      <c r="D182" s="537" t="s">
        <v>143</v>
      </c>
      <c r="E182" s="537">
        <v>18160</v>
      </c>
      <c r="F182" s="666">
        <v>18171</v>
      </c>
      <c r="G182" s="537">
        <f t="shared" si="17"/>
        <v>11</v>
      </c>
    </row>
    <row r="183" spans="1:7" ht="21.75" customHeight="1">
      <c r="A183" s="454" t="s">
        <v>201</v>
      </c>
      <c r="G183" s="537">
        <f>SUM(G180:G182)</f>
        <v>11</v>
      </c>
    </row>
    <row r="184" spans="1:7" ht="21.75" customHeight="1">
      <c r="A184" s="454" t="s">
        <v>79</v>
      </c>
      <c r="D184" s="537" t="s">
        <v>143</v>
      </c>
    </row>
    <row r="185" spans="1:7" ht="21.75" customHeight="1">
      <c r="A185" s="454" t="s">
        <v>219</v>
      </c>
      <c r="D185" s="537" t="s">
        <v>143</v>
      </c>
      <c r="E185" s="537">
        <v>42234</v>
      </c>
      <c r="F185" s="666">
        <v>42285</v>
      </c>
      <c r="G185" s="537">
        <f>F185-E185</f>
        <v>51</v>
      </c>
    </row>
    <row r="186" spans="1:7" ht="21.75" customHeight="1">
      <c r="A186" s="454" t="s">
        <v>220</v>
      </c>
      <c r="D186" s="537" t="s">
        <v>143</v>
      </c>
      <c r="E186" s="537">
        <v>20656</v>
      </c>
      <c r="F186" s="666">
        <v>20656</v>
      </c>
      <c r="G186" s="537">
        <f t="shared" ref="G186:G187" si="18">F186-E186</f>
        <v>0</v>
      </c>
    </row>
    <row r="187" spans="1:7" ht="21.75" customHeight="1">
      <c r="A187" s="454" t="s">
        <v>221</v>
      </c>
      <c r="D187" s="537" t="s">
        <v>143</v>
      </c>
      <c r="E187" s="537">
        <v>2801</v>
      </c>
      <c r="F187" s="666">
        <v>2801</v>
      </c>
      <c r="G187" s="537">
        <f t="shared" si="18"/>
        <v>0</v>
      </c>
    </row>
    <row r="188" spans="1:7" ht="21.75" customHeight="1">
      <c r="A188" s="454" t="s">
        <v>110</v>
      </c>
      <c r="G188" s="537">
        <f>SUM(G185:G187)</f>
        <v>51</v>
      </c>
    </row>
    <row r="189" spans="1:7" ht="21.75" customHeight="1">
      <c r="A189" s="454" t="s">
        <v>222</v>
      </c>
    </row>
    <row r="190" spans="1:7" ht="21.75" customHeight="1">
      <c r="A190" s="454" t="s">
        <v>223</v>
      </c>
      <c r="D190" s="537" t="s">
        <v>143</v>
      </c>
      <c r="E190" s="537">
        <v>6979</v>
      </c>
      <c r="F190" s="666">
        <v>6983</v>
      </c>
      <c r="G190" s="537">
        <f>F190-E190</f>
        <v>4</v>
      </c>
    </row>
    <row r="191" spans="1:7" ht="21.75" customHeight="1">
      <c r="A191" s="454" t="s">
        <v>224</v>
      </c>
      <c r="D191" s="537" t="s">
        <v>143</v>
      </c>
      <c r="E191" s="537">
        <v>5846</v>
      </c>
      <c r="F191" s="666">
        <v>5849</v>
      </c>
      <c r="G191" s="537">
        <f t="shared" ref="G191:G192" si="19">F191-E191</f>
        <v>3</v>
      </c>
    </row>
    <row r="192" spans="1:7" ht="21.75" customHeight="1">
      <c r="A192" s="454" t="s">
        <v>225</v>
      </c>
      <c r="D192" s="537" t="s">
        <v>143</v>
      </c>
      <c r="G192" s="537">
        <f t="shared" si="19"/>
        <v>0</v>
      </c>
    </row>
    <row r="193" spans="1:8" ht="21.75" customHeight="1"/>
    <row r="194" spans="1:8" ht="36.75" customHeight="1">
      <c r="A194" s="454" t="s">
        <v>201</v>
      </c>
      <c r="G194" s="537">
        <f>SUM(G190:G192)</f>
        <v>7</v>
      </c>
    </row>
    <row r="195" spans="1:8">
      <c r="A195" s="454" t="s">
        <v>226</v>
      </c>
      <c r="D195" s="537" t="s">
        <v>143</v>
      </c>
      <c r="F195" s="666">
        <f>SUM(G93+G19)</f>
        <v>57</v>
      </c>
      <c r="G195" s="537">
        <f>F195+'[3]9'!I145</f>
        <v>57</v>
      </c>
      <c r="H195" s="538" t="e">
        <f>G195/DAY(D148)</f>
        <v>#VALUE!</v>
      </c>
    </row>
    <row r="197" spans="1:8">
      <c r="A197" s="454" t="s">
        <v>227</v>
      </c>
      <c r="D197" s="537" t="s">
        <v>143</v>
      </c>
      <c r="F197" s="666">
        <f>SUM(G96:G98,G190:G192)</f>
        <v>47</v>
      </c>
      <c r="G197" s="537">
        <f>F197+'[3]9'!I147</f>
        <v>47</v>
      </c>
      <c r="H197" s="538" t="e">
        <f>G197/DAY(D148)</f>
        <v>#VALUE!</v>
      </c>
    </row>
    <row r="199" spans="1:8">
      <c r="A199" s="454" t="s">
        <v>228</v>
      </c>
      <c r="D199" s="537" t="s">
        <v>143</v>
      </c>
      <c r="F199" s="666">
        <f>H189+H140</f>
        <v>76.700000000000045</v>
      </c>
      <c r="G199" s="537">
        <f>SUM(G99,G185:G187)</f>
        <v>63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zoomScale="55" zoomScaleNormal="55" workbookViewId="0">
      <selection activeCell="H8" sqref="H8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58" customWidth="1"/>
    <col min="6" max="6" width="30" style="1459" customWidth="1"/>
    <col min="7" max="7" width="28.88671875" style="1458" customWidth="1"/>
    <col min="8" max="8" width="39.21875" style="1460" customWidth="1"/>
    <col min="9" max="9" width="16.109375" style="1458" customWidth="1"/>
    <col min="10" max="10" width="24" style="1461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6384" width="22.33203125" style="376"/>
  </cols>
  <sheetData>
    <row r="1" spans="1:16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6" s="281" customFormat="1" ht="27">
      <c r="A2" s="575" t="s">
        <v>365</v>
      </c>
      <c r="B2" s="1035">
        <v>44327</v>
      </c>
      <c r="C2" s="1145" t="s">
        <v>69</v>
      </c>
      <c r="D2" s="611">
        <v>0.5</v>
      </c>
      <c r="E2" s="1388"/>
      <c r="F2" s="1388"/>
      <c r="G2" s="1388" t="s">
        <v>117</v>
      </c>
      <c r="H2" s="1388" t="s">
        <v>6</v>
      </c>
      <c r="I2" s="1388" t="s">
        <v>8</v>
      </c>
      <c r="J2" s="1389" t="s">
        <v>118</v>
      </c>
      <c r="N2" s="720"/>
    </row>
    <row r="3" spans="1:16" s="281" customFormat="1" ht="27">
      <c r="A3" s="570"/>
      <c r="B3" s="614"/>
      <c r="C3" s="1145" t="s">
        <v>119</v>
      </c>
      <c r="D3" s="612">
        <v>29</v>
      </c>
      <c r="E3" s="1594" t="s">
        <v>120</v>
      </c>
      <c r="F3" s="1595"/>
      <c r="G3" s="1390"/>
      <c r="H3" s="1391"/>
      <c r="I3" s="1391"/>
      <c r="J3" s="1392"/>
      <c r="K3" s="371"/>
      <c r="L3" s="292"/>
      <c r="N3" s="720"/>
    </row>
    <row r="4" spans="1:16" s="281" customFormat="1" ht="27">
      <c r="A4" s="576"/>
      <c r="B4" s="616"/>
      <c r="C4" s="1145" t="s">
        <v>121</v>
      </c>
      <c r="D4" s="611">
        <v>0.8</v>
      </c>
      <c r="E4" s="1393"/>
      <c r="F4" s="1393"/>
      <c r="G4" s="1393"/>
      <c r="H4" s="1393"/>
      <c r="I4" s="1394"/>
      <c r="J4" s="1392"/>
      <c r="K4" s="372"/>
      <c r="L4" s="292"/>
      <c r="N4" s="720"/>
    </row>
    <row r="5" spans="1:16">
      <c r="A5" s="577" t="s">
        <v>122</v>
      </c>
      <c r="B5" s="459"/>
      <c r="C5" s="459"/>
      <c r="D5" s="511" t="s">
        <v>123</v>
      </c>
      <c r="E5" s="1395" t="s">
        <v>124</v>
      </c>
      <c r="F5" s="1395" t="s">
        <v>111</v>
      </c>
      <c r="G5" s="1396" t="s">
        <v>125</v>
      </c>
      <c r="H5" s="1395" t="s">
        <v>126</v>
      </c>
      <c r="I5" s="1111" t="s">
        <v>127</v>
      </c>
      <c r="J5" s="1397" t="s">
        <v>128</v>
      </c>
      <c r="K5" s="426"/>
      <c r="L5" s="377"/>
    </row>
    <row r="6" spans="1:16">
      <c r="A6" s="1562" t="s">
        <v>129</v>
      </c>
      <c r="B6" s="1563"/>
      <c r="C6" s="1564"/>
      <c r="D6" s="471"/>
      <c r="E6" s="1398"/>
      <c r="F6" s="1398"/>
      <c r="G6" s="1398"/>
      <c r="H6" s="627"/>
      <c r="I6" s="627"/>
      <c r="J6" s="1399"/>
      <c r="K6" s="427"/>
      <c r="L6" s="377"/>
    </row>
    <row r="7" spans="1:16" ht="30" thickBot="1">
      <c r="A7" s="679" t="s">
        <v>130</v>
      </c>
      <c r="B7" s="680"/>
      <c r="C7" s="680"/>
      <c r="D7" s="638" t="s">
        <v>131</v>
      </c>
      <c r="E7" s="1400">
        <v>5306</v>
      </c>
      <c r="F7" s="709">
        <v>19788.59</v>
      </c>
      <c r="G7" s="1401">
        <f>F7-E7</f>
        <v>14482.59</v>
      </c>
      <c r="H7" s="752">
        <f>G7+'10'!H7</f>
        <v>174811.59</v>
      </c>
      <c r="I7" s="1402">
        <v>12000</v>
      </c>
      <c r="J7" s="1403">
        <f>H7/DAY(B2)</f>
        <v>15891.962727272727</v>
      </c>
      <c r="K7" s="549"/>
      <c r="L7" s="377"/>
      <c r="N7" s="721"/>
      <c r="P7" s="724"/>
    </row>
    <row r="8" spans="1:16" ht="27.75" thickBot="1">
      <c r="A8" s="685" t="s">
        <v>132</v>
      </c>
      <c r="B8" s="686"/>
      <c r="C8" s="687"/>
      <c r="D8" s="688" t="s">
        <v>25</v>
      </c>
      <c r="E8" s="1400">
        <v>5344</v>
      </c>
      <c r="F8" s="1404">
        <v>19957.82</v>
      </c>
      <c r="G8" s="1401">
        <f t="shared" ref="G8:G12" si="0">F8-E8</f>
        <v>14613.82</v>
      </c>
      <c r="H8" s="752">
        <f>G8+'10'!H8</f>
        <v>175716.82</v>
      </c>
      <c r="I8" s="1405">
        <v>12000</v>
      </c>
      <c r="J8" s="1403">
        <f>H8/DAY(B2)</f>
        <v>15974.256363636365</v>
      </c>
      <c r="K8" s="549"/>
      <c r="L8" s="425"/>
      <c r="M8" s="440"/>
      <c r="N8" s="721"/>
      <c r="P8" s="382"/>
    </row>
    <row r="9" spans="1:16">
      <c r="A9" s="690" t="s">
        <v>133</v>
      </c>
      <c r="B9" s="691"/>
      <c r="C9" s="691"/>
      <c r="D9" s="638" t="s">
        <v>131</v>
      </c>
      <c r="E9" s="1400">
        <f>'10'!F9</f>
        <v>1145721</v>
      </c>
      <c r="F9" s="654">
        <v>1159720.3</v>
      </c>
      <c r="G9" s="1406">
        <f t="shared" si="0"/>
        <v>13999.300000000047</v>
      </c>
      <c r="H9" s="752">
        <f>G9+'10'!H9</f>
        <v>169006.30000000005</v>
      </c>
      <c r="I9" s="752">
        <f>I7-J7</f>
        <v>-3891.9627272727266</v>
      </c>
      <c r="J9" s="1403">
        <f>H9/DAY(B2)</f>
        <v>15364.209090909095</v>
      </c>
      <c r="K9" s="428"/>
      <c r="L9" s="377"/>
      <c r="N9" s="721"/>
      <c r="P9" s="382"/>
    </row>
    <row r="10" spans="1:16">
      <c r="A10" s="679" t="s">
        <v>134</v>
      </c>
      <c r="B10" s="680"/>
      <c r="C10" s="680"/>
      <c r="D10" s="638" t="s">
        <v>131</v>
      </c>
      <c r="E10" s="1400">
        <f>'10'!F10</f>
        <v>2322.58</v>
      </c>
      <c r="F10" s="654">
        <v>2322.58</v>
      </c>
      <c r="G10" s="1401">
        <f t="shared" si="0"/>
        <v>0</v>
      </c>
      <c r="H10" s="752">
        <f>G10+'10'!H10</f>
        <v>0</v>
      </c>
      <c r="I10" s="1407"/>
      <c r="J10" s="1403">
        <f>H10/DAY(B2)</f>
        <v>0</v>
      </c>
      <c r="K10" s="428"/>
      <c r="L10" s="377"/>
      <c r="N10" s="721"/>
      <c r="P10" s="382"/>
    </row>
    <row r="11" spans="1:16">
      <c r="A11" s="679" t="s">
        <v>135</v>
      </c>
      <c r="B11" s="680"/>
      <c r="C11" s="680"/>
      <c r="D11" s="638" t="s">
        <v>131</v>
      </c>
      <c r="E11" s="1400">
        <f>'5'!E11</f>
        <v>37000</v>
      </c>
      <c r="F11" s="709">
        <v>37000</v>
      </c>
      <c r="G11" s="1401">
        <f t="shared" si="0"/>
        <v>0</v>
      </c>
      <c r="H11" s="752">
        <f>G11+'10'!H11</f>
        <v>0</v>
      </c>
      <c r="I11" s="1407"/>
      <c r="J11" s="1403">
        <f>H11/DAY(B2)</f>
        <v>0</v>
      </c>
      <c r="K11" s="428"/>
      <c r="L11" s="377"/>
      <c r="N11" s="721"/>
      <c r="P11" s="382"/>
    </row>
    <row r="12" spans="1:16">
      <c r="A12" s="679" t="s">
        <v>136</v>
      </c>
      <c r="B12" s="680"/>
      <c r="C12" s="680"/>
      <c r="D12" s="638" t="s">
        <v>131</v>
      </c>
      <c r="E12" s="1400">
        <f>'5'!E12</f>
        <v>40010</v>
      </c>
      <c r="F12" s="654">
        <v>40010</v>
      </c>
      <c r="G12" s="1401">
        <f t="shared" si="0"/>
        <v>0</v>
      </c>
      <c r="H12" s="752">
        <f>G12+'10'!H12</f>
        <v>0</v>
      </c>
      <c r="I12" s="1407"/>
      <c r="J12" s="1403">
        <f>H12/DAY(B2)</f>
        <v>0</v>
      </c>
      <c r="K12" s="428"/>
      <c r="L12" s="377"/>
      <c r="N12" s="721"/>
      <c r="P12" s="382"/>
    </row>
    <row r="13" spans="1:16">
      <c r="A13" s="695" t="s">
        <v>137</v>
      </c>
      <c r="B13" s="696"/>
      <c r="C13" s="696"/>
      <c r="D13" s="638"/>
      <c r="E13" s="1400"/>
      <c r="F13" s="709"/>
      <c r="G13" s="1401">
        <f>G9+G10+G11+G12</f>
        <v>13999.300000000047</v>
      </c>
      <c r="H13" s="752">
        <f>G13+'9'!H13</f>
        <v>154485.30000000005</v>
      </c>
      <c r="I13" s="1400">
        <f>G7-G13</f>
        <v>483.28999999995358</v>
      </c>
      <c r="J13" s="1403">
        <f>H13/DAY(B2)</f>
        <v>14044.118181818187</v>
      </c>
      <c r="K13" s="428"/>
      <c r="L13" s="377"/>
      <c r="N13" s="721"/>
      <c r="P13" s="382"/>
    </row>
    <row r="14" spans="1:16">
      <c r="A14" s="1565" t="s">
        <v>138</v>
      </c>
      <c r="B14" s="1566"/>
      <c r="C14" s="1567"/>
      <c r="D14" s="472"/>
      <c r="E14" s="627"/>
      <c r="F14" s="627"/>
      <c r="G14" s="650"/>
      <c r="H14" s="627"/>
      <c r="I14" s="627"/>
      <c r="J14" s="1399"/>
      <c r="K14" s="429"/>
      <c r="L14" s="377"/>
      <c r="N14" s="721"/>
      <c r="P14" s="382"/>
    </row>
    <row r="15" spans="1:16">
      <c r="A15" s="795" t="s">
        <v>139</v>
      </c>
      <c r="B15" s="796"/>
      <c r="C15" s="796"/>
      <c r="D15" s="524" t="s">
        <v>140</v>
      </c>
      <c r="E15" s="654">
        <f>'10'!F15</f>
        <v>1674950</v>
      </c>
      <c r="F15" s="654">
        <v>1675283.69</v>
      </c>
      <c r="G15" s="655">
        <f>(F15-E15)</f>
        <v>333.68999999994412</v>
      </c>
      <c r="H15" s="708">
        <f>G15+'10'!H15</f>
        <v>4626.6899999999441</v>
      </c>
      <c r="I15" s="1409">
        <v>800</v>
      </c>
      <c r="J15" s="710">
        <f>H15/DAY(B2)</f>
        <v>420.60818181817672</v>
      </c>
      <c r="K15" s="428"/>
      <c r="L15" s="377"/>
      <c r="N15" s="721"/>
      <c r="P15" s="382"/>
    </row>
    <row r="16" spans="1:16">
      <c r="A16" s="587"/>
      <c r="B16" s="588"/>
      <c r="C16" s="588"/>
      <c r="D16" s="524"/>
      <c r="E16" s="654"/>
      <c r="F16" s="654"/>
      <c r="G16" s="1408"/>
      <c r="H16" s="708"/>
      <c r="I16" s="709">
        <f>I15-J15</f>
        <v>379.39181818182328</v>
      </c>
      <c r="J16" s="710"/>
      <c r="K16" s="428"/>
      <c r="L16" s="377"/>
      <c r="N16" s="721"/>
      <c r="P16" s="382"/>
    </row>
    <row r="17" spans="1:16">
      <c r="A17" s="1565" t="s">
        <v>141</v>
      </c>
      <c r="B17" s="1566"/>
      <c r="C17" s="1567"/>
      <c r="D17" s="472"/>
      <c r="E17" s="627"/>
      <c r="F17" s="627"/>
      <c r="G17" s="752"/>
      <c r="H17" s="627"/>
      <c r="I17" s="627"/>
      <c r="J17" s="1399"/>
      <c r="K17" s="428"/>
      <c r="L17" s="377"/>
      <c r="N17" s="721"/>
      <c r="P17" s="382"/>
    </row>
    <row r="18" spans="1:16" ht="27.75">
      <c r="A18" s="1591" t="s">
        <v>142</v>
      </c>
      <c r="B18" s="1592"/>
      <c r="C18" s="1593"/>
      <c r="D18" s="638" t="s">
        <v>143</v>
      </c>
      <c r="E18" s="636">
        <f>'10'!F18</f>
        <v>2</v>
      </c>
      <c r="F18" s="654">
        <v>2</v>
      </c>
      <c r="G18" s="1401">
        <f>F18*10</f>
        <v>20</v>
      </c>
      <c r="H18" s="752">
        <f>G18+'10'!H18</f>
        <v>460</v>
      </c>
      <c r="I18" s="1402">
        <v>65</v>
      </c>
      <c r="J18" s="1403">
        <f>H18/DAY(B2)</f>
        <v>41.81818181818182</v>
      </c>
      <c r="K18" s="428"/>
      <c r="L18" s="377"/>
      <c r="N18" s="721"/>
      <c r="P18" s="382"/>
    </row>
    <row r="19" spans="1:16" ht="27.75">
      <c r="A19" s="1591" t="s">
        <v>71</v>
      </c>
      <c r="B19" s="1592"/>
      <c r="C19" s="1593"/>
      <c r="D19" s="638" t="s">
        <v>143</v>
      </c>
      <c r="E19" s="636">
        <f>'10'!F19</f>
        <v>138354</v>
      </c>
      <c r="F19" s="654">
        <v>138409</v>
      </c>
      <c r="G19" s="1401">
        <f t="shared" ref="G19" si="1">F19-E19</f>
        <v>55</v>
      </c>
      <c r="H19" s="752">
        <f>G19+'10'!H19</f>
        <v>597</v>
      </c>
      <c r="I19" s="1410"/>
      <c r="J19" s="1403">
        <f>H19/DAY(B2)</f>
        <v>54.272727272727273</v>
      </c>
      <c r="K19" s="428"/>
      <c r="L19" s="377"/>
      <c r="N19" s="721"/>
      <c r="P19" s="382"/>
    </row>
    <row r="20" spans="1:16">
      <c r="A20" s="695" t="s">
        <v>144</v>
      </c>
      <c r="B20" s="696"/>
      <c r="C20" s="696"/>
      <c r="D20" s="638"/>
      <c r="E20" s="650"/>
      <c r="F20" s="627"/>
      <c r="G20" s="1411">
        <f>G18+G19</f>
        <v>75</v>
      </c>
      <c r="H20" s="752">
        <f>G20+'10'!H20</f>
        <v>1057</v>
      </c>
      <c r="I20" s="1412">
        <f>I18-J20</f>
        <v>-31.090909090909093</v>
      </c>
      <c r="J20" s="1403">
        <f>H20/DAY(B2)</f>
        <v>96.090909090909093</v>
      </c>
      <c r="K20" s="428"/>
      <c r="L20" s="377"/>
      <c r="N20" s="721"/>
      <c r="P20" s="382"/>
    </row>
    <row r="21" spans="1:16">
      <c r="A21" s="1565" t="s">
        <v>145</v>
      </c>
      <c r="B21" s="1566"/>
      <c r="C21" s="1567"/>
      <c r="D21" s="472"/>
      <c r="E21" s="627"/>
      <c r="F21" s="627"/>
      <c r="G21" s="650"/>
      <c r="H21" s="627"/>
      <c r="I21" s="627"/>
      <c r="J21" s="1399"/>
      <c r="K21" s="428"/>
      <c r="L21" s="377"/>
      <c r="N21" s="721"/>
      <c r="P21" s="382"/>
    </row>
    <row r="22" spans="1:16">
      <c r="A22" s="1143" t="s">
        <v>146</v>
      </c>
      <c r="B22" s="589"/>
      <c r="C22" s="589"/>
      <c r="D22" s="523" t="s">
        <v>147</v>
      </c>
      <c r="E22" s="636">
        <f>'10'!F22</f>
        <v>2970</v>
      </c>
      <c r="F22" s="654">
        <v>2970</v>
      </c>
      <c r="G22" s="655">
        <f t="shared" ref="G22" si="2">(F22-E22)</f>
        <v>0</v>
      </c>
      <c r="H22" s="708">
        <f>G22+'10'!H22</f>
        <v>0</v>
      </c>
      <c r="I22" s="1075"/>
      <c r="J22" s="710">
        <f>H22/DAY(B2)</f>
        <v>0</v>
      </c>
      <c r="K22" s="428"/>
      <c r="L22" s="377"/>
      <c r="N22" s="721"/>
      <c r="P22" s="382"/>
    </row>
    <row r="23" spans="1:16">
      <c r="A23" s="1143" t="s">
        <v>148</v>
      </c>
      <c r="B23" s="589"/>
      <c r="C23" s="589"/>
      <c r="D23" s="523" t="s">
        <v>147</v>
      </c>
      <c r="E23" s="636">
        <f>'10'!F23</f>
        <v>2000</v>
      </c>
      <c r="F23" s="654">
        <v>2900</v>
      </c>
      <c r="G23" s="655">
        <v>0</v>
      </c>
      <c r="H23" s="708">
        <f>G23+'10'!H23</f>
        <v>0</v>
      </c>
      <c r="I23" s="1075"/>
      <c r="J23" s="710">
        <f>H23/DAY(B2)</f>
        <v>0</v>
      </c>
      <c r="K23" s="428"/>
      <c r="L23" s="377"/>
      <c r="N23" s="721"/>
      <c r="P23" s="382"/>
    </row>
    <row r="24" spans="1:16">
      <c r="A24" s="590" t="s">
        <v>149</v>
      </c>
      <c r="B24" s="591"/>
      <c r="C24" s="591"/>
      <c r="D24" s="511" t="s">
        <v>147</v>
      </c>
      <c r="E24" s="1413">
        <f>'10'!F24</f>
        <v>4250</v>
      </c>
      <c r="F24" s="654">
        <v>4250</v>
      </c>
      <c r="G24" s="655">
        <v>0</v>
      </c>
      <c r="H24" s="708">
        <f>G24+'10'!H24</f>
        <v>0</v>
      </c>
      <c r="I24" s="1075"/>
      <c r="J24" s="710">
        <f>H24/DAY(B2)</f>
        <v>0</v>
      </c>
      <c r="K24" s="428"/>
      <c r="L24" s="377"/>
      <c r="N24" s="721"/>
      <c r="P24" s="382"/>
    </row>
    <row r="25" spans="1:16" s="442" customFormat="1" ht="27">
      <c r="A25" s="1570" t="s">
        <v>150</v>
      </c>
      <c r="B25" s="1571"/>
      <c r="C25" s="1572"/>
      <c r="D25" s="471"/>
      <c r="E25" s="1398"/>
      <c r="F25" s="1398"/>
      <c r="G25" s="1414"/>
      <c r="H25" s="1111"/>
      <c r="I25" s="1415"/>
      <c r="J25" s="1416"/>
      <c r="K25" s="373"/>
      <c r="L25" s="443"/>
      <c r="N25" s="721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1417"/>
      <c r="F26" s="709"/>
      <c r="G26" s="1418"/>
      <c r="H26" s="708"/>
      <c r="I26" s="1419"/>
      <c r="J26" s="710"/>
      <c r="K26" s="374"/>
      <c r="L26" s="443"/>
      <c r="N26" s="721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20">
        <f>G8</f>
        <v>14613.82</v>
      </c>
      <c r="F27" s="1421">
        <v>9</v>
      </c>
      <c r="G27" s="1422">
        <f>E27*F27</f>
        <v>131524.38</v>
      </c>
      <c r="H27" s="708">
        <f>G27+'10'!H27</f>
        <v>1581451.38</v>
      </c>
      <c r="I27" s="1423"/>
      <c r="J27" s="710">
        <f>H27/DAY(B2)</f>
        <v>143768.30727272725</v>
      </c>
      <c r="K27" s="373"/>
      <c r="L27" s="443"/>
      <c r="N27" s="721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1420">
        <f>G15</f>
        <v>333.68999999994412</v>
      </c>
      <c r="F28" s="1421">
        <v>49</v>
      </c>
      <c r="G28" s="1422">
        <f>E28*F28</f>
        <v>16350.809999997262</v>
      </c>
      <c r="H28" s="708">
        <f>G28+'10'!H28</f>
        <v>230941.40999999727</v>
      </c>
      <c r="I28" s="1424"/>
      <c r="J28" s="710">
        <f>H28/DAY(B2)</f>
        <v>20994.673636363386</v>
      </c>
      <c r="K28" s="373"/>
      <c r="L28" s="443"/>
      <c r="N28" s="721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1420">
        <f>G24</f>
        <v>0</v>
      </c>
      <c r="F29" s="1421">
        <v>69</v>
      </c>
      <c r="G29" s="1422">
        <f>E29*F29</f>
        <v>0</v>
      </c>
      <c r="H29" s="708">
        <f>G29+'10'!H29</f>
        <v>0</v>
      </c>
      <c r="I29" s="1424"/>
      <c r="J29" s="710">
        <f>H29/DAY(B2)</f>
        <v>0</v>
      </c>
      <c r="K29" s="373"/>
      <c r="L29" s="443"/>
      <c r="N29" s="721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1420">
        <f>G19</f>
        <v>55</v>
      </c>
      <c r="F30" s="1421">
        <v>134</v>
      </c>
      <c r="G30" s="1422">
        <f>E30*F30</f>
        <v>7370</v>
      </c>
      <c r="H30" s="708">
        <f>G30+'10'!H30</f>
        <v>79998</v>
      </c>
      <c r="I30" s="1424"/>
      <c r="J30" s="710">
        <f>H30/DAY(B2)</f>
        <v>7272.545454545455</v>
      </c>
      <c r="K30" s="373"/>
      <c r="L30" s="443"/>
      <c r="N30" s="721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1420">
        <f>G18</f>
        <v>20</v>
      </c>
      <c r="F31" s="1421">
        <v>80</v>
      </c>
      <c r="G31" s="1422">
        <f>E31*F31</f>
        <v>1600</v>
      </c>
      <c r="H31" s="708">
        <f>G31+'10'!H31</f>
        <v>36800</v>
      </c>
      <c r="I31" s="1424"/>
      <c r="J31" s="710">
        <f>H31/DAY(B2)</f>
        <v>3345.4545454545455</v>
      </c>
      <c r="K31" s="373"/>
      <c r="L31" s="443"/>
      <c r="N31" s="721"/>
      <c r="P31" s="382"/>
    </row>
    <row r="32" spans="1:16" s="442" customFormat="1" ht="27.75">
      <c r="A32" s="595" t="s">
        <v>160</v>
      </c>
      <c r="B32" s="596"/>
      <c r="C32" s="597"/>
      <c r="D32" s="507"/>
      <c r="E32" s="1425"/>
      <c r="F32" s="627"/>
      <c r="G32" s="1426">
        <f>G27+G28+G29+G30+G31</f>
        <v>156845.18999999727</v>
      </c>
      <c r="H32" s="708">
        <f>G32+'10'!H32</f>
        <v>1929190.7899999977</v>
      </c>
      <c r="I32" s="1427"/>
      <c r="J32" s="710">
        <f>H32/DAY(B2)</f>
        <v>175380.98090909069</v>
      </c>
      <c r="K32" s="373"/>
      <c r="L32" s="443"/>
      <c r="N32" s="721"/>
      <c r="P32" s="382"/>
    </row>
    <row r="33" spans="1:16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721"/>
      <c r="P33" s="382"/>
    </row>
    <row r="34" spans="1:16">
      <c r="A34" s="598" t="s">
        <v>162</v>
      </c>
      <c r="B34" s="1148"/>
      <c r="C34" s="1148"/>
      <c r="D34" s="472"/>
      <c r="E34" s="1398"/>
      <c r="F34" s="1398"/>
      <c r="G34" s="627"/>
      <c r="H34" s="627"/>
      <c r="I34" s="627"/>
      <c r="J34" s="1399"/>
      <c r="K34" s="428"/>
      <c r="L34" s="377"/>
      <c r="N34" s="721"/>
      <c r="P34" s="382"/>
    </row>
    <row r="35" spans="1:16">
      <c r="A35" s="578" t="s">
        <v>163</v>
      </c>
      <c r="B35" s="579"/>
      <c r="C35" s="579"/>
      <c r="D35" s="523" t="s">
        <v>131</v>
      </c>
      <c r="E35" s="656">
        <f>'10'!F35</f>
        <v>907723</v>
      </c>
      <c r="F35" s="656">
        <v>909592.23</v>
      </c>
      <c r="G35" s="655">
        <f t="shared" ref="G35:G46" si="3">F35-E35</f>
        <v>1869.2299999999814</v>
      </c>
      <c r="H35" s="708">
        <f>G35+'10'!H35</f>
        <v>23133.229999999981</v>
      </c>
      <c r="I35" s="709"/>
      <c r="J35" s="710">
        <f>H35/DAY(B2)</f>
        <v>2103.0209090909075</v>
      </c>
      <c r="K35" s="428"/>
      <c r="L35" s="377"/>
      <c r="N35" s="721"/>
      <c r="P35" s="382"/>
    </row>
    <row r="36" spans="1:16">
      <c r="A36" s="578" t="s">
        <v>164</v>
      </c>
      <c r="B36" s="579"/>
      <c r="C36" s="579"/>
      <c r="D36" s="523" t="s">
        <v>131</v>
      </c>
      <c r="E36" s="656">
        <f>'10'!F36</f>
        <v>347065</v>
      </c>
      <c r="F36" s="656">
        <v>347065</v>
      </c>
      <c r="G36" s="655">
        <f t="shared" si="3"/>
        <v>0</v>
      </c>
      <c r="H36" s="708">
        <f>G36+'10'!H36</f>
        <v>2457</v>
      </c>
      <c r="I36" s="709"/>
      <c r="J36" s="710">
        <f>H36/DAY(B2)</f>
        <v>223.36363636363637</v>
      </c>
      <c r="K36" s="428"/>
      <c r="L36" s="377"/>
      <c r="N36" s="722"/>
      <c r="P36" s="382"/>
    </row>
    <row r="37" spans="1:16">
      <c r="A37" s="578" t="s">
        <v>165</v>
      </c>
      <c r="B37" s="579"/>
      <c r="C37" s="579"/>
      <c r="D37" s="523" t="s">
        <v>131</v>
      </c>
      <c r="E37" s="656">
        <f>'10'!F37</f>
        <v>107530</v>
      </c>
      <c r="F37" s="656">
        <v>108721.5</v>
      </c>
      <c r="G37" s="655">
        <f t="shared" si="3"/>
        <v>1191.5</v>
      </c>
      <c r="H37" s="708">
        <f>G37+'10'!H37</f>
        <v>13496.5</v>
      </c>
      <c r="I37" s="709"/>
      <c r="J37" s="710">
        <f>H37/DAY(B2)</f>
        <v>1226.9545454545455</v>
      </c>
      <c r="K37" s="428"/>
      <c r="L37" s="377"/>
      <c r="N37" s="722"/>
      <c r="P37" s="382"/>
    </row>
    <row r="38" spans="1:16">
      <c r="A38" s="578" t="s">
        <v>166</v>
      </c>
      <c r="B38" s="579"/>
      <c r="C38" s="579"/>
      <c r="D38" s="523" t="s">
        <v>131</v>
      </c>
      <c r="E38" s="656">
        <f>'10'!F38</f>
        <v>131865</v>
      </c>
      <c r="F38" s="1395">
        <v>132863.37</v>
      </c>
      <c r="G38" s="655">
        <f t="shared" si="3"/>
        <v>998.36999999999534</v>
      </c>
      <c r="H38" s="708">
        <f>G38+'10'!H38</f>
        <v>13267.369999999995</v>
      </c>
      <c r="I38" s="709"/>
      <c r="J38" s="710">
        <f>H38/DAY(B2)</f>
        <v>1206.1245454545451</v>
      </c>
      <c r="K38" s="428"/>
      <c r="L38" s="377"/>
      <c r="N38" s="721"/>
      <c r="P38" s="382"/>
    </row>
    <row r="39" spans="1:16">
      <c r="A39" s="578" t="s">
        <v>167</v>
      </c>
      <c r="B39" s="579"/>
      <c r="C39" s="579"/>
      <c r="D39" s="523" t="s">
        <v>131</v>
      </c>
      <c r="E39" s="656">
        <f>'10'!F39</f>
        <v>264341</v>
      </c>
      <c r="F39" s="656">
        <v>265908.17</v>
      </c>
      <c r="G39" s="655">
        <f t="shared" si="3"/>
        <v>1567.1699999999837</v>
      </c>
      <c r="H39" s="708">
        <f>G39+'10'!H39</f>
        <v>19255.169999999984</v>
      </c>
      <c r="I39" s="709"/>
      <c r="J39" s="710">
        <f>H39/DAY(B2)</f>
        <v>1750.4699999999984</v>
      </c>
      <c r="K39" s="428"/>
      <c r="L39" s="377"/>
      <c r="N39" s="721"/>
      <c r="P39" s="382"/>
    </row>
    <row r="40" spans="1:16">
      <c r="A40" s="599" t="s">
        <v>168</v>
      </c>
      <c r="B40" s="600"/>
      <c r="C40" s="600"/>
      <c r="D40" s="523" t="s">
        <v>131</v>
      </c>
      <c r="E40" s="656">
        <f>'10'!F40</f>
        <v>0.23</v>
      </c>
      <c r="F40" s="656">
        <v>86.47</v>
      </c>
      <c r="G40" s="655">
        <f t="shared" si="3"/>
        <v>86.24</v>
      </c>
      <c r="H40" s="708">
        <f>G40+'10'!H40</f>
        <v>86.24</v>
      </c>
      <c r="I40" s="709"/>
      <c r="J40" s="710">
        <f>H40/DAY(B2)</f>
        <v>7.84</v>
      </c>
      <c r="K40" s="429"/>
      <c r="L40" s="377"/>
      <c r="N40" s="721"/>
      <c r="P40" s="382"/>
    </row>
    <row r="41" spans="1:16">
      <c r="A41" s="578" t="s">
        <v>169</v>
      </c>
      <c r="B41" s="579"/>
      <c r="C41" s="579"/>
      <c r="D41" s="523" t="s">
        <v>131</v>
      </c>
      <c r="E41" s="656">
        <f>'10'!F41</f>
        <v>230025</v>
      </c>
      <c r="F41" s="656">
        <v>234819.03</v>
      </c>
      <c r="G41" s="655">
        <f t="shared" si="3"/>
        <v>4794.0299999999988</v>
      </c>
      <c r="H41" s="708">
        <f>G41+'10'!H41</f>
        <v>53291.03</v>
      </c>
      <c r="I41" s="709"/>
      <c r="J41" s="710">
        <f>H41/DAY(B2)</f>
        <v>4844.6390909090906</v>
      </c>
      <c r="K41" s="428"/>
      <c r="L41" s="377"/>
      <c r="N41" s="721"/>
      <c r="P41" s="724"/>
    </row>
    <row r="42" spans="1:16">
      <c r="A42" s="578" t="s">
        <v>170</v>
      </c>
      <c r="B42" s="579"/>
      <c r="C42" s="579"/>
      <c r="D42" s="523" t="s">
        <v>131</v>
      </c>
      <c r="E42" s="656">
        <f>'10'!F42</f>
        <v>59200</v>
      </c>
      <c r="F42" s="656">
        <v>59200.08</v>
      </c>
      <c r="G42" s="655">
        <f t="shared" si="3"/>
        <v>8.000000000174623E-2</v>
      </c>
      <c r="H42" s="708">
        <f>G42+'10'!H42</f>
        <v>8.000000000174623E-2</v>
      </c>
      <c r="I42" s="709"/>
      <c r="J42" s="710">
        <f>H42/DAY(B2)</f>
        <v>7.2727272728860207E-3</v>
      </c>
      <c r="K42" s="428"/>
      <c r="L42" s="377"/>
      <c r="N42" s="721"/>
      <c r="P42" s="382"/>
    </row>
    <row r="43" spans="1:16">
      <c r="A43" s="578" t="s">
        <v>171</v>
      </c>
      <c r="B43" s="579"/>
      <c r="C43" s="579"/>
      <c r="D43" s="523" t="s">
        <v>131</v>
      </c>
      <c r="E43" s="656">
        <f>'10'!F43</f>
        <v>996352</v>
      </c>
      <c r="F43" s="656">
        <v>998445.19</v>
      </c>
      <c r="G43" s="655">
        <f>F43-E43</f>
        <v>2093.1899999999441</v>
      </c>
      <c r="H43" s="708">
        <f>G43+'10'!H43</f>
        <v>24487.189999999944</v>
      </c>
      <c r="I43" s="709"/>
      <c r="J43" s="710">
        <f>H43/DAY(B2)</f>
        <v>2226.1081818181769</v>
      </c>
      <c r="K43" s="428"/>
      <c r="L43" s="377"/>
      <c r="N43" s="721"/>
      <c r="P43" s="382"/>
    </row>
    <row r="44" spans="1:16">
      <c r="A44" s="578" t="s">
        <v>172</v>
      </c>
      <c r="B44" s="579"/>
      <c r="C44" s="579"/>
      <c r="D44" s="523" t="s">
        <v>131</v>
      </c>
      <c r="E44" s="656">
        <f>'10'!F44</f>
        <v>0</v>
      </c>
      <c r="F44" s="656">
        <v>0</v>
      </c>
      <c r="G44" s="655">
        <f t="shared" si="3"/>
        <v>0</v>
      </c>
      <c r="H44" s="708">
        <f>G44+'10'!H44</f>
        <v>0</v>
      </c>
      <c r="I44" s="709"/>
      <c r="J44" s="710">
        <f>H44/DAY(B2)</f>
        <v>0</v>
      </c>
      <c r="K44" s="428"/>
      <c r="L44" s="377"/>
      <c r="N44" s="721"/>
      <c r="P44" s="382"/>
    </row>
    <row r="45" spans="1:16">
      <c r="A45" s="578" t="s">
        <v>173</v>
      </c>
      <c r="B45" s="579"/>
      <c r="C45" s="579"/>
      <c r="D45" s="523" t="s">
        <v>131</v>
      </c>
      <c r="E45" s="656">
        <f>'10'!F45</f>
        <v>614</v>
      </c>
      <c r="F45" s="656">
        <v>614</v>
      </c>
      <c r="G45" s="655">
        <f t="shared" si="3"/>
        <v>0</v>
      </c>
      <c r="H45" s="708">
        <f>G45+'10'!H45</f>
        <v>0</v>
      </c>
      <c r="I45" s="709"/>
      <c r="J45" s="710">
        <f>H45/DAY(B2)</f>
        <v>0</v>
      </c>
      <c r="K45" s="428"/>
      <c r="L45" s="377"/>
      <c r="N45" s="721"/>
      <c r="P45" s="382"/>
    </row>
    <row r="46" spans="1:16">
      <c r="A46" s="578" t="s">
        <v>174</v>
      </c>
      <c r="B46" s="579"/>
      <c r="C46" s="579"/>
      <c r="D46" s="523" t="s">
        <v>131</v>
      </c>
      <c r="E46" s="656">
        <f>'10'!F46</f>
        <v>187</v>
      </c>
      <c r="F46" s="656">
        <v>187.49</v>
      </c>
      <c r="G46" s="655">
        <f t="shared" si="3"/>
        <v>0.49000000000000909</v>
      </c>
      <c r="H46" s="708">
        <f>G46+'10'!H46</f>
        <v>0.49000000000000909</v>
      </c>
      <c r="I46" s="709"/>
      <c r="J46" s="710">
        <f>H46/DAY(B2)</f>
        <v>4.4545454545455374E-2</v>
      </c>
      <c r="K46" s="428"/>
      <c r="L46" s="377"/>
      <c r="N46" s="721"/>
      <c r="P46" s="382"/>
    </row>
    <row r="47" spans="1:16">
      <c r="A47" s="585" t="s">
        <v>175</v>
      </c>
      <c r="B47" s="586"/>
      <c r="C47" s="586"/>
      <c r="D47" s="470"/>
      <c r="E47" s="1398"/>
      <c r="F47" s="1398"/>
      <c r="G47" s="655">
        <f>G35+G36+G37+G38+G39+G40+G41+G42+G43+G44+G45+G46</f>
        <v>12600.299999999905</v>
      </c>
      <c r="H47" s="708">
        <f>G47+'10'!H47</f>
        <v>149474.2999999999</v>
      </c>
      <c r="I47" s="709"/>
      <c r="J47" s="710">
        <f>H47/DAY(B2)</f>
        <v>13588.572727272718</v>
      </c>
      <c r="K47" s="428"/>
      <c r="L47" s="377"/>
      <c r="N47" s="721"/>
      <c r="P47" s="382"/>
    </row>
    <row r="48" spans="1:16">
      <c r="A48" s="598" t="s">
        <v>176</v>
      </c>
      <c r="B48" s="1148"/>
      <c r="C48" s="1148"/>
      <c r="D48" s="472"/>
      <c r="E48" s="1398"/>
      <c r="F48" s="1398"/>
      <c r="G48" s="627"/>
      <c r="H48" s="627"/>
      <c r="I48" s="627"/>
      <c r="J48" s="1399"/>
      <c r="K48" s="428"/>
      <c r="L48" s="377"/>
      <c r="N48" s="721"/>
      <c r="P48" s="382"/>
    </row>
    <row r="49" spans="1:16">
      <c r="A49" s="578" t="s">
        <v>163</v>
      </c>
      <c r="B49" s="601"/>
      <c r="C49" s="601"/>
      <c r="D49" s="523" t="s">
        <v>131</v>
      </c>
      <c r="E49" s="656">
        <f>'10'!F49</f>
        <v>260732.13</v>
      </c>
      <c r="F49" s="656">
        <v>260732.13</v>
      </c>
      <c r="G49" s="655">
        <f t="shared" ref="G49:G58" si="4">F49-E49</f>
        <v>0</v>
      </c>
      <c r="H49" s="708">
        <f>G49+'9'!H49</f>
        <v>0</v>
      </c>
      <c r="I49" s="709"/>
      <c r="J49" s="710">
        <f>H49/DAY(B2)</f>
        <v>0</v>
      </c>
      <c r="K49" s="428"/>
      <c r="L49" s="377"/>
      <c r="N49" s="721"/>
      <c r="P49" s="382"/>
    </row>
    <row r="50" spans="1:16">
      <c r="A50" s="578" t="s">
        <v>177</v>
      </c>
      <c r="B50" s="601"/>
      <c r="C50" s="601"/>
      <c r="D50" s="523" t="s">
        <v>131</v>
      </c>
      <c r="E50" s="656">
        <f>'10'!F50</f>
        <v>484336</v>
      </c>
      <c r="F50" s="656">
        <v>485107.95</v>
      </c>
      <c r="G50" s="655">
        <f t="shared" si="4"/>
        <v>771.95000000001164</v>
      </c>
      <c r="H50" s="708">
        <f>G50+'9'!H50</f>
        <v>9632.9500000000116</v>
      </c>
      <c r="I50" s="709"/>
      <c r="J50" s="710">
        <f>H50/DAY(B2)</f>
        <v>875.72272727272832</v>
      </c>
      <c r="K50" s="428"/>
      <c r="L50" s="377"/>
      <c r="N50" s="721"/>
      <c r="P50" s="382"/>
    </row>
    <row r="51" spans="1:16">
      <c r="A51" s="578" t="s">
        <v>165</v>
      </c>
      <c r="B51" s="601"/>
      <c r="C51" s="601"/>
      <c r="D51" s="523" t="s">
        <v>131</v>
      </c>
      <c r="E51" s="656">
        <f>'10'!F51</f>
        <v>144639.87</v>
      </c>
      <c r="F51" s="656">
        <v>144639.87</v>
      </c>
      <c r="G51" s="655">
        <f t="shared" si="4"/>
        <v>0</v>
      </c>
      <c r="H51" s="708">
        <f>G51+'9'!H51</f>
        <v>-0.13000000000465661</v>
      </c>
      <c r="I51" s="709"/>
      <c r="J51" s="710">
        <f>H51/DAY(B2)</f>
        <v>-1.1818181818605146E-2</v>
      </c>
      <c r="K51" s="428"/>
      <c r="L51" s="377"/>
      <c r="N51" s="721"/>
      <c r="P51" s="382"/>
    </row>
    <row r="52" spans="1:16">
      <c r="A52" s="578" t="s">
        <v>178</v>
      </c>
      <c r="B52" s="601"/>
      <c r="C52" s="601"/>
      <c r="D52" s="523" t="s">
        <v>131</v>
      </c>
      <c r="E52" s="656">
        <f>'10'!F52</f>
        <v>539606.06999999995</v>
      </c>
      <c r="F52" s="656">
        <v>539606.06999999995</v>
      </c>
      <c r="G52" s="655">
        <f t="shared" si="4"/>
        <v>0</v>
      </c>
      <c r="H52" s="708">
        <f>G52+'9'!H52</f>
        <v>6.9999999948777258E-2</v>
      </c>
      <c r="I52" s="709"/>
      <c r="J52" s="710">
        <f>H52/DAY(B2)</f>
        <v>6.3636363589797511E-3</v>
      </c>
      <c r="K52" s="428"/>
      <c r="L52" s="377"/>
      <c r="N52" s="721"/>
      <c r="P52" s="382"/>
    </row>
    <row r="53" spans="1:16">
      <c r="A53" s="578" t="s">
        <v>167</v>
      </c>
      <c r="B53" s="601"/>
      <c r="C53" s="601"/>
      <c r="D53" s="523" t="s">
        <v>131</v>
      </c>
      <c r="E53" s="656">
        <f>'10'!F53</f>
        <v>421690</v>
      </c>
      <c r="F53" s="656">
        <v>422176.23</v>
      </c>
      <c r="G53" s="655">
        <f t="shared" si="4"/>
        <v>486.22999999998137</v>
      </c>
      <c r="H53" s="708">
        <f>G53+'9'!H53</f>
        <v>5342.2299999999814</v>
      </c>
      <c r="I53" s="709"/>
      <c r="J53" s="710">
        <f>H53/DAY(B2)</f>
        <v>485.65727272727105</v>
      </c>
      <c r="K53" s="428"/>
      <c r="L53" s="377"/>
      <c r="N53" s="721"/>
      <c r="P53" s="382"/>
    </row>
    <row r="54" spans="1:16">
      <c r="A54" s="578" t="s">
        <v>179</v>
      </c>
      <c r="B54" s="601"/>
      <c r="C54" s="601"/>
      <c r="D54" s="523" t="s">
        <v>131</v>
      </c>
      <c r="E54" s="656">
        <f>'10'!F54</f>
        <v>12105</v>
      </c>
      <c r="F54" s="656">
        <v>12177.65</v>
      </c>
      <c r="G54" s="655">
        <f t="shared" si="4"/>
        <v>72.649999999999636</v>
      </c>
      <c r="H54" s="708">
        <f>G54+'9'!H54</f>
        <v>4415.6499999999996</v>
      </c>
      <c r="I54" s="709"/>
      <c r="J54" s="710">
        <f>H54/DAY(B2)</f>
        <v>401.42272727272723</v>
      </c>
      <c r="K54" s="428"/>
      <c r="L54" s="377"/>
      <c r="N54" s="721"/>
      <c r="P54" s="382"/>
    </row>
    <row r="55" spans="1:16">
      <c r="A55" s="578" t="s">
        <v>180</v>
      </c>
      <c r="B55" s="601"/>
      <c r="C55" s="601"/>
      <c r="D55" s="523" t="s">
        <v>131</v>
      </c>
      <c r="E55" s="656">
        <f>'10'!F55</f>
        <v>1979.37</v>
      </c>
      <c r="F55" s="656">
        <v>1979.37</v>
      </c>
      <c r="G55" s="655">
        <f t="shared" si="4"/>
        <v>0</v>
      </c>
      <c r="H55" s="708">
        <f>G55+'9'!H55</f>
        <v>0</v>
      </c>
      <c r="I55" s="709"/>
      <c r="J55" s="710">
        <f>H55/DAY(B2)</f>
        <v>0</v>
      </c>
      <c r="K55" s="428"/>
      <c r="L55" s="377"/>
      <c r="N55" s="721"/>
      <c r="P55" s="382"/>
    </row>
    <row r="56" spans="1:16">
      <c r="A56" s="578" t="s">
        <v>181</v>
      </c>
      <c r="B56" s="601"/>
      <c r="C56" s="601"/>
      <c r="D56" s="523" t="s">
        <v>182</v>
      </c>
      <c r="E56" s="656">
        <f>'10'!F56</f>
        <v>589375</v>
      </c>
      <c r="F56" s="656">
        <v>589405.23</v>
      </c>
      <c r="G56" s="655">
        <f t="shared" si="4"/>
        <v>30.229999999981374</v>
      </c>
      <c r="H56" s="708">
        <f>G56+'9'!H56</f>
        <v>116.86999999999534</v>
      </c>
      <c r="I56" s="709"/>
      <c r="J56" s="710">
        <f>H56/DAY(B2)</f>
        <v>10.62454545454503</v>
      </c>
      <c r="K56" s="427"/>
      <c r="L56" s="377"/>
      <c r="N56" s="721"/>
      <c r="P56" s="382"/>
    </row>
    <row r="57" spans="1:16">
      <c r="A57" s="578" t="s">
        <v>171</v>
      </c>
      <c r="B57" s="601"/>
      <c r="C57" s="601"/>
      <c r="D57" s="523" t="s">
        <v>131</v>
      </c>
      <c r="E57" s="656">
        <f>'10'!F57</f>
        <v>7711</v>
      </c>
      <c r="F57" s="656">
        <v>7711</v>
      </c>
      <c r="G57" s="655">
        <f t="shared" si="4"/>
        <v>0</v>
      </c>
      <c r="H57" s="708">
        <f>G57+'9'!H57</f>
        <v>0</v>
      </c>
      <c r="I57" s="709"/>
      <c r="J57" s="710">
        <f>H57/DAY(B2)</f>
        <v>0</v>
      </c>
      <c r="K57" s="428"/>
      <c r="L57" s="377"/>
      <c r="N57" s="721"/>
      <c r="P57" s="382"/>
    </row>
    <row r="58" spans="1:16">
      <c r="A58" s="578" t="s">
        <v>183</v>
      </c>
      <c r="B58" s="601"/>
      <c r="C58" s="601"/>
      <c r="D58" s="523" t="s">
        <v>131</v>
      </c>
      <c r="E58" s="656">
        <f>'10'!F58</f>
        <v>47522</v>
      </c>
      <c r="F58" s="656">
        <v>47522.25</v>
      </c>
      <c r="G58" s="655">
        <f t="shared" si="4"/>
        <v>0.25</v>
      </c>
      <c r="H58" s="708">
        <f>G58+'9'!H58</f>
        <v>805.25</v>
      </c>
      <c r="I58" s="709"/>
      <c r="J58" s="710">
        <f>H58/DAY(B2)</f>
        <v>73.204545454545453</v>
      </c>
      <c r="K58" s="428"/>
      <c r="L58" s="377"/>
      <c r="N58" s="721"/>
      <c r="P58" s="382"/>
    </row>
    <row r="59" spans="1:16">
      <c r="A59" s="585" t="s">
        <v>175</v>
      </c>
      <c r="B59" s="586"/>
      <c r="C59" s="586"/>
      <c r="D59" s="511"/>
      <c r="E59" s="1398"/>
      <c r="F59" s="1398"/>
      <c r="G59" s="655">
        <f>G49+G50+G51+G52+G53+G54+G55+G56+G57+G58</f>
        <v>1361.309999999974</v>
      </c>
      <c r="H59" s="708">
        <f>G59+'9'!H59</f>
        <v>20312.889999999934</v>
      </c>
      <c r="I59" s="709">
        <f>G7-G60</f>
        <v>520.98000000012144</v>
      </c>
      <c r="J59" s="710">
        <f>H59/DAY(B2)</f>
        <v>1846.6263636363576</v>
      </c>
      <c r="K59" s="428"/>
      <c r="L59" s="377"/>
      <c r="N59" s="721"/>
      <c r="P59" s="382"/>
    </row>
    <row r="60" spans="1:16">
      <c r="A60" s="578"/>
      <c r="B60" s="579"/>
      <c r="C60" s="579"/>
      <c r="D60" s="511" t="s">
        <v>184</v>
      </c>
      <c r="E60" s="1398"/>
      <c r="F60" s="1398"/>
      <c r="G60" s="655">
        <f>G47+G59</f>
        <v>13961.609999999879</v>
      </c>
      <c r="H60" s="708">
        <f>G60+'10'!H60</f>
        <v>171371.07999999984</v>
      </c>
      <c r="I60" s="709">
        <f>G13-G60</f>
        <v>37.690000000167856</v>
      </c>
      <c r="J60" s="710">
        <f>H60/DAY(B2)</f>
        <v>15579.189090909076</v>
      </c>
      <c r="K60" s="428"/>
      <c r="L60" s="377"/>
      <c r="N60" s="721"/>
      <c r="P60" s="382"/>
    </row>
    <row r="61" spans="1:16">
      <c r="A61" s="602" t="s">
        <v>185</v>
      </c>
      <c r="B61" s="453"/>
      <c r="C61" s="453"/>
      <c r="D61" s="513"/>
      <c r="E61" s="1428"/>
      <c r="F61" s="1428"/>
      <c r="G61" s="1429"/>
      <c r="H61" s="1429"/>
      <c r="I61" s="1429"/>
      <c r="J61" s="1430"/>
      <c r="K61" s="428"/>
      <c r="L61" s="377"/>
      <c r="N61" s="721"/>
      <c r="P61" s="382"/>
    </row>
    <row r="62" spans="1:16">
      <c r="A62" s="603" t="s">
        <v>98</v>
      </c>
      <c r="B62" s="604"/>
      <c r="C62" s="604"/>
      <c r="D62" s="511" t="s">
        <v>186</v>
      </c>
      <c r="E62" s="1111">
        <f>'10'!F62</f>
        <v>20419</v>
      </c>
      <c r="F62" s="1111">
        <v>20419</v>
      </c>
      <c r="G62" s="655">
        <f t="shared" ref="G62:G69" si="5">F62-E62</f>
        <v>0</v>
      </c>
      <c r="H62" s="708">
        <f>G62+'10'!H62</f>
        <v>1.9999999967694748E-3</v>
      </c>
      <c r="I62" s="1431"/>
      <c r="J62" s="710">
        <f>H62/DAY(B2)</f>
        <v>1.818181815244977E-4</v>
      </c>
      <c r="K62" s="428"/>
      <c r="L62" s="377"/>
      <c r="N62" s="721"/>
      <c r="P62" s="382"/>
    </row>
    <row r="63" spans="1:16">
      <c r="A63" s="603" t="s">
        <v>187</v>
      </c>
      <c r="B63" s="604"/>
      <c r="C63" s="604"/>
      <c r="D63" s="511" t="s">
        <v>186</v>
      </c>
      <c r="E63" s="1111">
        <f>'10'!F63</f>
        <v>2397</v>
      </c>
      <c r="F63" s="1111">
        <v>2400.8000000000002</v>
      </c>
      <c r="G63" s="655">
        <f t="shared" si="5"/>
        <v>3.8000000000001819</v>
      </c>
      <c r="H63" s="708">
        <f>G63+'10'!H63</f>
        <v>41.800000000000182</v>
      </c>
      <c r="I63" s="1431"/>
      <c r="J63" s="710">
        <f>H63/DAY(B2)</f>
        <v>3.8000000000000167</v>
      </c>
      <c r="K63" s="428"/>
      <c r="L63" s="377"/>
      <c r="N63" s="721"/>
      <c r="P63" s="382"/>
    </row>
    <row r="64" spans="1:16" ht="27.75">
      <c r="A64" s="1530" t="s">
        <v>99</v>
      </c>
      <c r="B64" s="1531"/>
      <c r="C64" s="1532"/>
      <c r="D64" s="523" t="s">
        <v>186</v>
      </c>
      <c r="E64" s="1111">
        <f>'10'!F64</f>
        <v>155359</v>
      </c>
      <c r="F64" s="654">
        <v>155566.76999999999</v>
      </c>
      <c r="G64" s="655">
        <f t="shared" si="5"/>
        <v>207.76999999998952</v>
      </c>
      <c r="H64" s="708">
        <f>G64+'10'!H64</f>
        <v>2267.7699999999895</v>
      </c>
      <c r="I64" s="1075"/>
      <c r="J64" s="710">
        <f>H64/DAY(B2)</f>
        <v>206.16090909090815</v>
      </c>
      <c r="K64" s="428"/>
      <c r="L64" s="377"/>
      <c r="N64" s="721"/>
      <c r="P64" s="382"/>
    </row>
    <row r="65" spans="1:16" ht="27.75">
      <c r="A65" s="1530" t="s">
        <v>100</v>
      </c>
      <c r="B65" s="1531"/>
      <c r="C65" s="1532"/>
      <c r="D65" s="523" t="s">
        <v>186</v>
      </c>
      <c r="E65" s="1111">
        <f>'10'!F65</f>
        <v>156480</v>
      </c>
      <c r="F65" s="654">
        <v>156609.13</v>
      </c>
      <c r="G65" s="655">
        <f t="shared" si="5"/>
        <v>129.13000000000466</v>
      </c>
      <c r="H65" s="708">
        <f>G65+'10'!H65</f>
        <v>2010.1300000000047</v>
      </c>
      <c r="I65" s="735"/>
      <c r="J65" s="710">
        <f>H65/DAY(B2)</f>
        <v>182.73909090909135</v>
      </c>
      <c r="K65" s="428"/>
      <c r="L65" s="377"/>
      <c r="N65" s="721"/>
      <c r="P65" s="382"/>
    </row>
    <row r="66" spans="1:16" ht="27.75">
      <c r="A66" s="1530" t="s">
        <v>101</v>
      </c>
      <c r="B66" s="1531"/>
      <c r="C66" s="1532"/>
      <c r="D66" s="523" t="s">
        <v>186</v>
      </c>
      <c r="E66" s="1111">
        <f>'10'!F66</f>
        <v>51186</v>
      </c>
      <c r="F66" s="654">
        <v>51430.79</v>
      </c>
      <c r="G66" s="655">
        <f t="shared" si="5"/>
        <v>244.79000000000087</v>
      </c>
      <c r="H66" s="708">
        <f>G66+'10'!H66</f>
        <v>2859.7900000000009</v>
      </c>
      <c r="I66" s="1075"/>
      <c r="J66" s="710">
        <f>H66/DAY(B2)</f>
        <v>259.98090909090917</v>
      </c>
      <c r="K66" s="428"/>
      <c r="L66" s="377"/>
      <c r="N66" s="721"/>
      <c r="P66" s="382"/>
    </row>
    <row r="67" spans="1:16" ht="27.75">
      <c r="A67" s="1530" t="s">
        <v>102</v>
      </c>
      <c r="B67" s="1531"/>
      <c r="C67" s="1532"/>
      <c r="D67" s="523" t="s">
        <v>186</v>
      </c>
      <c r="E67" s="1111">
        <f>'10'!F67</f>
        <v>244826</v>
      </c>
      <c r="F67" s="654">
        <v>244943.95</v>
      </c>
      <c r="G67" s="655">
        <f t="shared" si="5"/>
        <v>117.95000000001164</v>
      </c>
      <c r="H67" s="708">
        <f>G67+'10'!H67</f>
        <v>1769.9500000000116</v>
      </c>
      <c r="I67" s="735"/>
      <c r="J67" s="710">
        <f>H67/DAY(B2)</f>
        <v>160.90454545454651</v>
      </c>
      <c r="K67" s="429"/>
      <c r="L67" s="377"/>
      <c r="N67" s="721"/>
      <c r="P67" s="382"/>
    </row>
    <row r="68" spans="1:16" ht="27.75">
      <c r="A68" s="1530" t="s">
        <v>103</v>
      </c>
      <c r="B68" s="1531"/>
      <c r="C68" s="1532"/>
      <c r="D68" s="523" t="s">
        <v>186</v>
      </c>
      <c r="E68" s="1111">
        <f>'10'!F68</f>
        <v>85321</v>
      </c>
      <c r="F68" s="654">
        <v>85321</v>
      </c>
      <c r="G68" s="655">
        <f t="shared" si="5"/>
        <v>0</v>
      </c>
      <c r="H68" s="708">
        <f>G68+'10'!H68</f>
        <v>0</v>
      </c>
      <c r="I68" s="1432"/>
      <c r="J68" s="710">
        <f>H68/DAY(B2)</f>
        <v>0</v>
      </c>
      <c r="K68" s="430"/>
      <c r="L68" s="377"/>
      <c r="N68" s="721"/>
      <c r="P68" s="382"/>
    </row>
    <row r="69" spans="1:16" ht="27.75">
      <c r="A69" s="1530" t="s">
        <v>104</v>
      </c>
      <c r="B69" s="1531"/>
      <c r="C69" s="1532"/>
      <c r="D69" s="523" t="s">
        <v>186</v>
      </c>
      <c r="E69" s="1111">
        <f>'10'!F69</f>
        <v>79831</v>
      </c>
      <c r="F69" s="654">
        <v>79870.61</v>
      </c>
      <c r="G69" s="655">
        <f t="shared" si="5"/>
        <v>39.610000000000582</v>
      </c>
      <c r="H69" s="708">
        <f>G69+'10'!H69</f>
        <v>876.61000000000058</v>
      </c>
      <c r="I69" s="1432"/>
      <c r="J69" s="710">
        <f>H69/DAY(B2)</f>
        <v>79.691818181818235</v>
      </c>
      <c r="K69" s="431"/>
      <c r="L69" s="377"/>
      <c r="N69" s="721"/>
      <c r="P69" s="382"/>
    </row>
    <row r="70" spans="1:16" ht="27.75">
      <c r="A70" s="1536" t="s">
        <v>188</v>
      </c>
      <c r="B70" s="1537"/>
      <c r="C70" s="1538"/>
      <c r="D70" s="523" t="s">
        <v>186</v>
      </c>
      <c r="E70" s="1433"/>
      <c r="F70" s="1433"/>
      <c r="G70" s="1433"/>
      <c r="H70" s="708">
        <f>G70+'10'!H70</f>
        <v>0</v>
      </c>
      <c r="I70" s="1433"/>
      <c r="J70" s="1434">
        <f>H70/DAY(B2)</f>
        <v>0</v>
      </c>
      <c r="K70" s="431"/>
      <c r="L70" s="377"/>
      <c r="N70" s="721"/>
      <c r="P70" s="382"/>
    </row>
    <row r="71" spans="1:16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721"/>
      <c r="P71" s="382"/>
    </row>
    <row r="72" spans="1:16" ht="27.75">
      <c r="A72" s="1530" t="s">
        <v>190</v>
      </c>
      <c r="B72" s="1531"/>
      <c r="C72" s="1532"/>
      <c r="D72" s="523" t="s">
        <v>186</v>
      </c>
      <c r="E72" s="520">
        <f>'10'!F72</f>
        <v>855621</v>
      </c>
      <c r="F72" s="658">
        <v>855635</v>
      </c>
      <c r="G72" s="655">
        <f t="shared" ref="G72:G84" si="6">F72-E72</f>
        <v>14</v>
      </c>
      <c r="H72" s="708">
        <f>G72+'10'!H72</f>
        <v>174</v>
      </c>
      <c r="I72" s="1075"/>
      <c r="J72" s="710">
        <f>H72/DAY(B2)</f>
        <v>15.818181818181818</v>
      </c>
      <c r="K72" s="431"/>
      <c r="L72" s="377"/>
      <c r="N72" s="721"/>
      <c r="P72" s="382"/>
    </row>
    <row r="73" spans="1:16" ht="27.75">
      <c r="A73" s="1530" t="s">
        <v>191</v>
      </c>
      <c r="B73" s="1531"/>
      <c r="C73" s="1532"/>
      <c r="D73" s="523" t="s">
        <v>186</v>
      </c>
      <c r="E73" s="520">
        <f>'10'!F73</f>
        <v>885887</v>
      </c>
      <c r="F73" s="658">
        <v>885888</v>
      </c>
      <c r="G73" s="655">
        <f t="shared" si="6"/>
        <v>1</v>
      </c>
      <c r="H73" s="708">
        <f>G73+'10'!H73</f>
        <v>12</v>
      </c>
      <c r="I73" s="1075"/>
      <c r="J73" s="710">
        <f>H73/DAY(B2)</f>
        <v>1.0909090909090908</v>
      </c>
      <c r="K73" s="430"/>
      <c r="L73" s="377"/>
      <c r="N73" s="721"/>
      <c r="P73" s="382"/>
    </row>
    <row r="74" spans="1:16" ht="27.75">
      <c r="A74" s="1530" t="s">
        <v>192</v>
      </c>
      <c r="B74" s="1531"/>
      <c r="C74" s="1532"/>
      <c r="D74" s="523" t="s">
        <v>186</v>
      </c>
      <c r="E74" s="520">
        <f>'10'!F74</f>
        <v>2434</v>
      </c>
      <c r="F74" s="658">
        <v>2445.75</v>
      </c>
      <c r="G74" s="655">
        <f t="shared" si="6"/>
        <v>11.75</v>
      </c>
      <c r="H74" s="708">
        <f>G74+'10'!H74</f>
        <v>166.75</v>
      </c>
      <c r="I74" s="1075"/>
      <c r="J74" s="710">
        <f>H74/DAY(B2)</f>
        <v>15.159090909090908</v>
      </c>
      <c r="K74" s="431"/>
      <c r="L74" s="377"/>
      <c r="N74" s="721"/>
      <c r="P74" s="382"/>
    </row>
    <row r="75" spans="1:16" ht="27.75">
      <c r="A75" s="1527" t="s">
        <v>193</v>
      </c>
      <c r="B75" s="1528"/>
      <c r="C75" s="1529"/>
      <c r="D75" s="523" t="s">
        <v>186</v>
      </c>
      <c r="E75" s="520">
        <f>'10'!F75</f>
        <v>11511</v>
      </c>
      <c r="F75" s="658">
        <v>11561.74</v>
      </c>
      <c r="G75" s="655">
        <f t="shared" si="6"/>
        <v>50.739999999999782</v>
      </c>
      <c r="H75" s="708">
        <f>G75+'10'!H75</f>
        <v>591.73999999999978</v>
      </c>
      <c r="I75" s="1075"/>
      <c r="J75" s="710">
        <f>H75/DAY(B2)</f>
        <v>53.794545454545435</v>
      </c>
      <c r="K75" s="430"/>
      <c r="L75" s="377"/>
      <c r="N75" s="721"/>
      <c r="P75" s="382"/>
    </row>
    <row r="76" spans="1:16" ht="27.75">
      <c r="A76" s="1527" t="s">
        <v>194</v>
      </c>
      <c r="B76" s="1528"/>
      <c r="C76" s="1529"/>
      <c r="D76" s="523" t="s">
        <v>186</v>
      </c>
      <c r="E76" s="520">
        <f>'10'!F76</f>
        <v>6253</v>
      </c>
      <c r="F76" s="658">
        <v>6308.05</v>
      </c>
      <c r="G76" s="655">
        <f t="shared" si="6"/>
        <v>55.050000000000182</v>
      </c>
      <c r="H76" s="708">
        <f>G76+'10'!H76</f>
        <v>599.05000000000018</v>
      </c>
      <c r="I76" s="1424"/>
      <c r="J76" s="710">
        <f>H76/DAY(B2)</f>
        <v>54.459090909090925</v>
      </c>
      <c r="K76" s="430"/>
      <c r="L76" s="377"/>
      <c r="N76" s="721"/>
      <c r="P76" s="382"/>
    </row>
    <row r="77" spans="1:16" ht="27.75">
      <c r="A77" s="1530" t="s">
        <v>195</v>
      </c>
      <c r="B77" s="1531"/>
      <c r="C77" s="1532"/>
      <c r="D77" s="523" t="s">
        <v>186</v>
      </c>
      <c r="E77" s="520">
        <f>'10'!F77</f>
        <v>702055</v>
      </c>
      <c r="F77" s="658">
        <v>702101</v>
      </c>
      <c r="G77" s="655">
        <f t="shared" si="6"/>
        <v>46</v>
      </c>
      <c r="H77" s="708">
        <f>G77+'10'!H77</f>
        <v>539</v>
      </c>
      <c r="I77" s="1424"/>
      <c r="J77" s="710">
        <f>H77/DAY(B2)</f>
        <v>49</v>
      </c>
      <c r="K77" s="430"/>
      <c r="L77" s="377"/>
      <c r="N77" s="721"/>
      <c r="P77" s="382"/>
    </row>
    <row r="78" spans="1:16" ht="27.75">
      <c r="A78" s="1146" t="s">
        <v>196</v>
      </c>
      <c r="B78" s="1119"/>
      <c r="C78" s="1119"/>
      <c r="D78" s="523" t="s">
        <v>186</v>
      </c>
      <c r="E78" s="520">
        <f>'10'!F78</f>
        <v>670772</v>
      </c>
      <c r="F78" s="658">
        <v>670836</v>
      </c>
      <c r="G78" s="655">
        <f t="shared" si="6"/>
        <v>64</v>
      </c>
      <c r="H78" s="708">
        <f>G78+'10'!H78</f>
        <v>811</v>
      </c>
      <c r="I78" s="1424"/>
      <c r="J78" s="710">
        <f>H78/DAY(B2)</f>
        <v>73.727272727272734</v>
      </c>
      <c r="K78" s="430"/>
      <c r="L78" s="377"/>
      <c r="N78" s="721"/>
      <c r="P78" s="382"/>
    </row>
    <row r="79" spans="1:16" ht="27.75">
      <c r="A79" s="1527" t="s">
        <v>92</v>
      </c>
      <c r="B79" s="1528"/>
      <c r="C79" s="1529"/>
      <c r="D79" s="524" t="s">
        <v>186</v>
      </c>
      <c r="E79" s="520">
        <f>'10'!F79</f>
        <v>828309</v>
      </c>
      <c r="F79" s="658">
        <v>828451</v>
      </c>
      <c r="G79" s="655">
        <f t="shared" si="6"/>
        <v>142</v>
      </c>
      <c r="H79" s="708">
        <f>G79+'10'!H79</f>
        <v>1667</v>
      </c>
      <c r="I79" s="1424"/>
      <c r="J79" s="710">
        <f>H79/DAY(B2)</f>
        <v>151.54545454545453</v>
      </c>
      <c r="K79" s="430"/>
      <c r="L79" s="377"/>
      <c r="N79" s="721"/>
      <c r="P79" s="382"/>
    </row>
    <row r="80" spans="1:16" ht="27.75">
      <c r="A80" s="1527" t="s">
        <v>197</v>
      </c>
      <c r="B80" s="1528"/>
      <c r="C80" s="1529"/>
      <c r="D80" s="524" t="s">
        <v>186</v>
      </c>
      <c r="E80" s="520">
        <f>'10'!F80</f>
        <v>520396</v>
      </c>
      <c r="F80" s="658">
        <v>520724.92</v>
      </c>
      <c r="G80" s="655">
        <f t="shared" si="6"/>
        <v>328.9199999999837</v>
      </c>
      <c r="H80" s="708">
        <f>G80+'10'!H80</f>
        <v>3986.9199999999837</v>
      </c>
      <c r="I80" s="1424"/>
      <c r="J80" s="710">
        <f>H80/DAY(B2)</f>
        <v>362.44727272727124</v>
      </c>
      <c r="K80" s="430"/>
      <c r="L80" s="377"/>
      <c r="N80" s="721"/>
      <c r="P80" s="382"/>
    </row>
    <row r="81" spans="1:16" ht="27.75">
      <c r="A81" s="1527" t="s">
        <v>198</v>
      </c>
      <c r="B81" s="1528"/>
      <c r="C81" s="1529"/>
      <c r="D81" s="524" t="s">
        <v>186</v>
      </c>
      <c r="E81" s="520">
        <f>'10'!F81</f>
        <v>637217</v>
      </c>
      <c r="F81" s="658">
        <v>637293</v>
      </c>
      <c r="G81" s="655">
        <f t="shared" si="6"/>
        <v>76</v>
      </c>
      <c r="H81" s="708">
        <f>G81+'10'!H81</f>
        <v>815</v>
      </c>
      <c r="I81" s="1424"/>
      <c r="J81" s="710">
        <f>H81/DAY(B2)</f>
        <v>74.090909090909093</v>
      </c>
      <c r="K81" s="430"/>
      <c r="L81" s="377"/>
      <c r="N81" s="721"/>
      <c r="P81" s="382"/>
    </row>
    <row r="82" spans="1:16" ht="27.75">
      <c r="A82" s="1527" t="s">
        <v>93</v>
      </c>
      <c r="B82" s="1528"/>
      <c r="C82" s="1529"/>
      <c r="D82" s="485" t="s">
        <v>131</v>
      </c>
      <c r="E82" s="520">
        <f>'10'!F82</f>
        <v>107801</v>
      </c>
      <c r="F82" s="654">
        <v>107811</v>
      </c>
      <c r="G82" s="655">
        <f t="shared" si="6"/>
        <v>10</v>
      </c>
      <c r="H82" s="708">
        <f>G82+'10'!H82</f>
        <v>199</v>
      </c>
      <c r="I82" s="708"/>
      <c r="J82" s="710">
        <f>H82/DAY(B2)</f>
        <v>18.09090909090909</v>
      </c>
      <c r="K82" s="430"/>
      <c r="L82" s="377"/>
      <c r="N82" s="721"/>
      <c r="P82" s="382"/>
    </row>
    <row r="83" spans="1:16" ht="27.75">
      <c r="A83" s="1527" t="s">
        <v>199</v>
      </c>
      <c r="B83" s="1528"/>
      <c r="C83" s="1529"/>
      <c r="D83" s="620" t="s">
        <v>131</v>
      </c>
      <c r="E83" s="520">
        <f>'10'!F83</f>
        <v>16845</v>
      </c>
      <c r="F83" s="1398">
        <v>16969</v>
      </c>
      <c r="G83" s="655">
        <f t="shared" si="6"/>
        <v>124</v>
      </c>
      <c r="H83" s="708">
        <f>G83+'10'!H83</f>
        <v>2198</v>
      </c>
      <c r="I83" s="655"/>
      <c r="J83" s="710">
        <f>H83/DAY(B2)</f>
        <v>199.81818181818181</v>
      </c>
      <c r="K83" s="429"/>
      <c r="L83" s="377"/>
      <c r="N83" s="721"/>
      <c r="P83" s="382"/>
    </row>
    <row r="84" spans="1:16">
      <c r="A84" s="1147" t="s">
        <v>200</v>
      </c>
      <c r="B84" s="571"/>
      <c r="C84" s="571"/>
      <c r="D84" s="478" t="s">
        <v>131</v>
      </c>
      <c r="E84" s="520">
        <f>'10'!F84</f>
        <v>487880</v>
      </c>
      <c r="F84" s="627">
        <v>488432</v>
      </c>
      <c r="G84" s="655">
        <f t="shared" si="6"/>
        <v>552</v>
      </c>
      <c r="H84" s="708">
        <f>G84+'10'!H84</f>
        <v>8299</v>
      </c>
      <c r="I84" s="655"/>
      <c r="J84" s="710">
        <f>H84/DAY(B2)</f>
        <v>754.4545454545455</v>
      </c>
      <c r="K84" s="380"/>
      <c r="L84" s="377"/>
      <c r="N84" s="721"/>
      <c r="P84" s="382"/>
    </row>
    <row r="85" spans="1:16" s="379" customFormat="1">
      <c r="A85" s="605" t="s">
        <v>201</v>
      </c>
      <c r="B85" s="572"/>
      <c r="C85" s="572"/>
      <c r="D85" s="489"/>
      <c r="E85" s="627"/>
      <c r="F85" s="627"/>
      <c r="G85" s="708">
        <f xml:space="preserve"> SUM(G71:G84)</f>
        <v>1475.4599999999837</v>
      </c>
      <c r="H85" s="708">
        <f>G85+'10'!H85</f>
        <v>20058.459999999985</v>
      </c>
      <c r="I85" s="655"/>
      <c r="J85" s="710">
        <f>H85/DAY(B2)</f>
        <v>1823.4963636363623</v>
      </c>
      <c r="K85" s="380"/>
      <c r="L85" s="378"/>
      <c r="N85" s="721"/>
      <c r="P85" s="382"/>
    </row>
    <row r="86" spans="1:16" s="738" customFormat="1">
      <c r="A86" s="733" t="s">
        <v>94</v>
      </c>
      <c r="B86" s="734"/>
      <c r="C86" s="734"/>
      <c r="D86" s="735" t="s">
        <v>182</v>
      </c>
      <c r="E86" s="627">
        <f>'10'!F86</f>
        <v>460177</v>
      </c>
      <c r="F86" s="650">
        <v>460208</v>
      </c>
      <c r="G86" s="708">
        <f>F86-E86</f>
        <v>31</v>
      </c>
      <c r="H86" s="708">
        <f t="shared" ref="H86:H88" si="7">G86</f>
        <v>31</v>
      </c>
      <c r="I86" s="655"/>
      <c r="J86" s="710">
        <f>H86/DAY(B2)</f>
        <v>2.8181818181818183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182</v>
      </c>
      <c r="E87" s="627">
        <f>'10'!F87</f>
        <v>81054</v>
      </c>
      <c r="F87" s="650">
        <v>81069</v>
      </c>
      <c r="G87" s="708">
        <f t="shared" ref="G87:G91" si="8">F87-E87</f>
        <v>15</v>
      </c>
      <c r="H87" s="708">
        <f t="shared" si="7"/>
        <v>15</v>
      </c>
      <c r="I87" s="655"/>
      <c r="J87" s="710">
        <f>H87/DAY(B2)</f>
        <v>1.3636363636363635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182</v>
      </c>
      <c r="E88" s="627">
        <f>'10'!F88</f>
        <v>152265</v>
      </c>
      <c r="F88" s="650">
        <v>152287</v>
      </c>
      <c r="G88" s="708">
        <f t="shared" si="8"/>
        <v>22</v>
      </c>
      <c r="H88" s="708">
        <f t="shared" si="7"/>
        <v>22</v>
      </c>
      <c r="I88" s="655"/>
      <c r="J88" s="710">
        <f>H88/DAY(B2)</f>
        <v>2</v>
      </c>
      <c r="K88" s="736"/>
      <c r="L88" s="737"/>
      <c r="O88" s="716"/>
    </row>
    <row r="89" spans="1:16" s="738" customFormat="1">
      <c r="A89" s="733" t="s">
        <v>203</v>
      </c>
      <c r="B89" s="734"/>
      <c r="C89" s="734"/>
      <c r="D89" s="735" t="s">
        <v>182</v>
      </c>
      <c r="E89" s="627">
        <f>'10'!F89</f>
        <v>64898</v>
      </c>
      <c r="F89" s="650">
        <v>64905.2</v>
      </c>
      <c r="G89" s="708">
        <f t="shared" si="8"/>
        <v>7.1999999999970896</v>
      </c>
      <c r="H89" s="708">
        <f>G89</f>
        <v>7.1999999999970896</v>
      </c>
      <c r="I89" s="655"/>
      <c r="J89" s="710">
        <f>H89/DAY(B2)</f>
        <v>0.65454545454518998</v>
      </c>
      <c r="K89" s="736"/>
      <c r="L89" s="737"/>
      <c r="N89" s="780"/>
      <c r="O89" s="382"/>
    </row>
    <row r="90" spans="1:16" s="738" customFormat="1">
      <c r="A90" s="733" t="s">
        <v>203</v>
      </c>
      <c r="B90" s="734"/>
      <c r="C90" s="734"/>
      <c r="D90" s="735" t="s">
        <v>182</v>
      </c>
      <c r="E90" s="627">
        <f>'10'!F90</f>
        <v>3272</v>
      </c>
      <c r="F90" s="650">
        <v>3272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361</v>
      </c>
      <c r="B91" s="734"/>
      <c r="C91" s="734"/>
      <c r="D91" s="735"/>
      <c r="E91" s="627">
        <f>'10'!F91</f>
        <v>27933</v>
      </c>
      <c r="F91" s="650">
        <v>27935.5</v>
      </c>
      <c r="G91" s="708">
        <f t="shared" si="8"/>
        <v>2.5</v>
      </c>
      <c r="H91" s="708">
        <f>G91</f>
        <v>2.5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204</v>
      </c>
      <c r="B92" s="1149"/>
      <c r="C92" s="1149"/>
      <c r="D92" s="472"/>
      <c r="E92" s="627"/>
      <c r="F92" s="627"/>
      <c r="G92" s="752"/>
      <c r="H92" s="627"/>
      <c r="I92" s="627"/>
      <c r="J92" s="1399"/>
      <c r="K92" s="380"/>
      <c r="L92" s="378"/>
      <c r="N92" s="721"/>
      <c r="P92" s="382"/>
    </row>
    <row r="93" spans="1:16" ht="27.75">
      <c r="A93" s="1551" t="s">
        <v>205</v>
      </c>
      <c r="B93" s="1552"/>
      <c r="C93" s="1553"/>
      <c r="D93" s="523" t="s">
        <v>143</v>
      </c>
      <c r="E93" s="541">
        <f>'10'!F93</f>
        <v>244814</v>
      </c>
      <c r="F93" s="654">
        <v>244814</v>
      </c>
      <c r="G93" s="655">
        <f t="shared" ref="G93:G94" si="9">F93-E93</f>
        <v>0</v>
      </c>
      <c r="H93" s="708">
        <f>G93+'10'!H93</f>
        <v>290</v>
      </c>
      <c r="I93" s="1075"/>
      <c r="J93" s="710">
        <f>H93/DAY(B2)</f>
        <v>26.363636363636363</v>
      </c>
      <c r="K93" s="429"/>
      <c r="L93" s="377"/>
      <c r="N93" s="721"/>
      <c r="P93" s="382"/>
    </row>
    <row r="94" spans="1:16" ht="27.75">
      <c r="A94" s="1551" t="s">
        <v>206</v>
      </c>
      <c r="B94" s="1552"/>
      <c r="C94" s="1553"/>
      <c r="D94" s="523" t="s">
        <v>143</v>
      </c>
      <c r="E94" s="541">
        <f>'10'!F94</f>
        <v>184349</v>
      </c>
      <c r="F94" s="654">
        <v>184393</v>
      </c>
      <c r="G94" s="655">
        <f t="shared" si="9"/>
        <v>44</v>
      </c>
      <c r="H94" s="708">
        <f>G94+'10'!H94</f>
        <v>862</v>
      </c>
      <c r="I94" s="1075"/>
      <c r="J94" s="710">
        <f>H94/DAY(B2)</f>
        <v>78.36363636363636</v>
      </c>
      <c r="K94" s="380"/>
      <c r="L94" s="377"/>
      <c r="N94" s="721"/>
      <c r="P94" s="382"/>
    </row>
    <row r="95" spans="1:16">
      <c r="A95" s="1579" t="s">
        <v>207</v>
      </c>
      <c r="B95" s="1580"/>
      <c r="C95" s="1581"/>
      <c r="D95" s="523"/>
      <c r="E95" s="541">
        <f>'10'!F95</f>
        <v>0</v>
      </c>
      <c r="F95" s="654"/>
      <c r="G95" s="655">
        <f>G93+G94</f>
        <v>44</v>
      </c>
      <c r="H95" s="708">
        <f>G95+'10'!H95</f>
        <v>1005</v>
      </c>
      <c r="I95" s="1075"/>
      <c r="J95" s="710">
        <f>H95/DAY(B2)</f>
        <v>91.36363636363636</v>
      </c>
      <c r="K95" s="380"/>
      <c r="L95" s="377"/>
      <c r="N95" s="721"/>
      <c r="P95" s="382"/>
    </row>
    <row r="96" spans="1:16" ht="27.75">
      <c r="A96" s="1551" t="s">
        <v>208</v>
      </c>
      <c r="B96" s="1552"/>
      <c r="C96" s="1553"/>
      <c r="D96" s="523" t="s">
        <v>143</v>
      </c>
      <c r="E96" s="541">
        <f>'10'!F96</f>
        <v>413366</v>
      </c>
      <c r="F96" s="654">
        <v>413392</v>
      </c>
      <c r="G96" s="655">
        <f t="shared" ref="G96:G101" si="10">F96-E96</f>
        <v>26</v>
      </c>
      <c r="H96" s="708">
        <f>G96+'10'!H96</f>
        <v>506</v>
      </c>
      <c r="I96" s="1075"/>
      <c r="J96" s="710">
        <f>H96/DAY(B2)</f>
        <v>46</v>
      </c>
      <c r="K96" s="380"/>
      <c r="L96" s="377"/>
      <c r="N96" s="721"/>
      <c r="P96" s="382"/>
    </row>
    <row r="97" spans="1:16" ht="27.75">
      <c r="A97" s="1143" t="s">
        <v>209</v>
      </c>
      <c r="B97" s="1144"/>
      <c r="C97" s="1144"/>
      <c r="D97" s="523" t="s">
        <v>143</v>
      </c>
      <c r="E97" s="541">
        <f>'10'!F97</f>
        <v>102443</v>
      </c>
      <c r="F97" s="654">
        <v>102451</v>
      </c>
      <c r="G97" s="655">
        <f t="shared" si="10"/>
        <v>8</v>
      </c>
      <c r="H97" s="708">
        <f>G97+'10'!H97</f>
        <v>108</v>
      </c>
      <c r="I97" s="1075"/>
      <c r="J97" s="710">
        <f>H97/DAY(B2)</f>
        <v>9.8181818181818183</v>
      </c>
      <c r="K97" s="427"/>
      <c r="L97" s="377"/>
      <c r="N97" s="721"/>
      <c r="P97" s="382"/>
    </row>
    <row r="98" spans="1:16" ht="27.75">
      <c r="A98" s="1143" t="s">
        <v>210</v>
      </c>
      <c r="B98" s="1144"/>
      <c r="C98" s="1144"/>
      <c r="D98" s="523" t="s">
        <v>143</v>
      </c>
      <c r="E98" s="541">
        <f>'10'!F98</f>
        <v>97562</v>
      </c>
      <c r="F98" s="654">
        <v>97572</v>
      </c>
      <c r="G98" s="655">
        <f t="shared" si="10"/>
        <v>10</v>
      </c>
      <c r="H98" s="708">
        <f>G98+'10'!H98</f>
        <v>145</v>
      </c>
      <c r="I98" s="1075"/>
      <c r="J98" s="710">
        <f>H98/DAY(B2)</f>
        <v>13.181818181818182</v>
      </c>
      <c r="K98" s="432"/>
      <c r="L98" s="377"/>
      <c r="N98" s="721"/>
      <c r="P98" s="382"/>
    </row>
    <row r="99" spans="1:16" ht="27.75">
      <c r="A99" s="1143" t="s">
        <v>211</v>
      </c>
      <c r="B99" s="1144"/>
      <c r="C99" s="1144"/>
      <c r="D99" s="523" t="s">
        <v>143</v>
      </c>
      <c r="E99" s="541">
        <f>'10'!F99</f>
        <v>149609</v>
      </c>
      <c r="F99" s="654">
        <v>149615</v>
      </c>
      <c r="G99" s="655">
        <f t="shared" si="10"/>
        <v>6</v>
      </c>
      <c r="H99" s="708">
        <f>G99+'10'!H99</f>
        <v>82</v>
      </c>
      <c r="I99" s="1075"/>
      <c r="J99" s="710">
        <f>H99/DAY(B2)</f>
        <v>7.4545454545454541</v>
      </c>
      <c r="K99" s="380"/>
      <c r="L99" s="377"/>
      <c r="N99" s="723"/>
      <c r="P99" s="382"/>
    </row>
    <row r="100" spans="1:16" ht="27.75">
      <c r="A100" s="1143" t="s">
        <v>212</v>
      </c>
      <c r="B100" s="1144"/>
      <c r="C100" s="1144"/>
      <c r="D100" s="523" t="s">
        <v>143</v>
      </c>
      <c r="E100" s="541">
        <f>'10'!F100</f>
        <v>7220</v>
      </c>
      <c r="F100" s="654">
        <v>7226</v>
      </c>
      <c r="G100" s="655">
        <f t="shared" si="10"/>
        <v>6</v>
      </c>
      <c r="H100" s="708">
        <f>G100+'10'!H100</f>
        <v>41</v>
      </c>
      <c r="I100" s="1075"/>
      <c r="J100" s="710">
        <f>H100/DAY(B2)</f>
        <v>3.7272727272727271</v>
      </c>
      <c r="K100" s="380"/>
      <c r="L100" s="377"/>
      <c r="N100" s="721"/>
      <c r="P100" s="382"/>
    </row>
    <row r="101" spans="1:16" ht="27.75">
      <c r="A101" s="1143" t="s">
        <v>213</v>
      </c>
      <c r="B101" s="1144"/>
      <c r="C101" s="1144"/>
      <c r="D101" s="523" t="s">
        <v>143</v>
      </c>
      <c r="E101" s="541">
        <f>'10'!F101</f>
        <v>5218</v>
      </c>
      <c r="F101" s="654">
        <v>5221</v>
      </c>
      <c r="G101" s="655">
        <f t="shared" si="10"/>
        <v>3</v>
      </c>
      <c r="H101" s="708">
        <f>G101+'10'!H101</f>
        <v>83</v>
      </c>
      <c r="I101" s="1075"/>
      <c r="J101" s="710">
        <f>H101/DAY(B2)</f>
        <v>7.5454545454545459</v>
      </c>
      <c r="K101" s="380"/>
      <c r="L101" s="377"/>
      <c r="N101" s="721"/>
      <c r="P101" s="382"/>
    </row>
    <row r="102" spans="1:16">
      <c r="A102" s="1579" t="s">
        <v>215</v>
      </c>
      <c r="B102" s="1580"/>
      <c r="C102" s="1581"/>
      <c r="D102" s="524"/>
      <c r="E102" s="541"/>
      <c r="F102" s="627"/>
      <c r="G102" s="752">
        <f>SUM(G96:G101)</f>
        <v>59</v>
      </c>
      <c r="H102" s="708">
        <f>G102+'10'!H102</f>
        <v>965</v>
      </c>
      <c r="I102" s="1435"/>
      <c r="J102" s="710">
        <f>H102/DAY(B2)</f>
        <v>87.727272727272734</v>
      </c>
      <c r="K102" s="380"/>
      <c r="L102" s="377"/>
      <c r="N102" s="721"/>
      <c r="P102" s="382"/>
    </row>
    <row r="103" spans="1:16" s="442" customFormat="1" ht="27">
      <c r="A103" s="607" t="s">
        <v>216</v>
      </c>
      <c r="B103" s="608"/>
      <c r="C103" s="608"/>
      <c r="D103" s="621"/>
      <c r="E103" s="541"/>
      <c r="F103" s="1436"/>
      <c r="G103" s="1437"/>
      <c r="H103" s="1438"/>
      <c r="I103" s="1439"/>
      <c r="J103" s="1440"/>
      <c r="N103" s="721"/>
      <c r="P103" s="382"/>
    </row>
    <row r="104" spans="1:16" s="442" customFormat="1" ht="27.75">
      <c r="A104" s="1582" t="s">
        <v>217</v>
      </c>
      <c r="B104" s="1583"/>
      <c r="C104" s="573"/>
      <c r="D104" s="622"/>
      <c r="E104" s="541"/>
      <c r="F104" s="662"/>
      <c r="G104" s="534"/>
      <c r="H104" s="536"/>
      <c r="I104" s="534"/>
      <c r="J104" s="559"/>
      <c r="N104" s="721"/>
      <c r="P104" s="382"/>
    </row>
    <row r="105" spans="1:16" s="442" customFormat="1" ht="27.75">
      <c r="A105" s="1543" t="s">
        <v>218</v>
      </c>
      <c r="B105" s="1544"/>
      <c r="C105" s="1142"/>
      <c r="D105" s="622" t="s">
        <v>143</v>
      </c>
      <c r="E105" s="541">
        <v>7473</v>
      </c>
      <c r="F105" s="662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21"/>
      <c r="P105" s="382"/>
    </row>
    <row r="106" spans="1:16" s="442" customFormat="1" ht="27.75">
      <c r="A106" s="1543" t="s">
        <v>77</v>
      </c>
      <c r="B106" s="1544"/>
      <c r="C106" s="1142"/>
      <c r="D106" s="622" t="s">
        <v>143</v>
      </c>
      <c r="E106" s="541">
        <f>'10'!F106</f>
        <v>35860</v>
      </c>
      <c r="F106" s="662">
        <v>35860</v>
      </c>
      <c r="G106" s="534">
        <f t="shared" ref="G106:G107" si="11">F106-E106</f>
        <v>0</v>
      </c>
      <c r="H106" s="536">
        <f>SUM(G106+'1'!G77)</f>
        <v>50</v>
      </c>
      <c r="I106" s="534"/>
      <c r="J106" s="559">
        <f>H106/DAY(B2)</f>
        <v>4.5454545454545459</v>
      </c>
      <c r="N106" s="721"/>
      <c r="P106" s="382"/>
    </row>
    <row r="107" spans="1:16" s="442" customFormat="1" ht="27.75">
      <c r="A107" s="1543" t="s">
        <v>78</v>
      </c>
      <c r="B107" s="1584"/>
      <c r="C107" s="1544"/>
      <c r="D107" s="622" t="s">
        <v>143</v>
      </c>
      <c r="E107" s="541">
        <f>'10'!F107</f>
        <v>19650</v>
      </c>
      <c r="F107" s="662">
        <v>19650</v>
      </c>
      <c r="G107" s="534">
        <f t="shared" si="11"/>
        <v>0</v>
      </c>
      <c r="H107" s="536">
        <f>SUM(G107+'1'!G78)</f>
        <v>124</v>
      </c>
      <c r="I107" s="534"/>
      <c r="J107" s="559">
        <f>H107/DAY(B2)</f>
        <v>11.272727272727273</v>
      </c>
      <c r="N107" s="721"/>
      <c r="P107" s="382"/>
    </row>
    <row r="108" spans="1:16" s="442" customFormat="1" ht="27.75">
      <c r="A108" s="1545" t="s">
        <v>201</v>
      </c>
      <c r="B108" s="1546"/>
      <c r="C108" s="1142"/>
      <c r="D108" s="622"/>
      <c r="E108" s="541"/>
      <c r="F108" s="662"/>
      <c r="G108" s="534">
        <f>SUM(G105:G107)</f>
        <v>0</v>
      </c>
      <c r="H108" s="536">
        <f>SUM(G108+'1'!G79)</f>
        <v>189</v>
      </c>
      <c r="I108" s="534"/>
      <c r="J108" s="559">
        <f>H108/DAY(B2)</f>
        <v>17.181818181818183</v>
      </c>
      <c r="N108" s="721"/>
      <c r="P108" s="382"/>
    </row>
    <row r="109" spans="1:16" s="442" customFormat="1" ht="27.75">
      <c r="A109" s="1549" t="s">
        <v>79</v>
      </c>
      <c r="B109" s="1550"/>
      <c r="C109" s="1142"/>
      <c r="D109" s="622" t="s">
        <v>143</v>
      </c>
      <c r="E109" s="541"/>
      <c r="F109" s="662"/>
      <c r="G109" s="534"/>
      <c r="H109" s="536"/>
      <c r="I109" s="534"/>
      <c r="J109" s="559"/>
      <c r="N109" s="721"/>
      <c r="P109" s="382"/>
    </row>
    <row r="110" spans="1:16" s="442" customFormat="1" ht="27.75">
      <c r="A110" s="1543" t="s">
        <v>219</v>
      </c>
      <c r="B110" s="1544"/>
      <c r="C110" s="1142"/>
      <c r="D110" s="622" t="s">
        <v>143</v>
      </c>
      <c r="E110" s="541">
        <f>'10'!F110</f>
        <v>61669</v>
      </c>
      <c r="F110" s="662">
        <v>61722</v>
      </c>
      <c r="G110" s="534">
        <f>F110-E110</f>
        <v>53</v>
      </c>
      <c r="H110" s="536">
        <f>SUM(G110+'1'!G81)</f>
        <v>134</v>
      </c>
      <c r="I110" s="534"/>
      <c r="J110" s="559">
        <f>H110/DAY(B2)</f>
        <v>12.181818181818182</v>
      </c>
      <c r="N110" s="721"/>
      <c r="P110" s="382"/>
    </row>
    <row r="111" spans="1:16" s="442" customFormat="1" ht="27.75">
      <c r="A111" s="1543" t="s">
        <v>220</v>
      </c>
      <c r="B111" s="1544"/>
      <c r="C111" s="1142"/>
      <c r="D111" s="622" t="s">
        <v>143</v>
      </c>
      <c r="E111" s="541">
        <f>'10'!F111</f>
        <v>32299</v>
      </c>
      <c r="F111" s="662">
        <v>32299</v>
      </c>
      <c r="G111" s="534">
        <f t="shared" ref="G111:G112" si="12">F111-E111</f>
        <v>0</v>
      </c>
      <c r="H111" s="536">
        <f>SUM(G111+'1'!G82)</f>
        <v>12</v>
      </c>
      <c r="I111" s="534"/>
      <c r="J111" s="559">
        <f>H111/DAY(B2)</f>
        <v>1.0909090909090908</v>
      </c>
      <c r="N111" s="721"/>
      <c r="P111" s="382"/>
    </row>
    <row r="112" spans="1:16" s="442" customFormat="1" ht="27.75">
      <c r="A112" s="1543" t="s">
        <v>221</v>
      </c>
      <c r="B112" s="1544"/>
      <c r="C112" s="1142"/>
      <c r="D112" s="622" t="s">
        <v>143</v>
      </c>
      <c r="E112" s="541">
        <f>'10'!F112</f>
        <v>4466</v>
      </c>
      <c r="F112" s="662">
        <v>4478</v>
      </c>
      <c r="G112" s="534">
        <f t="shared" si="12"/>
        <v>12</v>
      </c>
      <c r="H112" s="536">
        <f>SUM(G112+'1'!G83)</f>
        <v>267</v>
      </c>
      <c r="I112" s="534"/>
      <c r="J112" s="559">
        <f>H112/DAY(B2)</f>
        <v>24.272727272727273</v>
      </c>
      <c r="N112" s="721"/>
      <c r="P112" s="382"/>
    </row>
    <row r="113" spans="1:16" s="442" customFormat="1" ht="27.75">
      <c r="A113" s="1545" t="s">
        <v>110</v>
      </c>
      <c r="B113" s="1546"/>
      <c r="C113" s="1142"/>
      <c r="D113" s="622"/>
      <c r="E113" s="541"/>
      <c r="F113" s="662"/>
      <c r="G113" s="534">
        <f>SUM(G110:G112)</f>
        <v>65</v>
      </c>
      <c r="H113" s="536">
        <f>SUM(G113+'1'!G84)</f>
        <v>780</v>
      </c>
      <c r="I113" s="534"/>
      <c r="J113" s="559">
        <f>H113/DAY(B2)</f>
        <v>70.909090909090907</v>
      </c>
      <c r="N113" s="721"/>
      <c r="P113" s="382"/>
    </row>
    <row r="114" spans="1:16" s="442" customFormat="1" ht="27.75">
      <c r="A114" s="1549" t="s">
        <v>222</v>
      </c>
      <c r="B114" s="1550"/>
      <c r="C114" s="1142"/>
      <c r="D114" s="622"/>
      <c r="E114" s="541"/>
      <c r="F114" s="662"/>
      <c r="G114" s="534"/>
      <c r="H114" s="536"/>
      <c r="I114" s="534"/>
      <c r="J114" s="559">
        <f>H114/DAY(B2)</f>
        <v>0</v>
      </c>
      <c r="N114" s="721"/>
      <c r="P114" s="382"/>
    </row>
    <row r="115" spans="1:16" s="442" customFormat="1" ht="27.75">
      <c r="A115" s="1543" t="s">
        <v>223</v>
      </c>
      <c r="B115" s="1544"/>
      <c r="C115" s="574"/>
      <c r="D115" s="622" t="s">
        <v>143</v>
      </c>
      <c r="E115" s="541">
        <f>'10'!F115</f>
        <v>11309</v>
      </c>
      <c r="F115" s="662">
        <v>11312</v>
      </c>
      <c r="G115" s="534">
        <f>F115-E115</f>
        <v>3</v>
      </c>
      <c r="H115" s="536">
        <f>SUM(G115+'1'!G92)</f>
        <v>3</v>
      </c>
      <c r="I115" s="534"/>
      <c r="J115" s="559">
        <f>H115/DAY(B2)</f>
        <v>0.27272727272727271</v>
      </c>
      <c r="N115" s="721"/>
      <c r="P115" s="382"/>
    </row>
    <row r="116" spans="1:16" s="442" customFormat="1" ht="27.75">
      <c r="A116" s="1543" t="s">
        <v>224</v>
      </c>
      <c r="B116" s="1544"/>
      <c r="C116" s="574"/>
      <c r="D116" s="622" t="s">
        <v>143</v>
      </c>
      <c r="E116" s="541">
        <f>'10'!F116</f>
        <v>8185</v>
      </c>
      <c r="F116" s="662">
        <v>8186</v>
      </c>
      <c r="G116" s="534">
        <f t="shared" ref="G116:G117" si="13">F116-E116</f>
        <v>1</v>
      </c>
      <c r="H116" s="536">
        <f>SUM(G116+'1'!G93)</f>
        <v>53</v>
      </c>
      <c r="I116" s="534"/>
      <c r="J116" s="559">
        <f>H116/DAY(B2)</f>
        <v>4.8181818181818183</v>
      </c>
      <c r="N116" s="721"/>
      <c r="P116" s="382"/>
    </row>
    <row r="117" spans="1:16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3"/>
        <v>0</v>
      </c>
      <c r="H117" s="536">
        <f>SUM(G117+'1'!G94)</f>
        <v>95</v>
      </c>
      <c r="I117" s="534"/>
      <c r="J117" s="559">
        <f>H117/DAY(B2)</f>
        <v>8.6363636363636367</v>
      </c>
      <c r="N117" s="721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4</v>
      </c>
      <c r="H118" s="536">
        <f>SUM(G118+'1'!G96)</f>
        <v>76</v>
      </c>
      <c r="I118" s="534"/>
      <c r="J118" s="559">
        <f>H118/DAY(B2)</f>
        <v>6.9090909090909092</v>
      </c>
      <c r="N118" s="721"/>
      <c r="P118" s="382"/>
    </row>
    <row r="119" spans="1:16" s="446" customFormat="1" ht="27.75">
      <c r="A119" s="1539" t="s">
        <v>226</v>
      </c>
      <c r="B119" s="1540"/>
      <c r="C119" s="1140"/>
      <c r="D119" s="624" t="s">
        <v>143</v>
      </c>
      <c r="E119" s="536"/>
      <c r="F119" s="663">
        <f>SUM(G19+G93)</f>
        <v>55</v>
      </c>
      <c r="G119" s="536">
        <f>SUM(G19+G93)</f>
        <v>55</v>
      </c>
      <c r="H119" s="536">
        <f>SUM(G119+'1'!G97)</f>
        <v>67</v>
      </c>
      <c r="I119" s="535"/>
      <c r="J119" s="559">
        <f>H119/DAY(B2)</f>
        <v>6.0909090909090908</v>
      </c>
      <c r="N119" s="721"/>
      <c r="P119" s="382"/>
    </row>
    <row r="120" spans="1:16" s="446" customFormat="1" ht="27.75">
      <c r="A120" s="1539" t="s">
        <v>227</v>
      </c>
      <c r="B120" s="1540"/>
      <c r="C120" s="1140"/>
      <c r="D120" s="624" t="s">
        <v>143</v>
      </c>
      <c r="E120" s="536"/>
      <c r="F120" s="663">
        <f>SUM(G96,G97,G98,G100,G101)</f>
        <v>53</v>
      </c>
      <c r="G120" s="536">
        <f>SUM(G96,G97,G98,G100,G101)</f>
        <v>53</v>
      </c>
      <c r="H120" s="536">
        <f>SUM(G120+'1'!G99)</f>
        <v>58</v>
      </c>
      <c r="I120" s="535"/>
      <c r="J120" s="559">
        <f>H120/DAY(B2)</f>
        <v>5.2727272727272725</v>
      </c>
      <c r="N120" s="721"/>
      <c r="P120" s="382"/>
    </row>
    <row r="121" spans="1:16" s="446" customFormat="1" ht="27.75">
      <c r="A121" s="1539" t="s">
        <v>228</v>
      </c>
      <c r="B121" s="1540"/>
      <c r="C121" s="1140"/>
      <c r="D121" s="624" t="s">
        <v>143</v>
      </c>
      <c r="E121" s="534"/>
      <c r="F121" s="662">
        <f>SUM(G113)</f>
        <v>65</v>
      </c>
      <c r="G121" s="534">
        <f>SUM(G113)</f>
        <v>65</v>
      </c>
      <c r="H121" s="536">
        <f>SUM(G121+'1'!G101)</f>
        <v>71</v>
      </c>
      <c r="I121" s="535"/>
      <c r="J121" s="559">
        <f>H121/DAY(B2)</f>
        <v>6.4545454545454541</v>
      </c>
      <c r="N121" s="721"/>
      <c r="P121" s="382"/>
    </row>
    <row r="122" spans="1:16" s="442" customFormat="1" ht="27.75">
      <c r="A122" s="1541"/>
      <c r="B122" s="1542"/>
      <c r="C122" s="1141"/>
      <c r="D122" s="560"/>
      <c r="E122" s="1441"/>
      <c r="F122" s="1442" t="s">
        <v>214</v>
      </c>
      <c r="G122" s="1441"/>
      <c r="H122" s="1443"/>
      <c r="I122" s="1441"/>
      <c r="J122" s="1444"/>
      <c r="N122" s="721"/>
      <c r="P122" s="382"/>
    </row>
    <row r="123" spans="1:16">
      <c r="A123" s="1576" t="s">
        <v>229</v>
      </c>
      <c r="B123" s="1577"/>
      <c r="C123" s="1578"/>
      <c r="D123" s="472"/>
      <c r="E123" s="627"/>
      <c r="F123" s="627"/>
      <c r="G123" s="650"/>
      <c r="H123" s="650"/>
      <c r="I123" s="650"/>
      <c r="J123" s="1445"/>
      <c r="K123" s="380"/>
      <c r="L123" s="377"/>
      <c r="N123" s="721"/>
      <c r="P123" s="382"/>
    </row>
    <row r="124" spans="1:16" ht="27.75">
      <c r="A124" s="1143" t="s">
        <v>230</v>
      </c>
      <c r="B124" s="1144"/>
      <c r="C124" s="1144"/>
      <c r="D124" s="523" t="s">
        <v>140</v>
      </c>
      <c r="E124" s="654">
        <f>'10'!F124</f>
        <v>828118</v>
      </c>
      <c r="F124" s="654">
        <v>828321</v>
      </c>
      <c r="G124" s="655">
        <f t="shared" ref="G124:G128" si="14">F124-E124</f>
        <v>203</v>
      </c>
      <c r="H124" s="708">
        <f>G124+'10'!H124</f>
        <v>2232.5400000000373</v>
      </c>
      <c r="I124" s="1435"/>
      <c r="J124" s="710">
        <f>H124/DAY(B2)</f>
        <v>202.95818181818521</v>
      </c>
      <c r="K124" s="380"/>
      <c r="L124" s="377"/>
      <c r="N124" s="721"/>
      <c r="P124" s="382"/>
    </row>
    <row r="125" spans="1:16" ht="27.75">
      <c r="A125" s="1143" t="s">
        <v>231</v>
      </c>
      <c r="B125" s="1144"/>
      <c r="C125" s="1144"/>
      <c r="D125" s="523" t="s">
        <v>140</v>
      </c>
      <c r="E125" s="654">
        <f>'10'!F125</f>
        <v>73583.399999999994</v>
      </c>
      <c r="F125" s="654">
        <v>73583.399999999994</v>
      </c>
      <c r="G125" s="655">
        <f t="shared" si="14"/>
        <v>0</v>
      </c>
      <c r="H125" s="708">
        <f>G125+'10'!H125</f>
        <v>0</v>
      </c>
      <c r="I125" s="1435"/>
      <c r="J125" s="710">
        <f>H125/DAY(B2)</f>
        <v>0</v>
      </c>
      <c r="K125" s="380"/>
      <c r="L125" s="377"/>
      <c r="N125" s="721"/>
      <c r="P125" s="382"/>
    </row>
    <row r="126" spans="1:16" ht="27.75">
      <c r="A126" s="1530" t="s">
        <v>232</v>
      </c>
      <c r="B126" s="1531"/>
      <c r="C126" s="1532"/>
      <c r="D126" s="523" t="s">
        <v>140</v>
      </c>
      <c r="E126" s="654">
        <f>'10'!F126</f>
        <v>145277</v>
      </c>
      <c r="F126" s="654">
        <v>145337.79999999999</v>
      </c>
      <c r="G126" s="655">
        <f t="shared" si="14"/>
        <v>60.799999999988358</v>
      </c>
      <c r="H126" s="708">
        <f>G126+'10'!H126</f>
        <v>650.35999999998603</v>
      </c>
      <c r="I126" s="1435"/>
      <c r="J126" s="710">
        <f>H126/DAY(B2)</f>
        <v>59.123636363635093</v>
      </c>
      <c r="K126" s="380"/>
      <c r="L126" s="377"/>
      <c r="N126" s="721"/>
      <c r="P126" s="382"/>
    </row>
    <row r="127" spans="1:16" ht="27.75">
      <c r="A127" s="609" t="s">
        <v>233</v>
      </c>
      <c r="B127" s="1144"/>
      <c r="C127" s="1144"/>
      <c r="D127" s="523" t="s">
        <v>140</v>
      </c>
      <c r="E127" s="654">
        <f>'10'!F127</f>
        <v>31404.2</v>
      </c>
      <c r="F127" s="654">
        <v>31404.2</v>
      </c>
      <c r="G127" s="655">
        <f t="shared" si="14"/>
        <v>0</v>
      </c>
      <c r="H127" s="708">
        <f>G127+'10'!H127</f>
        <v>0.2000000000007276</v>
      </c>
      <c r="I127" s="1435"/>
      <c r="J127" s="710">
        <f>H127/DAY(B2)</f>
        <v>1.8181818181884326E-2</v>
      </c>
      <c r="K127" s="380"/>
      <c r="L127" s="377"/>
      <c r="N127" s="721"/>
      <c r="P127" s="382"/>
    </row>
    <row r="128" spans="1:16" ht="27.75">
      <c r="A128" s="609" t="s">
        <v>234</v>
      </c>
      <c r="B128" s="1144"/>
      <c r="C128" s="1144"/>
      <c r="D128" s="523" t="s">
        <v>140</v>
      </c>
      <c r="E128" s="654">
        <f>'10'!F128</f>
        <v>8971</v>
      </c>
      <c r="F128" s="654">
        <v>8971</v>
      </c>
      <c r="G128" s="655">
        <f t="shared" si="14"/>
        <v>0</v>
      </c>
      <c r="H128" s="708">
        <f>G128+'10'!H128</f>
        <v>1.2999999999992724</v>
      </c>
      <c r="I128" s="1075"/>
      <c r="J128" s="710">
        <f>H128/DAY(B2)</f>
        <v>0.11818181818175204</v>
      </c>
      <c r="K128" s="380"/>
      <c r="L128" s="377"/>
      <c r="N128" s="721"/>
      <c r="P128" s="382"/>
    </row>
    <row r="129" spans="1:16" s="281" customFormat="1" ht="27.75">
      <c r="A129" s="609" t="s">
        <v>235</v>
      </c>
      <c r="B129" s="1144"/>
      <c r="C129" s="1144"/>
      <c r="D129" s="523"/>
      <c r="E129" s="654"/>
      <c r="F129" s="654"/>
      <c r="G129" s="655">
        <f>G15-SUM(G124:G128)</f>
        <v>69.889999999955762</v>
      </c>
      <c r="H129" s="708"/>
      <c r="I129" s="1075"/>
      <c r="J129" s="710"/>
      <c r="K129" s="364"/>
      <c r="L129" s="292"/>
      <c r="N129" s="721"/>
      <c r="P129" s="382"/>
    </row>
    <row r="130" spans="1:16">
      <c r="A130" s="610" t="s">
        <v>236</v>
      </c>
      <c r="B130" s="458"/>
      <c r="C130" s="458"/>
      <c r="D130" s="471"/>
      <c r="E130" s="1398"/>
      <c r="F130" s="1398"/>
      <c r="G130" s="1446"/>
      <c r="H130" s="1446"/>
      <c r="I130" s="1446"/>
      <c r="J130" s="1447"/>
      <c r="N130" s="721"/>
      <c r="P130" s="382"/>
    </row>
    <row r="131" spans="1:16" ht="27.75">
      <c r="A131" s="1143" t="s">
        <v>237</v>
      </c>
      <c r="B131" s="1144"/>
      <c r="C131" s="1144"/>
      <c r="D131" s="523" t="s">
        <v>238</v>
      </c>
      <c r="E131" s="541">
        <f>'10'!F131</f>
        <v>0</v>
      </c>
      <c r="F131" s="654">
        <v>0</v>
      </c>
      <c r="G131" s="655">
        <f t="shared" ref="G131:G141" si="15">F131-E131</f>
        <v>0</v>
      </c>
      <c r="H131" s="708">
        <f>G131+'10'!H131</f>
        <v>0</v>
      </c>
      <c r="I131" s="1075"/>
      <c r="J131" s="710">
        <f>H131/DAY(B2)</f>
        <v>0</v>
      </c>
      <c r="N131" s="721"/>
      <c r="P131" s="382"/>
    </row>
    <row r="132" spans="1:16" ht="27.75">
      <c r="A132" s="1143" t="s">
        <v>239</v>
      </c>
      <c r="B132" s="1144"/>
      <c r="C132" s="1144"/>
      <c r="D132" s="523" t="s">
        <v>238</v>
      </c>
      <c r="E132" s="541">
        <f>'10'!F132</f>
        <v>0</v>
      </c>
      <c r="F132" s="654">
        <v>0</v>
      </c>
      <c r="G132" s="655">
        <f t="shared" si="15"/>
        <v>0</v>
      </c>
      <c r="H132" s="708">
        <f>G132+'10'!H132</f>
        <v>0</v>
      </c>
      <c r="I132" s="1075"/>
      <c r="J132" s="710">
        <f>H132/DAY(B2)</f>
        <v>0</v>
      </c>
      <c r="N132" s="721"/>
      <c r="P132" s="382"/>
    </row>
    <row r="133" spans="1:16" ht="27.75">
      <c r="A133" s="1143" t="s">
        <v>240</v>
      </c>
      <c r="B133" s="1144"/>
      <c r="C133" s="1144"/>
      <c r="D133" s="523" t="s">
        <v>238</v>
      </c>
      <c r="E133" s="541">
        <f>'10'!F133</f>
        <v>39984.36</v>
      </c>
      <c r="F133" s="654">
        <v>40008.400000000001</v>
      </c>
      <c r="G133" s="655">
        <f t="shared" si="15"/>
        <v>24.040000000000873</v>
      </c>
      <c r="H133" s="708">
        <f>G133+'10'!H133</f>
        <v>261.91999999999825</v>
      </c>
      <c r="I133" s="1075"/>
      <c r="J133" s="710">
        <f>H133/DAY(B2)</f>
        <v>23.810909090908932</v>
      </c>
      <c r="N133" s="721"/>
      <c r="P133" s="382"/>
    </row>
    <row r="134" spans="1:16" ht="27.75">
      <c r="A134" s="1143" t="s">
        <v>241</v>
      </c>
      <c r="B134" s="1144"/>
      <c r="C134" s="1144"/>
      <c r="D134" s="523" t="s">
        <v>238</v>
      </c>
      <c r="E134" s="541">
        <f>'10'!F134</f>
        <v>300</v>
      </c>
      <c r="F134" s="654">
        <v>300</v>
      </c>
      <c r="G134" s="655">
        <f t="shared" si="15"/>
        <v>0</v>
      </c>
      <c r="H134" s="708">
        <f>G134+'10'!H134</f>
        <v>0</v>
      </c>
      <c r="I134" s="1075">
        <f>G131+G132+G133+G134</f>
        <v>24.040000000000873</v>
      </c>
      <c r="J134" s="710">
        <f>H134/DAY(B2)</f>
        <v>0</v>
      </c>
      <c r="N134" s="721"/>
      <c r="P134" s="382"/>
    </row>
    <row r="135" spans="1:16" ht="27.75">
      <c r="A135" s="1143" t="s">
        <v>242</v>
      </c>
      <c r="B135" s="1144"/>
      <c r="C135" s="1144"/>
      <c r="D135" s="523" t="s">
        <v>238</v>
      </c>
      <c r="E135" s="541">
        <f>'10'!F135</f>
        <v>41393.33</v>
      </c>
      <c r="F135" s="654">
        <v>41393</v>
      </c>
      <c r="G135" s="655">
        <f t="shared" si="15"/>
        <v>-0.33000000000174623</v>
      </c>
      <c r="H135" s="708">
        <f>G135+'10'!H135</f>
        <v>8</v>
      </c>
      <c r="I135" s="1075"/>
      <c r="J135" s="710">
        <f>H135/DAY(B2)</f>
        <v>0.72727272727272729</v>
      </c>
      <c r="N135" s="721"/>
      <c r="P135" s="382"/>
    </row>
    <row r="136" spans="1:16" ht="27.75">
      <c r="A136" s="1143" t="s">
        <v>243</v>
      </c>
      <c r="B136" s="1144"/>
      <c r="C136" s="1144"/>
      <c r="D136" s="523" t="s">
        <v>238</v>
      </c>
      <c r="E136" s="541">
        <f>'10'!F136</f>
        <v>32582.560000000001</v>
      </c>
      <c r="F136" s="654">
        <v>32582.560000000001</v>
      </c>
      <c r="G136" s="655">
        <f t="shared" si="15"/>
        <v>0</v>
      </c>
      <c r="H136" s="708">
        <f>G136+'10'!H136</f>
        <v>-0.43999999999869033</v>
      </c>
      <c r="I136" s="1075"/>
      <c r="J136" s="710">
        <f>H136/DAY(B2)</f>
        <v>-3.9999999999880936E-2</v>
      </c>
      <c r="N136" s="721"/>
      <c r="P136" s="382"/>
    </row>
    <row r="137" spans="1:16" ht="27.75">
      <c r="A137" s="1143" t="s">
        <v>244</v>
      </c>
      <c r="B137" s="1144"/>
      <c r="C137" s="1144"/>
      <c r="D137" s="523" t="s">
        <v>238</v>
      </c>
      <c r="E137" s="541">
        <f>'10'!F137</f>
        <v>22759</v>
      </c>
      <c r="F137" s="654">
        <v>22759</v>
      </c>
      <c r="G137" s="655">
        <f t="shared" si="15"/>
        <v>0</v>
      </c>
      <c r="H137" s="708">
        <f>G137+'10'!H137</f>
        <v>19.409999999999854</v>
      </c>
      <c r="I137" s="1075">
        <f>G135+G136+G137</f>
        <v>-0.33000000000174623</v>
      </c>
      <c r="J137" s="710">
        <f>H137/DAY(B2)</f>
        <v>1.7645454545454413</v>
      </c>
      <c r="N137" s="721"/>
      <c r="P137" s="382"/>
    </row>
    <row r="138" spans="1:16" ht="27.75">
      <c r="A138" s="1143" t="s">
        <v>245</v>
      </c>
      <c r="B138" s="1144"/>
      <c r="C138" s="1144"/>
      <c r="D138" s="523" t="s">
        <v>238</v>
      </c>
      <c r="E138" s="541">
        <f>'10'!F138</f>
        <v>25051.26</v>
      </c>
      <c r="F138" s="654">
        <v>25051.723000000002</v>
      </c>
      <c r="G138" s="655">
        <f t="shared" si="15"/>
        <v>0.46300000000337604</v>
      </c>
      <c r="H138" s="708">
        <f>G138+'10'!H138</f>
        <v>0.13300000000162981</v>
      </c>
      <c r="I138" s="1075"/>
      <c r="J138" s="710">
        <f>H138/DAY(B2)</f>
        <v>1.2090909091057256E-2</v>
      </c>
      <c r="N138" s="721"/>
      <c r="P138" s="382"/>
    </row>
    <row r="139" spans="1:16" ht="27.75">
      <c r="A139" s="1143" t="s">
        <v>246</v>
      </c>
      <c r="B139" s="1144"/>
      <c r="C139" s="1144"/>
      <c r="D139" s="523" t="s">
        <v>238</v>
      </c>
      <c r="E139" s="541">
        <f>'10'!F139</f>
        <v>70341.89</v>
      </c>
      <c r="F139" s="654">
        <v>70341.89</v>
      </c>
      <c r="G139" s="655">
        <f t="shared" si="15"/>
        <v>0</v>
      </c>
      <c r="H139" s="708">
        <f>G139+'10'!H139</f>
        <v>26.080000000001746</v>
      </c>
      <c r="I139" s="1075">
        <f>G138+G139</f>
        <v>0.46300000000337604</v>
      </c>
      <c r="J139" s="710">
        <f>H139/DAY(B2)</f>
        <v>2.3709090909092496</v>
      </c>
      <c r="N139" s="721"/>
      <c r="P139" s="382"/>
    </row>
    <row r="140" spans="1:16" ht="27.75">
      <c r="A140" s="1143" t="s">
        <v>247</v>
      </c>
      <c r="B140" s="1144"/>
      <c r="C140" s="1144"/>
      <c r="D140" s="523" t="s">
        <v>238</v>
      </c>
      <c r="E140" s="541">
        <f>'10'!F140</f>
        <v>1693.56</v>
      </c>
      <c r="F140" s="654">
        <v>1701.23</v>
      </c>
      <c r="G140" s="655">
        <f t="shared" si="15"/>
        <v>7.6700000000000728</v>
      </c>
      <c r="H140" s="708">
        <f>G140+'10'!H140</f>
        <v>84.370000000000118</v>
      </c>
      <c r="I140" s="535"/>
      <c r="J140" s="710">
        <f>H140/DAY(B2)</f>
        <v>7.6700000000000106</v>
      </c>
      <c r="N140" s="721"/>
      <c r="P140" s="382"/>
    </row>
    <row r="141" spans="1:16" ht="27.75">
      <c r="A141" s="1143" t="s">
        <v>248</v>
      </c>
      <c r="B141" s="1144"/>
      <c r="C141" s="1144"/>
      <c r="D141" s="523" t="s">
        <v>238</v>
      </c>
      <c r="E141" s="541">
        <f>'10'!F141</f>
        <v>4636.88</v>
      </c>
      <c r="F141" s="654">
        <v>4636.88</v>
      </c>
      <c r="G141" s="655">
        <f t="shared" si="15"/>
        <v>0</v>
      </c>
      <c r="H141" s="708">
        <f>G141+'10'!H141</f>
        <v>-0.11999999999989086</v>
      </c>
      <c r="I141" s="535"/>
      <c r="J141" s="710">
        <f>H141/DAY(B2)</f>
        <v>-1.0909090909080987E-2</v>
      </c>
      <c r="N141" s="721"/>
      <c r="P141" s="382"/>
    </row>
    <row r="142" spans="1:16">
      <c r="A142" s="1557" t="s">
        <v>249</v>
      </c>
      <c r="B142" s="1558"/>
      <c r="C142" s="1149"/>
      <c r="D142" s="472"/>
      <c r="E142" s="627"/>
      <c r="F142" s="627"/>
      <c r="G142" s="650"/>
      <c r="H142" s="650"/>
      <c r="I142" s="650"/>
      <c r="J142" s="1445"/>
      <c r="K142" s="380"/>
      <c r="L142" s="377"/>
      <c r="N142" s="721"/>
      <c r="P142" s="382"/>
    </row>
    <row r="143" spans="1:16" ht="27.75">
      <c r="A143" s="1551" t="s">
        <v>250</v>
      </c>
      <c r="B143" s="1552"/>
      <c r="C143" s="1553"/>
      <c r="D143" s="523" t="s">
        <v>131</v>
      </c>
      <c r="E143" s="627"/>
      <c r="F143" s="627"/>
      <c r="G143" s="708">
        <f>G35+G43+G49+G57</f>
        <v>3962.4199999999255</v>
      </c>
      <c r="H143" s="708">
        <f>G143+'10'!H143</f>
        <v>47620.419999999925</v>
      </c>
      <c r="I143" s="1075"/>
      <c r="J143" s="710">
        <f>H143/DAY(B2)</f>
        <v>4329.129090909084</v>
      </c>
      <c r="K143" s="380"/>
      <c r="L143" s="377"/>
      <c r="N143" s="721"/>
      <c r="P143" s="382"/>
    </row>
    <row r="144" spans="1:16" ht="27.75">
      <c r="A144" s="1551" t="s">
        <v>251</v>
      </c>
      <c r="B144" s="1552"/>
      <c r="C144" s="1553"/>
      <c r="D144" s="523" t="s">
        <v>24</v>
      </c>
      <c r="E144" s="1398"/>
      <c r="F144" s="1398"/>
      <c r="G144" s="1448">
        <f>G143/G7</f>
        <v>0.27359885213901142</v>
      </c>
      <c r="H144" s="708">
        <f>G144+'10'!H144</f>
        <v>3.0025936142710536</v>
      </c>
      <c r="I144" s="544"/>
      <c r="J144" s="710">
        <f>H144/DAY(B2)</f>
        <v>0.27296305584282304</v>
      </c>
      <c r="K144" s="380"/>
      <c r="L144" s="377"/>
      <c r="N144" s="721"/>
      <c r="P144" s="382"/>
    </row>
    <row r="145" spans="1:16" ht="27.75">
      <c r="A145" s="1551" t="s">
        <v>252</v>
      </c>
      <c r="B145" s="1552"/>
      <c r="C145" s="1553"/>
      <c r="D145" s="523" t="s">
        <v>131</v>
      </c>
      <c r="E145" s="709"/>
      <c r="F145" s="709"/>
      <c r="G145" s="708">
        <f>G41+G42+G55+G56</f>
        <v>4824.339999999982</v>
      </c>
      <c r="H145" s="708">
        <f>G145+'10'!H145</f>
        <v>53407.87000000001</v>
      </c>
      <c r="I145" s="1075"/>
      <c r="J145" s="710">
        <f>H145/DAY(B2)</f>
        <v>4855.26090909091</v>
      </c>
      <c r="K145" s="380"/>
      <c r="L145" s="377"/>
      <c r="N145" s="721"/>
      <c r="P145" s="382"/>
    </row>
    <row r="146" spans="1:16" ht="27.75">
      <c r="A146" s="1551" t="s">
        <v>253</v>
      </c>
      <c r="B146" s="1552"/>
      <c r="C146" s="1553"/>
      <c r="D146" s="523" t="s">
        <v>24</v>
      </c>
      <c r="E146" s="709"/>
      <c r="F146" s="709"/>
      <c r="G146" s="1448">
        <f>G145/G7</f>
        <v>0.33311306886406244</v>
      </c>
      <c r="H146" s="708">
        <f>G146+'10'!H146</f>
        <v>3.376419250828175</v>
      </c>
      <c r="I146" s="544"/>
      <c r="J146" s="710">
        <f>H146/DAY(B2)</f>
        <v>0.30694720462074315</v>
      </c>
      <c r="K146" s="380"/>
      <c r="L146" s="377"/>
      <c r="N146" s="721"/>
      <c r="P146" s="382"/>
    </row>
    <row r="147" spans="1:16" ht="27.75">
      <c r="A147" s="1551" t="s">
        <v>254</v>
      </c>
      <c r="B147" s="1552"/>
      <c r="C147" s="1553"/>
      <c r="D147" s="523" t="s">
        <v>131</v>
      </c>
      <c r="E147" s="709"/>
      <c r="F147" s="709"/>
      <c r="G147" s="708">
        <f>G39+G53</f>
        <v>2053.3999999999651</v>
      </c>
      <c r="H147" s="708">
        <f>G147+'10'!H147</f>
        <v>25120.399999999965</v>
      </c>
      <c r="I147" s="1449"/>
      <c r="J147" s="710">
        <f>H147/DAY(B2)</f>
        <v>2283.6727272727239</v>
      </c>
      <c r="K147" s="380"/>
      <c r="L147" s="377"/>
      <c r="N147" s="721"/>
      <c r="P147" s="382"/>
    </row>
    <row r="148" spans="1:16" ht="27.75">
      <c r="A148" s="1551" t="s">
        <v>255</v>
      </c>
      <c r="B148" s="1552"/>
      <c r="C148" s="1553"/>
      <c r="D148" s="523" t="s">
        <v>24</v>
      </c>
      <c r="E148" s="709"/>
      <c r="F148" s="709"/>
      <c r="G148" s="1448">
        <f>G147/G7</f>
        <v>0.14178403172360504</v>
      </c>
      <c r="H148" s="708">
        <f>G148+'10'!H148</f>
        <v>1.5844732535653339</v>
      </c>
      <c r="I148" s="1449"/>
      <c r="J148" s="710">
        <f>H148/DAY(B2)</f>
        <v>0.14404302305139399</v>
      </c>
      <c r="N148" s="721"/>
      <c r="P148" s="382"/>
    </row>
    <row r="149" spans="1:16" ht="27.75">
      <c r="A149" s="1551" t="s">
        <v>256</v>
      </c>
      <c r="B149" s="1552"/>
      <c r="C149" s="1553"/>
      <c r="D149" s="523" t="s">
        <v>182</v>
      </c>
      <c r="E149" s="709"/>
      <c r="F149" s="709"/>
      <c r="G149" s="708">
        <f>G38+G52</f>
        <v>998.36999999999534</v>
      </c>
      <c r="H149" s="708">
        <f>G149+'10'!H149</f>
        <v>13267.439999999944</v>
      </c>
      <c r="I149" s="1075"/>
      <c r="J149" s="710">
        <f>H149/DAY(B2)</f>
        <v>1206.130909090904</v>
      </c>
      <c r="K149" s="381"/>
      <c r="N149" s="721"/>
      <c r="P149" s="382"/>
    </row>
    <row r="150" spans="1:16" ht="27.75">
      <c r="A150" s="1551" t="s">
        <v>257</v>
      </c>
      <c r="B150" s="1552"/>
      <c r="C150" s="1553"/>
      <c r="D150" s="523" t="s">
        <v>24</v>
      </c>
      <c r="E150" s="709"/>
      <c r="F150" s="709" t="s">
        <v>214</v>
      </c>
      <c r="G150" s="1448">
        <f>G149/G7</f>
        <v>6.8935874039104561E-2</v>
      </c>
      <c r="H150" s="708">
        <f>G150+'10'!H150</f>
        <v>0.83704576896838656</v>
      </c>
      <c r="I150" s="1449"/>
      <c r="J150" s="710">
        <f>H150/DAY(B2)</f>
        <v>7.6095069906216964E-2</v>
      </c>
      <c r="N150" s="721"/>
      <c r="P150" s="382"/>
    </row>
    <row r="151" spans="1:16" ht="27.75">
      <c r="A151" s="1551" t="s">
        <v>258</v>
      </c>
      <c r="B151" s="1552"/>
      <c r="C151" s="1553"/>
      <c r="D151" s="523" t="s">
        <v>182</v>
      </c>
      <c r="E151" s="709"/>
      <c r="F151" s="709"/>
      <c r="G151" s="708">
        <f>G36+G50</f>
        <v>771.95000000001164</v>
      </c>
      <c r="H151" s="708">
        <f>G151+'10'!H151</f>
        <v>13028.950000000012</v>
      </c>
      <c r="I151" s="1449"/>
      <c r="J151" s="710">
        <f>H151/DAY(B2)</f>
        <v>1184.450000000001</v>
      </c>
      <c r="N151" s="721"/>
      <c r="P151" s="382"/>
    </row>
    <row r="152" spans="1:16" ht="27.75">
      <c r="A152" s="1551" t="s">
        <v>259</v>
      </c>
      <c r="B152" s="1552"/>
      <c r="C152" s="1553"/>
      <c r="D152" s="523" t="s">
        <v>24</v>
      </c>
      <c r="E152" s="709"/>
      <c r="F152" s="709"/>
      <c r="G152" s="1448">
        <f>G151/G7</f>
        <v>5.3301930110568045E-2</v>
      </c>
      <c r="H152" s="708">
        <f>G152+'10'!H152</f>
        <v>0.81739154727610963</v>
      </c>
      <c r="I152" s="1075"/>
      <c r="J152" s="710">
        <f>H152/DAY(B2)</f>
        <v>7.4308322479646333E-2</v>
      </c>
      <c r="N152" s="721"/>
      <c r="P152" s="382"/>
    </row>
    <row r="153" spans="1:16" ht="27.75">
      <c r="A153" s="1551" t="s">
        <v>260</v>
      </c>
      <c r="B153" s="1552"/>
      <c r="C153" s="1553"/>
      <c r="D153" s="523" t="s">
        <v>182</v>
      </c>
      <c r="E153" s="709"/>
      <c r="F153" s="709"/>
      <c r="G153" s="708">
        <f>G37+G51</f>
        <v>1191.5</v>
      </c>
      <c r="H153" s="708">
        <f>G153+'10'!H153</f>
        <v>13496.369999999995</v>
      </c>
      <c r="I153" s="1075"/>
      <c r="J153" s="710"/>
      <c r="N153" s="721"/>
      <c r="P153" s="382"/>
    </row>
    <row r="154" spans="1:16" ht="28.5" thickBot="1">
      <c r="A154" s="1554" t="s">
        <v>261</v>
      </c>
      <c r="B154" s="1555"/>
      <c r="C154" s="1556"/>
      <c r="D154" s="625" t="s">
        <v>24</v>
      </c>
      <c r="E154" s="1450"/>
      <c r="F154" s="1450"/>
      <c r="G154" s="1451">
        <f>G153/G7</f>
        <v>8.2271195967019706E-2</v>
      </c>
      <c r="H154" s="708">
        <f>G154+'10'!H154</f>
        <v>0.85182679558335894</v>
      </c>
      <c r="I154" s="1452"/>
      <c r="J154" s="1453">
        <f>H154/DAY(B2)</f>
        <v>7.7438799598487179E-2</v>
      </c>
      <c r="N154" s="721"/>
      <c r="P154" s="382"/>
    </row>
    <row r="155" spans="1:16">
      <c r="A155" s="466"/>
      <c r="B155" s="456"/>
      <c r="C155" s="456"/>
      <c r="D155" s="546"/>
      <c r="E155" s="1454"/>
      <c r="F155" s="1455"/>
      <c r="G155" s="1454"/>
      <c r="H155" s="1456"/>
      <c r="I155" s="1454"/>
      <c r="J155" s="1457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87" t="s">
        <v>262</v>
      </c>
      <c r="B161" s="788"/>
      <c r="C161" s="788"/>
      <c r="D161" s="511" t="s">
        <v>186</v>
      </c>
      <c r="E161" s="654">
        <f>'10'!F161</f>
        <v>36748</v>
      </c>
      <c r="F161" s="662">
        <v>36828.32</v>
      </c>
      <c r="G161" s="655">
        <f t="shared" ref="G161:G164" si="16">F161-E161</f>
        <v>80.319999999999709</v>
      </c>
      <c r="N161" s="721"/>
    </row>
    <row r="162" spans="1:14">
      <c r="A162" s="787" t="s">
        <v>263</v>
      </c>
      <c r="B162" s="788"/>
      <c r="C162" s="788"/>
      <c r="D162" s="511" t="s">
        <v>186</v>
      </c>
      <c r="E162" s="654">
        <f>'10'!F162</f>
        <v>86560</v>
      </c>
      <c r="F162" s="662">
        <v>86993.279999999999</v>
      </c>
      <c r="G162" s="655">
        <f t="shared" si="16"/>
        <v>433.27999999999884</v>
      </c>
      <c r="N162" s="721"/>
    </row>
    <row r="163" spans="1:14">
      <c r="A163" s="787" t="s">
        <v>264</v>
      </c>
      <c r="B163" s="788"/>
      <c r="C163" s="788"/>
      <c r="D163" s="511" t="s">
        <v>186</v>
      </c>
      <c r="E163" s="654">
        <f>'10'!F163</f>
        <v>40455</v>
      </c>
      <c r="F163" s="662">
        <v>40676</v>
      </c>
      <c r="G163" s="655">
        <f t="shared" si="16"/>
        <v>221</v>
      </c>
      <c r="N163" s="721"/>
    </row>
    <row r="164" spans="1:14">
      <c r="A164" s="787" t="s">
        <v>265</v>
      </c>
      <c r="B164" s="788"/>
      <c r="C164" s="788"/>
      <c r="D164" s="511" t="s">
        <v>186</v>
      </c>
      <c r="E164" s="654">
        <f>'10'!F164</f>
        <v>6329</v>
      </c>
      <c r="F164" s="662">
        <v>6341.48</v>
      </c>
      <c r="G164" s="655">
        <f t="shared" si="16"/>
        <v>12.479999999999563</v>
      </c>
      <c r="N164" s="721"/>
    </row>
    <row r="165" spans="1:14" ht="37.5" customHeight="1">
      <c r="A165" s="789" t="s">
        <v>98</v>
      </c>
      <c r="B165" s="604"/>
      <c r="C165" s="604"/>
      <c r="D165" s="511" t="s">
        <v>186</v>
      </c>
      <c r="E165" s="654">
        <f>'12'!F165</f>
        <v>20419</v>
      </c>
      <c r="F165" s="1111">
        <f>F62</f>
        <v>20419</v>
      </c>
      <c r="G165" s="655">
        <f t="shared" ref="G165:G172" si="17">F165-E165</f>
        <v>0</v>
      </c>
      <c r="N165" s="721"/>
    </row>
    <row r="166" spans="1:14">
      <c r="A166" s="789" t="s">
        <v>187</v>
      </c>
      <c r="B166" s="604"/>
      <c r="C166" s="604"/>
      <c r="D166" s="511" t="s">
        <v>186</v>
      </c>
      <c r="E166" s="747">
        <f>E63</f>
        <v>2397</v>
      </c>
      <c r="F166" s="1111">
        <f>F63</f>
        <v>2400.8000000000002</v>
      </c>
      <c r="G166" s="655">
        <f t="shared" si="17"/>
        <v>3.8000000000001819</v>
      </c>
      <c r="N166" s="721"/>
    </row>
    <row r="167" spans="1:14" ht="35.25" customHeight="1">
      <c r="A167" s="1526" t="s">
        <v>99</v>
      </c>
      <c r="B167" s="1526"/>
      <c r="C167" s="1526"/>
      <c r="D167" s="523" t="s">
        <v>186</v>
      </c>
      <c r="E167" s="747">
        <f t="shared" ref="E167:E172" si="18">E64</f>
        <v>155359</v>
      </c>
      <c r="F167" s="1111">
        <f t="shared" ref="F167:F172" si="19">F64</f>
        <v>155566.76999999999</v>
      </c>
      <c r="G167" s="655">
        <f t="shared" si="17"/>
        <v>207.76999999998952</v>
      </c>
      <c r="N167" s="721"/>
    </row>
    <row r="168" spans="1:14" ht="33" customHeight="1">
      <c r="A168" s="1526" t="s">
        <v>100</v>
      </c>
      <c r="B168" s="1526"/>
      <c r="C168" s="1526"/>
      <c r="D168" s="523" t="s">
        <v>186</v>
      </c>
      <c r="E168" s="747">
        <f t="shared" si="18"/>
        <v>156480</v>
      </c>
      <c r="F168" s="1111">
        <f t="shared" si="19"/>
        <v>156609.13</v>
      </c>
      <c r="G168" s="655">
        <f t="shared" si="17"/>
        <v>129.13000000000466</v>
      </c>
      <c r="N168" s="721"/>
    </row>
    <row r="169" spans="1:14" ht="40.5" customHeight="1">
      <c r="A169" s="1526" t="s">
        <v>101</v>
      </c>
      <c r="B169" s="1526"/>
      <c r="C169" s="1526"/>
      <c r="D169" s="523" t="s">
        <v>186</v>
      </c>
      <c r="E169" s="747">
        <f t="shared" si="18"/>
        <v>51186</v>
      </c>
      <c r="F169" s="1111">
        <f t="shared" si="19"/>
        <v>51430.79</v>
      </c>
      <c r="G169" s="655">
        <f t="shared" si="17"/>
        <v>244.79000000000087</v>
      </c>
      <c r="N169" s="721"/>
    </row>
    <row r="170" spans="1:14" ht="30.75" customHeight="1">
      <c r="A170" s="1526" t="s">
        <v>102</v>
      </c>
      <c r="B170" s="1526"/>
      <c r="C170" s="1526"/>
      <c r="D170" s="523" t="s">
        <v>186</v>
      </c>
      <c r="E170" s="747">
        <f t="shared" si="18"/>
        <v>244826</v>
      </c>
      <c r="F170" s="1111">
        <f t="shared" si="19"/>
        <v>244943.95</v>
      </c>
      <c r="G170" s="655">
        <f t="shared" si="17"/>
        <v>117.95000000001164</v>
      </c>
      <c r="N170" s="721"/>
    </row>
    <row r="171" spans="1:14" ht="30.75" customHeight="1">
      <c r="A171" s="1526" t="s">
        <v>103</v>
      </c>
      <c r="B171" s="1526"/>
      <c r="C171" s="1526"/>
      <c r="D171" s="523" t="s">
        <v>186</v>
      </c>
      <c r="E171" s="747">
        <f t="shared" si="18"/>
        <v>85321</v>
      </c>
      <c r="F171" s="1111">
        <f t="shared" si="19"/>
        <v>85321</v>
      </c>
      <c r="G171" s="655">
        <f t="shared" si="17"/>
        <v>0</v>
      </c>
      <c r="N171" s="721"/>
    </row>
    <row r="172" spans="1:14" ht="28.5" customHeight="1">
      <c r="A172" s="1526" t="s">
        <v>104</v>
      </c>
      <c r="B172" s="1526"/>
      <c r="C172" s="1526"/>
      <c r="D172" s="523" t="s">
        <v>186</v>
      </c>
      <c r="E172" s="747">
        <f t="shared" si="18"/>
        <v>79831</v>
      </c>
      <c r="F172" s="1111">
        <f t="shared" si="19"/>
        <v>79870.61</v>
      </c>
      <c r="G172" s="655">
        <f t="shared" si="17"/>
        <v>39.610000000000582</v>
      </c>
      <c r="N172" s="721"/>
    </row>
    <row r="173" spans="1:14">
      <c r="G173" s="1461">
        <f>SUM(G161:G172)</f>
        <v>1490.1300000000056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44.25" customHeight="1">
      <c r="N178" s="721"/>
    </row>
    <row r="179" spans="14:14" ht="21.75" customHeight="1">
      <c r="N179" s="721"/>
    </row>
    <row r="180" spans="14:14" ht="21.75" customHeight="1">
      <c r="N180" s="721"/>
    </row>
    <row r="181" spans="14:14" ht="21.75" customHeight="1">
      <c r="N181" s="721"/>
    </row>
    <row r="182" spans="14:14" ht="21.75" customHeight="1">
      <c r="N182" s="721"/>
    </row>
    <row r="183" spans="14:14" ht="21.75" customHeight="1">
      <c r="N183" s="721"/>
    </row>
    <row r="184" spans="14:14" ht="21.75" customHeight="1">
      <c r="N184" s="721"/>
    </row>
    <row r="185" spans="14:14" ht="21.75" customHeight="1">
      <c r="N185" s="721"/>
    </row>
    <row r="186" spans="14:14" ht="21.75" customHeight="1">
      <c r="N186" s="721"/>
    </row>
    <row r="187" spans="14:14" ht="21.75" customHeight="1">
      <c r="N187" s="721"/>
    </row>
    <row r="188" spans="14:14" ht="21.75" customHeight="1">
      <c r="N188" s="721"/>
    </row>
    <row r="189" spans="14:14" ht="21.75" customHeight="1">
      <c r="N189" s="721"/>
    </row>
    <row r="190" spans="14:14" ht="21.75" customHeight="1">
      <c r="N190" s="721"/>
    </row>
    <row r="191" spans="14:14" ht="21.75" customHeight="1">
      <c r="N191" s="721"/>
    </row>
    <row r="192" spans="14:14" ht="21.75" customHeight="1">
      <c r="N192" s="721"/>
    </row>
    <row r="193" spans="14:14" ht="21.75" customHeight="1">
      <c r="N193" s="721"/>
    </row>
    <row r="194" spans="14:14" ht="36.75" customHeight="1">
      <c r="N194" s="721"/>
    </row>
    <row r="195" spans="14:14">
      <c r="N195" s="721"/>
    </row>
    <row r="196" spans="14:14">
      <c r="N196" s="721"/>
    </row>
    <row r="197" spans="14:14">
      <c r="N197" s="721"/>
    </row>
    <row r="198" spans="14:14">
      <c r="N198" s="721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zoomScale="55" zoomScaleNormal="75" zoomScaleSheetLayoutView="55" workbookViewId="0">
      <selection activeCell="H8" sqref="H8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1184"/>
    <col min="16" max="17" width="22.33203125" style="441"/>
    <col min="18" max="16384" width="22.33203125" style="376"/>
  </cols>
  <sheetData>
    <row r="1" spans="1:17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7" s="281" customFormat="1" ht="27">
      <c r="A2" s="575" t="s">
        <v>366</v>
      </c>
      <c r="B2" s="1035">
        <v>44328</v>
      </c>
      <c r="C2" s="1145" t="s">
        <v>69</v>
      </c>
      <c r="D2" s="611">
        <v>0.5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20"/>
      <c r="O2" s="1185"/>
      <c r="P2" s="713"/>
      <c r="Q2" s="713"/>
    </row>
    <row r="3" spans="1:17" s="281" customFormat="1" ht="27">
      <c r="A3" s="570"/>
      <c r="B3" s="614"/>
      <c r="C3" s="1145" t="s">
        <v>119</v>
      </c>
      <c r="D3" s="612">
        <v>30</v>
      </c>
      <c r="E3" s="1568" t="s">
        <v>120</v>
      </c>
      <c r="F3" s="1569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1185"/>
      <c r="P3" s="713"/>
      <c r="Q3" s="713"/>
    </row>
    <row r="4" spans="1:17" s="281" customFormat="1" ht="27">
      <c r="A4" s="576"/>
      <c r="B4" s="616"/>
      <c r="C4" s="1145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1185"/>
      <c r="P4" s="713"/>
      <c r="Q4" s="713"/>
    </row>
    <row r="5" spans="1:17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130</v>
      </c>
      <c r="B7" s="680"/>
      <c r="C7" s="680"/>
      <c r="D7" s="638" t="s">
        <v>131</v>
      </c>
      <c r="E7" s="633">
        <f>'11'!F7</f>
        <v>19788.59</v>
      </c>
      <c r="F7" s="455">
        <v>34957.870000000003</v>
      </c>
      <c r="G7" s="681">
        <f>F7-E7</f>
        <v>15169.280000000002</v>
      </c>
      <c r="H7" s="682">
        <f>G7+'11'!H7</f>
        <v>189980.87</v>
      </c>
      <c r="I7" s="683">
        <f>'1'!I7</f>
        <v>12000</v>
      </c>
      <c r="J7" s="684">
        <f>H7/DAY(B2)</f>
        <v>15831.739166666666</v>
      </c>
      <c r="K7" s="549"/>
      <c r="L7" s="377"/>
      <c r="N7" s="721"/>
      <c r="O7" s="730"/>
      <c r="P7" s="714"/>
    </row>
    <row r="8" spans="1:17" ht="27.75" thickBot="1">
      <c r="A8" s="685" t="s">
        <v>132</v>
      </c>
      <c r="B8" s="686"/>
      <c r="C8" s="687"/>
      <c r="D8" s="688" t="s">
        <v>25</v>
      </c>
      <c r="E8" s="633">
        <f>'11'!F8</f>
        <v>19957.82</v>
      </c>
      <c r="F8" s="475">
        <v>35217.71</v>
      </c>
      <c r="G8" s="692">
        <f>F8-E8</f>
        <v>15259.89</v>
      </c>
      <c r="H8" s="682">
        <f>G8+'11'!H8</f>
        <v>190976.71000000002</v>
      </c>
      <c r="I8" s="689">
        <f>'1'!I8</f>
        <v>12000</v>
      </c>
      <c r="J8" s="684">
        <f>H8/DAY(B2)</f>
        <v>15914.725833333336</v>
      </c>
      <c r="K8" s="549"/>
      <c r="L8" s="425"/>
      <c r="M8" s="440"/>
      <c r="N8" s="721"/>
      <c r="O8" s="730"/>
      <c r="P8" s="716"/>
    </row>
    <row r="9" spans="1:17">
      <c r="A9" s="690" t="s">
        <v>133</v>
      </c>
      <c r="B9" s="691"/>
      <c r="C9" s="691"/>
      <c r="D9" s="638" t="s">
        <v>131</v>
      </c>
      <c r="E9" s="633">
        <f>'11'!F9</f>
        <v>1159720.3</v>
      </c>
      <c r="F9" s="478">
        <v>1174391</v>
      </c>
      <c r="G9" s="705">
        <f t="shared" ref="G9:G12" si="0">F9-E9</f>
        <v>14670.699999999953</v>
      </c>
      <c r="H9" s="682">
        <f>G9+'11'!H9</f>
        <v>183677</v>
      </c>
      <c r="I9" s="693">
        <f>I7-J7</f>
        <v>-3831.7391666666663</v>
      </c>
      <c r="J9" s="684">
        <f>H9/DAY(B2)</f>
        <v>15306.416666666666</v>
      </c>
      <c r="K9" s="428"/>
      <c r="L9" s="377"/>
      <c r="N9" s="721"/>
      <c r="O9" s="730"/>
      <c r="P9" s="716"/>
    </row>
    <row r="10" spans="1:17">
      <c r="A10" s="679" t="s">
        <v>134</v>
      </c>
      <c r="B10" s="680"/>
      <c r="C10" s="680"/>
      <c r="D10" s="638" t="s">
        <v>131</v>
      </c>
      <c r="E10" s="633">
        <f>'11'!F10</f>
        <v>2322.58</v>
      </c>
      <c r="F10" s="478">
        <v>2322.58</v>
      </c>
      <c r="G10" s="692">
        <f t="shared" si="0"/>
        <v>0</v>
      </c>
      <c r="H10" s="682">
        <f>G10+'11'!H10</f>
        <v>0</v>
      </c>
      <c r="I10" s="694"/>
      <c r="J10" s="684">
        <f>H10/DAY(B2)</f>
        <v>0</v>
      </c>
      <c r="K10" s="428"/>
      <c r="L10" s="377"/>
      <c r="N10" s="721"/>
      <c r="O10" s="730"/>
      <c r="P10" s="716"/>
    </row>
    <row r="11" spans="1:17">
      <c r="A11" s="679" t="s">
        <v>135</v>
      </c>
      <c r="B11" s="680"/>
      <c r="C11" s="680"/>
      <c r="D11" s="638" t="s">
        <v>131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G11+'11'!H11</f>
        <v>0</v>
      </c>
      <c r="I11" s="694"/>
      <c r="J11" s="684">
        <f>H11/DAY(B2)</f>
        <v>0</v>
      </c>
      <c r="K11" s="428"/>
      <c r="L11" s="377"/>
      <c r="N11" s="721"/>
      <c r="O11" s="730"/>
      <c r="P11" s="716"/>
    </row>
    <row r="12" spans="1:17">
      <c r="A12" s="679" t="s">
        <v>136</v>
      </c>
      <c r="B12" s="680"/>
      <c r="C12" s="680"/>
      <c r="D12" s="638" t="s">
        <v>131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G12+'11'!H12</f>
        <v>0</v>
      </c>
      <c r="I12" s="694"/>
      <c r="J12" s="684">
        <f>H12/DAY(B2)</f>
        <v>0</v>
      </c>
      <c r="K12" s="428"/>
      <c r="L12" s="377"/>
      <c r="N12" s="721"/>
      <c r="O12" s="730"/>
      <c r="P12" s="716"/>
    </row>
    <row r="13" spans="1:17">
      <c r="A13" s="695" t="s">
        <v>137</v>
      </c>
      <c r="B13" s="696"/>
      <c r="C13" s="696"/>
      <c r="D13" s="638"/>
      <c r="E13" s="633"/>
      <c r="F13" s="455"/>
      <c r="G13" s="697">
        <f>G9+G10+G11+G12</f>
        <v>14670.699999999953</v>
      </c>
      <c r="H13" s="682">
        <f>G13+'11'!H13</f>
        <v>169156</v>
      </c>
      <c r="I13" s="698">
        <f>G7-G13</f>
        <v>498.58000000004904</v>
      </c>
      <c r="J13" s="684">
        <f>H13/DAY(B2)</f>
        <v>14096.333333333334</v>
      </c>
      <c r="K13" s="428"/>
      <c r="L13" s="377"/>
      <c r="N13" s="721"/>
      <c r="O13" s="730"/>
      <c r="P13" s="716"/>
    </row>
    <row r="14" spans="1:17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30"/>
      <c r="P14" s="716"/>
    </row>
    <row r="15" spans="1:17">
      <c r="A15" s="795" t="s">
        <v>139</v>
      </c>
      <c r="B15" s="796"/>
      <c r="C15" s="796"/>
      <c r="D15" s="524" t="s">
        <v>140</v>
      </c>
      <c r="E15" s="485">
        <f>'11'!F15</f>
        <v>1675283.69</v>
      </c>
      <c r="F15" s="485">
        <v>1675720.12</v>
      </c>
      <c r="G15" s="667">
        <f>(F15-E15)</f>
        <v>436.43000000016764</v>
      </c>
      <c r="H15" s="486">
        <f>G15+'11'!H15</f>
        <v>5063.1200000001118</v>
      </c>
      <c r="I15" s="474">
        <v>800</v>
      </c>
      <c r="J15" s="553">
        <f>H15/DAY(B2)</f>
        <v>421.926666666676</v>
      </c>
      <c r="K15" s="428"/>
      <c r="L15" s="377"/>
      <c r="N15" s="721"/>
      <c r="O15" s="730"/>
      <c r="P15" s="716"/>
    </row>
    <row r="16" spans="1:17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378.073333333324</v>
      </c>
      <c r="J16" s="553"/>
      <c r="K16" s="428"/>
      <c r="L16" s="377"/>
      <c r="N16" s="721"/>
      <c r="O16" s="730"/>
      <c r="P16" s="716"/>
    </row>
    <row r="17" spans="1:17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30"/>
      <c r="P17" s="716"/>
    </row>
    <row r="18" spans="1:17" ht="27.75">
      <c r="A18" s="1591" t="s">
        <v>142</v>
      </c>
      <c r="B18" s="1592"/>
      <c r="C18" s="1593"/>
      <c r="D18" s="638" t="s">
        <v>143</v>
      </c>
      <c r="E18" s="635">
        <f>'11'!F18</f>
        <v>2</v>
      </c>
      <c r="F18" s="478">
        <v>0</v>
      </c>
      <c r="G18" s="697">
        <f>F18*10</f>
        <v>0</v>
      </c>
      <c r="H18" s="682">
        <f>G18+'11'!H18</f>
        <v>460</v>
      </c>
      <c r="I18" s="683">
        <f>'1'!I18</f>
        <v>65</v>
      </c>
      <c r="J18" s="684">
        <f>H18/DAY(B2)</f>
        <v>38.333333333333336</v>
      </c>
      <c r="K18" s="428"/>
      <c r="L18" s="377"/>
      <c r="N18" s="721"/>
      <c r="O18" s="730"/>
      <c r="P18" s="716"/>
    </row>
    <row r="19" spans="1:17" ht="27.75">
      <c r="A19" s="1591" t="s">
        <v>71</v>
      </c>
      <c r="B19" s="1592"/>
      <c r="C19" s="1593"/>
      <c r="D19" s="638" t="s">
        <v>143</v>
      </c>
      <c r="E19" s="635">
        <f>'11'!F19</f>
        <v>138409</v>
      </c>
      <c r="F19" s="478">
        <v>138461</v>
      </c>
      <c r="G19" s="692">
        <f t="shared" ref="G19" si="1">F19-E19</f>
        <v>52</v>
      </c>
      <c r="H19" s="682">
        <f>G19+'11'!H19</f>
        <v>649</v>
      </c>
      <c r="I19" s="699"/>
      <c r="J19" s="684">
        <f>H19/DAY(B2)</f>
        <v>54.083333333333336</v>
      </c>
      <c r="K19" s="428"/>
      <c r="L19" s="377"/>
      <c r="N19" s="721"/>
      <c r="O19" s="730"/>
      <c r="P19" s="716"/>
    </row>
    <row r="20" spans="1:17">
      <c r="A20" s="695" t="s">
        <v>144</v>
      </c>
      <c r="B20" s="696"/>
      <c r="C20" s="696"/>
      <c r="D20" s="638"/>
      <c r="E20" s="638"/>
      <c r="F20" s="712"/>
      <c r="G20" s="700">
        <f>G18+G19</f>
        <v>52</v>
      </c>
      <c r="H20" s="682">
        <f>G20+'11'!H20</f>
        <v>1109</v>
      </c>
      <c r="I20" s="701">
        <f>I18-J20</f>
        <v>-27.416666666666671</v>
      </c>
      <c r="J20" s="684">
        <f>H20/DAY(B2)</f>
        <v>92.416666666666671</v>
      </c>
      <c r="K20" s="428"/>
      <c r="L20" s="377"/>
      <c r="N20" s="721"/>
      <c r="O20" s="730"/>
      <c r="P20" s="716"/>
    </row>
    <row r="21" spans="1:17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30"/>
      <c r="P21" s="716"/>
    </row>
    <row r="22" spans="1:17">
      <c r="A22" s="1143" t="s">
        <v>146</v>
      </c>
      <c r="B22" s="589"/>
      <c r="C22" s="589"/>
      <c r="D22" s="523" t="s">
        <v>147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21"/>
      <c r="O22" s="730"/>
      <c r="P22" s="716"/>
    </row>
    <row r="23" spans="1:17">
      <c r="A23" s="1143" t="s">
        <v>148</v>
      </c>
      <c r="B23" s="589"/>
      <c r="C23" s="589"/>
      <c r="D23" s="523" t="s">
        <v>147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1"/>
      <c r="O23" s="730"/>
      <c r="P23" s="716"/>
    </row>
    <row r="24" spans="1:17">
      <c r="A24" s="590" t="s">
        <v>149</v>
      </c>
      <c r="B24" s="591"/>
      <c r="C24" s="591"/>
      <c r="D24" s="511" t="s">
        <v>147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1"/>
      <c r="O24" s="730"/>
      <c r="P24" s="716"/>
    </row>
    <row r="25" spans="1:17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30"/>
      <c r="P25" s="716"/>
      <c r="Q25" s="445"/>
    </row>
    <row r="26" spans="1:17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30"/>
      <c r="P26" s="716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2">
        <f>G8</f>
        <v>15259.89</v>
      </c>
      <c r="F27" s="501">
        <v>9</v>
      </c>
      <c r="G27" s="502">
        <f>E27*F27</f>
        <v>137339.01</v>
      </c>
      <c r="H27" s="460">
        <f>G27+'11'!H27</f>
        <v>1718790.39</v>
      </c>
      <c r="I27" s="503"/>
      <c r="J27" s="552">
        <f>H27/DAY(B2)</f>
        <v>143232.5325</v>
      </c>
      <c r="K27" s="373"/>
      <c r="L27" s="443"/>
      <c r="N27" s="721"/>
      <c r="O27" s="730"/>
      <c r="P27" s="716"/>
      <c r="Q27" s="445"/>
    </row>
    <row r="28" spans="1:17" s="442" customFormat="1" ht="27.75">
      <c r="A28" s="592" t="s">
        <v>153</v>
      </c>
      <c r="B28" s="593"/>
      <c r="C28" s="594"/>
      <c r="D28" s="619" t="s">
        <v>154</v>
      </c>
      <c r="E28" s="702">
        <f>G15</f>
        <v>436.43000000016764</v>
      </c>
      <c r="F28" s="501">
        <v>49</v>
      </c>
      <c r="G28" s="502">
        <f>E28*F28</f>
        <v>21385.070000008214</v>
      </c>
      <c r="H28" s="460">
        <f>G28+'11'!H28</f>
        <v>252326.48000000548</v>
      </c>
      <c r="I28" s="505"/>
      <c r="J28" s="552">
        <f>H28/DAY(B2)</f>
        <v>21027.206666667123</v>
      </c>
      <c r="K28" s="373"/>
      <c r="L28" s="443"/>
      <c r="N28" s="721"/>
      <c r="O28" s="730"/>
      <c r="P28" s="716"/>
      <c r="Q28" s="445"/>
    </row>
    <row r="29" spans="1:17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1"/>
      <c r="O29" s="730"/>
      <c r="P29" s="716"/>
      <c r="Q29" s="445"/>
    </row>
    <row r="30" spans="1:17" s="442" customFormat="1" ht="27.75">
      <c r="A30" s="592" t="s">
        <v>157</v>
      </c>
      <c r="B30" s="593"/>
      <c r="C30" s="594"/>
      <c r="D30" s="619" t="s">
        <v>158</v>
      </c>
      <c r="E30" s="702">
        <f>G19</f>
        <v>52</v>
      </c>
      <c r="F30" s="501">
        <v>134</v>
      </c>
      <c r="G30" s="502">
        <f>E30*F30</f>
        <v>6968</v>
      </c>
      <c r="H30" s="460">
        <f>G30+'11'!H30</f>
        <v>86966</v>
      </c>
      <c r="I30" s="505"/>
      <c r="J30" s="552">
        <f>H30/DAY(B2)</f>
        <v>7247.166666666667</v>
      </c>
      <c r="K30" s="373"/>
      <c r="L30" s="443"/>
      <c r="N30" s="721"/>
      <c r="O30" s="730"/>
      <c r="P30" s="716"/>
      <c r="Q30" s="445"/>
    </row>
    <row r="31" spans="1:17" s="442" customFormat="1" ht="27.75">
      <c r="A31" s="592" t="s">
        <v>159</v>
      </c>
      <c r="B31" s="593"/>
      <c r="C31" s="594"/>
      <c r="D31" s="619" t="s">
        <v>143</v>
      </c>
      <c r="E31" s="702">
        <f>G18</f>
        <v>0</v>
      </c>
      <c r="F31" s="501">
        <v>80</v>
      </c>
      <c r="G31" s="502">
        <f>E31*F31</f>
        <v>0</v>
      </c>
      <c r="H31" s="460">
        <f>G31+'11'!H31</f>
        <v>36800</v>
      </c>
      <c r="I31" s="505"/>
      <c r="J31" s="552">
        <f>H31/DAY(B2)</f>
        <v>3066.6666666666665</v>
      </c>
      <c r="K31" s="373"/>
      <c r="L31" s="443"/>
      <c r="N31" s="721"/>
      <c r="O31" s="730"/>
      <c r="P31" s="716"/>
      <c r="Q31" s="445"/>
    </row>
    <row r="32" spans="1:17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165692.08000000822</v>
      </c>
      <c r="H32" s="460">
        <f>G32+'11'!H32</f>
        <v>2094882.8700000059</v>
      </c>
      <c r="I32" s="509"/>
      <c r="J32" s="552">
        <f>H32/DAY(B2)</f>
        <v>174573.5725000005</v>
      </c>
      <c r="K32" s="373"/>
      <c r="L32" s="443"/>
      <c r="N32" s="721"/>
      <c r="O32" s="730"/>
      <c r="P32" s="716"/>
      <c r="Q32" s="445"/>
    </row>
    <row r="33" spans="1:16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721"/>
      <c r="O33" s="730"/>
      <c r="P33" s="716"/>
    </row>
    <row r="34" spans="1:16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30"/>
      <c r="P34" s="716"/>
    </row>
    <row r="35" spans="1:16">
      <c r="A35" s="578" t="s">
        <v>163</v>
      </c>
      <c r="B35" s="579"/>
      <c r="C35" s="579"/>
      <c r="D35" s="523" t="s">
        <v>131</v>
      </c>
      <c r="E35" s="510">
        <f>'11'!F35</f>
        <v>909592.23</v>
      </c>
      <c r="F35" s="510">
        <v>911455.67</v>
      </c>
      <c r="G35" s="473">
        <f t="shared" ref="G35:G46" si="3">F35-E35</f>
        <v>1863.4400000000605</v>
      </c>
      <c r="H35" s="460">
        <f>G35+'11'!H35</f>
        <v>24996.670000000042</v>
      </c>
      <c r="I35" s="455"/>
      <c r="J35" s="552">
        <f>H35/DAY(B2)</f>
        <v>2083.055833333337</v>
      </c>
      <c r="K35" s="428"/>
      <c r="L35" s="377"/>
      <c r="N35" s="721"/>
      <c r="O35" s="730"/>
      <c r="P35" s="716"/>
    </row>
    <row r="36" spans="1:16">
      <c r="A36" s="578" t="s">
        <v>164</v>
      </c>
      <c r="B36" s="579"/>
      <c r="C36" s="579"/>
      <c r="D36" s="523" t="s">
        <v>131</v>
      </c>
      <c r="E36" s="510">
        <f>'11'!F36</f>
        <v>347065</v>
      </c>
      <c r="F36" s="510">
        <v>347065</v>
      </c>
      <c r="G36" s="473">
        <f t="shared" si="3"/>
        <v>0</v>
      </c>
      <c r="H36" s="460">
        <f>G36+'11'!H36</f>
        <v>2457</v>
      </c>
      <c r="I36" s="455"/>
      <c r="J36" s="552">
        <f>H36/DAY(B2)</f>
        <v>204.75</v>
      </c>
      <c r="K36" s="428"/>
      <c r="L36" s="377"/>
      <c r="N36" s="722"/>
      <c r="O36" s="730"/>
      <c r="P36" s="716"/>
    </row>
    <row r="37" spans="1:16">
      <c r="A37" s="578" t="s">
        <v>165</v>
      </c>
      <c r="B37" s="579"/>
      <c r="C37" s="579"/>
      <c r="D37" s="523" t="s">
        <v>131</v>
      </c>
      <c r="E37" s="510">
        <f>'11'!F37</f>
        <v>108721.5</v>
      </c>
      <c r="F37" s="510">
        <v>109905.86</v>
      </c>
      <c r="G37" s="473">
        <f t="shared" si="3"/>
        <v>1184.3600000000006</v>
      </c>
      <c r="H37" s="460">
        <f>G37+'11'!H37</f>
        <v>14680.86</v>
      </c>
      <c r="I37" s="455"/>
      <c r="J37" s="552">
        <f>H37/DAY(B2)</f>
        <v>1223.405</v>
      </c>
      <c r="K37" s="428"/>
      <c r="L37" s="377"/>
      <c r="N37" s="722"/>
      <c r="O37" s="730"/>
      <c r="P37" s="716"/>
    </row>
    <row r="38" spans="1:16">
      <c r="A38" s="578" t="s">
        <v>166</v>
      </c>
      <c r="B38" s="579"/>
      <c r="C38" s="579"/>
      <c r="D38" s="523" t="s">
        <v>131</v>
      </c>
      <c r="E38" s="510">
        <f>'11'!F38</f>
        <v>132863.37</v>
      </c>
      <c r="F38" s="469">
        <v>134083.64000000001</v>
      </c>
      <c r="G38" s="473">
        <f t="shared" si="3"/>
        <v>1220.2700000000186</v>
      </c>
      <c r="H38" s="460">
        <f>G38+'11'!H38</f>
        <v>14487.640000000014</v>
      </c>
      <c r="I38" s="455"/>
      <c r="J38" s="552">
        <f>H38/DAY(B2)</f>
        <v>1207.3033333333344</v>
      </c>
      <c r="K38" s="428"/>
      <c r="L38" s="377"/>
      <c r="N38" s="721"/>
      <c r="O38" s="730"/>
      <c r="P38" s="716"/>
    </row>
    <row r="39" spans="1:16">
      <c r="A39" s="578" t="s">
        <v>167</v>
      </c>
      <c r="B39" s="579"/>
      <c r="C39" s="579"/>
      <c r="D39" s="523" t="s">
        <v>131</v>
      </c>
      <c r="E39" s="510">
        <f>'11'!F39</f>
        <v>265908.17</v>
      </c>
      <c r="F39" s="510">
        <v>267578.40999999997</v>
      </c>
      <c r="G39" s="473">
        <f t="shared" si="3"/>
        <v>1670.2399999999907</v>
      </c>
      <c r="H39" s="460">
        <f>G39+'11'!H39</f>
        <v>20925.409999999974</v>
      </c>
      <c r="I39" s="455"/>
      <c r="J39" s="552">
        <f>H39/DAY(B2)</f>
        <v>1743.7841666666645</v>
      </c>
      <c r="K39" s="428"/>
      <c r="L39" s="377"/>
      <c r="N39" s="721"/>
      <c r="O39" s="730"/>
      <c r="P39" s="716"/>
    </row>
    <row r="40" spans="1:16">
      <c r="A40" s="599" t="s">
        <v>168</v>
      </c>
      <c r="B40" s="600"/>
      <c r="C40" s="600"/>
      <c r="D40" s="523" t="s">
        <v>131</v>
      </c>
      <c r="E40" s="510">
        <f>'11'!F40</f>
        <v>86.47</v>
      </c>
      <c r="F40" s="510">
        <v>150.74</v>
      </c>
      <c r="G40" s="473">
        <f t="shared" si="3"/>
        <v>64.27000000000001</v>
      </c>
      <c r="H40" s="460">
        <f>G40+'11'!H40</f>
        <v>150.51</v>
      </c>
      <c r="I40" s="455"/>
      <c r="J40" s="552">
        <f>H40/DAY(B2)</f>
        <v>12.542499999999999</v>
      </c>
      <c r="K40" s="429"/>
      <c r="L40" s="377"/>
      <c r="N40" s="721"/>
      <c r="O40" s="730"/>
      <c r="P40" s="716"/>
    </row>
    <row r="41" spans="1:16">
      <c r="A41" s="578" t="s">
        <v>169</v>
      </c>
      <c r="B41" s="579"/>
      <c r="C41" s="579"/>
      <c r="D41" s="523" t="s">
        <v>131</v>
      </c>
      <c r="E41" s="510">
        <f>'11'!F41</f>
        <v>234819.03</v>
      </c>
      <c r="F41" s="510">
        <v>239196.55</v>
      </c>
      <c r="G41" s="473">
        <f>F41-E41</f>
        <v>4377.5199999999895</v>
      </c>
      <c r="H41" s="460">
        <f>G41+'11'!H41</f>
        <v>57668.549999999988</v>
      </c>
      <c r="I41" s="455"/>
      <c r="J41" s="552">
        <f>H41/DAY(B2)</f>
        <v>4805.7124999999987</v>
      </c>
      <c r="K41" s="428"/>
      <c r="L41" s="377"/>
      <c r="N41" s="721"/>
      <c r="O41" s="730"/>
      <c r="P41" s="716"/>
    </row>
    <row r="42" spans="1:16">
      <c r="A42" s="578" t="s">
        <v>170</v>
      </c>
      <c r="B42" s="579"/>
      <c r="C42" s="579"/>
      <c r="D42" s="523" t="s">
        <v>131</v>
      </c>
      <c r="E42" s="510">
        <f>'11'!F42</f>
        <v>59200.08</v>
      </c>
      <c r="F42" s="510">
        <v>59200.08</v>
      </c>
      <c r="G42" s="473">
        <f t="shared" si="3"/>
        <v>0</v>
      </c>
      <c r="H42" s="460">
        <f>G42+'11'!H42</f>
        <v>8.000000000174623E-2</v>
      </c>
      <c r="I42" s="455"/>
      <c r="J42" s="552">
        <f>H42/DAY(B2)</f>
        <v>6.6666666668121861E-3</v>
      </c>
      <c r="K42" s="428"/>
      <c r="L42" s="377"/>
      <c r="N42" s="721"/>
      <c r="O42" s="730"/>
      <c r="P42" s="716"/>
    </row>
    <row r="43" spans="1:16">
      <c r="A43" s="578" t="s">
        <v>171</v>
      </c>
      <c r="B43" s="579"/>
      <c r="C43" s="579"/>
      <c r="D43" s="523" t="s">
        <v>131</v>
      </c>
      <c r="E43" s="510">
        <f>'11'!F43</f>
        <v>998445.19</v>
      </c>
      <c r="F43" s="510">
        <v>1000539.3</v>
      </c>
      <c r="G43" s="473">
        <f t="shared" si="3"/>
        <v>2094.1100000001024</v>
      </c>
      <c r="H43" s="460">
        <f>G43+'11'!H43</f>
        <v>26581.300000000047</v>
      </c>
      <c r="I43" s="455"/>
      <c r="J43" s="552">
        <f>H43/DAY(B2)</f>
        <v>2215.1083333333372</v>
      </c>
      <c r="K43" s="428"/>
      <c r="L43" s="377"/>
      <c r="N43" s="721"/>
      <c r="O43" s="730"/>
      <c r="P43" s="716"/>
    </row>
    <row r="44" spans="1:16">
      <c r="A44" s="578" t="s">
        <v>172</v>
      </c>
      <c r="B44" s="579"/>
      <c r="C44" s="579"/>
      <c r="D44" s="523" t="s">
        <v>131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1"/>
      <c r="O44" s="730"/>
      <c r="P44" s="716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21"/>
      <c r="O45" s="730"/>
      <c r="P45" s="716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21"/>
      <c r="O46" s="730"/>
      <c r="P46" s="716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12474.210000000163</v>
      </c>
      <c r="H47" s="460">
        <f>G47+'11'!H47</f>
        <v>161948.51000000007</v>
      </c>
      <c r="I47" s="455"/>
      <c r="J47" s="552">
        <f>H47/DAY(B2)</f>
        <v>13495.709166666673</v>
      </c>
      <c r="K47" s="428"/>
      <c r="L47" s="377"/>
      <c r="N47" s="721"/>
      <c r="O47" s="730"/>
      <c r="P47" s="716"/>
    </row>
    <row r="48" spans="1:16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30"/>
      <c r="P48" s="716"/>
    </row>
    <row r="49" spans="1:16">
      <c r="A49" s="578" t="s">
        <v>163</v>
      </c>
      <c r="B49" s="601"/>
      <c r="C49" s="601"/>
      <c r="D49" s="523" t="s">
        <v>131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</v>
      </c>
      <c r="I49" s="455"/>
      <c r="J49" s="552">
        <f>H49/DAY(B2)</f>
        <v>0</v>
      </c>
      <c r="K49" s="428"/>
      <c r="L49" s="377"/>
      <c r="N49" s="721"/>
      <c r="O49" s="730"/>
      <c r="P49" s="716"/>
    </row>
    <row r="50" spans="1:16">
      <c r="A50" s="578" t="s">
        <v>177</v>
      </c>
      <c r="B50" s="601"/>
      <c r="C50" s="601"/>
      <c r="D50" s="523" t="s">
        <v>131</v>
      </c>
      <c r="E50" s="510">
        <f>'11'!F50</f>
        <v>485107.95</v>
      </c>
      <c r="F50" s="510">
        <v>485922.35</v>
      </c>
      <c r="G50" s="473">
        <f t="shared" si="4"/>
        <v>814.39999999996508</v>
      </c>
      <c r="H50" s="460">
        <f>G50+'11'!H50</f>
        <v>10447.349999999977</v>
      </c>
      <c r="I50" s="455"/>
      <c r="J50" s="552">
        <f>H50/DAY(B2)</f>
        <v>870.61249999999802</v>
      </c>
      <c r="K50" s="428"/>
      <c r="L50" s="377"/>
      <c r="N50" s="721"/>
      <c r="O50" s="730"/>
      <c r="P50" s="716"/>
    </row>
    <row r="51" spans="1:16">
      <c r="A51" s="578" t="s">
        <v>165</v>
      </c>
      <c r="B51" s="601"/>
      <c r="C51" s="601"/>
      <c r="D51" s="523" t="s">
        <v>131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21"/>
      <c r="O51" s="730"/>
      <c r="P51" s="716"/>
    </row>
    <row r="52" spans="1:16">
      <c r="A52" s="578" t="s">
        <v>178</v>
      </c>
      <c r="B52" s="601"/>
      <c r="C52" s="601"/>
      <c r="D52" s="523" t="s">
        <v>131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30"/>
      <c r="P52" s="716"/>
    </row>
    <row r="53" spans="1:16">
      <c r="A53" s="578" t="s">
        <v>167</v>
      </c>
      <c r="B53" s="601"/>
      <c r="C53" s="601"/>
      <c r="D53" s="523" t="s">
        <v>131</v>
      </c>
      <c r="E53" s="510">
        <f>'11'!F53</f>
        <v>422176.23</v>
      </c>
      <c r="F53" s="510">
        <v>422682.71</v>
      </c>
      <c r="G53" s="473">
        <f t="shared" si="4"/>
        <v>506.48000000003958</v>
      </c>
      <c r="H53" s="460">
        <f>G53+'11'!H53</f>
        <v>5848.710000000021</v>
      </c>
      <c r="I53" s="455"/>
      <c r="J53" s="552">
        <f>H53/DAY(B2)</f>
        <v>487.39250000000175</v>
      </c>
      <c r="K53" s="428"/>
      <c r="L53" s="377"/>
      <c r="N53" s="721"/>
      <c r="O53" s="730"/>
      <c r="P53" s="716"/>
    </row>
    <row r="54" spans="1:16">
      <c r="A54" s="578" t="s">
        <v>179</v>
      </c>
      <c r="B54" s="601"/>
      <c r="C54" s="601"/>
      <c r="D54" s="523" t="s">
        <v>131</v>
      </c>
      <c r="E54" s="510">
        <f>'11'!F54</f>
        <v>12177.65</v>
      </c>
      <c r="F54" s="510">
        <v>12251.05</v>
      </c>
      <c r="G54" s="473">
        <f t="shared" si="4"/>
        <v>73.399999999999636</v>
      </c>
      <c r="H54" s="460">
        <f>G54+'11'!H54</f>
        <v>4489.0499999999993</v>
      </c>
      <c r="I54" s="455"/>
      <c r="J54" s="552">
        <f>H54/DAY(B2)</f>
        <v>374.08749999999992</v>
      </c>
      <c r="K54" s="428"/>
      <c r="L54" s="377"/>
      <c r="N54" s="721"/>
      <c r="O54" s="730"/>
      <c r="P54" s="716"/>
    </row>
    <row r="55" spans="1:16">
      <c r="A55" s="578" t="s">
        <v>180</v>
      </c>
      <c r="B55" s="601"/>
      <c r="C55" s="601"/>
      <c r="D55" s="523" t="s">
        <v>131</v>
      </c>
      <c r="E55" s="510">
        <v>0</v>
      </c>
      <c r="F55" s="656">
        <v>615.96</v>
      </c>
      <c r="G55" s="655">
        <f t="shared" si="4"/>
        <v>615.96</v>
      </c>
      <c r="H55" s="708">
        <f>G55+'11'!H55</f>
        <v>615.96</v>
      </c>
      <c r="I55" s="709"/>
      <c r="J55" s="710">
        <f>H55/DAY(B2)</f>
        <v>51.330000000000005</v>
      </c>
      <c r="K55" s="428"/>
      <c r="L55" s="377"/>
      <c r="N55" s="721"/>
      <c r="O55" s="730"/>
      <c r="P55" s="716"/>
    </row>
    <row r="56" spans="1:16">
      <c r="A56" s="578" t="s">
        <v>181</v>
      </c>
      <c r="B56" s="601"/>
      <c r="C56" s="601"/>
      <c r="D56" s="523" t="s">
        <v>182</v>
      </c>
      <c r="E56" s="510">
        <f>'11'!F56</f>
        <v>589405.23</v>
      </c>
      <c r="F56" s="656">
        <v>589414.75</v>
      </c>
      <c r="G56" s="473">
        <f t="shared" si="4"/>
        <v>9.5200000000186265</v>
      </c>
      <c r="H56" s="460">
        <f>G56+'11'!H56</f>
        <v>126.39000000001397</v>
      </c>
      <c r="I56" s="455"/>
      <c r="J56" s="552">
        <f>H56/DAY(B2)</f>
        <v>10.532500000001164</v>
      </c>
      <c r="K56" s="427"/>
      <c r="L56" s="377"/>
      <c r="N56" s="721"/>
      <c r="O56" s="730"/>
      <c r="P56" s="716"/>
    </row>
    <row r="57" spans="1:16">
      <c r="A57" s="578" t="s">
        <v>171</v>
      </c>
      <c r="B57" s="601"/>
      <c r="C57" s="601"/>
      <c r="D57" s="523" t="s">
        <v>131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21"/>
      <c r="O57" s="730"/>
      <c r="P57" s="716"/>
    </row>
    <row r="58" spans="1:16">
      <c r="A58" s="578" t="s">
        <v>183</v>
      </c>
      <c r="B58" s="601"/>
      <c r="C58" s="601"/>
      <c r="D58" s="523" t="s">
        <v>131</v>
      </c>
      <c r="E58" s="510">
        <f>'11'!F58</f>
        <v>47522.25</v>
      </c>
      <c r="F58" s="656">
        <v>47619.96</v>
      </c>
      <c r="G58" s="473">
        <f t="shared" si="4"/>
        <v>97.709999999999127</v>
      </c>
      <c r="H58" s="460">
        <f>G58+'11'!H58</f>
        <v>902.95999999999913</v>
      </c>
      <c r="I58" s="455"/>
      <c r="J58" s="552">
        <f>H58/DAY(B2)</f>
        <v>75.246666666666599</v>
      </c>
      <c r="K58" s="428"/>
      <c r="L58" s="377"/>
      <c r="N58" s="721"/>
      <c r="O58" s="730"/>
      <c r="P58" s="716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2117.4700000000221</v>
      </c>
      <c r="H59" s="460">
        <f>G59+'11'!H59</f>
        <v>22430.359999999957</v>
      </c>
      <c r="I59" s="455">
        <f>G7-G60</f>
        <v>577.59999999981665</v>
      </c>
      <c r="J59" s="552">
        <f>H59/DAY(B2)</f>
        <v>1869.1966666666631</v>
      </c>
      <c r="K59" s="428"/>
      <c r="L59" s="377"/>
      <c r="N59" s="721"/>
      <c r="O59" s="730"/>
      <c r="P59" s="716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14591.680000000186</v>
      </c>
      <c r="H60" s="460">
        <f>G60+'11'!H60</f>
        <v>185962.76000000004</v>
      </c>
      <c r="I60" s="455">
        <f>G13-G60</f>
        <v>79.019999999767606</v>
      </c>
      <c r="J60" s="552">
        <f>H60/DAY(B2)</f>
        <v>15496.896666666669</v>
      </c>
      <c r="K60" s="428"/>
      <c r="L60" s="377"/>
      <c r="N60" s="721"/>
      <c r="O60" s="730"/>
      <c r="P60" s="716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30"/>
      <c r="P61" s="716"/>
    </row>
    <row r="62" spans="1:16">
      <c r="A62" s="603" t="s">
        <v>98</v>
      </c>
      <c r="B62" s="604"/>
      <c r="C62" s="604"/>
      <c r="D62" s="511" t="s">
        <v>186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21"/>
      <c r="O62" s="730"/>
      <c r="P62" s="716"/>
    </row>
    <row r="63" spans="1:16">
      <c r="A63" s="603" t="s">
        <v>187</v>
      </c>
      <c r="B63" s="604"/>
      <c r="C63" s="604"/>
      <c r="D63" s="511" t="s">
        <v>186</v>
      </c>
      <c r="E63" s="514">
        <f>'11'!F63</f>
        <v>2400.8000000000002</v>
      </c>
      <c r="F63" s="514">
        <v>2404.58</v>
      </c>
      <c r="G63" s="473">
        <f t="shared" si="5"/>
        <v>3.7799999999997453</v>
      </c>
      <c r="H63" s="460">
        <f>G63+'11'!H63</f>
        <v>45.579999999999927</v>
      </c>
      <c r="I63" s="515"/>
      <c r="J63" s="552">
        <f>H63/DAY(B2)</f>
        <v>3.7983333333333271</v>
      </c>
      <c r="K63" s="428"/>
      <c r="L63" s="377"/>
      <c r="N63" s="721"/>
      <c r="O63" s="730"/>
      <c r="P63" s="716"/>
    </row>
    <row r="64" spans="1:16" ht="27.75">
      <c r="A64" s="1530" t="s">
        <v>99</v>
      </c>
      <c r="B64" s="1531"/>
      <c r="C64" s="1532"/>
      <c r="D64" s="523" t="s">
        <v>186</v>
      </c>
      <c r="E64" s="514">
        <f>'11'!F64</f>
        <v>155566.76999999999</v>
      </c>
      <c r="F64" s="478">
        <v>155788.35</v>
      </c>
      <c r="G64" s="473">
        <f t="shared" si="5"/>
        <v>221.5800000000163</v>
      </c>
      <c r="H64" s="460">
        <f>G64+'11'!H64</f>
        <v>2489.3500000000058</v>
      </c>
      <c r="I64" s="480"/>
      <c r="J64" s="552">
        <f>H64/DAY(B2)</f>
        <v>207.44583333333381</v>
      </c>
      <c r="K64" s="428"/>
      <c r="L64" s="377"/>
      <c r="N64" s="721"/>
      <c r="O64" s="730"/>
      <c r="P64" s="716"/>
    </row>
    <row r="65" spans="1:16" ht="27.75">
      <c r="A65" s="1530" t="s">
        <v>100</v>
      </c>
      <c r="B65" s="1531"/>
      <c r="C65" s="1532"/>
      <c r="D65" s="523" t="s">
        <v>186</v>
      </c>
      <c r="E65" s="514">
        <f>'11'!F65</f>
        <v>156609.13</v>
      </c>
      <c r="F65" s="654">
        <v>156785.48000000001</v>
      </c>
      <c r="G65" s="473">
        <f t="shared" si="5"/>
        <v>176.35000000000582</v>
      </c>
      <c r="H65" s="460">
        <f>G65+'11'!H65</f>
        <v>2186.4800000000105</v>
      </c>
      <c r="I65" s="489"/>
      <c r="J65" s="552">
        <f>H65/DAY(B2)</f>
        <v>182.20666666666753</v>
      </c>
      <c r="K65" s="428"/>
      <c r="L65" s="377"/>
      <c r="N65" s="721"/>
      <c r="O65" s="730"/>
      <c r="P65" s="716"/>
    </row>
    <row r="66" spans="1:16" ht="27.75">
      <c r="A66" s="1530" t="s">
        <v>101</v>
      </c>
      <c r="B66" s="1531"/>
      <c r="C66" s="1532"/>
      <c r="D66" s="523" t="s">
        <v>186</v>
      </c>
      <c r="E66" s="514">
        <f>'11'!F66</f>
        <v>51430.79</v>
      </c>
      <c r="F66" s="478">
        <v>51678.48</v>
      </c>
      <c r="G66" s="473">
        <f t="shared" si="5"/>
        <v>247.69000000000233</v>
      </c>
      <c r="H66" s="460">
        <f>G66+'11'!H66</f>
        <v>3107.4800000000032</v>
      </c>
      <c r="I66" s="480"/>
      <c r="J66" s="552">
        <f>H66/DAY(B2)</f>
        <v>258.95666666666693</v>
      </c>
      <c r="K66" s="428"/>
      <c r="L66" s="377"/>
      <c r="N66" s="721"/>
      <c r="O66" s="730"/>
      <c r="P66" s="716"/>
    </row>
    <row r="67" spans="1:16" ht="27.75">
      <c r="A67" s="1530" t="s">
        <v>102</v>
      </c>
      <c r="B67" s="1531"/>
      <c r="C67" s="1532"/>
      <c r="D67" s="523" t="s">
        <v>186</v>
      </c>
      <c r="E67" s="514">
        <f>'11'!F67</f>
        <v>244943.95</v>
      </c>
      <c r="F67" s="478">
        <v>245062.55</v>
      </c>
      <c r="G67" s="473">
        <f t="shared" si="5"/>
        <v>118.59999999997672</v>
      </c>
      <c r="H67" s="460">
        <f>G67+'11'!H67</f>
        <v>1888.5499999999884</v>
      </c>
      <c r="I67" s="489"/>
      <c r="J67" s="552">
        <f>H67/DAY(B2)</f>
        <v>157.3791666666657</v>
      </c>
      <c r="K67" s="429"/>
      <c r="L67" s="377"/>
      <c r="N67" s="721"/>
      <c r="O67" s="730"/>
      <c r="P67" s="716"/>
    </row>
    <row r="68" spans="1:16" ht="27.75">
      <c r="A68" s="1530" t="s">
        <v>103</v>
      </c>
      <c r="B68" s="1531"/>
      <c r="C68" s="1532"/>
      <c r="D68" s="523" t="s">
        <v>186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21"/>
      <c r="O68" s="730"/>
      <c r="P68" s="716"/>
    </row>
    <row r="69" spans="1:16" ht="27.75">
      <c r="A69" s="1530" t="s">
        <v>104</v>
      </c>
      <c r="B69" s="1531"/>
      <c r="C69" s="1532"/>
      <c r="D69" s="523" t="s">
        <v>186</v>
      </c>
      <c r="E69" s="514">
        <f>'11'!F69</f>
        <v>79870.61</v>
      </c>
      <c r="F69" s="478">
        <v>79913.820000000007</v>
      </c>
      <c r="G69" s="473">
        <f t="shared" si="5"/>
        <v>43.210000000006403</v>
      </c>
      <c r="H69" s="460">
        <f>G69+'11'!H69</f>
        <v>919.82000000000698</v>
      </c>
      <c r="I69" s="516"/>
      <c r="J69" s="552">
        <f>H69/DAY(B2)</f>
        <v>76.651666666667253</v>
      </c>
      <c r="K69" s="431"/>
      <c r="L69" s="377"/>
      <c r="N69" s="721"/>
      <c r="O69" s="730"/>
      <c r="P69" s="716"/>
    </row>
    <row r="70" spans="1:16" ht="27.75">
      <c r="A70" s="1536" t="s">
        <v>188</v>
      </c>
      <c r="B70" s="1537"/>
      <c r="C70" s="1538"/>
      <c r="D70" s="523" t="s">
        <v>186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1"/>
      <c r="O70" s="730"/>
      <c r="P70" s="716"/>
    </row>
    <row r="71" spans="1:16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721"/>
      <c r="O71" s="730"/>
      <c r="P71" s="716"/>
    </row>
    <row r="72" spans="1:16" ht="27.75">
      <c r="A72" s="1530" t="s">
        <v>190</v>
      </c>
      <c r="B72" s="1531"/>
      <c r="C72" s="1532"/>
      <c r="D72" s="523" t="s">
        <v>186</v>
      </c>
      <c r="E72" s="519">
        <f>'11'!F72</f>
        <v>855635</v>
      </c>
      <c r="F72" s="657">
        <v>855644</v>
      </c>
      <c r="G72" s="473">
        <f t="shared" ref="G72:G84" si="6">F72-E72</f>
        <v>9</v>
      </c>
      <c r="H72" s="460">
        <f>G72+'11'!H72</f>
        <v>183</v>
      </c>
      <c r="I72" s="480"/>
      <c r="J72" s="552">
        <f>H72/DAY(B2)</f>
        <v>15.25</v>
      </c>
      <c r="K72" s="431"/>
      <c r="L72" s="377"/>
      <c r="N72" s="721"/>
      <c r="O72" s="730"/>
      <c r="P72" s="716"/>
    </row>
    <row r="73" spans="1:16" ht="27.75">
      <c r="A73" s="1530" t="s">
        <v>191</v>
      </c>
      <c r="B73" s="1531"/>
      <c r="C73" s="1532"/>
      <c r="D73" s="523" t="s">
        <v>186</v>
      </c>
      <c r="E73" s="519">
        <f>'11'!F73</f>
        <v>885888</v>
      </c>
      <c r="F73" s="658">
        <v>885889</v>
      </c>
      <c r="G73" s="655">
        <f t="shared" si="6"/>
        <v>1</v>
      </c>
      <c r="H73" s="460">
        <f>G73+'11'!H73</f>
        <v>13</v>
      </c>
      <c r="I73" s="480"/>
      <c r="J73" s="552">
        <f>H73/DAY(B2)</f>
        <v>1.0833333333333333</v>
      </c>
      <c r="K73" s="430"/>
      <c r="L73" s="377"/>
      <c r="N73" s="721"/>
      <c r="O73" s="730"/>
      <c r="P73" s="716"/>
    </row>
    <row r="74" spans="1:16" ht="27.75">
      <c r="A74" s="1530" t="s">
        <v>192</v>
      </c>
      <c r="B74" s="1531"/>
      <c r="C74" s="1532"/>
      <c r="D74" s="523" t="s">
        <v>186</v>
      </c>
      <c r="E74" s="519">
        <f>'11'!F74</f>
        <v>2445.75</v>
      </c>
      <c r="F74" s="658">
        <v>2455.73</v>
      </c>
      <c r="G74" s="473">
        <f t="shared" si="6"/>
        <v>9.9800000000000182</v>
      </c>
      <c r="H74" s="460">
        <f>G74+'11'!H74</f>
        <v>176.73000000000002</v>
      </c>
      <c r="I74" s="480"/>
      <c r="J74" s="552">
        <f>H74/DAY(B2)</f>
        <v>14.727500000000001</v>
      </c>
      <c r="K74" s="431"/>
      <c r="L74" s="377"/>
      <c r="N74" s="721"/>
      <c r="O74" s="730"/>
      <c r="P74" s="716"/>
    </row>
    <row r="75" spans="1:16" ht="27.75">
      <c r="A75" s="1527" t="s">
        <v>193</v>
      </c>
      <c r="B75" s="1528"/>
      <c r="C75" s="1529"/>
      <c r="D75" s="523" t="s">
        <v>186</v>
      </c>
      <c r="E75" s="519">
        <f>'11'!F75</f>
        <v>11561.74</v>
      </c>
      <c r="F75" s="658">
        <v>11612.47</v>
      </c>
      <c r="G75" s="473">
        <f t="shared" si="6"/>
        <v>50.729999999999563</v>
      </c>
      <c r="H75" s="460">
        <f>G75+'11'!H75</f>
        <v>642.46999999999935</v>
      </c>
      <c r="I75" s="480"/>
      <c r="J75" s="552">
        <f>H75/DAY(B2)</f>
        <v>53.53916666666661</v>
      </c>
      <c r="K75" s="430"/>
      <c r="L75" s="377"/>
      <c r="N75" s="721"/>
      <c r="O75" s="730"/>
      <c r="P75" s="716"/>
    </row>
    <row r="76" spans="1:16" ht="27.75">
      <c r="A76" s="1527" t="s">
        <v>194</v>
      </c>
      <c r="B76" s="1528"/>
      <c r="C76" s="1529"/>
      <c r="D76" s="523" t="s">
        <v>186</v>
      </c>
      <c r="E76" s="519">
        <f>'11'!F76</f>
        <v>6308.05</v>
      </c>
      <c r="F76" s="658">
        <v>6359.46</v>
      </c>
      <c r="G76" s="473">
        <f t="shared" si="6"/>
        <v>51.409999999999854</v>
      </c>
      <c r="H76" s="460">
        <f>G76+'11'!H76</f>
        <v>650.46</v>
      </c>
      <c r="I76" s="505"/>
      <c r="J76" s="552">
        <f>H76/DAY(B2)</f>
        <v>54.205000000000005</v>
      </c>
      <c r="K76" s="430"/>
      <c r="L76" s="377"/>
      <c r="N76" s="721"/>
      <c r="O76" s="730"/>
      <c r="P76" s="716"/>
    </row>
    <row r="77" spans="1:16" ht="27.75">
      <c r="A77" s="1530" t="s">
        <v>195</v>
      </c>
      <c r="B77" s="1531"/>
      <c r="C77" s="1532"/>
      <c r="D77" s="523" t="s">
        <v>186</v>
      </c>
      <c r="E77" s="519">
        <f>'11'!F77</f>
        <v>702101</v>
      </c>
      <c r="F77" s="658">
        <v>702150</v>
      </c>
      <c r="G77" s="655">
        <f t="shared" si="6"/>
        <v>49</v>
      </c>
      <c r="H77" s="460">
        <f>G77+'11'!H77</f>
        <v>588</v>
      </c>
      <c r="I77" s="505"/>
      <c r="J77" s="552">
        <f>H77/DAY(B2)</f>
        <v>49</v>
      </c>
      <c r="K77" s="430"/>
      <c r="L77" s="377"/>
      <c r="N77" s="721"/>
      <c r="O77" s="730"/>
      <c r="P77" s="716"/>
    </row>
    <row r="78" spans="1:16" ht="27.75">
      <c r="A78" s="1146" t="s">
        <v>196</v>
      </c>
      <c r="B78" s="1119"/>
      <c r="C78" s="1119"/>
      <c r="D78" s="523" t="s">
        <v>186</v>
      </c>
      <c r="E78" s="519">
        <f>'11'!F78</f>
        <v>670836</v>
      </c>
      <c r="F78" s="659">
        <v>670901</v>
      </c>
      <c r="G78" s="473">
        <f t="shared" si="6"/>
        <v>65</v>
      </c>
      <c r="H78" s="460">
        <f>G78+'11'!H78</f>
        <v>876</v>
      </c>
      <c r="I78" s="505"/>
      <c r="J78" s="552">
        <f>H78/DAY(B2)</f>
        <v>73</v>
      </c>
      <c r="K78" s="430"/>
      <c r="L78" s="377"/>
      <c r="N78" s="721"/>
      <c r="O78" s="730"/>
      <c r="P78" s="716"/>
    </row>
    <row r="79" spans="1:16" ht="27.75">
      <c r="A79" s="1527" t="s">
        <v>92</v>
      </c>
      <c r="B79" s="1528"/>
      <c r="C79" s="1529"/>
      <c r="D79" s="524" t="s">
        <v>186</v>
      </c>
      <c r="E79" s="519">
        <f>'11'!F79</f>
        <v>828451</v>
      </c>
      <c r="F79" s="659">
        <v>828563</v>
      </c>
      <c r="G79" s="473">
        <f t="shared" si="6"/>
        <v>112</v>
      </c>
      <c r="H79" s="460">
        <f>G79+'11'!H79</f>
        <v>1779</v>
      </c>
      <c r="I79" s="505"/>
      <c r="J79" s="552">
        <f>H79/DAY(B2)</f>
        <v>148.25</v>
      </c>
      <c r="K79" s="430"/>
      <c r="L79" s="377"/>
      <c r="N79" s="721"/>
      <c r="O79" s="730"/>
      <c r="P79" s="716"/>
    </row>
    <row r="80" spans="1:16" ht="27.75">
      <c r="A80" s="1527" t="s">
        <v>197</v>
      </c>
      <c r="B80" s="1528"/>
      <c r="C80" s="1529"/>
      <c r="D80" s="524" t="s">
        <v>186</v>
      </c>
      <c r="E80" s="519">
        <f>'11'!F80</f>
        <v>520724.92</v>
      </c>
      <c r="F80" s="658">
        <v>521040.04</v>
      </c>
      <c r="G80" s="473">
        <f t="shared" si="6"/>
        <v>315.11999999999534</v>
      </c>
      <c r="H80" s="460">
        <f>G80+'11'!H80</f>
        <v>4302.039999999979</v>
      </c>
      <c r="I80" s="505"/>
      <c r="J80" s="552">
        <f>H80/DAY(B2)</f>
        <v>358.50333333333157</v>
      </c>
      <c r="K80" s="430"/>
      <c r="L80" s="377"/>
      <c r="N80" s="721"/>
      <c r="O80" s="730"/>
      <c r="P80" s="716"/>
    </row>
    <row r="81" spans="1:17" ht="27.75">
      <c r="A81" s="1527" t="s">
        <v>198</v>
      </c>
      <c r="B81" s="1528"/>
      <c r="C81" s="1529"/>
      <c r="D81" s="524" t="s">
        <v>186</v>
      </c>
      <c r="E81" s="519">
        <f>'11'!F81</f>
        <v>637293</v>
      </c>
      <c r="F81" s="658">
        <v>637367.96</v>
      </c>
      <c r="G81" s="473">
        <f t="shared" si="6"/>
        <v>74.959999999962747</v>
      </c>
      <c r="H81" s="460">
        <f>G81+'11'!H81</f>
        <v>889.95999999996275</v>
      </c>
      <c r="I81" s="505"/>
      <c r="J81" s="552">
        <f>H81/DAY(B2)</f>
        <v>74.163333333330229</v>
      </c>
      <c r="K81" s="430"/>
      <c r="L81" s="377"/>
      <c r="N81" s="721"/>
      <c r="O81" s="730"/>
      <c r="P81" s="716"/>
    </row>
    <row r="82" spans="1:17" ht="27.75">
      <c r="A82" s="1527" t="s">
        <v>93</v>
      </c>
      <c r="B82" s="1528"/>
      <c r="C82" s="1529"/>
      <c r="D82" s="485" t="s">
        <v>131</v>
      </c>
      <c r="E82" s="519">
        <f>'11'!F82</f>
        <v>107811</v>
      </c>
      <c r="F82" s="654">
        <v>107848.52</v>
      </c>
      <c r="G82" s="473">
        <f t="shared" si="6"/>
        <v>37.520000000004075</v>
      </c>
      <c r="H82" s="460">
        <f>G82+'11'!H82</f>
        <v>236.52000000000407</v>
      </c>
      <c r="I82" s="486"/>
      <c r="J82" s="552">
        <f>H82/DAY(B2)</f>
        <v>19.710000000000338</v>
      </c>
      <c r="K82" s="430"/>
      <c r="L82" s="377"/>
      <c r="N82" s="721"/>
      <c r="O82" s="730"/>
      <c r="P82" s="716"/>
    </row>
    <row r="83" spans="1:17" ht="27.75">
      <c r="A83" s="1527" t="s">
        <v>199</v>
      </c>
      <c r="B83" s="1528"/>
      <c r="C83" s="1529"/>
      <c r="D83" s="620" t="s">
        <v>131</v>
      </c>
      <c r="E83" s="519">
        <f>'11'!F83</f>
        <v>16969</v>
      </c>
      <c r="F83" s="511">
        <v>17191</v>
      </c>
      <c r="G83" s="473">
        <f t="shared" si="6"/>
        <v>222</v>
      </c>
      <c r="H83" s="460">
        <f>G83+'11'!H83</f>
        <v>2420</v>
      </c>
      <c r="I83" s="481"/>
      <c r="J83" s="552">
        <f>H83/DAY(B2)</f>
        <v>201.66666666666666</v>
      </c>
      <c r="K83" s="429"/>
      <c r="L83" s="377"/>
      <c r="N83" s="721"/>
      <c r="O83" s="730"/>
      <c r="P83" s="716"/>
    </row>
    <row r="84" spans="1:17">
      <c r="A84" s="1147" t="s">
        <v>200</v>
      </c>
      <c r="B84" s="571"/>
      <c r="C84" s="571"/>
      <c r="D84" s="478" t="s">
        <v>131</v>
      </c>
      <c r="E84" s="519">
        <f>'11'!F84</f>
        <v>488432</v>
      </c>
      <c r="F84" s="627">
        <v>488984</v>
      </c>
      <c r="G84" s="473">
        <f t="shared" si="6"/>
        <v>552</v>
      </c>
      <c r="H84" s="460">
        <f>G84+'11'!H84</f>
        <v>8851</v>
      </c>
      <c r="I84" s="481"/>
      <c r="J84" s="552">
        <f>H84/DAY(B2)</f>
        <v>737.58333333333337</v>
      </c>
      <c r="K84" s="380"/>
      <c r="L84" s="377"/>
      <c r="N84" s="721"/>
      <c r="O84" s="730"/>
      <c r="P84" s="716"/>
    </row>
    <row r="85" spans="1:17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1549.7199999999616</v>
      </c>
      <c r="H85" s="460">
        <f>G85+'11'!H85</f>
        <v>21608.179999999946</v>
      </c>
      <c r="I85" s="481"/>
      <c r="J85" s="552">
        <f>H85/DAY(B2)</f>
        <v>1800.6816666666621</v>
      </c>
      <c r="K85" s="380"/>
      <c r="L85" s="378"/>
      <c r="N85" s="721"/>
      <c r="O85" s="730"/>
      <c r="P85" s="716"/>
      <c r="Q85" s="738"/>
    </row>
    <row r="86" spans="1:17" s="738" customFormat="1">
      <c r="A86" s="733" t="s">
        <v>94</v>
      </c>
      <c r="B86" s="734"/>
      <c r="C86" s="734"/>
      <c r="D86" s="735" t="s">
        <v>182</v>
      </c>
      <c r="E86" s="627">
        <f>'11'!F86</f>
        <v>460208</v>
      </c>
      <c r="F86" s="650">
        <v>460238.84</v>
      </c>
      <c r="G86" s="708">
        <f t="shared" ref="G86:G91" si="7">F86-E86</f>
        <v>30.840000000025611</v>
      </c>
      <c r="H86" s="708">
        <f t="shared" ref="H86:H88" si="8">G86</f>
        <v>30.840000000025611</v>
      </c>
      <c r="I86" s="655"/>
      <c r="J86" s="710">
        <f>H86/DAY(B2)</f>
        <v>2.5700000000021341</v>
      </c>
      <c r="K86" s="736"/>
      <c r="L86" s="737"/>
      <c r="O86" s="716"/>
    </row>
    <row r="87" spans="1:17" s="738" customFormat="1">
      <c r="A87" s="733" t="s">
        <v>95</v>
      </c>
      <c r="B87" s="734"/>
      <c r="C87" s="734"/>
      <c r="D87" s="735" t="s">
        <v>182</v>
      </c>
      <c r="E87" s="627">
        <f>'11'!F87</f>
        <v>81069</v>
      </c>
      <c r="F87" s="650">
        <v>81080</v>
      </c>
      <c r="G87" s="708">
        <f t="shared" si="7"/>
        <v>11</v>
      </c>
      <c r="H87" s="708">
        <f t="shared" si="8"/>
        <v>11</v>
      </c>
      <c r="I87" s="655"/>
      <c r="J87" s="710">
        <f>H87/DAY(B2)</f>
        <v>0.91666666666666663</v>
      </c>
      <c r="K87" s="736"/>
      <c r="L87" s="737"/>
      <c r="O87" s="716"/>
    </row>
    <row r="88" spans="1:17" s="738" customFormat="1">
      <c r="A88" s="733" t="s">
        <v>96</v>
      </c>
      <c r="B88" s="734"/>
      <c r="C88" s="734"/>
      <c r="D88" s="735" t="s">
        <v>182</v>
      </c>
      <c r="E88" s="627">
        <f>'11'!F88</f>
        <v>152287</v>
      </c>
      <c r="F88" s="650">
        <v>152368.91</v>
      </c>
      <c r="G88" s="708">
        <f t="shared" si="7"/>
        <v>81.910000000003492</v>
      </c>
      <c r="H88" s="708">
        <f t="shared" si="8"/>
        <v>81.910000000003492</v>
      </c>
      <c r="I88" s="655"/>
      <c r="J88" s="710">
        <f>H88/DAY(B2)</f>
        <v>6.8258333333336241</v>
      </c>
      <c r="K88" s="736"/>
      <c r="L88" s="737"/>
      <c r="O88" s="716"/>
    </row>
    <row r="89" spans="1:17" s="738" customFormat="1">
      <c r="A89" s="733" t="s">
        <v>203</v>
      </c>
      <c r="B89" s="734"/>
      <c r="C89" s="734"/>
      <c r="D89" s="735" t="s">
        <v>182</v>
      </c>
      <c r="E89" s="627">
        <f>'11'!F89</f>
        <v>64905.2</v>
      </c>
      <c r="F89" s="650">
        <v>64911.6</v>
      </c>
      <c r="G89" s="708">
        <f t="shared" si="7"/>
        <v>6.4000000000014552</v>
      </c>
      <c r="H89" s="708">
        <f>G89</f>
        <v>6.4000000000014552</v>
      </c>
      <c r="I89" s="655"/>
      <c r="J89" s="710">
        <f>H89/DAY(B2)</f>
        <v>0.53333333333345456</v>
      </c>
      <c r="K89" s="736"/>
      <c r="L89" s="737"/>
      <c r="N89" s="780"/>
      <c r="O89" s="716"/>
    </row>
    <row r="90" spans="1:17" s="738" customFormat="1">
      <c r="A90" s="733" t="s">
        <v>203</v>
      </c>
      <c r="B90" s="734"/>
      <c r="C90" s="734"/>
      <c r="D90" s="735" t="s">
        <v>182</v>
      </c>
      <c r="E90" s="627">
        <f>'11'!F90</f>
        <v>3272</v>
      </c>
      <c r="F90" s="650">
        <v>3272.5</v>
      </c>
      <c r="G90" s="708">
        <f t="shared" si="7"/>
        <v>0.5</v>
      </c>
      <c r="H90" s="708">
        <f>G90</f>
        <v>0.5</v>
      </c>
      <c r="I90" s="655"/>
      <c r="J90" s="710">
        <f>H90/DAY(B2)</f>
        <v>4.1666666666666664E-2</v>
      </c>
      <c r="K90" s="736"/>
      <c r="L90" s="737"/>
      <c r="N90" s="780"/>
      <c r="O90" s="716"/>
    </row>
    <row r="91" spans="1:17" s="738" customFormat="1">
      <c r="A91" s="733" t="s">
        <v>361</v>
      </c>
      <c r="B91" s="734"/>
      <c r="C91" s="734"/>
      <c r="D91" s="735"/>
      <c r="E91" s="627">
        <f>'11'!F91</f>
        <v>27935.5</v>
      </c>
      <c r="F91" s="650">
        <v>27938.45</v>
      </c>
      <c r="G91" s="708">
        <f t="shared" si="7"/>
        <v>2.9500000000007276</v>
      </c>
      <c r="H91" s="708">
        <f>G91</f>
        <v>2.9500000000007276</v>
      </c>
      <c r="I91" s="655"/>
      <c r="J91" s="710"/>
      <c r="K91" s="736"/>
      <c r="L91" s="737"/>
      <c r="N91" s="780"/>
      <c r="O91" s="382"/>
    </row>
    <row r="92" spans="1:17" s="379" customFormat="1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30"/>
      <c r="P92" s="716"/>
      <c r="Q92" s="738"/>
    </row>
    <row r="93" spans="1:17" ht="27.75">
      <c r="A93" s="1551" t="s">
        <v>205</v>
      </c>
      <c r="B93" s="1552"/>
      <c r="C93" s="1553"/>
      <c r="D93" s="523" t="s">
        <v>143</v>
      </c>
      <c r="E93" s="484">
        <f>'11'!F93</f>
        <v>244814</v>
      </c>
      <c r="F93" s="478">
        <v>244834</v>
      </c>
      <c r="G93" s="473">
        <f t="shared" ref="G93:G94" si="9">F93-E93</f>
        <v>20</v>
      </c>
      <c r="H93" s="460">
        <f>G93+'11'!H93</f>
        <v>310</v>
      </c>
      <c r="I93" s="480"/>
      <c r="J93" s="552">
        <f>H93/DAY(B2)</f>
        <v>25.833333333333332</v>
      </c>
      <c r="K93" s="429"/>
      <c r="L93" s="377"/>
      <c r="N93" s="721"/>
      <c r="O93" s="730"/>
      <c r="P93" s="716"/>
    </row>
    <row r="94" spans="1:17" ht="27.75">
      <c r="A94" s="1551" t="s">
        <v>206</v>
      </c>
      <c r="B94" s="1552"/>
      <c r="C94" s="1553"/>
      <c r="D94" s="523" t="s">
        <v>143</v>
      </c>
      <c r="E94" s="484">
        <f>'11'!F94</f>
        <v>184393</v>
      </c>
      <c r="F94" s="478">
        <v>184512</v>
      </c>
      <c r="G94" s="473">
        <f t="shared" si="9"/>
        <v>119</v>
      </c>
      <c r="H94" s="460">
        <f>G94+'11'!H94</f>
        <v>981</v>
      </c>
      <c r="I94" s="480"/>
      <c r="J94" s="552">
        <f>H94/DAY(B2)</f>
        <v>81.75</v>
      </c>
      <c r="K94" s="380"/>
      <c r="L94" s="377"/>
      <c r="N94" s="721"/>
      <c r="O94" s="730"/>
      <c r="P94" s="716"/>
    </row>
    <row r="95" spans="1:17">
      <c r="A95" s="1579" t="s">
        <v>207</v>
      </c>
      <c r="B95" s="1580"/>
      <c r="C95" s="1581"/>
      <c r="D95" s="523"/>
      <c r="E95" s="484">
        <f>'11'!F95</f>
        <v>0</v>
      </c>
      <c r="F95" s="478"/>
      <c r="G95" s="473">
        <f>G93+G94</f>
        <v>139</v>
      </c>
      <c r="H95" s="460">
        <f>G95+'11'!H95</f>
        <v>1144</v>
      </c>
      <c r="I95" s="480"/>
      <c r="J95" s="552">
        <f>H95/DAY(B2)</f>
        <v>95.333333333333329</v>
      </c>
      <c r="K95" s="380"/>
      <c r="L95" s="377"/>
      <c r="N95" s="721"/>
      <c r="O95" s="730"/>
      <c r="P95" s="716"/>
    </row>
    <row r="96" spans="1:17" ht="27.75">
      <c r="A96" s="1551" t="s">
        <v>208</v>
      </c>
      <c r="B96" s="1552"/>
      <c r="C96" s="1553"/>
      <c r="D96" s="523" t="s">
        <v>143</v>
      </c>
      <c r="E96" s="484">
        <f>'11'!F96</f>
        <v>413392</v>
      </c>
      <c r="F96" s="478">
        <v>413427</v>
      </c>
      <c r="G96" s="473">
        <f t="shared" ref="G96:G101" si="10">F96-E96</f>
        <v>35</v>
      </c>
      <c r="H96" s="460">
        <f>G96+'11'!H96</f>
        <v>541</v>
      </c>
      <c r="I96" s="480"/>
      <c r="J96" s="552">
        <f>H96/DAY(B2)</f>
        <v>45.083333333333336</v>
      </c>
      <c r="K96" s="380"/>
      <c r="L96" s="377"/>
      <c r="N96" s="721"/>
      <c r="O96" s="730"/>
      <c r="P96" s="716"/>
    </row>
    <row r="97" spans="1:17" ht="27.75">
      <c r="A97" s="1143" t="s">
        <v>209</v>
      </c>
      <c r="B97" s="1144"/>
      <c r="C97" s="1144"/>
      <c r="D97" s="523" t="s">
        <v>143</v>
      </c>
      <c r="E97" s="484">
        <f>'11'!F97</f>
        <v>102451</v>
      </c>
      <c r="F97" s="478">
        <v>102457</v>
      </c>
      <c r="G97" s="473">
        <f t="shared" si="10"/>
        <v>6</v>
      </c>
      <c r="H97" s="460">
        <f>G97+'11'!H97</f>
        <v>114</v>
      </c>
      <c r="I97" s="480"/>
      <c r="J97" s="552">
        <f>H97/DAY(B2)</f>
        <v>9.5</v>
      </c>
      <c r="K97" s="427"/>
      <c r="L97" s="377"/>
      <c r="N97" s="721"/>
      <c r="O97" s="730"/>
      <c r="P97" s="716"/>
    </row>
    <row r="98" spans="1:17" ht="27.75">
      <c r="A98" s="1143" t="s">
        <v>210</v>
      </c>
      <c r="B98" s="1144"/>
      <c r="C98" s="1144"/>
      <c r="D98" s="523" t="s">
        <v>143</v>
      </c>
      <c r="E98" s="484">
        <f>'11'!F98</f>
        <v>97572</v>
      </c>
      <c r="F98" s="478">
        <v>97581</v>
      </c>
      <c r="G98" s="473">
        <f t="shared" si="10"/>
        <v>9</v>
      </c>
      <c r="H98" s="460">
        <f>G98+'11'!H98</f>
        <v>154</v>
      </c>
      <c r="I98" s="480"/>
      <c r="J98" s="552">
        <f>H98/DAY(B2)</f>
        <v>12.833333333333334</v>
      </c>
      <c r="K98" s="432"/>
      <c r="L98" s="377"/>
      <c r="N98" s="721"/>
      <c r="O98" s="730"/>
      <c r="P98" s="716"/>
    </row>
    <row r="99" spans="1:17" ht="27.75">
      <c r="A99" s="1143" t="s">
        <v>211</v>
      </c>
      <c r="B99" s="1144"/>
      <c r="C99" s="1144"/>
      <c r="D99" s="523" t="s">
        <v>143</v>
      </c>
      <c r="E99" s="484">
        <f>'11'!F99</f>
        <v>149615</v>
      </c>
      <c r="F99" s="478">
        <v>149642</v>
      </c>
      <c r="G99" s="473">
        <f t="shared" si="10"/>
        <v>27</v>
      </c>
      <c r="H99" s="460">
        <f>G99+'11'!H99</f>
        <v>109</v>
      </c>
      <c r="I99" s="480"/>
      <c r="J99" s="552">
        <f>H99/DAY(B2)</f>
        <v>9.0833333333333339</v>
      </c>
      <c r="K99" s="380"/>
      <c r="L99" s="377"/>
      <c r="N99" s="723"/>
      <c r="O99" s="730"/>
      <c r="P99" s="716"/>
    </row>
    <row r="100" spans="1:17" ht="27.75">
      <c r="A100" s="1143" t="s">
        <v>212</v>
      </c>
      <c r="B100" s="1144"/>
      <c r="C100" s="1144"/>
      <c r="D100" s="523" t="s">
        <v>143</v>
      </c>
      <c r="E100" s="484">
        <f>'11'!F100</f>
        <v>7226</v>
      </c>
      <c r="F100" s="478">
        <v>7227</v>
      </c>
      <c r="G100" s="473">
        <f t="shared" si="10"/>
        <v>1</v>
      </c>
      <c r="H100" s="460">
        <f>G100+'11'!H100</f>
        <v>42</v>
      </c>
      <c r="I100" s="480"/>
      <c r="J100" s="552">
        <f>H100/DAY(B2)</f>
        <v>3.5</v>
      </c>
      <c r="K100" s="380"/>
      <c r="L100" s="377"/>
      <c r="N100" s="721"/>
      <c r="O100" s="730"/>
      <c r="P100" s="716"/>
    </row>
    <row r="101" spans="1:17" ht="27.75">
      <c r="A101" s="1143" t="s">
        <v>213</v>
      </c>
      <c r="B101" s="1144"/>
      <c r="C101" s="1144"/>
      <c r="D101" s="523" t="s">
        <v>143</v>
      </c>
      <c r="E101" s="484">
        <f>'11'!F101</f>
        <v>5221</v>
      </c>
      <c r="F101" s="478">
        <v>5224</v>
      </c>
      <c r="G101" s="473">
        <f t="shared" si="10"/>
        <v>3</v>
      </c>
      <c r="H101" s="460">
        <f>G101+'11'!H101</f>
        <v>86</v>
      </c>
      <c r="I101" s="480"/>
      <c r="J101" s="552">
        <f>H101/DAY(B2)</f>
        <v>7.166666666666667</v>
      </c>
      <c r="K101" s="380"/>
      <c r="L101" s="377"/>
      <c r="N101" s="721"/>
      <c r="O101" s="730"/>
      <c r="P101" s="716"/>
    </row>
    <row r="102" spans="1:17">
      <c r="A102" s="1579" t="s">
        <v>215</v>
      </c>
      <c r="B102" s="1580"/>
      <c r="C102" s="1581"/>
      <c r="D102" s="524"/>
      <c r="E102" s="484"/>
      <c r="F102" s="524"/>
      <c r="G102" s="525">
        <f>SUM(G96:G101)</f>
        <v>81</v>
      </c>
      <c r="H102" s="460">
        <f>G102+'11'!H102</f>
        <v>1046</v>
      </c>
      <c r="I102" s="526"/>
      <c r="J102" s="552">
        <f>H102/DAY(B2)</f>
        <v>87.166666666666671</v>
      </c>
      <c r="K102" s="380"/>
      <c r="L102" s="377"/>
      <c r="N102" s="721"/>
      <c r="O102" s="730"/>
      <c r="P102" s="716"/>
    </row>
    <row r="103" spans="1:17" s="442" customFormat="1" ht="27">
      <c r="A103" s="607" t="s">
        <v>216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30"/>
      <c r="P103" s="716"/>
      <c r="Q103" s="445"/>
    </row>
    <row r="104" spans="1:17" s="442" customFormat="1" ht="27.75">
      <c r="A104" s="1582" t="s">
        <v>217</v>
      </c>
      <c r="B104" s="1583"/>
      <c r="C104" s="573"/>
      <c r="D104" s="622"/>
      <c r="E104" s="484"/>
      <c r="F104" s="661"/>
      <c r="G104" s="532"/>
      <c r="H104" s="533"/>
      <c r="I104" s="532"/>
      <c r="J104" s="558"/>
      <c r="N104" s="721"/>
      <c r="O104" s="730"/>
      <c r="P104" s="716"/>
      <c r="Q104" s="445"/>
    </row>
    <row r="105" spans="1:17" s="442" customFormat="1" ht="27.75">
      <c r="A105" s="1543" t="s">
        <v>218</v>
      </c>
      <c r="B105" s="1544"/>
      <c r="C105" s="1142"/>
      <c r="D105" s="622" t="s">
        <v>143</v>
      </c>
      <c r="E105" s="484">
        <f>'11'!F105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21"/>
      <c r="O105" s="730"/>
      <c r="P105" s="716"/>
      <c r="Q105" s="445"/>
    </row>
    <row r="106" spans="1:17" s="442" customFormat="1" ht="27.75">
      <c r="A106" s="1543" t="s">
        <v>77</v>
      </c>
      <c r="B106" s="1544"/>
      <c r="C106" s="1142"/>
      <c r="D106" s="622" t="s">
        <v>143</v>
      </c>
      <c r="E106" s="484">
        <f>'11'!F106</f>
        <v>35860</v>
      </c>
      <c r="F106" s="662">
        <v>35860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4.166666666666667</v>
      </c>
      <c r="N106" s="721"/>
      <c r="O106" s="730"/>
      <c r="P106" s="716"/>
      <c r="Q106" s="445"/>
    </row>
    <row r="107" spans="1:17" s="442" customFormat="1" ht="27.75">
      <c r="A107" s="1543" t="s">
        <v>78</v>
      </c>
      <c r="B107" s="1584"/>
      <c r="C107" s="1544"/>
      <c r="D107" s="622" t="s">
        <v>143</v>
      </c>
      <c r="E107" s="484">
        <f>'11'!F107</f>
        <v>19650</v>
      </c>
      <c r="F107" s="662">
        <v>19655</v>
      </c>
      <c r="G107" s="532">
        <f t="shared" si="11"/>
        <v>5</v>
      </c>
      <c r="H107" s="533">
        <f>SUM(G107+'1'!G78)</f>
        <v>129</v>
      </c>
      <c r="I107" s="532"/>
      <c r="J107" s="558">
        <f>H107/DAY(B2)</f>
        <v>10.75</v>
      </c>
      <c r="N107" s="721"/>
      <c r="O107" s="730"/>
      <c r="P107" s="716"/>
      <c r="Q107" s="445"/>
    </row>
    <row r="108" spans="1:17" s="442" customFormat="1" ht="27.75">
      <c r="A108" s="1545" t="s">
        <v>201</v>
      </c>
      <c r="B108" s="1546"/>
      <c r="C108" s="1142"/>
      <c r="D108" s="622"/>
      <c r="E108" s="484"/>
      <c r="F108" s="662"/>
      <c r="G108" s="532">
        <f>SUM(G105:G107)</f>
        <v>5</v>
      </c>
      <c r="H108" s="533">
        <f>SUM(G108+'1'!G79)</f>
        <v>194</v>
      </c>
      <c r="I108" s="532"/>
      <c r="J108" s="558">
        <f>H108/DAY(B2)</f>
        <v>16.166666666666668</v>
      </c>
      <c r="N108" s="721"/>
      <c r="O108" s="730"/>
      <c r="P108" s="716"/>
      <c r="Q108" s="445"/>
    </row>
    <row r="109" spans="1:17" s="442" customFormat="1" ht="27.75">
      <c r="A109" s="1549" t="s">
        <v>79</v>
      </c>
      <c r="B109" s="1550"/>
      <c r="C109" s="1142"/>
      <c r="D109" s="622" t="s">
        <v>143</v>
      </c>
      <c r="E109" s="484"/>
      <c r="F109" s="662"/>
      <c r="G109" s="532"/>
      <c r="H109" s="533"/>
      <c r="I109" s="532"/>
      <c r="J109" s="558"/>
      <c r="N109" s="721"/>
      <c r="O109" s="730"/>
      <c r="P109" s="716"/>
      <c r="Q109" s="445"/>
    </row>
    <row r="110" spans="1:17" s="442" customFormat="1" ht="27.75">
      <c r="A110" s="1543" t="s">
        <v>219</v>
      </c>
      <c r="B110" s="1544"/>
      <c r="C110" s="1142"/>
      <c r="D110" s="622" t="s">
        <v>143</v>
      </c>
      <c r="E110" s="484">
        <f>'11'!F110</f>
        <v>61722</v>
      </c>
      <c r="F110" s="662">
        <v>61770</v>
      </c>
      <c r="G110" s="532">
        <f>F110-E110</f>
        <v>48</v>
      </c>
      <c r="H110" s="533">
        <f>SUM(G110+'1'!G81)</f>
        <v>129</v>
      </c>
      <c r="I110" s="532"/>
      <c r="J110" s="558">
        <f>H110/DAY(B2)</f>
        <v>10.75</v>
      </c>
      <c r="N110" s="721"/>
      <c r="O110" s="730"/>
      <c r="P110" s="716"/>
      <c r="Q110" s="445"/>
    </row>
    <row r="111" spans="1:17" s="442" customFormat="1" ht="27.75">
      <c r="A111" s="1543" t="s">
        <v>220</v>
      </c>
      <c r="B111" s="1544"/>
      <c r="C111" s="1142"/>
      <c r="D111" s="622" t="s">
        <v>143</v>
      </c>
      <c r="E111" s="484">
        <f>'11'!F111</f>
        <v>32299</v>
      </c>
      <c r="F111" s="662">
        <v>32324</v>
      </c>
      <c r="G111" s="532">
        <f t="shared" ref="G111:G112" si="12">F111-E111</f>
        <v>25</v>
      </c>
      <c r="H111" s="533">
        <f>SUM(G111+'1'!G82)</f>
        <v>37</v>
      </c>
      <c r="I111" s="532"/>
      <c r="J111" s="558">
        <f>H111/DAY(B2)</f>
        <v>3.0833333333333335</v>
      </c>
      <c r="N111" s="721"/>
      <c r="O111" s="730"/>
      <c r="P111" s="716"/>
      <c r="Q111" s="445"/>
    </row>
    <row r="112" spans="1:17" s="442" customFormat="1" ht="27.75">
      <c r="A112" s="1543" t="s">
        <v>221</v>
      </c>
      <c r="B112" s="1544"/>
      <c r="C112" s="1142"/>
      <c r="D112" s="622" t="s">
        <v>143</v>
      </c>
      <c r="E112" s="484">
        <f>'11'!F112</f>
        <v>4478</v>
      </c>
      <c r="F112" s="662">
        <v>4478</v>
      </c>
      <c r="G112" s="532">
        <f t="shared" si="12"/>
        <v>0</v>
      </c>
      <c r="H112" s="533">
        <f>SUM(G112+'1'!G83)</f>
        <v>255</v>
      </c>
      <c r="I112" s="532"/>
      <c r="J112" s="558">
        <f>H112/DAY(B2)</f>
        <v>21.25</v>
      </c>
      <c r="N112" s="721"/>
      <c r="O112" s="730"/>
      <c r="P112" s="716"/>
      <c r="Q112" s="445"/>
    </row>
    <row r="113" spans="1:17" s="442" customFormat="1" ht="27.75">
      <c r="A113" s="1545" t="s">
        <v>110</v>
      </c>
      <c r="B113" s="1546"/>
      <c r="C113" s="1142"/>
      <c r="D113" s="622"/>
      <c r="E113" s="484"/>
      <c r="F113" s="662"/>
      <c r="G113" s="532">
        <f>SUM(G110:G112)</f>
        <v>73</v>
      </c>
      <c r="H113" s="533">
        <f>SUM(G113+'1'!G84)</f>
        <v>788</v>
      </c>
      <c r="I113" s="532"/>
      <c r="J113" s="558">
        <f>H113/DAY(B2)</f>
        <v>65.666666666666671</v>
      </c>
      <c r="N113" s="721"/>
      <c r="O113" s="730"/>
      <c r="P113" s="716"/>
      <c r="Q113" s="445"/>
    </row>
    <row r="114" spans="1:17" s="442" customFormat="1" ht="27.75">
      <c r="A114" s="1549" t="s">
        <v>222</v>
      </c>
      <c r="B114" s="1550"/>
      <c r="C114" s="1142"/>
      <c r="D114" s="622"/>
      <c r="E114" s="484"/>
      <c r="F114" s="662"/>
      <c r="G114" s="532"/>
      <c r="H114" s="533"/>
      <c r="I114" s="532"/>
      <c r="J114" s="558">
        <f>H114/DAY(B2)</f>
        <v>0</v>
      </c>
      <c r="N114" s="721"/>
      <c r="O114" s="730"/>
      <c r="P114" s="716"/>
      <c r="Q114" s="445"/>
    </row>
    <row r="115" spans="1:17" s="442" customFormat="1" ht="27.75">
      <c r="A115" s="1543" t="s">
        <v>223</v>
      </c>
      <c r="B115" s="1544"/>
      <c r="C115" s="574"/>
      <c r="D115" s="622" t="s">
        <v>143</v>
      </c>
      <c r="E115" s="484">
        <f>'11'!F115</f>
        <v>11312</v>
      </c>
      <c r="F115" s="662">
        <v>11318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0.5</v>
      </c>
      <c r="N115" s="721"/>
      <c r="O115" s="730"/>
      <c r="P115" s="716"/>
      <c r="Q115" s="445"/>
    </row>
    <row r="116" spans="1:17" s="442" customFormat="1" ht="27.75">
      <c r="A116" s="1543" t="s">
        <v>224</v>
      </c>
      <c r="B116" s="1544"/>
      <c r="C116" s="574"/>
      <c r="D116" s="622" t="s">
        <v>143</v>
      </c>
      <c r="E116" s="484">
        <f>'11'!F116</f>
        <v>8186</v>
      </c>
      <c r="F116" s="662">
        <v>8190</v>
      </c>
      <c r="G116" s="534">
        <f t="shared" ref="G116:G117" si="13">F116-E116</f>
        <v>4</v>
      </c>
      <c r="H116" s="533">
        <f>SUM(G116+'1'!G93)</f>
        <v>56</v>
      </c>
      <c r="I116" s="532"/>
      <c r="J116" s="558">
        <f>H116/DAY(B2)</f>
        <v>4.666666666666667</v>
      </c>
      <c r="N116" s="721"/>
      <c r="O116" s="730"/>
      <c r="P116" s="716"/>
      <c r="Q116" s="445"/>
    </row>
    <row r="117" spans="1:17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7.916666666666667</v>
      </c>
      <c r="N117" s="721"/>
      <c r="O117" s="730"/>
      <c r="P117" s="716"/>
      <c r="Q117" s="445"/>
    </row>
    <row r="118" spans="1:17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6.833333333333333</v>
      </c>
      <c r="N118" s="721"/>
      <c r="O118" s="730"/>
      <c r="P118" s="716"/>
    </row>
    <row r="119" spans="1:17" s="446" customFormat="1" ht="27.75">
      <c r="A119" s="1539" t="s">
        <v>226</v>
      </c>
      <c r="B119" s="1540"/>
      <c r="C119" s="1140"/>
      <c r="D119" s="624" t="s">
        <v>143</v>
      </c>
      <c r="E119" s="536"/>
      <c r="F119" s="663">
        <f>SUM(G19+G93)</f>
        <v>72</v>
      </c>
      <c r="G119" s="536">
        <f>SUM(G19+G93)</f>
        <v>72</v>
      </c>
      <c r="H119" s="533">
        <f>SUM(G119+'1'!G97)</f>
        <v>84</v>
      </c>
      <c r="I119" s="535"/>
      <c r="J119" s="559">
        <f>H119/DAY(B2)</f>
        <v>7</v>
      </c>
      <c r="N119" s="721"/>
      <c r="O119" s="730"/>
      <c r="P119" s="716"/>
    </row>
    <row r="120" spans="1:17" s="446" customFormat="1" ht="27.75">
      <c r="A120" s="1539" t="s">
        <v>227</v>
      </c>
      <c r="B120" s="1540"/>
      <c r="C120" s="1140"/>
      <c r="D120" s="624" t="s">
        <v>143</v>
      </c>
      <c r="E120" s="536"/>
      <c r="F120" s="663">
        <f>SUM(G96,G97,G98,G100,G101)</f>
        <v>54</v>
      </c>
      <c r="G120" s="536">
        <f>SUM(G96,G97,G98,G100,G101)</f>
        <v>54</v>
      </c>
      <c r="H120" s="533">
        <f>SUM(G120+'1'!G99)</f>
        <v>59</v>
      </c>
      <c r="I120" s="535"/>
      <c r="J120" s="559">
        <f>H120/DAY(B2)</f>
        <v>4.916666666666667</v>
      </c>
      <c r="N120" s="721"/>
      <c r="O120" s="730"/>
      <c r="P120" s="716"/>
    </row>
    <row r="121" spans="1:17" s="446" customFormat="1" ht="27.75">
      <c r="A121" s="1539" t="s">
        <v>228</v>
      </c>
      <c r="B121" s="1540"/>
      <c r="C121" s="1140"/>
      <c r="D121" s="624" t="s">
        <v>143</v>
      </c>
      <c r="E121" s="534"/>
      <c r="F121" s="662">
        <f>SUM(G113)</f>
        <v>73</v>
      </c>
      <c r="G121" s="534">
        <f>SUM(G113)</f>
        <v>73</v>
      </c>
      <c r="H121" s="533">
        <f>SUM(G121+'1'!G101)</f>
        <v>79</v>
      </c>
      <c r="I121" s="535"/>
      <c r="J121" s="559">
        <f>H121/DAY(B2)</f>
        <v>6.583333333333333</v>
      </c>
      <c r="N121" s="721"/>
      <c r="O121" s="730"/>
      <c r="P121" s="716"/>
    </row>
    <row r="122" spans="1:17" s="442" customFormat="1" ht="27.75">
      <c r="A122" s="1541"/>
      <c r="B122" s="1542"/>
      <c r="C122" s="1141"/>
      <c r="D122" s="560"/>
      <c r="E122" s="560"/>
      <c r="F122" s="664" t="s">
        <v>214</v>
      </c>
      <c r="G122" s="560"/>
      <c r="H122" s="561"/>
      <c r="I122" s="560"/>
      <c r="J122" s="562"/>
      <c r="N122" s="721"/>
      <c r="O122" s="730"/>
      <c r="P122" s="716"/>
      <c r="Q122" s="445"/>
    </row>
    <row r="123" spans="1:17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30"/>
      <c r="P123" s="716"/>
    </row>
    <row r="124" spans="1:17" ht="27.75">
      <c r="A124" s="1143" t="s">
        <v>230</v>
      </c>
      <c r="B124" s="1144"/>
      <c r="C124" s="1144"/>
      <c r="D124" s="523" t="s">
        <v>140</v>
      </c>
      <c r="E124" s="478">
        <f>'11'!F124</f>
        <v>828321</v>
      </c>
      <c r="F124" s="478">
        <v>828521.9</v>
      </c>
      <c r="G124" s="473">
        <f t="shared" ref="G124:G128" si="14">F124-E124</f>
        <v>200.90000000002328</v>
      </c>
      <c r="H124" s="460">
        <f>G124+'11'!H124</f>
        <v>2433.4400000000605</v>
      </c>
      <c r="I124" s="526"/>
      <c r="J124" s="552">
        <f>H124/DAY(B2)</f>
        <v>202.78666666667172</v>
      </c>
      <c r="K124" s="380"/>
      <c r="L124" s="377"/>
      <c r="N124" s="721"/>
      <c r="O124" s="730"/>
      <c r="P124" s="716"/>
    </row>
    <row r="125" spans="1:17" ht="27.75">
      <c r="A125" s="1143" t="s">
        <v>231</v>
      </c>
      <c r="B125" s="1144"/>
      <c r="C125" s="1144"/>
      <c r="D125" s="523" t="s">
        <v>140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21"/>
      <c r="O125" s="730"/>
      <c r="P125" s="716"/>
    </row>
    <row r="126" spans="1:17" ht="27.75">
      <c r="A126" s="1530" t="s">
        <v>232</v>
      </c>
      <c r="B126" s="1531"/>
      <c r="C126" s="1532"/>
      <c r="D126" s="523" t="s">
        <v>140</v>
      </c>
      <c r="E126" s="478">
        <f>'11'!F126</f>
        <v>145337.79999999999</v>
      </c>
      <c r="F126" s="478">
        <v>145389.46</v>
      </c>
      <c r="G126" s="473">
        <f t="shared" si="14"/>
        <v>51.660000000003492</v>
      </c>
      <c r="H126" s="460">
        <f>G126+'11'!H126</f>
        <v>702.01999999998952</v>
      </c>
      <c r="I126" s="526"/>
      <c r="J126" s="552">
        <f>H126/DAY(B2)</f>
        <v>58.501666666665791</v>
      </c>
      <c r="K126" s="380"/>
      <c r="L126" s="377"/>
      <c r="N126" s="721"/>
      <c r="O126" s="730"/>
      <c r="P126" s="716"/>
    </row>
    <row r="127" spans="1:17" ht="27.75">
      <c r="A127" s="609" t="s">
        <v>233</v>
      </c>
      <c r="B127" s="1144"/>
      <c r="C127" s="1144"/>
      <c r="D127" s="523" t="s">
        <v>140</v>
      </c>
      <c r="E127" s="626">
        <f>'11'!F127</f>
        <v>31404.2</v>
      </c>
      <c r="F127" s="626">
        <v>31404.2</v>
      </c>
      <c r="G127" s="473">
        <f t="shared" si="14"/>
        <v>0</v>
      </c>
      <c r="H127" s="460">
        <f>G127+'11'!H127</f>
        <v>0.2000000000007276</v>
      </c>
      <c r="I127" s="526"/>
      <c r="J127" s="552">
        <f>H127/DAY(B2)</f>
        <v>1.6666666666727298E-2</v>
      </c>
      <c r="K127" s="380"/>
      <c r="L127" s="377"/>
      <c r="N127" s="721"/>
      <c r="O127" s="730"/>
      <c r="P127" s="716"/>
    </row>
    <row r="128" spans="1:17" ht="27.75">
      <c r="A128" s="609" t="s">
        <v>234</v>
      </c>
      <c r="B128" s="1144"/>
      <c r="C128" s="1144"/>
      <c r="D128" s="523" t="s">
        <v>140</v>
      </c>
      <c r="E128" s="626">
        <f>'11'!F128</f>
        <v>8971</v>
      </c>
      <c r="F128" s="626">
        <v>8971</v>
      </c>
      <c r="G128" s="473">
        <f t="shared" si="14"/>
        <v>0</v>
      </c>
      <c r="H128" s="460">
        <f>G128+'11'!H128</f>
        <v>1.2999999999992724</v>
      </c>
      <c r="I128" s="480"/>
      <c r="J128" s="552">
        <f>H128/DAY(B2)</f>
        <v>0.1083333333332727</v>
      </c>
      <c r="K128" s="380"/>
      <c r="L128" s="377"/>
      <c r="N128" s="721"/>
      <c r="O128" s="730"/>
      <c r="P128" s="716"/>
    </row>
    <row r="129" spans="1:17" s="281" customFormat="1" ht="27.75">
      <c r="A129" s="609" t="s">
        <v>235</v>
      </c>
      <c r="B129" s="1144"/>
      <c r="C129" s="1144"/>
      <c r="D129" s="523"/>
      <c r="E129" s="478"/>
      <c r="F129" s="478"/>
      <c r="G129" s="473">
        <f>G15-SUM(G124:G128)</f>
        <v>184.27000000013504</v>
      </c>
      <c r="H129" s="460">
        <f>H15-SUM(H124:H128)</f>
        <v>1926.5600000000559</v>
      </c>
      <c r="I129" s="480"/>
      <c r="J129" s="552"/>
      <c r="K129" s="364"/>
      <c r="L129" s="292"/>
      <c r="N129" s="721"/>
      <c r="O129" s="730"/>
      <c r="P129" s="716"/>
      <c r="Q129" s="713"/>
    </row>
    <row r="130" spans="1:17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30"/>
      <c r="P130" s="716"/>
    </row>
    <row r="131" spans="1:17" ht="27.75">
      <c r="A131" s="1143" t="s">
        <v>237</v>
      </c>
      <c r="B131" s="1144"/>
      <c r="C131" s="1144"/>
      <c r="D131" s="523" t="s">
        <v>238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21"/>
      <c r="O131" s="730"/>
      <c r="P131" s="716"/>
    </row>
    <row r="132" spans="1:17" ht="27.75">
      <c r="A132" s="1143" t="s">
        <v>239</v>
      </c>
      <c r="B132" s="1144"/>
      <c r="C132" s="1144"/>
      <c r="D132" s="523" t="s">
        <v>238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21"/>
      <c r="O132" s="730"/>
      <c r="P132" s="716"/>
    </row>
    <row r="133" spans="1:17" ht="27.75">
      <c r="A133" s="1143" t="s">
        <v>240</v>
      </c>
      <c r="B133" s="1144"/>
      <c r="C133" s="1144"/>
      <c r="D133" s="523" t="s">
        <v>238</v>
      </c>
      <c r="E133" s="541">
        <f>'11'!F133</f>
        <v>40008.400000000001</v>
      </c>
      <c r="F133" s="654">
        <v>40029.35</v>
      </c>
      <c r="G133" s="473">
        <f t="shared" si="15"/>
        <v>20.94999999999709</v>
      </c>
      <c r="H133" s="460">
        <f>G133+'11'!H133</f>
        <v>282.86999999999534</v>
      </c>
      <c r="I133" s="480"/>
      <c r="J133" s="552">
        <f>H133/DAY(B2)</f>
        <v>23.572499999999611</v>
      </c>
      <c r="N133" s="721"/>
      <c r="O133" s="730"/>
      <c r="P133" s="716"/>
    </row>
    <row r="134" spans="1:17" ht="27.75">
      <c r="A134" s="1143" t="s">
        <v>241</v>
      </c>
      <c r="B134" s="1144"/>
      <c r="C134" s="1144"/>
      <c r="D134" s="523" t="s">
        <v>238</v>
      </c>
      <c r="E134" s="704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20.94999999999709</v>
      </c>
      <c r="J134" s="552">
        <f>H134/DAY(B2)</f>
        <v>0</v>
      </c>
      <c r="N134" s="721"/>
      <c r="O134" s="730"/>
      <c r="P134" s="716"/>
    </row>
    <row r="135" spans="1:17" ht="27.75">
      <c r="A135" s="1143" t="s">
        <v>242</v>
      </c>
      <c r="B135" s="1144"/>
      <c r="C135" s="1144"/>
      <c r="D135" s="523" t="s">
        <v>238</v>
      </c>
      <c r="E135" s="704">
        <f>'11'!F135</f>
        <v>41393</v>
      </c>
      <c r="F135" s="626">
        <v>41396.43</v>
      </c>
      <c r="G135" s="473">
        <f t="shared" si="15"/>
        <v>3.430000000000291</v>
      </c>
      <c r="H135" s="460">
        <f>G135+'11'!H135</f>
        <v>11.430000000000291</v>
      </c>
      <c r="I135" s="480"/>
      <c r="J135" s="552">
        <f>H135/DAY(B2)</f>
        <v>0.95250000000002422</v>
      </c>
      <c r="N135" s="721"/>
      <c r="O135" s="730"/>
      <c r="P135" s="716"/>
    </row>
    <row r="136" spans="1:17" ht="27.75">
      <c r="A136" s="1143" t="s">
        <v>243</v>
      </c>
      <c r="B136" s="1144"/>
      <c r="C136" s="1144"/>
      <c r="D136" s="523" t="s">
        <v>238</v>
      </c>
      <c r="E136" s="522">
        <f>'11'!F136</f>
        <v>32582.560000000001</v>
      </c>
      <c r="F136" s="654">
        <v>32582.560000000001</v>
      </c>
      <c r="G136" s="473">
        <f t="shared" si="15"/>
        <v>0</v>
      </c>
      <c r="H136" s="460">
        <f>G136+'11'!H136</f>
        <v>-0.43999999999869033</v>
      </c>
      <c r="I136" s="480"/>
      <c r="J136" s="552">
        <f>H136/DAY(B2)</f>
        <v>-3.6666666666557525E-2</v>
      </c>
      <c r="N136" s="721"/>
      <c r="O136" s="730"/>
      <c r="P136" s="716"/>
    </row>
    <row r="137" spans="1:17" ht="27.75">
      <c r="A137" s="1143" t="s">
        <v>244</v>
      </c>
      <c r="B137" s="1144"/>
      <c r="C137" s="1144"/>
      <c r="D137" s="523" t="s">
        <v>238</v>
      </c>
      <c r="E137" s="541">
        <f>'11'!F137</f>
        <v>22759</v>
      </c>
      <c r="F137" s="654">
        <v>22759</v>
      </c>
      <c r="G137" s="473">
        <f t="shared" si="15"/>
        <v>0</v>
      </c>
      <c r="H137" s="460">
        <f>G137+'11'!H137</f>
        <v>19.409999999999854</v>
      </c>
      <c r="I137" s="480">
        <f>G135+G136+G137</f>
        <v>3.430000000000291</v>
      </c>
      <c r="J137" s="552">
        <f>H137/DAY(B2)</f>
        <v>1.6174999999999879</v>
      </c>
      <c r="N137" s="721"/>
      <c r="O137" s="730"/>
      <c r="P137" s="716"/>
    </row>
    <row r="138" spans="1:17" ht="27.75">
      <c r="A138" s="1143" t="s">
        <v>245</v>
      </c>
      <c r="B138" s="1144"/>
      <c r="C138" s="1144"/>
      <c r="D138" s="523" t="s">
        <v>238</v>
      </c>
      <c r="E138" s="541">
        <f>'11'!F138</f>
        <v>25051.723000000002</v>
      </c>
      <c r="F138" s="654">
        <v>25051.72</v>
      </c>
      <c r="G138" s="473">
        <f t="shared" si="15"/>
        <v>-3.0000000006111804E-3</v>
      </c>
      <c r="H138" s="460">
        <f>G138+'11'!H138</f>
        <v>0.13000000000101863</v>
      </c>
      <c r="I138" s="480"/>
      <c r="J138" s="552">
        <f>H138/DAY(B2)</f>
        <v>1.0833333333418219E-2</v>
      </c>
      <c r="N138" s="721"/>
      <c r="O138" s="730"/>
      <c r="P138" s="716"/>
    </row>
    <row r="139" spans="1:17" ht="27.75">
      <c r="A139" s="1143" t="s">
        <v>246</v>
      </c>
      <c r="B139" s="1144"/>
      <c r="C139" s="1144"/>
      <c r="D139" s="523" t="s">
        <v>238</v>
      </c>
      <c r="E139" s="541">
        <f>'11'!F139</f>
        <v>70341.89</v>
      </c>
      <c r="F139" s="654">
        <v>70351.94</v>
      </c>
      <c r="G139" s="473">
        <f t="shared" si="15"/>
        <v>10.05000000000291</v>
      </c>
      <c r="H139" s="460">
        <f>G139+'11'!H139</f>
        <v>36.130000000004657</v>
      </c>
      <c r="I139" s="480">
        <f>G138+G139</f>
        <v>10.047000000002299</v>
      </c>
      <c r="J139" s="552">
        <f>H139/DAY(B2)</f>
        <v>3.0108333333337214</v>
      </c>
      <c r="N139" s="721"/>
      <c r="O139" s="730"/>
      <c r="P139" s="716"/>
    </row>
    <row r="140" spans="1:17" ht="27.75">
      <c r="A140" s="1143" t="s">
        <v>247</v>
      </c>
      <c r="B140" s="1144"/>
      <c r="C140" s="1144"/>
      <c r="D140" s="523" t="s">
        <v>238</v>
      </c>
      <c r="E140" s="704">
        <f>'11'!F140</f>
        <v>1701.23</v>
      </c>
      <c r="F140" s="626">
        <v>1708.75</v>
      </c>
      <c r="G140" s="473">
        <f t="shared" si="15"/>
        <v>7.5199999999999818</v>
      </c>
      <c r="H140" s="460">
        <f>G140+'11'!H140</f>
        <v>91.8900000000001</v>
      </c>
      <c r="I140" s="542"/>
      <c r="J140" s="552">
        <f>H140/DAY(B2)</f>
        <v>7.6575000000000086</v>
      </c>
      <c r="N140" s="721"/>
      <c r="O140" s="730"/>
      <c r="P140" s="716"/>
    </row>
    <row r="141" spans="1:17" ht="27.75">
      <c r="A141" s="1143" t="s">
        <v>248</v>
      </c>
      <c r="B141" s="1144"/>
      <c r="C141" s="1144"/>
      <c r="D141" s="523" t="s">
        <v>238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21"/>
      <c r="O141" s="730"/>
      <c r="P141" s="716"/>
    </row>
    <row r="142" spans="1:17">
      <c r="A142" s="1557" t="s">
        <v>249</v>
      </c>
      <c r="B142" s="1558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30"/>
      <c r="P142" s="716"/>
    </row>
    <row r="143" spans="1:17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3957.550000000163</v>
      </c>
      <c r="H143" s="460">
        <f>G143+'11'!H143</f>
        <v>51577.970000000088</v>
      </c>
      <c r="I143" s="480"/>
      <c r="J143" s="552">
        <f>H143/DAY(B2)</f>
        <v>4298.1641666666737</v>
      </c>
      <c r="K143" s="380"/>
      <c r="L143" s="377"/>
      <c r="N143" s="721"/>
      <c r="O143" s="730"/>
      <c r="P143" s="716"/>
    </row>
    <row r="144" spans="1:17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0.2608924088684606</v>
      </c>
      <c r="H144" s="460">
        <f>G144+'11'!H144</f>
        <v>3.2634860231395142</v>
      </c>
      <c r="I144" s="544"/>
      <c r="J144" s="552">
        <f>H144/DAY(B2)</f>
        <v>0.2719571685949595</v>
      </c>
      <c r="K144" s="380"/>
      <c r="L144" s="377"/>
      <c r="N144" s="721"/>
      <c r="O144" s="730"/>
      <c r="P144" s="716"/>
    </row>
    <row r="145" spans="1:16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5003.0000000000082</v>
      </c>
      <c r="H145" s="460">
        <f>G145+'11'!H145</f>
        <v>58410.870000000017</v>
      </c>
      <c r="I145" s="480"/>
      <c r="J145" s="552">
        <f>H145/DAY(B2)</f>
        <v>4867.5725000000011</v>
      </c>
      <c r="K145" s="380"/>
      <c r="L145" s="377"/>
      <c r="N145" s="721"/>
      <c r="O145" s="730"/>
      <c r="P145" s="716"/>
    </row>
    <row r="146" spans="1:16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0.32981130284364235</v>
      </c>
      <c r="H146" s="460">
        <f>G146+'11'!H146</f>
        <v>3.7062305536718174</v>
      </c>
      <c r="I146" s="544"/>
      <c r="J146" s="552">
        <f>H146/DAY(B2)</f>
        <v>0.30885254613931812</v>
      </c>
      <c r="K146" s="380"/>
      <c r="L146" s="377"/>
      <c r="N146" s="721"/>
      <c r="O146" s="730"/>
      <c r="P146" s="716"/>
    </row>
    <row r="147" spans="1:16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2176.7200000000303</v>
      </c>
      <c r="H147" s="460">
        <f>G147+'11'!H147</f>
        <v>27297.119999999995</v>
      </c>
      <c r="I147" s="545"/>
      <c r="J147" s="552">
        <f>H147/DAY(B2)</f>
        <v>2274.7599999999998</v>
      </c>
      <c r="K147" s="380"/>
      <c r="L147" s="377"/>
      <c r="N147" s="721"/>
      <c r="O147" s="730"/>
      <c r="P147" s="716"/>
    </row>
    <row r="148" spans="1:16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0.14349527466036818</v>
      </c>
      <c r="H148" s="460">
        <f>G148+'11'!H148</f>
        <v>1.727968528225702</v>
      </c>
      <c r="I148" s="545"/>
      <c r="J148" s="552">
        <f>H148/DAY(B2)</f>
        <v>0.14399737735214183</v>
      </c>
      <c r="N148" s="721"/>
      <c r="O148" s="730"/>
      <c r="P148" s="716"/>
    </row>
    <row r="149" spans="1:16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1220.2700000000186</v>
      </c>
      <c r="H149" s="460">
        <f>G149+'11'!H149</f>
        <v>14487.709999999963</v>
      </c>
      <c r="I149" s="480"/>
      <c r="J149" s="552">
        <f>H149/DAY(B2)</f>
        <v>1207.3091666666635</v>
      </c>
      <c r="K149" s="381"/>
      <c r="N149" s="721"/>
      <c r="O149" s="730"/>
      <c r="P149" s="716"/>
    </row>
    <row r="150" spans="1:16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8.0443501603241443E-2</v>
      </c>
      <c r="H150" s="460">
        <f>G150+'11'!H150</f>
        <v>0.91748927057162799</v>
      </c>
      <c r="I150" s="545"/>
      <c r="J150" s="552">
        <f>H150/DAY(B2)</f>
        <v>7.6457439214302328E-2</v>
      </c>
      <c r="N150" s="721"/>
      <c r="O150" s="730"/>
      <c r="P150" s="716"/>
    </row>
    <row r="151" spans="1:16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814.39999999996508</v>
      </c>
      <c r="H151" s="460">
        <f>G151+'11'!H151</f>
        <v>13843.349999999977</v>
      </c>
      <c r="I151" s="545"/>
      <c r="J151" s="552">
        <f>H151/DAY(B2)</f>
        <v>1153.6124999999981</v>
      </c>
      <c r="N151" s="721"/>
      <c r="O151" s="730"/>
      <c r="P151" s="716"/>
    </row>
    <row r="152" spans="1:16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5.3687452535648689E-2</v>
      </c>
      <c r="H152" s="460">
        <f>G152+'11'!H152</f>
        <v>0.87107899981175829</v>
      </c>
      <c r="I152" s="480"/>
      <c r="J152" s="552">
        <f>H152/DAY(B2)</f>
        <v>7.2589916650979858E-2</v>
      </c>
      <c r="N152" s="721"/>
      <c r="O152" s="730"/>
      <c r="P152" s="716"/>
    </row>
    <row r="153" spans="1:16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1184.3600000000006</v>
      </c>
      <c r="H153" s="460">
        <f>G153+'11'!H153</f>
        <v>14680.729999999996</v>
      </c>
      <c r="I153" s="480"/>
      <c r="J153" s="552">
        <f>H153/DAY(B2)</f>
        <v>1223.3941666666663</v>
      </c>
      <c r="N153" s="721"/>
      <c r="O153" s="730"/>
      <c r="P153" s="716"/>
    </row>
    <row r="154" spans="1:16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7.8076217196861045E-2</v>
      </c>
      <c r="H154" s="460">
        <f>G154+'11'!H154</f>
        <v>0.92990301278022003</v>
      </c>
      <c r="I154" s="568"/>
      <c r="J154" s="569">
        <f>H154/DAY(B2)</f>
        <v>7.7491917731684998E-2</v>
      </c>
      <c r="N154" s="721"/>
      <c r="O154" s="730"/>
      <c r="P154" s="716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87" t="s">
        <v>262</v>
      </c>
      <c r="B161" s="788"/>
      <c r="C161" s="788"/>
      <c r="D161" s="511" t="s">
        <v>186</v>
      </c>
      <c r="E161" s="541">
        <f>'11'!F161</f>
        <v>36828.32</v>
      </c>
      <c r="F161" s="661">
        <v>36910.019999999997</v>
      </c>
      <c r="G161" s="473">
        <f t="shared" ref="G161:G164" si="16">F161-E161</f>
        <v>81.69999999999709</v>
      </c>
      <c r="N161" s="721"/>
    </row>
    <row r="162" spans="1:14">
      <c r="A162" s="787" t="s">
        <v>263</v>
      </c>
      <c r="B162" s="788"/>
      <c r="C162" s="788"/>
      <c r="D162" s="511" t="s">
        <v>186</v>
      </c>
      <c r="E162" s="541">
        <f>'11'!F162</f>
        <v>86993.279999999999</v>
      </c>
      <c r="F162" s="661">
        <v>87413</v>
      </c>
      <c r="G162" s="473">
        <f t="shared" si="16"/>
        <v>419.72000000000116</v>
      </c>
      <c r="N162" s="721"/>
    </row>
    <row r="163" spans="1:14">
      <c r="A163" s="787" t="s">
        <v>264</v>
      </c>
      <c r="B163" s="788"/>
      <c r="C163" s="788"/>
      <c r="D163" s="511" t="s">
        <v>186</v>
      </c>
      <c r="E163" s="541">
        <f>'11'!F163</f>
        <v>40676</v>
      </c>
      <c r="F163" s="661">
        <v>40921.15</v>
      </c>
      <c r="G163" s="473">
        <f t="shared" si="16"/>
        <v>245.15000000000146</v>
      </c>
      <c r="N163" s="721"/>
    </row>
    <row r="164" spans="1:14">
      <c r="A164" s="787" t="s">
        <v>265</v>
      </c>
      <c r="B164" s="788"/>
      <c r="C164" s="788"/>
      <c r="D164" s="511" t="s">
        <v>186</v>
      </c>
      <c r="E164" s="541">
        <f>'11'!F164</f>
        <v>6341.48</v>
      </c>
      <c r="F164" s="661">
        <v>6355.48</v>
      </c>
      <c r="G164" s="473">
        <f t="shared" si="16"/>
        <v>14</v>
      </c>
      <c r="N164" s="721"/>
    </row>
    <row r="165" spans="1:14">
      <c r="A165" s="789" t="s">
        <v>98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  <c r="N165" s="721"/>
    </row>
    <row r="166" spans="1:14">
      <c r="A166" s="789" t="s">
        <v>187</v>
      </c>
      <c r="B166" s="604"/>
      <c r="C166" s="604"/>
      <c r="D166" s="511" t="s">
        <v>186</v>
      </c>
      <c r="E166" s="514">
        <f t="shared" ref="E166:E172" si="18">E63</f>
        <v>2400.8000000000002</v>
      </c>
      <c r="F166" s="514">
        <f t="shared" ref="F166:F172" si="19">F63</f>
        <v>2404.58</v>
      </c>
      <c r="G166" s="473">
        <f t="shared" si="17"/>
        <v>3.7799999999997453</v>
      </c>
      <c r="N166" s="721"/>
    </row>
    <row r="167" spans="1:14" ht="33" customHeight="1">
      <c r="A167" s="1526" t="s">
        <v>99</v>
      </c>
      <c r="B167" s="1526"/>
      <c r="C167" s="1526"/>
      <c r="D167" s="523" t="s">
        <v>186</v>
      </c>
      <c r="E167" s="514">
        <f t="shared" si="18"/>
        <v>155566.76999999999</v>
      </c>
      <c r="F167" s="514">
        <f t="shared" si="19"/>
        <v>155788.35</v>
      </c>
      <c r="G167" s="473">
        <f t="shared" si="17"/>
        <v>221.5800000000163</v>
      </c>
      <c r="N167" s="721"/>
    </row>
    <row r="168" spans="1:14" ht="33" customHeight="1">
      <c r="A168" s="1526" t="s">
        <v>100</v>
      </c>
      <c r="B168" s="1526"/>
      <c r="C168" s="1526"/>
      <c r="D168" s="523" t="s">
        <v>186</v>
      </c>
      <c r="E168" s="514">
        <f t="shared" si="18"/>
        <v>156609.13</v>
      </c>
      <c r="F168" s="514">
        <f t="shared" si="19"/>
        <v>156785.48000000001</v>
      </c>
      <c r="G168" s="473">
        <f t="shared" si="17"/>
        <v>176.35000000000582</v>
      </c>
      <c r="N168" s="721"/>
    </row>
    <row r="169" spans="1:14" ht="41.25" customHeight="1">
      <c r="A169" s="1526" t="s">
        <v>101</v>
      </c>
      <c r="B169" s="1526"/>
      <c r="C169" s="1526"/>
      <c r="D169" s="523" t="s">
        <v>186</v>
      </c>
      <c r="E169" s="514">
        <f t="shared" si="18"/>
        <v>51430.79</v>
      </c>
      <c r="F169" s="514">
        <f t="shared" si="19"/>
        <v>51678.48</v>
      </c>
      <c r="G169" s="473">
        <f t="shared" si="17"/>
        <v>247.69000000000233</v>
      </c>
      <c r="N169" s="721"/>
    </row>
    <row r="170" spans="1:14" ht="26.25" customHeight="1">
      <c r="A170" s="1526" t="s">
        <v>102</v>
      </c>
      <c r="B170" s="1526"/>
      <c r="C170" s="1526"/>
      <c r="D170" s="523" t="s">
        <v>186</v>
      </c>
      <c r="E170" s="514">
        <f t="shared" si="18"/>
        <v>244943.95</v>
      </c>
      <c r="F170" s="514">
        <f t="shared" si="19"/>
        <v>245062.55</v>
      </c>
      <c r="G170" s="473">
        <f t="shared" si="17"/>
        <v>118.59999999997672</v>
      </c>
      <c r="N170" s="721"/>
    </row>
    <row r="171" spans="1:14" ht="24" customHeight="1">
      <c r="A171" s="1526" t="s">
        <v>103</v>
      </c>
      <c r="B171" s="1526"/>
      <c r="C171" s="152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26" t="s">
        <v>104</v>
      </c>
      <c r="B172" s="1526"/>
      <c r="C172" s="1526"/>
      <c r="D172" s="523" t="s">
        <v>186</v>
      </c>
      <c r="E172" s="514">
        <f t="shared" si="18"/>
        <v>79870.61</v>
      </c>
      <c r="F172" s="514">
        <f t="shared" si="19"/>
        <v>79913.820000000007</v>
      </c>
      <c r="G172" s="473">
        <f t="shared" si="17"/>
        <v>43.210000000006403</v>
      </c>
      <c r="N172" s="721"/>
    </row>
    <row r="173" spans="1:14">
      <c r="G173" s="539">
        <f>SUM(G161:G172)</f>
        <v>1571.780000000007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8.75" customHeight="1">
      <c r="N179" s="721"/>
    </row>
    <row r="180" spans="14:14" ht="18" customHeight="1">
      <c r="N180" s="721"/>
    </row>
    <row r="181" spans="14:14" ht="18.75" customHeight="1">
      <c r="N181" s="721"/>
    </row>
    <row r="182" spans="14:14" ht="18.75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6" s="281" customFormat="1" ht="27">
      <c r="A2" s="575" t="s">
        <v>367</v>
      </c>
      <c r="B2" s="1035">
        <v>44329</v>
      </c>
      <c r="C2" s="1145" t="s">
        <v>69</v>
      </c>
      <c r="D2" s="611">
        <v>0.5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20"/>
      <c r="O2" s="727"/>
    </row>
    <row r="3" spans="1:16" s="281" customFormat="1" ht="27">
      <c r="A3" s="570"/>
      <c r="B3" s="614"/>
      <c r="C3" s="1145" t="s">
        <v>119</v>
      </c>
      <c r="D3" s="612">
        <v>29</v>
      </c>
      <c r="E3" s="1568" t="s">
        <v>120</v>
      </c>
      <c r="F3" s="1569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45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130</v>
      </c>
      <c r="B7" s="680"/>
      <c r="C7" s="680"/>
      <c r="D7" s="638" t="s">
        <v>131</v>
      </c>
      <c r="E7" s="633">
        <f>'12'!F7</f>
        <v>34957.870000000003</v>
      </c>
      <c r="F7" s="455">
        <v>49523.83</v>
      </c>
      <c r="G7" s="681">
        <f>F7-E7</f>
        <v>14565.96</v>
      </c>
      <c r="H7" s="682">
        <f>G7+'12'!H7</f>
        <v>204546.83</v>
      </c>
      <c r="I7" s="683">
        <f>'1'!I7</f>
        <v>12000</v>
      </c>
      <c r="J7" s="684">
        <f>H7/DAY(B2)</f>
        <v>15734.371538461537</v>
      </c>
      <c r="K7" s="549"/>
      <c r="L7" s="377"/>
      <c r="N7" s="732">
        <f>G7/G8</f>
        <v>0.99283894371352466</v>
      </c>
      <c r="O7" s="728">
        <f>F7+200</f>
        <v>49723.83</v>
      </c>
      <c r="P7" s="731"/>
    </row>
    <row r="8" spans="1:16" ht="27.75" thickBot="1">
      <c r="A8" s="685" t="s">
        <v>132</v>
      </c>
      <c r="B8" s="686"/>
      <c r="C8" s="687"/>
      <c r="D8" s="688" t="s">
        <v>25</v>
      </c>
      <c r="E8" s="633">
        <f>'12'!F8</f>
        <v>35217.71</v>
      </c>
      <c r="F8" s="475">
        <v>49888.73</v>
      </c>
      <c r="G8" s="692">
        <f>F8-E8</f>
        <v>14671.020000000004</v>
      </c>
      <c r="H8" s="682">
        <f>G8+'12'!H8</f>
        <v>205647.73000000004</v>
      </c>
      <c r="I8" s="689">
        <f>'1'!I8</f>
        <v>12000</v>
      </c>
      <c r="J8" s="684">
        <f>H8/DAY(B2)</f>
        <v>15819.056153846157</v>
      </c>
      <c r="K8" s="549"/>
      <c r="L8" s="425"/>
      <c r="M8" s="440"/>
      <c r="N8" s="721"/>
      <c r="O8" s="728">
        <f>F8+200</f>
        <v>50088.73</v>
      </c>
      <c r="P8" s="382"/>
    </row>
    <row r="9" spans="1:16">
      <c r="A9" s="690" t="s">
        <v>133</v>
      </c>
      <c r="B9" s="691"/>
      <c r="C9" s="691"/>
      <c r="D9" s="638" t="s">
        <v>131</v>
      </c>
      <c r="E9" s="633">
        <f>'12'!F9</f>
        <v>1174391</v>
      </c>
      <c r="F9" s="478">
        <v>1188471.3</v>
      </c>
      <c r="G9" s="705">
        <f t="shared" ref="G9:G12" si="0">F9-E9</f>
        <v>14080.300000000047</v>
      </c>
      <c r="H9" s="682">
        <f>G9+'12'!H9</f>
        <v>197757.30000000005</v>
      </c>
      <c r="I9" s="693">
        <f>I7-J7</f>
        <v>-3734.3715384615371</v>
      </c>
      <c r="J9" s="684">
        <f>H9/DAY(B2)</f>
        <v>15212.100000000004</v>
      </c>
      <c r="K9" s="428"/>
      <c r="L9" s="377"/>
      <c r="N9" s="721"/>
      <c r="O9" s="728"/>
      <c r="P9" s="382"/>
    </row>
    <row r="10" spans="1:16">
      <c r="A10" s="679" t="s">
        <v>134</v>
      </c>
      <c r="B10" s="680"/>
      <c r="C10" s="680"/>
      <c r="D10" s="638" t="s">
        <v>131</v>
      </c>
      <c r="E10" s="633">
        <f>'12'!F10</f>
        <v>2322.58</v>
      </c>
      <c r="F10" s="478">
        <v>2322.58</v>
      </c>
      <c r="G10" s="692">
        <f t="shared" si="0"/>
        <v>0</v>
      </c>
      <c r="H10" s="682">
        <f>G10+'12'!H10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135</v>
      </c>
      <c r="B11" s="680"/>
      <c r="C11" s="680"/>
      <c r="D11" s="638" t="s">
        <v>131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G11+'12'!H11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136</v>
      </c>
      <c r="B12" s="680"/>
      <c r="C12" s="680"/>
      <c r="D12" s="638" t="s">
        <v>131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G12+'12'!H12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137</v>
      </c>
      <c r="B13" s="696"/>
      <c r="C13" s="696"/>
      <c r="D13" s="638"/>
      <c r="E13" s="633"/>
      <c r="F13" s="455"/>
      <c r="G13" s="697">
        <f>G9+G10+G11+G12</f>
        <v>14080.300000000047</v>
      </c>
      <c r="H13" s="682">
        <f>G13+'12'!H13</f>
        <v>183236.30000000005</v>
      </c>
      <c r="I13" s="698">
        <f>G7-G13</f>
        <v>485.65999999995256</v>
      </c>
      <c r="J13" s="684">
        <f>H13/DAY(B2)</f>
        <v>14095.100000000004</v>
      </c>
      <c r="K13" s="428"/>
      <c r="L13" s="377"/>
      <c r="N13" s="721"/>
      <c r="O13" s="728"/>
      <c r="P13" s="382"/>
    </row>
    <row r="14" spans="1:16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5" t="s">
        <v>139</v>
      </c>
      <c r="B15" s="796"/>
      <c r="C15" s="796"/>
      <c r="D15" s="524" t="s">
        <v>140</v>
      </c>
      <c r="E15" s="485">
        <f>'12'!F15</f>
        <v>1675720.12</v>
      </c>
      <c r="F15" s="485">
        <v>1676371</v>
      </c>
      <c r="G15" s="667">
        <f>(F15-E15)</f>
        <v>650.87999999988824</v>
      </c>
      <c r="H15" s="486">
        <f>G15+'12'!H15</f>
        <v>5714</v>
      </c>
      <c r="I15" s="474">
        <v>800</v>
      </c>
      <c r="J15" s="553">
        <f>H15/DAY(B2)</f>
        <v>439.53846153846155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360.46153846153845</v>
      </c>
      <c r="J16" s="553"/>
      <c r="K16" s="428"/>
      <c r="L16" s="377"/>
      <c r="N16" s="721"/>
      <c r="O16" s="728"/>
      <c r="P16" s="382"/>
    </row>
    <row r="17" spans="1:16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1" t="s">
        <v>142</v>
      </c>
      <c r="B18" s="1592"/>
      <c r="C18" s="1593"/>
      <c r="D18" s="638" t="s">
        <v>143</v>
      </c>
      <c r="E18" s="635">
        <f>'12'!F18</f>
        <v>0</v>
      </c>
      <c r="F18" s="478">
        <v>2</v>
      </c>
      <c r="G18" s="697">
        <f>F18*10</f>
        <v>20</v>
      </c>
      <c r="H18" s="682">
        <f>G18+'12'!H18</f>
        <v>480</v>
      </c>
      <c r="I18" s="683">
        <f>'1'!I18</f>
        <v>65</v>
      </c>
      <c r="J18" s="684">
        <f>H18/DAY(B2)</f>
        <v>36.92307692307692</v>
      </c>
      <c r="K18" s="428"/>
      <c r="L18" s="377"/>
      <c r="N18" s="721"/>
      <c r="O18" s="728"/>
      <c r="P18" s="382"/>
    </row>
    <row r="19" spans="1:16" ht="27.75">
      <c r="A19" s="1591" t="s">
        <v>71</v>
      </c>
      <c r="B19" s="1592"/>
      <c r="C19" s="1593"/>
      <c r="D19" s="638" t="s">
        <v>143</v>
      </c>
      <c r="E19" s="635">
        <f>'12'!F19</f>
        <v>138461</v>
      </c>
      <c r="F19" s="478">
        <v>138518</v>
      </c>
      <c r="G19" s="692">
        <f t="shared" ref="G19" si="1">F19-E19</f>
        <v>57</v>
      </c>
      <c r="H19" s="682">
        <f>G19+'12'!H19</f>
        <v>706</v>
      </c>
      <c r="I19" s="699"/>
      <c r="J19" s="684">
        <f>H19/DAY(B2)</f>
        <v>54.307692307692307</v>
      </c>
      <c r="K19" s="428"/>
      <c r="L19" s="377"/>
      <c r="N19" s="721"/>
      <c r="O19" s="728"/>
      <c r="P19" s="382"/>
    </row>
    <row r="20" spans="1:16">
      <c r="A20" s="695" t="s">
        <v>144</v>
      </c>
      <c r="B20" s="696"/>
      <c r="C20" s="696"/>
      <c r="D20" s="638"/>
      <c r="E20" s="638"/>
      <c r="F20" s="712"/>
      <c r="G20" s="700">
        <f>G18+G19</f>
        <v>77</v>
      </c>
      <c r="H20" s="682">
        <f>G20+'12'!H20</f>
        <v>1186</v>
      </c>
      <c r="I20" s="701">
        <f>I18-J20</f>
        <v>-26.230769230769226</v>
      </c>
      <c r="J20" s="684">
        <f>H20/DAY(B2)</f>
        <v>91.230769230769226</v>
      </c>
      <c r="K20" s="428"/>
      <c r="L20" s="377"/>
      <c r="N20" s="721"/>
      <c r="O20" s="728"/>
      <c r="P20" s="382"/>
    </row>
    <row r="21" spans="1:16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43" t="s">
        <v>146</v>
      </c>
      <c r="B22" s="589"/>
      <c r="C22" s="589"/>
      <c r="D22" s="523" t="s">
        <v>147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43" t="s">
        <v>148</v>
      </c>
      <c r="B23" s="589"/>
      <c r="C23" s="589"/>
      <c r="D23" s="523" t="s">
        <v>147</v>
      </c>
      <c r="E23" s="635"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14671.020000000004</v>
      </c>
      <c r="F27" s="501">
        <v>9</v>
      </c>
      <c r="G27" s="502">
        <f>E27*F27</f>
        <v>132039.18000000005</v>
      </c>
      <c r="H27" s="460">
        <f>G27+'12'!H27</f>
        <v>1850829.5699999998</v>
      </c>
      <c r="I27" s="503"/>
      <c r="J27" s="552">
        <f>H27/DAY(B2)</f>
        <v>142371.50538461536</v>
      </c>
      <c r="K27" s="373"/>
      <c r="L27" s="443"/>
      <c r="N27" s="721"/>
      <c r="O27" s="72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2">
        <f>G15</f>
        <v>650.87999999988824</v>
      </c>
      <c r="F28" s="501">
        <v>49</v>
      </c>
      <c r="G28" s="502">
        <f>E28*F28</f>
        <v>31893.119999994524</v>
      </c>
      <c r="H28" s="460">
        <f>G28+'12'!H28</f>
        <v>284219.59999999998</v>
      </c>
      <c r="I28" s="505"/>
      <c r="J28" s="552">
        <f>H28/DAY(B2)</f>
        <v>21863.046153846153</v>
      </c>
      <c r="K28" s="373"/>
      <c r="L28" s="443"/>
      <c r="N28" s="721"/>
      <c r="O28" s="72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2">
        <f>G19</f>
        <v>57</v>
      </c>
      <c r="F30" s="501">
        <v>134</v>
      </c>
      <c r="G30" s="502">
        <f>E30*F30</f>
        <v>7638</v>
      </c>
      <c r="H30" s="460">
        <f>G30+'12'!H30</f>
        <v>94604</v>
      </c>
      <c r="I30" s="505"/>
      <c r="J30" s="552">
        <f>H30/DAY(B2)</f>
        <v>7277.2307692307695</v>
      </c>
      <c r="K30" s="373"/>
      <c r="L30" s="443"/>
      <c r="N30" s="721"/>
      <c r="O30" s="72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2">
        <f>G18</f>
        <v>20</v>
      </c>
      <c r="F31" s="501">
        <v>80</v>
      </c>
      <c r="G31" s="502">
        <f>E31*F31</f>
        <v>1600</v>
      </c>
      <c r="H31" s="460">
        <f>G31+'12'!H31</f>
        <v>38400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173170.29999999458</v>
      </c>
      <c r="H32" s="460">
        <f>G32+'12'!H32</f>
        <v>2268053.1700000004</v>
      </c>
      <c r="I32" s="509"/>
      <c r="J32" s="552">
        <f>H32/DAY(B2)</f>
        <v>174465.62846153849</v>
      </c>
      <c r="K32" s="373"/>
      <c r="L32" s="443"/>
      <c r="N32" s="721"/>
      <c r="O32" s="728"/>
      <c r="P32" s="382"/>
    </row>
    <row r="33" spans="1:16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721"/>
      <c r="O33" s="728"/>
      <c r="P33" s="382"/>
    </row>
    <row r="34" spans="1:16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'12'!F35</f>
        <v>911455.67</v>
      </c>
      <c r="F35" s="510">
        <v>913250.23</v>
      </c>
      <c r="G35" s="473">
        <f t="shared" ref="G35:G46" si="3">F35-E35</f>
        <v>1794.5599999999395</v>
      </c>
      <c r="H35" s="460">
        <f>G35+'12'!H35</f>
        <v>26791.229999999981</v>
      </c>
      <c r="I35" s="455"/>
      <c r="J35" s="552">
        <f>H35/DAY(B2)</f>
        <v>2060.8638461538449</v>
      </c>
      <c r="K35" s="428"/>
      <c r="L35" s="377"/>
      <c r="N35" s="721"/>
      <c r="O35" s="729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'12'!F36</f>
        <v>347065</v>
      </c>
      <c r="F36" s="510">
        <v>347065</v>
      </c>
      <c r="G36" s="473">
        <f t="shared" si="3"/>
        <v>0</v>
      </c>
      <c r="H36" s="460">
        <f>G36+'12'!H36</f>
        <v>2457</v>
      </c>
      <c r="I36" s="455"/>
      <c r="J36" s="552">
        <f>H36/DAY(B2)</f>
        <v>189</v>
      </c>
      <c r="K36" s="428"/>
      <c r="L36" s="377"/>
      <c r="N36" s="722"/>
      <c r="O36" s="729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'12'!F37</f>
        <v>109905.86</v>
      </c>
      <c r="F37" s="510">
        <v>111072</v>
      </c>
      <c r="G37" s="473">
        <f t="shared" si="3"/>
        <v>1166.1399999999994</v>
      </c>
      <c r="H37" s="460">
        <f>G37+'12'!H37</f>
        <v>15847</v>
      </c>
      <c r="I37" s="455"/>
      <c r="J37" s="552">
        <f>H37/DAY(B2)</f>
        <v>1219</v>
      </c>
      <c r="K37" s="428"/>
      <c r="L37" s="377"/>
      <c r="N37" s="722"/>
      <c r="O37" s="729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'12'!F38</f>
        <v>134083.64000000001</v>
      </c>
      <c r="F38" s="469">
        <v>135231.85999999999</v>
      </c>
      <c r="G38" s="473">
        <f t="shared" si="3"/>
        <v>1148.2199999999721</v>
      </c>
      <c r="H38" s="460">
        <f>G38+'12'!H38</f>
        <v>15635.859999999986</v>
      </c>
      <c r="I38" s="455"/>
      <c r="J38" s="552">
        <f>H38/DAY(B2)</f>
        <v>1202.7584615384606</v>
      </c>
      <c r="K38" s="428"/>
      <c r="L38" s="377"/>
      <c r="N38" s="721"/>
      <c r="O38" s="728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'12'!F39</f>
        <v>267578.40999999997</v>
      </c>
      <c r="F39" s="510">
        <v>269227.59000000003</v>
      </c>
      <c r="G39" s="473">
        <f t="shared" si="3"/>
        <v>1649.1800000000512</v>
      </c>
      <c r="H39" s="460">
        <f>G39+'12'!H39</f>
        <v>22574.590000000026</v>
      </c>
      <c r="I39" s="455"/>
      <c r="J39" s="552">
        <f>H39/DAY(B2)</f>
        <v>1736.506923076925</v>
      </c>
      <c r="K39" s="428"/>
      <c r="L39" s="377"/>
      <c r="N39" s="721"/>
      <c r="O39" s="729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'12'!F40</f>
        <v>150.74</v>
      </c>
      <c r="F40" s="510">
        <v>210.03</v>
      </c>
      <c r="G40" s="473">
        <f t="shared" si="3"/>
        <v>59.289999999999992</v>
      </c>
      <c r="H40" s="460">
        <f>G40+'12'!H40</f>
        <v>209.79999999999998</v>
      </c>
      <c r="I40" s="455"/>
      <c r="J40" s="552">
        <f>H40/DAY(B2)</f>
        <v>16.138461538461538</v>
      </c>
      <c r="K40" s="429"/>
      <c r="L40" s="377"/>
      <c r="N40" s="721"/>
      <c r="O40" s="728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'12'!F41</f>
        <v>239196.55</v>
      </c>
      <c r="F41" s="510">
        <v>239196.55</v>
      </c>
      <c r="G41" s="473">
        <f t="shared" si="3"/>
        <v>0</v>
      </c>
      <c r="H41" s="460">
        <f>G41+'12'!H41</f>
        <v>57668.549999999988</v>
      </c>
      <c r="I41" s="455"/>
      <c r="J41" s="552">
        <f>H41/DAY(B2)</f>
        <v>4436.0423076923071</v>
      </c>
      <c r="K41" s="428"/>
      <c r="L41" s="377"/>
      <c r="N41" s="721"/>
      <c r="O41" s="730"/>
      <c r="P41" s="724"/>
    </row>
    <row r="42" spans="1:16">
      <c r="A42" s="578" t="s">
        <v>170</v>
      </c>
      <c r="B42" s="579"/>
      <c r="C42" s="579"/>
      <c r="D42" s="523" t="s">
        <v>131</v>
      </c>
      <c r="E42" s="510">
        <f>'12'!F42</f>
        <v>59200.08</v>
      </c>
      <c r="F42" s="510">
        <v>59200.08</v>
      </c>
      <c r="G42" s="473">
        <f t="shared" si="3"/>
        <v>0</v>
      </c>
      <c r="H42" s="460">
        <f>G42+'12'!H42</f>
        <v>8.000000000174623E-2</v>
      </c>
      <c r="I42" s="455"/>
      <c r="J42" s="552">
        <f>H42/DAY(B2)</f>
        <v>6.1538461539804796E-3</v>
      </c>
      <c r="K42" s="428"/>
      <c r="L42" s="377"/>
      <c r="N42" s="721"/>
      <c r="O42" s="728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'12'!F43</f>
        <v>1000539.3</v>
      </c>
      <c r="F43" s="510">
        <v>1002550.3</v>
      </c>
      <c r="G43" s="473">
        <f t="shared" si="3"/>
        <v>2011</v>
      </c>
      <c r="H43" s="460">
        <f>G43+'12'!H43</f>
        <v>28592.300000000047</v>
      </c>
      <c r="I43" s="455"/>
      <c r="J43" s="552">
        <f>H43/DAY(B2)</f>
        <v>2199.4076923076959</v>
      </c>
      <c r="K43" s="428"/>
      <c r="L43" s="377"/>
      <c r="N43" s="721"/>
      <c r="O43" s="729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175</v>
      </c>
      <c r="B47" s="586"/>
      <c r="C47" s="586"/>
      <c r="D47" s="470"/>
      <c r="E47" s="511"/>
      <c r="F47" s="511" t="s">
        <v>267</v>
      </c>
      <c r="G47" s="481">
        <f>G35+G36+G37+G38+G39+G40+G41+G42+G43+G44+G45+G46</f>
        <v>7828.3899999999621</v>
      </c>
      <c r="H47" s="460">
        <f>G47+'12'!H47</f>
        <v>169776.90000000002</v>
      </c>
      <c r="I47" s="455"/>
      <c r="J47" s="552">
        <f>H47/DAY(B2)</f>
        <v>13059.76153846154</v>
      </c>
      <c r="K47" s="428"/>
      <c r="L47" s="377"/>
      <c r="N47" s="721"/>
      <c r="O47" s="728"/>
      <c r="P47" s="382"/>
    </row>
    <row r="48" spans="1:16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'12'!F50</f>
        <v>485922.35</v>
      </c>
      <c r="F50" s="510">
        <v>486743.15</v>
      </c>
      <c r="G50" s="473">
        <f t="shared" si="4"/>
        <v>820.80000000004657</v>
      </c>
      <c r="H50" s="460">
        <f>G50+'12'!H50</f>
        <v>11268.150000000023</v>
      </c>
      <c r="I50" s="455"/>
      <c r="J50" s="552">
        <f>H50/DAY(B2)</f>
        <v>866.78076923077106</v>
      </c>
      <c r="K50" s="428"/>
      <c r="L50" s="377"/>
      <c r="N50" s="721"/>
      <c r="O50" s="729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21"/>
      <c r="O51" s="728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'12'!F53</f>
        <v>422682.71</v>
      </c>
      <c r="F53" s="510">
        <v>423100.15</v>
      </c>
      <c r="G53" s="473">
        <f t="shared" si="4"/>
        <v>417.44000000000233</v>
      </c>
      <c r="H53" s="460">
        <f>G53+'12'!H53</f>
        <v>6266.1500000000233</v>
      </c>
      <c r="I53" s="455"/>
      <c r="J53" s="552">
        <f>H53/DAY(B2)</f>
        <v>482.01153846154023</v>
      </c>
      <c r="K53" s="428"/>
      <c r="L53" s="377"/>
      <c r="N53" s="721"/>
      <c r="O53" s="728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'12'!F54</f>
        <v>12251.05</v>
      </c>
      <c r="F54" s="510">
        <v>12326.21</v>
      </c>
      <c r="G54" s="473">
        <f t="shared" si="4"/>
        <v>75.159999999999854</v>
      </c>
      <c r="H54" s="460">
        <f>G54+'12'!H54</f>
        <v>4564.2099999999991</v>
      </c>
      <c r="I54" s="455"/>
      <c r="J54" s="552">
        <f>H54/DAY(B2)</f>
        <v>351.09307692307686</v>
      </c>
      <c r="K54" s="428"/>
      <c r="L54" s="377"/>
      <c r="N54" s="721"/>
      <c r="O54" s="728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'12'!F55</f>
        <v>615.96</v>
      </c>
      <c r="F55" s="656">
        <v>5227.1000000000004</v>
      </c>
      <c r="G55" s="655">
        <f t="shared" si="4"/>
        <v>4611.1400000000003</v>
      </c>
      <c r="H55" s="708">
        <f>G55+'12'!H55</f>
        <v>5227.1000000000004</v>
      </c>
      <c r="I55" s="709"/>
      <c r="J55" s="710">
        <f>H55/DAY(B2)</f>
        <v>402.0846153846154</v>
      </c>
      <c r="K55" s="428"/>
      <c r="L55" s="377"/>
      <c r="N55" s="721"/>
      <c r="O55" s="728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'12'!F56</f>
        <v>589414.75</v>
      </c>
      <c r="F56" s="656">
        <v>589424.71</v>
      </c>
      <c r="G56" s="473">
        <f t="shared" si="4"/>
        <v>9.9599999999627471</v>
      </c>
      <c r="H56" s="460">
        <f>G56+'12'!H56</f>
        <v>136.34999999997672</v>
      </c>
      <c r="I56" s="455"/>
      <c r="J56" s="552">
        <f>H56/DAY(B2)</f>
        <v>10.488461538459747</v>
      </c>
      <c r="K56" s="427"/>
      <c r="L56" s="377"/>
      <c r="N56" s="721"/>
      <c r="O56" s="730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21"/>
      <c r="O57" s="728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'12'!F58</f>
        <v>47619.96</v>
      </c>
      <c r="F58" s="656">
        <v>47868.12</v>
      </c>
      <c r="G58" s="473">
        <f t="shared" si="4"/>
        <v>248.16000000000349</v>
      </c>
      <c r="H58" s="460">
        <f>G58+'12'!H58</f>
        <v>1151.1200000000026</v>
      </c>
      <c r="I58" s="455"/>
      <c r="J58" s="552">
        <f>H58/DAY(B2)</f>
        <v>88.547692307692515</v>
      </c>
      <c r="K58" s="428"/>
      <c r="L58" s="377"/>
      <c r="N58" s="721"/>
      <c r="O58" s="728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6182.9900000000152</v>
      </c>
      <c r="H59" s="460">
        <f>G59+'12'!H59</f>
        <v>28613.349999999973</v>
      </c>
      <c r="I59" s="455">
        <f>G7-G60</f>
        <v>554.58000000002176</v>
      </c>
      <c r="J59" s="552">
        <f>H59/DAY(B2)</f>
        <v>2201.0269230769209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14011.379999999977</v>
      </c>
      <c r="H60" s="460">
        <f>G60+'12'!H60</f>
        <v>199974.14</v>
      </c>
      <c r="I60" s="455">
        <f>G13-G60</f>
        <v>68.920000000069194</v>
      </c>
      <c r="J60" s="552">
        <f>H60/DAY(B2)</f>
        <v>15382.626153846155</v>
      </c>
      <c r="K60" s="428"/>
      <c r="L60" s="377"/>
      <c r="N60" s="721"/>
      <c r="O60" s="728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186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0.18199999999706051</v>
      </c>
      <c r="I62" s="515"/>
      <c r="J62" s="552">
        <f>H62/DAY(B2)</f>
        <v>1.3999999999773886E-2</v>
      </c>
      <c r="K62" s="428"/>
      <c r="L62" s="377"/>
      <c r="N62" s="721"/>
      <c r="O62" s="728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'12'!F63</f>
        <v>2404.58</v>
      </c>
      <c r="F63" s="514">
        <v>2408.36</v>
      </c>
      <c r="G63" s="473">
        <f t="shared" si="5"/>
        <v>3.7800000000002001</v>
      </c>
      <c r="H63" s="460">
        <f>G63+'12'!H63</f>
        <v>49.360000000000127</v>
      </c>
      <c r="I63" s="515"/>
      <c r="J63" s="552">
        <f>H63/DAY(B2)</f>
        <v>3.7969230769230866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186</v>
      </c>
      <c r="E64" s="514">
        <f>'12'!F64</f>
        <v>155788.35</v>
      </c>
      <c r="F64" s="478">
        <v>155994.29</v>
      </c>
      <c r="G64" s="473">
        <f t="shared" si="5"/>
        <v>205.94000000000233</v>
      </c>
      <c r="H64" s="460">
        <f>G64+'12'!H64</f>
        <v>2695.2900000000081</v>
      </c>
      <c r="I64" s="480"/>
      <c r="J64" s="552">
        <f>H64/DAY(B2)</f>
        <v>207.33000000000064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186</v>
      </c>
      <c r="E65" s="514">
        <f>'12'!F65</f>
        <v>156785.48000000001</v>
      </c>
      <c r="F65" s="654">
        <v>156935.51999999999</v>
      </c>
      <c r="G65" s="473">
        <f t="shared" si="5"/>
        <v>150.03999999997905</v>
      </c>
      <c r="H65" s="460">
        <f>G65+'12'!H65</f>
        <v>2336.5199999999895</v>
      </c>
      <c r="I65" s="489"/>
      <c r="J65" s="552">
        <f>H65/DAY(B2)</f>
        <v>179.73230769230688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186</v>
      </c>
      <c r="E66" s="514">
        <f>'12'!F66</f>
        <v>51678.48</v>
      </c>
      <c r="F66" s="478">
        <v>51922.93</v>
      </c>
      <c r="G66" s="473">
        <f t="shared" si="5"/>
        <v>244.44999999999709</v>
      </c>
      <c r="H66" s="460">
        <f>G66+'12'!H66</f>
        <v>3351.9300000000003</v>
      </c>
      <c r="I66" s="480"/>
      <c r="J66" s="552">
        <f>H66/DAY(B2)</f>
        <v>257.84076923076924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186</v>
      </c>
      <c r="E67" s="514">
        <f>'12'!F67</f>
        <v>245062.55</v>
      </c>
      <c r="F67" s="478">
        <v>245187.61</v>
      </c>
      <c r="G67" s="473">
        <f t="shared" si="5"/>
        <v>125.05999999999767</v>
      </c>
      <c r="H67" s="460">
        <f>G67+'12'!H67</f>
        <v>2013.609999999986</v>
      </c>
      <c r="I67" s="489"/>
      <c r="J67" s="552">
        <f>H67/DAY(B2)</f>
        <v>154.89307692307585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186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186</v>
      </c>
      <c r="E69" s="514">
        <f>'12'!F69</f>
        <v>79913.820000000007</v>
      </c>
      <c r="F69" s="478">
        <v>79957.27</v>
      </c>
      <c r="G69" s="473">
        <f t="shared" si="5"/>
        <v>43.44999999999709</v>
      </c>
      <c r="H69" s="460">
        <f>G69+'12'!H69</f>
        <v>963.27000000000407</v>
      </c>
      <c r="I69" s="516"/>
      <c r="J69" s="552">
        <f>H69/DAY(B2)</f>
        <v>74.097692307692625</v>
      </c>
      <c r="K69" s="431"/>
      <c r="L69" s="377"/>
      <c r="N69" s="721"/>
      <c r="O69" s="728"/>
      <c r="P69" s="382"/>
    </row>
    <row r="70" spans="1:16" ht="27.75">
      <c r="A70" s="1536" t="s">
        <v>188</v>
      </c>
      <c r="B70" s="1537"/>
      <c r="C70" s="1538"/>
      <c r="D70" s="523" t="s">
        <v>186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1"/>
      <c r="O70" s="728"/>
      <c r="P70" s="382"/>
    </row>
    <row r="71" spans="1:16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721"/>
      <c r="O71" s="728"/>
      <c r="P71" s="382"/>
    </row>
    <row r="72" spans="1:16" ht="27.75">
      <c r="A72" s="1530" t="s">
        <v>190</v>
      </c>
      <c r="B72" s="1531"/>
      <c r="C72" s="1532"/>
      <c r="D72" s="523" t="s">
        <v>186</v>
      </c>
      <c r="E72" s="519">
        <f>'12'!F72</f>
        <v>855644</v>
      </c>
      <c r="F72" s="657">
        <v>855655</v>
      </c>
      <c r="G72" s="473">
        <f t="shared" ref="G72:G84" si="6">F72-E72</f>
        <v>11</v>
      </c>
      <c r="H72" s="460">
        <f>G72+'12'!H72</f>
        <v>194</v>
      </c>
      <c r="I72" s="480"/>
      <c r="J72" s="552">
        <f>H72/DAY(B2)</f>
        <v>14.923076923076923</v>
      </c>
      <c r="K72" s="431"/>
      <c r="L72" s="377"/>
      <c r="N72" s="721"/>
      <c r="O72" s="728"/>
      <c r="P72" s="382"/>
    </row>
    <row r="73" spans="1:16" ht="27.75">
      <c r="A73" s="1530" t="s">
        <v>191</v>
      </c>
      <c r="B73" s="1531"/>
      <c r="C73" s="1532"/>
      <c r="D73" s="523" t="s">
        <v>186</v>
      </c>
      <c r="E73" s="519">
        <f>'12'!F73</f>
        <v>885889</v>
      </c>
      <c r="F73" s="658">
        <v>885890</v>
      </c>
      <c r="G73" s="655">
        <f t="shared" si="6"/>
        <v>1</v>
      </c>
      <c r="H73" s="460">
        <f>G73+'12'!H73</f>
        <v>14</v>
      </c>
      <c r="I73" s="480"/>
      <c r="J73" s="552">
        <f>H73/DAY(B2)</f>
        <v>1.0769230769230769</v>
      </c>
      <c r="K73" s="430"/>
      <c r="L73" s="377"/>
      <c r="N73" s="721"/>
      <c r="O73" s="728"/>
      <c r="P73" s="382"/>
    </row>
    <row r="74" spans="1:16" ht="27.75">
      <c r="A74" s="1530" t="s">
        <v>192</v>
      </c>
      <c r="B74" s="1531"/>
      <c r="C74" s="1532"/>
      <c r="D74" s="523" t="s">
        <v>186</v>
      </c>
      <c r="E74" s="519">
        <f>'12'!F74</f>
        <v>2455.73</v>
      </c>
      <c r="F74" s="658">
        <v>2464.54</v>
      </c>
      <c r="G74" s="473">
        <f t="shared" si="6"/>
        <v>8.8099999999999454</v>
      </c>
      <c r="H74" s="460">
        <f>G74+'12'!H74</f>
        <v>185.53999999999996</v>
      </c>
      <c r="I74" s="480"/>
      <c r="J74" s="552">
        <f>H74/DAY(B2)</f>
        <v>14.27230769230769</v>
      </c>
      <c r="K74" s="431"/>
      <c r="L74" s="377"/>
      <c r="N74" s="721"/>
      <c r="O74" s="728"/>
      <c r="P74" s="382"/>
    </row>
    <row r="75" spans="1:16" ht="27.75">
      <c r="A75" s="1527" t="s">
        <v>193</v>
      </c>
      <c r="B75" s="1528"/>
      <c r="C75" s="1529"/>
      <c r="D75" s="523" t="s">
        <v>186</v>
      </c>
      <c r="E75" s="519">
        <f>'12'!F75</f>
        <v>11612.47</v>
      </c>
      <c r="F75" s="658">
        <v>11663.63</v>
      </c>
      <c r="G75" s="473">
        <f t="shared" si="6"/>
        <v>51.159999999999854</v>
      </c>
      <c r="H75" s="460">
        <f>G75+'12'!H75</f>
        <v>693.6299999999992</v>
      </c>
      <c r="I75" s="480"/>
      <c r="J75" s="552">
        <f>H75/DAY(B2)</f>
        <v>53.356153846153788</v>
      </c>
      <c r="K75" s="430"/>
      <c r="L75" s="377"/>
      <c r="N75" s="721"/>
      <c r="O75" s="728"/>
      <c r="P75" s="382"/>
    </row>
    <row r="76" spans="1:16" ht="27.75">
      <c r="A76" s="1527" t="s">
        <v>194</v>
      </c>
      <c r="B76" s="1528"/>
      <c r="C76" s="1529"/>
      <c r="D76" s="523" t="s">
        <v>186</v>
      </c>
      <c r="E76" s="519">
        <f>'12'!F76</f>
        <v>6359.46</v>
      </c>
      <c r="F76" s="658">
        <v>6410.58</v>
      </c>
      <c r="G76" s="473">
        <f t="shared" si="6"/>
        <v>51.119999999999891</v>
      </c>
      <c r="H76" s="460">
        <f>G76+'12'!H76</f>
        <v>701.57999999999993</v>
      </c>
      <c r="I76" s="505"/>
      <c r="J76" s="552">
        <f>H76/DAY(B2)</f>
        <v>53.967692307692303</v>
      </c>
      <c r="K76" s="430"/>
      <c r="L76" s="377"/>
      <c r="N76" s="721"/>
      <c r="O76" s="728"/>
      <c r="P76" s="382"/>
    </row>
    <row r="77" spans="1:16" ht="27.75">
      <c r="A77" s="1530" t="s">
        <v>195</v>
      </c>
      <c r="B77" s="1531"/>
      <c r="C77" s="1532"/>
      <c r="D77" s="523" t="s">
        <v>186</v>
      </c>
      <c r="E77" s="519">
        <f>'12'!F77</f>
        <v>702150</v>
      </c>
      <c r="F77" s="658">
        <v>702188</v>
      </c>
      <c r="G77" s="655">
        <f t="shared" si="6"/>
        <v>38</v>
      </c>
      <c r="H77" s="460">
        <f>G77+'12'!H77</f>
        <v>626</v>
      </c>
      <c r="I77" s="505"/>
      <c r="J77" s="552">
        <f>H77/DAY(B2)</f>
        <v>48.153846153846153</v>
      </c>
      <c r="K77" s="430"/>
      <c r="L77" s="377"/>
      <c r="N77" s="721"/>
      <c r="O77" s="728"/>
      <c r="P77" s="382"/>
    </row>
    <row r="78" spans="1:16" ht="27.75">
      <c r="A78" s="1146" t="s">
        <v>196</v>
      </c>
      <c r="B78" s="1119"/>
      <c r="C78" s="1119"/>
      <c r="D78" s="523" t="s">
        <v>186</v>
      </c>
      <c r="E78" s="519">
        <f>'12'!F78</f>
        <v>670901</v>
      </c>
      <c r="F78" s="659">
        <v>670977</v>
      </c>
      <c r="G78" s="473">
        <f t="shared" si="6"/>
        <v>76</v>
      </c>
      <c r="H78" s="460">
        <f>G78+'12'!H78</f>
        <v>952</v>
      </c>
      <c r="I78" s="505"/>
      <c r="J78" s="552">
        <f>H78/DAY(B2)</f>
        <v>73.230769230769226</v>
      </c>
      <c r="K78" s="430"/>
      <c r="L78" s="377"/>
      <c r="N78" s="721"/>
      <c r="O78" s="728"/>
      <c r="P78" s="382"/>
    </row>
    <row r="79" spans="1:16" ht="27.75">
      <c r="A79" s="1527" t="s">
        <v>92</v>
      </c>
      <c r="B79" s="1528"/>
      <c r="C79" s="1529"/>
      <c r="D79" s="524" t="s">
        <v>186</v>
      </c>
      <c r="E79" s="519">
        <f>'12'!F79</f>
        <v>828563</v>
      </c>
      <c r="F79" s="659">
        <v>828683</v>
      </c>
      <c r="G79" s="473">
        <f t="shared" si="6"/>
        <v>120</v>
      </c>
      <c r="H79" s="460">
        <f>G79+'12'!H79</f>
        <v>1899</v>
      </c>
      <c r="I79" s="505"/>
      <c r="J79" s="552">
        <f>H79/DAY(B2)</f>
        <v>146.07692307692307</v>
      </c>
      <c r="K79" s="430"/>
      <c r="L79" s="377"/>
      <c r="N79" s="721"/>
      <c r="O79" s="728"/>
      <c r="P79" s="382"/>
    </row>
    <row r="80" spans="1:16" ht="27.75">
      <c r="A80" s="1527" t="s">
        <v>197</v>
      </c>
      <c r="B80" s="1528"/>
      <c r="C80" s="1529"/>
      <c r="D80" s="524" t="s">
        <v>186</v>
      </c>
      <c r="E80" s="519">
        <f>'12'!F80</f>
        <v>521040.04</v>
      </c>
      <c r="F80" s="658">
        <v>521360</v>
      </c>
      <c r="G80" s="473">
        <f t="shared" si="6"/>
        <v>319.96000000002095</v>
      </c>
      <c r="H80" s="460">
        <f>G80+'12'!H80</f>
        <v>4622</v>
      </c>
      <c r="I80" s="505"/>
      <c r="J80" s="552">
        <f>H80/DAY(B2)</f>
        <v>355.53846153846155</v>
      </c>
      <c r="K80" s="430"/>
      <c r="L80" s="377"/>
      <c r="N80" s="721"/>
      <c r="O80" s="728"/>
      <c r="P80" s="382"/>
    </row>
    <row r="81" spans="1:16" ht="27.75">
      <c r="A81" s="1527" t="s">
        <v>198</v>
      </c>
      <c r="B81" s="1528"/>
      <c r="C81" s="1529"/>
      <c r="D81" s="524" t="s">
        <v>186</v>
      </c>
      <c r="E81" s="519">
        <f>'12'!F81</f>
        <v>637367.96</v>
      </c>
      <c r="F81" s="658">
        <v>637438</v>
      </c>
      <c r="G81" s="473">
        <f t="shared" si="6"/>
        <v>70.040000000037253</v>
      </c>
      <c r="H81" s="460">
        <f>G81+'12'!H81</f>
        <v>960</v>
      </c>
      <c r="I81" s="505"/>
      <c r="J81" s="552">
        <f>H81/DAY(B2)</f>
        <v>73.84615384615384</v>
      </c>
      <c r="K81" s="430"/>
      <c r="L81" s="377"/>
      <c r="N81" s="721"/>
      <c r="O81" s="728"/>
      <c r="P81" s="382"/>
    </row>
    <row r="82" spans="1:16" ht="27.75">
      <c r="A82" s="1527" t="s">
        <v>93</v>
      </c>
      <c r="B82" s="1528"/>
      <c r="C82" s="1529"/>
      <c r="D82" s="485" t="s">
        <v>131</v>
      </c>
      <c r="E82" s="519">
        <f>'12'!F82</f>
        <v>107848.52</v>
      </c>
      <c r="F82" s="654">
        <v>107859</v>
      </c>
      <c r="G82" s="473">
        <f t="shared" si="6"/>
        <v>10.479999999995925</v>
      </c>
      <c r="H82" s="460">
        <f>G82+'12'!H82</f>
        <v>247</v>
      </c>
      <c r="I82" s="486"/>
      <c r="J82" s="552">
        <f>H82/DAY(B2)</f>
        <v>19</v>
      </c>
      <c r="K82" s="430"/>
      <c r="L82" s="377"/>
      <c r="N82" s="721"/>
      <c r="O82" s="728"/>
      <c r="P82" s="382"/>
    </row>
    <row r="83" spans="1:16" ht="27.75">
      <c r="A83" s="1527" t="s">
        <v>199</v>
      </c>
      <c r="B83" s="1528"/>
      <c r="C83" s="1529"/>
      <c r="D83" s="620" t="s">
        <v>131</v>
      </c>
      <c r="E83" s="519">
        <f>'12'!F83</f>
        <v>17191</v>
      </c>
      <c r="F83" s="511">
        <v>17360</v>
      </c>
      <c r="G83" s="473">
        <f t="shared" si="6"/>
        <v>169</v>
      </c>
      <c r="H83" s="460">
        <f>G83+'12'!H83</f>
        <v>2589</v>
      </c>
      <c r="I83" s="481"/>
      <c r="J83" s="552">
        <f>H83/DAY(B2)</f>
        <v>199.15384615384616</v>
      </c>
      <c r="K83" s="429"/>
      <c r="L83" s="377"/>
      <c r="N83" s="721"/>
      <c r="O83" s="728"/>
      <c r="P83" s="382"/>
    </row>
    <row r="84" spans="1:16">
      <c r="A84" s="1147" t="s">
        <v>200</v>
      </c>
      <c r="B84" s="571"/>
      <c r="C84" s="571"/>
      <c r="D84" s="478" t="s">
        <v>131</v>
      </c>
      <c r="E84" s="519">
        <f>'12'!F84</f>
        <v>488984</v>
      </c>
      <c r="F84" s="627">
        <v>489535</v>
      </c>
      <c r="G84" s="473">
        <f t="shared" si="6"/>
        <v>551</v>
      </c>
      <c r="H84" s="460">
        <f>G84+'12'!H84</f>
        <v>9402</v>
      </c>
      <c r="I84" s="481"/>
      <c r="J84" s="552">
        <f>H84/DAY(B2)</f>
        <v>723.23076923076928</v>
      </c>
      <c r="K84" s="380"/>
      <c r="L84" s="377"/>
      <c r="N84" s="721"/>
      <c r="O84" s="728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1477.5700000000538</v>
      </c>
      <c r="H85" s="460">
        <f>G85+'12'!H85</f>
        <v>23085.75</v>
      </c>
      <c r="I85" s="481"/>
      <c r="J85" s="552">
        <f>H85/DAY(B2)</f>
        <v>1775.8269230769231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182</v>
      </c>
      <c r="E86" s="627">
        <f>'12'!F86</f>
        <v>460238.84</v>
      </c>
      <c r="F86" s="650">
        <v>460310</v>
      </c>
      <c r="G86" s="708">
        <f t="shared" ref="G86:G91" si="7">F86-E86</f>
        <v>71.159999999974389</v>
      </c>
      <c r="H86" s="708">
        <f t="shared" ref="H86:H88" si="8">G86</f>
        <v>71.159999999974389</v>
      </c>
      <c r="I86" s="655"/>
      <c r="J86" s="710">
        <f>H86/DAY(B2)</f>
        <v>5.4738461538441836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182</v>
      </c>
      <c r="E87" s="627">
        <f>'12'!F87</f>
        <v>81080</v>
      </c>
      <c r="F87" s="650">
        <v>81090</v>
      </c>
      <c r="G87" s="708">
        <f t="shared" si="7"/>
        <v>10</v>
      </c>
      <c r="H87" s="708">
        <f t="shared" si="8"/>
        <v>10</v>
      </c>
      <c r="I87" s="655"/>
      <c r="J87" s="710">
        <f>H87/DAY(B2)</f>
        <v>0.76923076923076927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182</v>
      </c>
      <c r="E88" s="627">
        <f>'12'!F88</f>
        <v>152368.91</v>
      </c>
      <c r="F88" s="650">
        <v>152389.63</v>
      </c>
      <c r="G88" s="708">
        <f t="shared" si="7"/>
        <v>20.720000000001164</v>
      </c>
      <c r="H88" s="708">
        <f t="shared" si="8"/>
        <v>20.720000000001164</v>
      </c>
      <c r="I88" s="655"/>
      <c r="J88" s="710">
        <f>H88/DAY(B2)</f>
        <v>1.5938461538462434</v>
      </c>
      <c r="K88" s="736"/>
      <c r="L88" s="737"/>
      <c r="O88" s="716"/>
    </row>
    <row r="89" spans="1:16" s="738" customFormat="1">
      <c r="A89" s="733" t="s">
        <v>203</v>
      </c>
      <c r="B89" s="734"/>
      <c r="C89" s="734"/>
      <c r="D89" s="735" t="s">
        <v>182</v>
      </c>
      <c r="E89" s="627">
        <f>'12'!F89</f>
        <v>64911.6</v>
      </c>
      <c r="F89" s="650">
        <v>64917.8</v>
      </c>
      <c r="G89" s="708">
        <f t="shared" si="7"/>
        <v>6.2000000000043656</v>
      </c>
      <c r="H89" s="708">
        <f>G89</f>
        <v>6.2000000000043656</v>
      </c>
      <c r="I89" s="655"/>
      <c r="J89" s="710">
        <f>H89/DAY(B2)</f>
        <v>0.47692307692341274</v>
      </c>
      <c r="K89" s="736"/>
      <c r="L89" s="737"/>
      <c r="N89" s="780"/>
      <c r="O89" s="382"/>
    </row>
    <row r="90" spans="1:16" s="738" customFormat="1">
      <c r="A90" s="733" t="s">
        <v>203</v>
      </c>
      <c r="B90" s="734"/>
      <c r="C90" s="734"/>
      <c r="D90" s="735" t="s">
        <v>182</v>
      </c>
      <c r="E90" s="627">
        <f>'12'!F90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361</v>
      </c>
      <c r="B91" s="734"/>
      <c r="C91" s="734"/>
      <c r="D91" s="735"/>
      <c r="E91" s="627">
        <f>'12'!F91</f>
        <v>27938.45</v>
      </c>
      <c r="F91" s="650">
        <v>27942.83</v>
      </c>
      <c r="G91" s="708">
        <f t="shared" si="7"/>
        <v>4.3800000000010186</v>
      </c>
      <c r="H91" s="708">
        <f>G91</f>
        <v>4.3800000000010186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1" t="s">
        <v>205</v>
      </c>
      <c r="B93" s="1552"/>
      <c r="C93" s="1553"/>
      <c r="D93" s="523" t="s">
        <v>143</v>
      </c>
      <c r="E93" s="484">
        <f>'12'!F93</f>
        <v>244834</v>
      </c>
      <c r="F93" s="478">
        <v>244864</v>
      </c>
      <c r="G93" s="473">
        <f t="shared" ref="G93:G94" si="9">F93-E93</f>
        <v>30</v>
      </c>
      <c r="H93" s="460">
        <f>G93+'12'!H93</f>
        <v>340</v>
      </c>
      <c r="I93" s="480"/>
      <c r="J93" s="552">
        <f>H93/DAY(B2)</f>
        <v>26.153846153846153</v>
      </c>
      <c r="K93" s="429"/>
      <c r="L93" s="377"/>
      <c r="N93" s="721"/>
      <c r="O93" s="728"/>
      <c r="P93" s="382"/>
    </row>
    <row r="94" spans="1:16" ht="27.75">
      <c r="A94" s="1551" t="s">
        <v>206</v>
      </c>
      <c r="B94" s="1552"/>
      <c r="C94" s="1553"/>
      <c r="D94" s="523" t="s">
        <v>143</v>
      </c>
      <c r="E94" s="484">
        <f>'12'!F94</f>
        <v>184512</v>
      </c>
      <c r="F94" s="478">
        <v>184579</v>
      </c>
      <c r="G94" s="473">
        <f t="shared" si="9"/>
        <v>67</v>
      </c>
      <c r="H94" s="460">
        <f>G94+'12'!H94</f>
        <v>1048</v>
      </c>
      <c r="I94" s="480"/>
      <c r="J94" s="552">
        <f>H94/DAY(B2)</f>
        <v>80.615384615384613</v>
      </c>
      <c r="K94" s="380"/>
      <c r="L94" s="377"/>
      <c r="N94" s="721"/>
      <c r="O94" s="728"/>
      <c r="P94" s="382"/>
    </row>
    <row r="95" spans="1:16">
      <c r="A95" s="1579" t="s">
        <v>207</v>
      </c>
      <c r="B95" s="1580"/>
      <c r="C95" s="1581"/>
      <c r="D95" s="523"/>
      <c r="E95" s="484">
        <f>'12'!F95</f>
        <v>0</v>
      </c>
      <c r="F95" s="478"/>
      <c r="G95" s="473">
        <f>G93+G94</f>
        <v>97</v>
      </c>
      <c r="H95" s="460">
        <f>G95+'12'!H95</f>
        <v>1241</v>
      </c>
      <c r="I95" s="480"/>
      <c r="J95" s="552">
        <f>H95/DAY(B2)</f>
        <v>95.461538461538467</v>
      </c>
      <c r="K95" s="380"/>
      <c r="L95" s="377"/>
      <c r="N95" s="721"/>
      <c r="O95" s="728"/>
      <c r="P95" s="382"/>
    </row>
    <row r="96" spans="1:16" ht="27.75">
      <c r="A96" s="1551" t="s">
        <v>208</v>
      </c>
      <c r="B96" s="1552"/>
      <c r="C96" s="1553"/>
      <c r="D96" s="523" t="s">
        <v>143</v>
      </c>
      <c r="E96" s="484">
        <f>'12'!F96</f>
        <v>413427</v>
      </c>
      <c r="F96" s="478">
        <v>413479</v>
      </c>
      <c r="G96" s="473">
        <f t="shared" ref="G96:G101" si="10">F96-E96</f>
        <v>52</v>
      </c>
      <c r="H96" s="460">
        <f>G96+'12'!H96</f>
        <v>593</v>
      </c>
      <c r="I96" s="480"/>
      <c r="J96" s="552">
        <f>H96/DAY(B2)</f>
        <v>45.615384615384613</v>
      </c>
      <c r="K96" s="380"/>
      <c r="L96" s="377"/>
      <c r="N96" s="721"/>
      <c r="O96" s="728"/>
      <c r="P96" s="382"/>
    </row>
    <row r="97" spans="1:16" ht="27.75">
      <c r="A97" s="1143" t="s">
        <v>209</v>
      </c>
      <c r="B97" s="1144"/>
      <c r="C97" s="1144"/>
      <c r="D97" s="523" t="s">
        <v>143</v>
      </c>
      <c r="E97" s="484">
        <f>'12'!F97</f>
        <v>102457</v>
      </c>
      <c r="F97" s="478">
        <v>102463</v>
      </c>
      <c r="G97" s="473">
        <f t="shared" si="10"/>
        <v>6</v>
      </c>
      <c r="H97" s="460">
        <f>G97+'12'!H97</f>
        <v>120</v>
      </c>
      <c r="I97" s="480"/>
      <c r="J97" s="552">
        <f>H97/DAY(B2)</f>
        <v>9.2307692307692299</v>
      </c>
      <c r="K97" s="427"/>
      <c r="L97" s="377"/>
      <c r="N97" s="721"/>
      <c r="O97" s="728"/>
      <c r="P97" s="382"/>
    </row>
    <row r="98" spans="1:16" ht="27.75">
      <c r="A98" s="1143" t="s">
        <v>210</v>
      </c>
      <c r="B98" s="1144"/>
      <c r="C98" s="1144"/>
      <c r="D98" s="523" t="s">
        <v>143</v>
      </c>
      <c r="E98" s="484">
        <f>'12'!F98</f>
        <v>97581</v>
      </c>
      <c r="F98" s="478">
        <v>97593</v>
      </c>
      <c r="G98" s="473">
        <f t="shared" si="10"/>
        <v>12</v>
      </c>
      <c r="H98" s="460">
        <f>G98+'12'!H98</f>
        <v>166</v>
      </c>
      <c r="I98" s="480"/>
      <c r="J98" s="552">
        <f>H98/DAY(B2)</f>
        <v>12.76923076923077</v>
      </c>
      <c r="K98" s="432"/>
      <c r="L98" s="377"/>
      <c r="N98" s="721"/>
      <c r="O98" s="728"/>
      <c r="P98" s="382"/>
    </row>
    <row r="99" spans="1:16" ht="27.75">
      <c r="A99" s="1143" t="s">
        <v>211</v>
      </c>
      <c r="B99" s="1144"/>
      <c r="C99" s="1144"/>
      <c r="D99" s="523" t="s">
        <v>143</v>
      </c>
      <c r="E99" s="484">
        <f>'12'!F99</f>
        <v>149642</v>
      </c>
      <c r="F99" s="478">
        <v>149669</v>
      </c>
      <c r="G99" s="473">
        <f t="shared" si="10"/>
        <v>27</v>
      </c>
      <c r="H99" s="460">
        <f>G99+'12'!H99</f>
        <v>136</v>
      </c>
      <c r="I99" s="480"/>
      <c r="J99" s="552">
        <f>H99/DAY(B2)</f>
        <v>10.461538461538462</v>
      </c>
      <c r="K99" s="380"/>
      <c r="L99" s="377"/>
      <c r="N99" s="723"/>
      <c r="O99" s="728"/>
      <c r="P99" s="382"/>
    </row>
    <row r="100" spans="1:16" ht="27.75">
      <c r="A100" s="1143" t="s">
        <v>212</v>
      </c>
      <c r="B100" s="1144"/>
      <c r="C100" s="1144"/>
      <c r="D100" s="523" t="s">
        <v>143</v>
      </c>
      <c r="E100" s="484">
        <f>'12'!F100</f>
        <v>7227</v>
      </c>
      <c r="F100" s="478">
        <v>7233</v>
      </c>
      <c r="G100" s="473">
        <f t="shared" si="10"/>
        <v>6</v>
      </c>
      <c r="H100" s="460">
        <f>G100+'12'!H100</f>
        <v>48</v>
      </c>
      <c r="I100" s="480"/>
      <c r="J100" s="552">
        <f>H100/DAY(B2)</f>
        <v>3.6923076923076925</v>
      </c>
      <c r="K100" s="380"/>
      <c r="L100" s="377"/>
      <c r="N100" s="721"/>
      <c r="O100" s="728"/>
      <c r="P100" s="382"/>
    </row>
    <row r="101" spans="1:16" ht="27.75">
      <c r="A101" s="1143" t="s">
        <v>213</v>
      </c>
      <c r="B101" s="1144"/>
      <c r="C101" s="1144"/>
      <c r="D101" s="523" t="s">
        <v>143</v>
      </c>
      <c r="E101" s="484">
        <f>'12'!F101</f>
        <v>5224</v>
      </c>
      <c r="F101" s="626">
        <v>5228</v>
      </c>
      <c r="G101" s="473">
        <f t="shared" si="10"/>
        <v>4</v>
      </c>
      <c r="H101" s="460">
        <f>G101+'12'!H101</f>
        <v>90</v>
      </c>
      <c r="I101" s="480"/>
      <c r="J101" s="552">
        <f>H101/DAY(B2)</f>
        <v>6.9230769230769234</v>
      </c>
      <c r="K101" s="380"/>
      <c r="L101" s="377"/>
      <c r="N101" s="721"/>
      <c r="O101" s="728"/>
      <c r="P101" s="382"/>
    </row>
    <row r="102" spans="1:16">
      <c r="A102" s="1579" t="s">
        <v>215</v>
      </c>
      <c r="B102" s="1580"/>
      <c r="C102" s="1581"/>
      <c r="D102" s="524"/>
      <c r="E102" s="484"/>
      <c r="F102" s="524"/>
      <c r="G102" s="525">
        <f>SUM(G96:G101)</f>
        <v>107</v>
      </c>
      <c r="H102" s="460">
        <f>G102+'12'!H102</f>
        <v>1153</v>
      </c>
      <c r="I102" s="526"/>
      <c r="J102" s="552">
        <f>H102/DAY(B2)</f>
        <v>88.692307692307693</v>
      </c>
      <c r="K102" s="380"/>
      <c r="L102" s="377"/>
      <c r="N102" s="721"/>
      <c r="O102" s="728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82" t="s">
        <v>217</v>
      </c>
      <c r="B104" s="1583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3" t="s">
        <v>218</v>
      </c>
      <c r="B105" s="1544"/>
      <c r="C105" s="1142"/>
      <c r="D105" s="622" t="s">
        <v>143</v>
      </c>
      <c r="E105" s="484">
        <f>'12'!F105</f>
        <v>7473</v>
      </c>
      <c r="F105" s="662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21"/>
      <c r="O105" s="728"/>
      <c r="P105" s="382"/>
    </row>
    <row r="106" spans="1:16" s="442" customFormat="1" ht="27.75">
      <c r="A106" s="1543" t="s">
        <v>77</v>
      </c>
      <c r="B106" s="1544"/>
      <c r="C106" s="1142"/>
      <c r="D106" s="622" t="s">
        <v>143</v>
      </c>
      <c r="E106" s="484">
        <f>'12'!F106</f>
        <v>35860</v>
      </c>
      <c r="F106" s="662">
        <v>35875</v>
      </c>
      <c r="G106" s="532">
        <f t="shared" ref="G106:G107" si="11">F106-E106</f>
        <v>15</v>
      </c>
      <c r="H106" s="533">
        <f>SUM(G106+'1'!G77)</f>
        <v>65</v>
      </c>
      <c r="I106" s="532"/>
      <c r="J106" s="558">
        <f>H106/DAY(B2)</f>
        <v>5</v>
      </c>
      <c r="N106" s="721"/>
      <c r="O106" s="728"/>
      <c r="P106" s="382"/>
    </row>
    <row r="107" spans="1:16" s="442" customFormat="1" ht="27.75">
      <c r="A107" s="1543" t="s">
        <v>78</v>
      </c>
      <c r="B107" s="1584"/>
      <c r="C107" s="1544"/>
      <c r="D107" s="622" t="s">
        <v>143</v>
      </c>
      <c r="E107" s="484">
        <f>'12'!F107</f>
        <v>19655</v>
      </c>
      <c r="F107" s="662">
        <v>19660</v>
      </c>
      <c r="G107" s="532">
        <f t="shared" si="11"/>
        <v>5</v>
      </c>
      <c r="H107" s="533">
        <f>SUM(G107+'1'!G78)</f>
        <v>129</v>
      </c>
      <c r="I107" s="532"/>
      <c r="J107" s="558">
        <f>H107/DAY(B2)</f>
        <v>9.9230769230769234</v>
      </c>
      <c r="N107" s="721"/>
      <c r="O107" s="728"/>
      <c r="P107" s="382"/>
    </row>
    <row r="108" spans="1:16" s="442" customFormat="1" ht="27.75">
      <c r="A108" s="1545" t="s">
        <v>201</v>
      </c>
      <c r="B108" s="1546"/>
      <c r="C108" s="1142"/>
      <c r="D108" s="622"/>
      <c r="E108" s="484"/>
      <c r="F108" s="662"/>
      <c r="G108" s="532">
        <f>SUM(G105:G107)</f>
        <v>20</v>
      </c>
      <c r="H108" s="533">
        <f>SUM(G108+'1'!G79)</f>
        <v>209</v>
      </c>
      <c r="I108" s="532"/>
      <c r="J108" s="558">
        <f>H108/DAY(B2)</f>
        <v>16.076923076923077</v>
      </c>
      <c r="N108" s="721"/>
      <c r="O108" s="728"/>
      <c r="P108" s="382"/>
    </row>
    <row r="109" spans="1:16" s="442" customFormat="1" ht="27.75">
      <c r="A109" s="1549" t="s">
        <v>79</v>
      </c>
      <c r="B109" s="1550"/>
      <c r="C109" s="1142"/>
      <c r="D109" s="622" t="s">
        <v>143</v>
      </c>
      <c r="E109" s="484"/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3" t="s">
        <v>219</v>
      </c>
      <c r="B110" s="1544"/>
      <c r="C110" s="1142"/>
      <c r="D110" s="622" t="s">
        <v>143</v>
      </c>
      <c r="E110" s="484">
        <f>'12'!F110</f>
        <v>61770</v>
      </c>
      <c r="F110" s="662">
        <v>61830</v>
      </c>
      <c r="G110" s="532">
        <f>F110-E110</f>
        <v>60</v>
      </c>
      <c r="H110" s="533">
        <f>SUM(G110+'1'!G81)</f>
        <v>141</v>
      </c>
      <c r="I110" s="532"/>
      <c r="J110" s="558">
        <f>H110/DAY(B2)</f>
        <v>10.846153846153847</v>
      </c>
      <c r="N110" s="721"/>
      <c r="O110" s="728"/>
      <c r="P110" s="382"/>
    </row>
    <row r="111" spans="1:16" s="442" customFormat="1" ht="27.75">
      <c r="A111" s="1543" t="s">
        <v>220</v>
      </c>
      <c r="B111" s="1544"/>
      <c r="C111" s="1142"/>
      <c r="D111" s="622" t="s">
        <v>143</v>
      </c>
      <c r="E111" s="484">
        <f>'12'!F111</f>
        <v>32324</v>
      </c>
      <c r="F111" s="662">
        <v>32354</v>
      </c>
      <c r="G111" s="532">
        <f t="shared" ref="G111:G112" si="12">F111-E111</f>
        <v>30</v>
      </c>
      <c r="H111" s="533">
        <f>SUM(G111+'1'!G82)</f>
        <v>42</v>
      </c>
      <c r="I111" s="532"/>
      <c r="J111" s="558">
        <f>H111/DAY(B2)</f>
        <v>3.2307692307692308</v>
      </c>
      <c r="N111" s="721"/>
      <c r="O111" s="728"/>
      <c r="P111" s="382"/>
    </row>
    <row r="112" spans="1:16" s="442" customFormat="1" ht="27.75">
      <c r="A112" s="1543" t="s">
        <v>221</v>
      </c>
      <c r="B112" s="1544"/>
      <c r="C112" s="1142"/>
      <c r="D112" s="622" t="s">
        <v>143</v>
      </c>
      <c r="E112" s="484">
        <f>'12'!F112</f>
        <v>4478</v>
      </c>
      <c r="F112" s="662">
        <v>4492</v>
      </c>
      <c r="G112" s="532">
        <f t="shared" si="12"/>
        <v>14</v>
      </c>
      <c r="H112" s="533">
        <f>SUM(G112+'1'!G83)</f>
        <v>269</v>
      </c>
      <c r="I112" s="532"/>
      <c r="J112" s="558">
        <f>H112/DAY(B2)</f>
        <v>20.692307692307693</v>
      </c>
      <c r="N112" s="721"/>
      <c r="O112" s="728"/>
      <c r="P112" s="382"/>
    </row>
    <row r="113" spans="1:16" s="442" customFormat="1" ht="27.75">
      <c r="A113" s="1545" t="s">
        <v>110</v>
      </c>
      <c r="B113" s="1546"/>
      <c r="C113" s="1142"/>
      <c r="D113" s="622"/>
      <c r="E113" s="484"/>
      <c r="F113" s="662"/>
      <c r="G113" s="532">
        <f>SUM(G110:G112)</f>
        <v>104</v>
      </c>
      <c r="H113" s="533">
        <f>SUM(G113+'1'!G84)</f>
        <v>819</v>
      </c>
      <c r="I113" s="532"/>
      <c r="J113" s="558">
        <f>H113/DAY(B2)</f>
        <v>63</v>
      </c>
      <c r="N113" s="721"/>
      <c r="O113" s="728"/>
      <c r="P113" s="382"/>
    </row>
    <row r="114" spans="1:16" s="442" customFormat="1" ht="27.75">
      <c r="A114" s="1549" t="s">
        <v>222</v>
      </c>
      <c r="B114" s="1550"/>
      <c r="C114" s="1142"/>
      <c r="D114" s="622"/>
      <c r="E114" s="484"/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3" t="s">
        <v>223</v>
      </c>
      <c r="B115" s="1544"/>
      <c r="C115" s="574"/>
      <c r="D115" s="622" t="s">
        <v>143</v>
      </c>
      <c r="E115" s="484">
        <f>'12'!F115</f>
        <v>11318</v>
      </c>
      <c r="F115" s="662">
        <v>11326</v>
      </c>
      <c r="G115" s="534">
        <f>F115-E115</f>
        <v>8</v>
      </c>
      <c r="H115" s="533">
        <f>SUM(G115+'1'!G92)</f>
        <v>8</v>
      </c>
      <c r="I115" s="532"/>
      <c r="J115" s="558">
        <f>H115/DAY(B2)</f>
        <v>0.61538461538461542</v>
      </c>
      <c r="N115" s="721"/>
      <c r="O115" s="728"/>
      <c r="P115" s="382"/>
    </row>
    <row r="116" spans="1:16" s="442" customFormat="1" ht="27.75">
      <c r="A116" s="1543" t="s">
        <v>224</v>
      </c>
      <c r="B116" s="1544"/>
      <c r="C116" s="574"/>
      <c r="D116" s="622" t="s">
        <v>143</v>
      </c>
      <c r="E116" s="484">
        <f>'12'!F116</f>
        <v>8190</v>
      </c>
      <c r="F116" s="662">
        <v>8194</v>
      </c>
      <c r="G116" s="534">
        <f t="shared" ref="G116:G117" si="13">F116-E116</f>
        <v>4</v>
      </c>
      <c r="H116" s="533">
        <f>SUM(G116+'1'!G93)</f>
        <v>56</v>
      </c>
      <c r="I116" s="532"/>
      <c r="J116" s="558">
        <f>H116/DAY(B2)</f>
        <v>4.3076923076923075</v>
      </c>
      <c r="N116" s="721"/>
      <c r="O116" s="728"/>
      <c r="P116" s="382"/>
    </row>
    <row r="117" spans="1:16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7.3076923076923075</v>
      </c>
      <c r="N117" s="721"/>
      <c r="O117" s="728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12</v>
      </c>
      <c r="H118" s="533">
        <f>SUM(G118+'1'!G96)</f>
        <v>84</v>
      </c>
      <c r="I118" s="534"/>
      <c r="J118" s="558">
        <f>H118/DAY(B2)</f>
        <v>6.4615384615384617</v>
      </c>
      <c r="N118" s="721"/>
      <c r="O118" s="728"/>
      <c r="P118" s="382"/>
    </row>
    <row r="119" spans="1:16" s="446" customFormat="1" ht="27.75">
      <c r="A119" s="1539" t="s">
        <v>226</v>
      </c>
      <c r="B119" s="1540"/>
      <c r="C119" s="1140"/>
      <c r="D119" s="624" t="s">
        <v>143</v>
      </c>
      <c r="E119" s="536"/>
      <c r="F119" s="663">
        <f>SUM(G19+G93)</f>
        <v>87</v>
      </c>
      <c r="G119" s="536">
        <f>SUM(G19+G93)</f>
        <v>87</v>
      </c>
      <c r="H119" s="533">
        <f>SUM(G119+'1'!G97)</f>
        <v>99</v>
      </c>
      <c r="I119" s="535"/>
      <c r="J119" s="559">
        <f>H119/DAY(B2)</f>
        <v>7.615384615384615</v>
      </c>
      <c r="N119" s="721"/>
      <c r="O119" s="728"/>
      <c r="P119" s="382"/>
    </row>
    <row r="120" spans="1:16" s="446" customFormat="1" ht="27.75">
      <c r="A120" s="1539" t="s">
        <v>227</v>
      </c>
      <c r="B120" s="1540"/>
      <c r="C120" s="1140"/>
      <c r="D120" s="624" t="s">
        <v>143</v>
      </c>
      <c r="E120" s="536"/>
      <c r="F120" s="663">
        <f>SUM(G96,G97,G98,G100,G101)</f>
        <v>80</v>
      </c>
      <c r="G120" s="536">
        <f>SUM(G96,G97,G98,G100,G101)</f>
        <v>80</v>
      </c>
      <c r="H120" s="533">
        <f>SUM(G120+'1'!G99)</f>
        <v>85</v>
      </c>
      <c r="I120" s="535"/>
      <c r="J120" s="559">
        <f>H120/DAY(B2)</f>
        <v>6.5384615384615383</v>
      </c>
      <c r="N120" s="721"/>
      <c r="O120" s="728"/>
      <c r="P120" s="382"/>
    </row>
    <row r="121" spans="1:16" s="446" customFormat="1" ht="27.75">
      <c r="A121" s="1539" t="s">
        <v>228</v>
      </c>
      <c r="B121" s="1540"/>
      <c r="C121" s="1140"/>
      <c r="D121" s="624" t="s">
        <v>143</v>
      </c>
      <c r="E121" s="534"/>
      <c r="F121" s="662">
        <f>SUM(G113)</f>
        <v>104</v>
      </c>
      <c r="G121" s="534">
        <f>SUM(G113)</f>
        <v>104</v>
      </c>
      <c r="H121" s="533">
        <f>SUM(G121+'1'!G101)</f>
        <v>110</v>
      </c>
      <c r="I121" s="535"/>
      <c r="J121" s="559">
        <f>H121/DAY(B2)</f>
        <v>8.4615384615384617</v>
      </c>
      <c r="N121" s="721"/>
      <c r="O121" s="728"/>
      <c r="P121" s="382"/>
    </row>
    <row r="122" spans="1:16" s="442" customFormat="1" ht="27.75">
      <c r="A122" s="1541"/>
      <c r="B122" s="1542"/>
      <c r="C122" s="1141"/>
      <c r="D122" s="560"/>
      <c r="E122" s="560"/>
      <c r="F122" s="664" t="s">
        <v>214</v>
      </c>
      <c r="G122" s="560"/>
      <c r="H122" s="561"/>
      <c r="I122" s="560"/>
      <c r="J122" s="562"/>
      <c r="N122" s="721"/>
      <c r="O122" s="728"/>
      <c r="P122" s="382"/>
    </row>
    <row r="123" spans="1:16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143" t="s">
        <v>230</v>
      </c>
      <c r="B124" s="1144"/>
      <c r="C124" s="1144"/>
      <c r="D124" s="523" t="s">
        <v>140</v>
      </c>
      <c r="E124" s="478">
        <f>'12'!F124</f>
        <v>828521.9</v>
      </c>
      <c r="F124" s="478">
        <v>828726.78</v>
      </c>
      <c r="G124" s="473">
        <f t="shared" ref="G124:G128" si="14">F124-E124</f>
        <v>204.88000000000466</v>
      </c>
      <c r="H124" s="460">
        <f>G124+'12'!H124</f>
        <v>2638.3200000000652</v>
      </c>
      <c r="I124" s="526"/>
      <c r="J124" s="552">
        <f>H124/DAY(B2)</f>
        <v>202.94769230769731</v>
      </c>
      <c r="K124" s="380"/>
      <c r="L124" s="377"/>
      <c r="N124" s="721"/>
      <c r="O124" s="728"/>
      <c r="P124" s="382"/>
    </row>
    <row r="125" spans="1:16" ht="27.75">
      <c r="A125" s="1143" t="s">
        <v>231</v>
      </c>
      <c r="B125" s="1144"/>
      <c r="C125" s="1144"/>
      <c r="D125" s="523" t="s">
        <v>140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21"/>
      <c r="O125" s="728"/>
      <c r="P125" s="382"/>
    </row>
    <row r="126" spans="1:16" ht="27.75">
      <c r="A126" s="1530" t="s">
        <v>232</v>
      </c>
      <c r="B126" s="1531"/>
      <c r="C126" s="1532"/>
      <c r="D126" s="523" t="s">
        <v>140</v>
      </c>
      <c r="E126" s="478">
        <f>'12'!F126</f>
        <v>145389.46</v>
      </c>
      <c r="F126" s="478">
        <v>145442.09</v>
      </c>
      <c r="G126" s="473">
        <f t="shared" si="14"/>
        <v>52.630000000004657</v>
      </c>
      <c r="H126" s="460">
        <f>G126+'12'!H126</f>
        <v>754.64999999999418</v>
      </c>
      <c r="I126" s="526"/>
      <c r="J126" s="552">
        <f>H126/DAY(B2)</f>
        <v>58.04999999999955</v>
      </c>
      <c r="K126" s="380"/>
      <c r="L126" s="377"/>
      <c r="N126" s="721"/>
      <c r="O126" s="728"/>
      <c r="P126" s="382"/>
    </row>
    <row r="127" spans="1:16" ht="27.75">
      <c r="A127" s="609" t="s">
        <v>233</v>
      </c>
      <c r="B127" s="1144"/>
      <c r="C127" s="1144"/>
      <c r="D127" s="523" t="s">
        <v>140</v>
      </c>
      <c r="E127" s="626">
        <f>'12'!F127</f>
        <v>31404.2</v>
      </c>
      <c r="F127" s="626">
        <v>31404</v>
      </c>
      <c r="G127" s="473">
        <f t="shared" si="14"/>
        <v>-0.2000000000007276</v>
      </c>
      <c r="H127" s="460">
        <f>G127+'12'!H127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234</v>
      </c>
      <c r="B128" s="1144"/>
      <c r="C128" s="1144"/>
      <c r="D128" s="523" t="s">
        <v>140</v>
      </c>
      <c r="E128" s="626">
        <f>'12'!F128</f>
        <v>8971</v>
      </c>
      <c r="F128" s="626">
        <v>8971</v>
      </c>
      <c r="G128" s="473">
        <f t="shared" si="14"/>
        <v>0</v>
      </c>
      <c r="H128" s="460">
        <f>G128+'12'!H128</f>
        <v>1.2999999999992724</v>
      </c>
      <c r="I128" s="480"/>
      <c r="J128" s="552">
        <f>H128/DAY(B2)</f>
        <v>9.9999999999944036E-2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235</v>
      </c>
      <c r="B129" s="1144"/>
      <c r="C129" s="1144"/>
      <c r="D129" s="523"/>
      <c r="E129" s="478"/>
      <c r="F129" s="478"/>
      <c r="G129" s="473">
        <f>G15-SUM(G124:G128)</f>
        <v>393.56999999987966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143" t="s">
        <v>237</v>
      </c>
      <c r="B131" s="1144"/>
      <c r="C131" s="1144"/>
      <c r="D131" s="523" t="s">
        <v>238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43" t="s">
        <v>239</v>
      </c>
      <c r="B132" s="1144"/>
      <c r="C132" s="1144"/>
      <c r="D132" s="523" t="s">
        <v>238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143" t="s">
        <v>240</v>
      </c>
      <c r="B133" s="1144"/>
      <c r="C133" s="1144"/>
      <c r="D133" s="523" t="s">
        <v>238</v>
      </c>
      <c r="E133" s="541">
        <f>'12'!F133</f>
        <v>40029.35</v>
      </c>
      <c r="F133" s="654">
        <v>40029.35</v>
      </c>
      <c r="G133" s="473">
        <f t="shared" si="15"/>
        <v>0</v>
      </c>
      <c r="H133" s="460">
        <f>G133+'12'!H133</f>
        <v>282.86999999999534</v>
      </c>
      <c r="I133" s="480"/>
      <c r="J133" s="552">
        <f>H133/DAY(B2)</f>
        <v>21.75923076923041</v>
      </c>
      <c r="N133" s="721"/>
      <c r="O133" s="728"/>
      <c r="P133" s="382"/>
    </row>
    <row r="134" spans="1:16" ht="27.75">
      <c r="A134" s="1143" t="s">
        <v>241</v>
      </c>
      <c r="B134" s="1144"/>
      <c r="C134" s="1144"/>
      <c r="D134" s="523" t="s">
        <v>238</v>
      </c>
      <c r="E134" s="704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143" t="s">
        <v>242</v>
      </c>
      <c r="B135" s="1144"/>
      <c r="C135" s="1144"/>
      <c r="D135" s="523" t="s">
        <v>238</v>
      </c>
      <c r="E135" s="704">
        <f>'12'!F135</f>
        <v>41396.43</v>
      </c>
      <c r="F135" s="626">
        <v>41420.9</v>
      </c>
      <c r="G135" s="473">
        <f t="shared" si="15"/>
        <v>24.470000000001164</v>
      </c>
      <c r="H135" s="460">
        <f>G135+'12'!H135</f>
        <v>35.900000000001455</v>
      </c>
      <c r="I135" s="480"/>
      <c r="J135" s="552">
        <f>H135/DAY(B2)</f>
        <v>2.7615384615385734</v>
      </c>
      <c r="N135" s="721"/>
      <c r="O135" s="728"/>
      <c r="P135" s="382"/>
    </row>
    <row r="136" spans="1:16" ht="27.75">
      <c r="A136" s="1143" t="s">
        <v>243</v>
      </c>
      <c r="B136" s="1144"/>
      <c r="C136" s="1144"/>
      <c r="D136" s="523" t="s">
        <v>238</v>
      </c>
      <c r="E136" s="541">
        <f>'12'!F136</f>
        <v>32582.560000000001</v>
      </c>
      <c r="F136" s="654">
        <v>32582.560000000001</v>
      </c>
      <c r="G136" s="473">
        <f t="shared" si="15"/>
        <v>0</v>
      </c>
      <c r="H136" s="460">
        <f>G136+'12'!H136</f>
        <v>-0.43999999999869033</v>
      </c>
      <c r="I136" s="480"/>
      <c r="J136" s="552">
        <f>H136/DAY(B2)</f>
        <v>-3.3846153846053099E-2</v>
      </c>
      <c r="N136" s="721"/>
      <c r="O136" s="728"/>
      <c r="P136" s="382"/>
    </row>
    <row r="137" spans="1:16" ht="27.75">
      <c r="A137" s="1143" t="s">
        <v>244</v>
      </c>
      <c r="B137" s="1144"/>
      <c r="C137" s="1144"/>
      <c r="D137" s="523" t="s">
        <v>238</v>
      </c>
      <c r="E137" s="541">
        <f>'12'!F137</f>
        <v>22759</v>
      </c>
      <c r="F137" s="654">
        <v>22766.92</v>
      </c>
      <c r="G137" s="473">
        <f t="shared" si="15"/>
        <v>7.9199999999982538</v>
      </c>
      <c r="H137" s="460">
        <f>G137+'12'!H137</f>
        <v>27.329999999998108</v>
      </c>
      <c r="I137" s="480">
        <f>G135+G136+G137</f>
        <v>32.389999999999418</v>
      </c>
      <c r="J137" s="552">
        <f>H137/DAY(B2)</f>
        <v>2.102307692307547</v>
      </c>
      <c r="N137" s="721"/>
      <c r="O137" s="728"/>
      <c r="P137" s="382"/>
    </row>
    <row r="138" spans="1:16" ht="27.75">
      <c r="A138" s="1143" t="s">
        <v>245</v>
      </c>
      <c r="B138" s="1144"/>
      <c r="C138" s="1144"/>
      <c r="D138" s="523" t="s">
        <v>238</v>
      </c>
      <c r="E138" s="541">
        <f>'12'!F138</f>
        <v>25051.72</v>
      </c>
      <c r="F138" s="654">
        <v>25051.72</v>
      </c>
      <c r="G138" s="473">
        <f t="shared" si="15"/>
        <v>0</v>
      </c>
      <c r="H138" s="460">
        <f>G138+'12'!H138</f>
        <v>0.13000000000101863</v>
      </c>
      <c r="I138" s="480"/>
      <c r="J138" s="552">
        <f>H138/DAY(B2)</f>
        <v>1.0000000000078356E-2</v>
      </c>
      <c r="N138" s="721"/>
      <c r="O138" s="728"/>
      <c r="P138" s="382"/>
    </row>
    <row r="139" spans="1:16" ht="27.75">
      <c r="A139" s="1143" t="s">
        <v>246</v>
      </c>
      <c r="B139" s="1144"/>
      <c r="C139" s="1144"/>
      <c r="D139" s="523" t="s">
        <v>238</v>
      </c>
      <c r="E139" s="541">
        <f>'12'!F139</f>
        <v>70351.94</v>
      </c>
      <c r="F139" s="654">
        <v>70351.94</v>
      </c>
      <c r="G139" s="473">
        <f t="shared" si="15"/>
        <v>0</v>
      </c>
      <c r="H139" s="460">
        <f>G139+'12'!H139</f>
        <v>36.130000000004657</v>
      </c>
      <c r="I139" s="480">
        <f>G138+G139</f>
        <v>0</v>
      </c>
      <c r="J139" s="552">
        <f>H139/DAY(B2)</f>
        <v>2.7792307692311273</v>
      </c>
      <c r="N139" s="721"/>
      <c r="O139" s="728"/>
      <c r="P139" s="382"/>
    </row>
    <row r="140" spans="1:16" ht="27.75">
      <c r="A140" s="1143" t="s">
        <v>247</v>
      </c>
      <c r="B140" s="1144"/>
      <c r="C140" s="1144"/>
      <c r="D140" s="523" t="s">
        <v>238</v>
      </c>
      <c r="E140" s="704">
        <f>'12'!F140</f>
        <v>1708.75</v>
      </c>
      <c r="F140" s="626">
        <v>1716.31</v>
      </c>
      <c r="G140" s="473">
        <f t="shared" si="15"/>
        <v>7.5599999999999454</v>
      </c>
      <c r="H140" s="460">
        <f>G140+'12'!H140</f>
        <v>99.450000000000045</v>
      </c>
      <c r="I140" s="542"/>
      <c r="J140" s="552">
        <f>H140/DAY(B2)</f>
        <v>7.6500000000000039</v>
      </c>
      <c r="N140" s="721"/>
      <c r="O140" s="728"/>
      <c r="P140" s="382"/>
    </row>
    <row r="141" spans="1:16" ht="27.75">
      <c r="A141" s="1143" t="s">
        <v>248</v>
      </c>
      <c r="B141" s="1144"/>
      <c r="C141" s="1144"/>
      <c r="D141" s="523" t="s">
        <v>238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21"/>
      <c r="O141" s="728"/>
      <c r="P141" s="382"/>
    </row>
    <row r="142" spans="1:16">
      <c r="A142" s="1557" t="s">
        <v>249</v>
      </c>
      <c r="B142" s="1558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3805.8899999999394</v>
      </c>
      <c r="H143" s="460">
        <f>G143+'12'!H143</f>
        <v>55383.86000000003</v>
      </c>
      <c r="I143" s="480"/>
      <c r="J143" s="552">
        <f>H143/DAY(B2)</f>
        <v>4260.2969230769249</v>
      </c>
      <c r="K143" s="380"/>
      <c r="L143" s="377"/>
      <c r="N143" s="721"/>
      <c r="O143" s="728"/>
      <c r="P143" s="382"/>
    </row>
    <row r="144" spans="1:16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0.2612865887315316</v>
      </c>
      <c r="H144" s="460">
        <f>G144+'12'!H144</f>
        <v>3.5247726118710458</v>
      </c>
      <c r="I144" s="544"/>
      <c r="J144" s="552">
        <f>H144/DAY(B2)</f>
        <v>0.27113635475931119</v>
      </c>
      <c r="K144" s="380"/>
      <c r="L144" s="377"/>
      <c r="N144" s="721"/>
      <c r="O144" s="728"/>
      <c r="P144" s="382"/>
    </row>
    <row r="145" spans="1:16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4621.0999999999631</v>
      </c>
      <c r="H145" s="460">
        <f>G145+'12'!H145</f>
        <v>63031.969999999979</v>
      </c>
      <c r="I145" s="480"/>
      <c r="J145" s="552">
        <f>H145/DAY(B2)</f>
        <v>4848.6130769230749</v>
      </c>
      <c r="K145" s="380"/>
      <c r="L145" s="377"/>
      <c r="N145" s="721"/>
      <c r="O145" s="728"/>
      <c r="P145" s="382"/>
    </row>
    <row r="146" spans="1:16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0.31725337705169887</v>
      </c>
      <c r="H146" s="460">
        <f>G146+'12'!H146</f>
        <v>4.0234839307235166</v>
      </c>
      <c r="I146" s="544"/>
      <c r="J146" s="552">
        <f>H146/DAY(B2)</f>
        <v>0.30949876390180897</v>
      </c>
      <c r="K146" s="380"/>
      <c r="L146" s="377"/>
      <c r="N146" s="721"/>
      <c r="O146" s="728"/>
      <c r="P146" s="382"/>
    </row>
    <row r="147" spans="1:16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2066.6200000000536</v>
      </c>
      <c r="H147" s="460">
        <f>G147+'12'!H147</f>
        <v>29363.740000000049</v>
      </c>
      <c r="I147" s="545"/>
      <c r="J147" s="552">
        <f>H147/DAY(B2)</f>
        <v>2258.7492307692346</v>
      </c>
      <c r="K147" s="380"/>
      <c r="L147" s="377"/>
      <c r="N147" s="721"/>
      <c r="O147" s="728"/>
      <c r="P147" s="382"/>
    </row>
    <row r="148" spans="1:16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0.14188010951561406</v>
      </c>
      <c r="H148" s="460">
        <f>G148+'12'!H148</f>
        <v>1.8698486377413162</v>
      </c>
      <c r="I148" s="545"/>
      <c r="J148" s="552">
        <f>H148/DAY(B2)</f>
        <v>0.14383451059548585</v>
      </c>
      <c r="N148" s="721"/>
      <c r="O148" s="728"/>
      <c r="P148" s="382"/>
    </row>
    <row r="149" spans="1:16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1148.2199999999721</v>
      </c>
      <c r="H149" s="460">
        <f>G149+'12'!H149</f>
        <v>15635.929999999935</v>
      </c>
      <c r="I149" s="480"/>
      <c r="J149" s="552">
        <f>H149/DAY(B2)</f>
        <v>1202.7638461538411</v>
      </c>
      <c r="K149" s="381"/>
      <c r="N149" s="721"/>
      <c r="O149" s="728"/>
      <c r="P149" s="382"/>
    </row>
    <row r="150" spans="1:16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7.8828995823136419E-2</v>
      </c>
      <c r="H150" s="460">
        <f>G150+'12'!H150</f>
        <v>0.9963182663947644</v>
      </c>
      <c r="I150" s="545"/>
      <c r="J150" s="552">
        <f>H150/DAY(B2)</f>
        <v>7.6639866645751106E-2</v>
      </c>
      <c r="N150" s="721"/>
      <c r="O150" s="728"/>
      <c r="P150" s="382"/>
    </row>
    <row r="151" spans="1:16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820.80000000004657</v>
      </c>
      <c r="H151" s="460">
        <f>G151+'12'!H151</f>
        <v>14664.150000000023</v>
      </c>
      <c r="I151" s="545"/>
      <c r="J151" s="552">
        <f>H151/DAY(B2)</f>
        <v>1128.0115384615403</v>
      </c>
      <c r="N151" s="721"/>
      <c r="O151" s="728"/>
      <c r="P151" s="382"/>
    </row>
    <row r="152" spans="1:16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5.635055979832751E-2</v>
      </c>
      <c r="H152" s="460">
        <f>G152+'12'!H152</f>
        <v>0.92742955961008577</v>
      </c>
      <c r="I152" s="480"/>
      <c r="J152" s="552">
        <f>H152/DAY(B2)</f>
        <v>7.1340735354621987E-2</v>
      </c>
      <c r="N152" s="721"/>
      <c r="O152" s="728"/>
      <c r="P152" s="382"/>
    </row>
    <row r="153" spans="1:16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1166.1399999999994</v>
      </c>
      <c r="H153" s="460">
        <f>G153+'12'!H153</f>
        <v>15846.869999999995</v>
      </c>
      <c r="I153" s="480"/>
      <c r="J153" s="552">
        <f>H153/DAY(B2)</f>
        <v>1218.9899999999996</v>
      </c>
      <c r="N153" s="721"/>
      <c r="O153" s="728"/>
      <c r="P153" s="382"/>
    </row>
    <row r="154" spans="1:16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8.0059261456162142E-2</v>
      </c>
      <c r="H154" s="460">
        <f>G154+'12'!H154</f>
        <v>1.0099622742363821</v>
      </c>
      <c r="I154" s="568"/>
      <c r="J154" s="569">
        <f>H154/DAY(B2)</f>
        <v>7.7689405710490933E-2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262</v>
      </c>
      <c r="B161" s="798"/>
      <c r="C161" s="798"/>
      <c r="D161" s="620" t="s">
        <v>186</v>
      </c>
      <c r="E161" s="522">
        <f>'12'!F161</f>
        <v>36910.019999999997</v>
      </c>
      <c r="F161" s="806">
        <v>36991.79</v>
      </c>
      <c r="G161" s="473">
        <f t="shared" ref="G161:G164" si="16">F161-E161</f>
        <v>81.770000000004075</v>
      </c>
      <c r="N161" s="721"/>
    </row>
    <row r="162" spans="1:14">
      <c r="A162" s="797" t="s">
        <v>263</v>
      </c>
      <c r="B162" s="798"/>
      <c r="C162" s="798"/>
      <c r="D162" s="620" t="s">
        <v>186</v>
      </c>
      <c r="E162" s="522">
        <f>'12'!F162</f>
        <v>87413</v>
      </c>
      <c r="F162" s="806">
        <v>87811.65</v>
      </c>
      <c r="G162" s="473">
        <f t="shared" si="16"/>
        <v>398.64999999999418</v>
      </c>
      <c r="N162" s="721"/>
    </row>
    <row r="163" spans="1:14">
      <c r="A163" s="797" t="s">
        <v>264</v>
      </c>
      <c r="B163" s="798"/>
      <c r="C163" s="798"/>
      <c r="D163" s="620" t="s">
        <v>186</v>
      </c>
      <c r="E163" s="522">
        <f>'12'!F163</f>
        <v>40921.15</v>
      </c>
      <c r="F163" s="806">
        <v>41174.32</v>
      </c>
      <c r="G163" s="473">
        <f t="shared" si="16"/>
        <v>253.16999999999825</v>
      </c>
      <c r="N163" s="721"/>
    </row>
    <row r="164" spans="1:14">
      <c r="A164" s="797" t="s">
        <v>265</v>
      </c>
      <c r="B164" s="798"/>
      <c r="C164" s="798"/>
      <c r="D164" s="620" t="s">
        <v>186</v>
      </c>
      <c r="E164" s="522">
        <f>'12'!F164</f>
        <v>6355.48</v>
      </c>
      <c r="F164" s="806">
        <v>6367.18</v>
      </c>
      <c r="G164" s="473">
        <f t="shared" si="16"/>
        <v>11.700000000000728</v>
      </c>
      <c r="N164" s="721"/>
    </row>
    <row r="165" spans="1:14">
      <c r="A165" s="799" t="s">
        <v>98</v>
      </c>
      <c r="B165" s="800"/>
      <c r="C165" s="800"/>
      <c r="D165" s="620" t="s">
        <v>186</v>
      </c>
      <c r="E165" s="514">
        <f>E62</f>
        <v>20419</v>
      </c>
      <c r="F165" s="514">
        <f>F62</f>
        <v>20419.18</v>
      </c>
      <c r="G165" s="473">
        <f t="shared" ref="G165:G172" si="17">F165-E165</f>
        <v>0.18000000000029104</v>
      </c>
      <c r="N165" s="721"/>
    </row>
    <row r="166" spans="1:14">
      <c r="A166" s="799" t="s">
        <v>187</v>
      </c>
      <c r="B166" s="800"/>
      <c r="C166" s="800"/>
      <c r="D166" s="620" t="s">
        <v>186</v>
      </c>
      <c r="E166" s="514">
        <f t="shared" ref="E166:E172" si="18">E63</f>
        <v>2404.58</v>
      </c>
      <c r="F166" s="514">
        <f t="shared" ref="F166:F172" si="19">F63</f>
        <v>2408.36</v>
      </c>
      <c r="G166" s="473">
        <f t="shared" si="17"/>
        <v>3.7800000000002001</v>
      </c>
      <c r="N166" s="721"/>
    </row>
    <row r="167" spans="1:14" ht="21.75" customHeight="1">
      <c r="A167" s="1596" t="s">
        <v>99</v>
      </c>
      <c r="B167" s="1596"/>
      <c r="C167" s="1596"/>
      <c r="D167" s="524" t="s">
        <v>186</v>
      </c>
      <c r="E167" s="514">
        <f t="shared" si="18"/>
        <v>155788.35</v>
      </c>
      <c r="F167" s="514">
        <f t="shared" si="19"/>
        <v>155994.29</v>
      </c>
      <c r="G167" s="473">
        <f t="shared" si="17"/>
        <v>205.94000000000233</v>
      </c>
      <c r="N167" s="721"/>
    </row>
    <row r="168" spans="1:14" ht="21.75" customHeight="1">
      <c r="A168" s="1596" t="s">
        <v>100</v>
      </c>
      <c r="B168" s="1596"/>
      <c r="C168" s="1596"/>
      <c r="D168" s="524" t="s">
        <v>186</v>
      </c>
      <c r="E168" s="514">
        <f t="shared" si="18"/>
        <v>156785.48000000001</v>
      </c>
      <c r="F168" s="514">
        <f t="shared" si="19"/>
        <v>156935.51999999999</v>
      </c>
      <c r="G168" s="473">
        <f t="shared" si="17"/>
        <v>150.03999999997905</v>
      </c>
      <c r="N168" s="721"/>
    </row>
    <row r="169" spans="1:14" ht="21.75" customHeight="1">
      <c r="A169" s="1596" t="s">
        <v>101</v>
      </c>
      <c r="B169" s="1596"/>
      <c r="C169" s="1596"/>
      <c r="D169" s="524" t="s">
        <v>186</v>
      </c>
      <c r="E169" s="514">
        <f t="shared" si="18"/>
        <v>51678.48</v>
      </c>
      <c r="F169" s="514">
        <f t="shared" si="19"/>
        <v>51922.93</v>
      </c>
      <c r="G169" s="473">
        <f t="shared" si="17"/>
        <v>244.44999999999709</v>
      </c>
      <c r="N169" s="721"/>
    </row>
    <row r="170" spans="1:14" ht="26.25" customHeight="1">
      <c r="A170" s="1596" t="s">
        <v>102</v>
      </c>
      <c r="B170" s="1596"/>
      <c r="C170" s="1596"/>
      <c r="D170" s="524" t="s">
        <v>186</v>
      </c>
      <c r="E170" s="514">
        <f t="shared" si="18"/>
        <v>245062.55</v>
      </c>
      <c r="F170" s="514">
        <f t="shared" si="19"/>
        <v>245187.61</v>
      </c>
      <c r="G170" s="473">
        <f t="shared" si="17"/>
        <v>125.05999999999767</v>
      </c>
      <c r="N170" s="721"/>
    </row>
    <row r="171" spans="1:14" ht="24" customHeight="1">
      <c r="A171" s="1596" t="s">
        <v>103</v>
      </c>
      <c r="B171" s="1596"/>
      <c r="C171" s="1596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96" t="s">
        <v>104</v>
      </c>
      <c r="B172" s="1596"/>
      <c r="C172" s="1596"/>
      <c r="D172" s="524" t="s">
        <v>186</v>
      </c>
      <c r="E172" s="514">
        <f t="shared" si="18"/>
        <v>79913.820000000007</v>
      </c>
      <c r="F172" s="514">
        <f t="shared" si="19"/>
        <v>79957.27</v>
      </c>
      <c r="G172" s="473">
        <f t="shared" si="17"/>
        <v>43.44999999999709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1518.189999999971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8.75" customHeight="1">
      <c r="N179" s="721"/>
    </row>
    <row r="180" spans="14:14" ht="18" customHeight="1">
      <c r="N180" s="721"/>
    </row>
    <row r="181" spans="14:14" ht="18.75" customHeight="1">
      <c r="N181" s="721"/>
    </row>
    <row r="182" spans="14:14" ht="18.75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9" t="s">
        <v>269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6" s="281" customFormat="1" ht="27">
      <c r="A2" s="575" t="s">
        <v>359</v>
      </c>
      <c r="B2" s="1035">
        <v>44330</v>
      </c>
      <c r="C2" s="1194" t="s">
        <v>69</v>
      </c>
      <c r="D2" s="611">
        <v>0.63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20"/>
      <c r="O2" s="727"/>
    </row>
    <row r="3" spans="1:16" s="281" customFormat="1" ht="27">
      <c r="A3" s="570"/>
      <c r="B3" s="614"/>
      <c r="C3" s="1194" t="s">
        <v>119</v>
      </c>
      <c r="D3" s="612">
        <v>30</v>
      </c>
      <c r="E3" s="1568" t="s">
        <v>120</v>
      </c>
      <c r="F3" s="1569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94" t="s">
        <v>121</v>
      </c>
      <c r="D4" s="611">
        <v>0.78</v>
      </c>
      <c r="E4" s="464"/>
      <c r="F4" s="464"/>
      <c r="G4" s="464"/>
      <c r="H4" s="464"/>
      <c r="I4" s="465"/>
      <c r="J4" s="615" t="s">
        <v>214</v>
      </c>
      <c r="K4" s="372"/>
      <c r="L4" s="292"/>
      <c r="N4" s="720"/>
      <c r="O4" s="727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130</v>
      </c>
      <c r="B7" s="680"/>
      <c r="C7" s="680"/>
      <c r="D7" s="638" t="s">
        <v>131</v>
      </c>
      <c r="E7" s="633">
        <f>'13'!F7</f>
        <v>49523.83</v>
      </c>
      <c r="F7" s="455">
        <v>63827.51</v>
      </c>
      <c r="G7" s="681">
        <f>F7-E7</f>
        <v>14303.68</v>
      </c>
      <c r="H7" s="682">
        <f>G7+'13'!H7</f>
        <v>218850.50999999998</v>
      </c>
      <c r="I7" s="683">
        <f>'1'!I7</f>
        <v>12000</v>
      </c>
      <c r="J7" s="684">
        <f>H7/DAY(B2)</f>
        <v>15632.179285714285</v>
      </c>
      <c r="K7" s="549"/>
      <c r="L7" s="377"/>
      <c r="N7" s="732"/>
      <c r="O7" s="728"/>
      <c r="P7" s="731"/>
    </row>
    <row r="8" spans="1:16" ht="27.75" thickBot="1">
      <c r="A8" s="685" t="s">
        <v>132</v>
      </c>
      <c r="B8" s="686"/>
      <c r="C8" s="687"/>
      <c r="D8" s="688" t="s">
        <v>25</v>
      </c>
      <c r="E8" s="633">
        <f>'13'!F8</f>
        <v>49888.73</v>
      </c>
      <c r="F8" s="475">
        <v>64319.28</v>
      </c>
      <c r="G8" s="692">
        <f>F8-E8</f>
        <v>14430.549999999996</v>
      </c>
      <c r="H8" s="682">
        <f>G8+'13'!H8</f>
        <v>220078.28000000003</v>
      </c>
      <c r="I8" s="689">
        <f>'1'!I8</f>
        <v>12000</v>
      </c>
      <c r="J8" s="684">
        <f>H8/DAY(B2)</f>
        <v>15719.877142857145</v>
      </c>
      <c r="K8" s="549"/>
      <c r="L8" s="425"/>
      <c r="M8" s="440"/>
      <c r="N8" s="721"/>
      <c r="O8" s="728"/>
      <c r="P8" s="382"/>
    </row>
    <row r="9" spans="1:16">
      <c r="A9" s="690" t="s">
        <v>133</v>
      </c>
      <c r="B9" s="691"/>
      <c r="C9" s="691"/>
      <c r="D9" s="638" t="s">
        <v>131</v>
      </c>
      <c r="E9" s="633">
        <f>'13'!F9</f>
        <v>1188471.3</v>
      </c>
      <c r="F9" s="478">
        <v>1202298.2</v>
      </c>
      <c r="G9" s="705">
        <f t="shared" ref="G9:G12" si="0">F9-E9</f>
        <v>13826.899999999907</v>
      </c>
      <c r="H9" s="682">
        <f>G9+'13'!H9</f>
        <v>211584.19999999995</v>
      </c>
      <c r="I9" s="693">
        <f>I7-J7</f>
        <v>-3632.1792857142846</v>
      </c>
      <c r="J9" s="684">
        <f>H9/DAY(B2)</f>
        <v>15113.157142857139</v>
      </c>
      <c r="K9" s="428"/>
      <c r="L9" s="377"/>
      <c r="N9" s="721"/>
      <c r="O9" s="728"/>
      <c r="P9" s="382"/>
    </row>
    <row r="10" spans="1:16">
      <c r="A10" s="679" t="s">
        <v>134</v>
      </c>
      <c r="B10" s="680"/>
      <c r="C10" s="680"/>
      <c r="D10" s="638" t="s">
        <v>131</v>
      </c>
      <c r="E10" s="633">
        <f>'13'!F10</f>
        <v>2322.58</v>
      </c>
      <c r="F10" s="478">
        <v>2322.58</v>
      </c>
      <c r="G10" s="692">
        <f t="shared" si="0"/>
        <v>0</v>
      </c>
      <c r="H10" s="682">
        <f>G10+'13'!H10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135</v>
      </c>
      <c r="B11" s="680"/>
      <c r="C11" s="680"/>
      <c r="D11" s="638" t="s">
        <v>131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G11+'13'!H11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136</v>
      </c>
      <c r="B12" s="680"/>
      <c r="C12" s="680"/>
      <c r="D12" s="638" t="s">
        <v>131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G12+'13'!H12</f>
        <v>0</v>
      </c>
      <c r="I12" s="694"/>
      <c r="J12" s="684">
        <f>H12/DAY(B2)</f>
        <v>0</v>
      </c>
      <c r="K12" s="428"/>
      <c r="L12" s="377" t="s">
        <v>267</v>
      </c>
      <c r="N12" s="721"/>
      <c r="O12" s="728">
        <v>0</v>
      </c>
      <c r="P12" s="382"/>
    </row>
    <row r="13" spans="1:16">
      <c r="A13" s="695" t="s">
        <v>137</v>
      </c>
      <c r="B13" s="696"/>
      <c r="C13" s="696"/>
      <c r="D13" s="638"/>
      <c r="E13" s="633"/>
      <c r="F13" s="455"/>
      <c r="G13" s="697">
        <f>G9+G10+G11+G12</f>
        <v>13826.899999999907</v>
      </c>
      <c r="H13" s="682">
        <f>G13+'13'!H13</f>
        <v>197063.19999999995</v>
      </c>
      <c r="I13" s="698">
        <f>G7-G13</f>
        <v>476.78000000009342</v>
      </c>
      <c r="J13" s="684">
        <f>H13/DAY(B2)</f>
        <v>14075.942857142854</v>
      </c>
      <c r="K13" s="428"/>
      <c r="L13" s="377"/>
      <c r="N13" s="721"/>
      <c r="O13" s="728"/>
      <c r="P13" s="382"/>
    </row>
    <row r="14" spans="1:16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5" t="s">
        <v>139</v>
      </c>
      <c r="B15" s="796"/>
      <c r="C15" s="796"/>
      <c r="D15" s="524" t="s">
        <v>140</v>
      </c>
      <c r="E15" s="485">
        <f>'13'!F15</f>
        <v>1676371</v>
      </c>
      <c r="F15" s="485">
        <v>1676663.58</v>
      </c>
      <c r="G15" s="667">
        <f>(F15-E15)</f>
        <v>292.58000000007451</v>
      </c>
      <c r="H15" s="486">
        <f>G15+'13'!H15</f>
        <v>6006.5800000000745</v>
      </c>
      <c r="I15" s="474">
        <v>800</v>
      </c>
      <c r="J15" s="553">
        <f>H15/DAY(B2)</f>
        <v>429.04142857143387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370.95857142856613</v>
      </c>
      <c r="J16" s="553"/>
      <c r="K16" s="428"/>
      <c r="L16" s="377"/>
      <c r="N16" s="721"/>
      <c r="O16" s="728"/>
      <c r="P16" s="382"/>
    </row>
    <row r="17" spans="1:16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1" t="s">
        <v>142</v>
      </c>
      <c r="B18" s="1592"/>
      <c r="C18" s="1593"/>
      <c r="D18" s="638" t="s">
        <v>143</v>
      </c>
      <c r="E18" s="635">
        <f>'13'!F18</f>
        <v>2</v>
      </c>
      <c r="F18" s="478">
        <v>2</v>
      </c>
      <c r="G18" s="697">
        <f>F18*10</f>
        <v>20</v>
      </c>
      <c r="H18" s="682">
        <f>G18+'13'!H18</f>
        <v>500</v>
      </c>
      <c r="I18" s="683">
        <f>'1'!I18</f>
        <v>65</v>
      </c>
      <c r="J18" s="684">
        <f>H18/DAY(B2)</f>
        <v>35.714285714285715</v>
      </c>
      <c r="K18" s="428"/>
      <c r="L18" s="377"/>
      <c r="N18" s="721"/>
      <c r="O18" s="728"/>
      <c r="P18" s="382"/>
    </row>
    <row r="19" spans="1:16" ht="27.75">
      <c r="A19" s="1591" t="s">
        <v>71</v>
      </c>
      <c r="B19" s="1592"/>
      <c r="C19" s="1593"/>
      <c r="D19" s="638" t="s">
        <v>143</v>
      </c>
      <c r="E19" s="635">
        <f>'13'!F19</f>
        <v>138518</v>
      </c>
      <c r="F19" s="478">
        <v>138575</v>
      </c>
      <c r="G19" s="692">
        <f t="shared" ref="G19" si="1">F19-E19</f>
        <v>57</v>
      </c>
      <c r="H19" s="682">
        <f>G19+'13'!H19</f>
        <v>763</v>
      </c>
      <c r="I19" s="699"/>
      <c r="J19" s="684">
        <f>H19/DAY(B2)</f>
        <v>54.5</v>
      </c>
      <c r="K19" s="428"/>
      <c r="L19" s="377"/>
      <c r="N19" s="721"/>
      <c r="O19" s="728"/>
      <c r="P19" s="382"/>
    </row>
    <row r="20" spans="1:16">
      <c r="A20" s="695" t="s">
        <v>144</v>
      </c>
      <c r="B20" s="696"/>
      <c r="C20" s="696"/>
      <c r="D20" s="638"/>
      <c r="E20" s="638"/>
      <c r="F20" s="712"/>
      <c r="G20" s="700">
        <f>G18+G19</f>
        <v>77</v>
      </c>
      <c r="H20" s="682">
        <f>G20+'13'!H20</f>
        <v>1263</v>
      </c>
      <c r="I20" s="701">
        <f>I18-J20</f>
        <v>-25.214285714285708</v>
      </c>
      <c r="J20" s="684">
        <f>H20/DAY(B2)</f>
        <v>90.214285714285708</v>
      </c>
      <c r="K20" s="428"/>
      <c r="L20" s="377"/>
      <c r="N20" s="721"/>
      <c r="O20" s="728"/>
      <c r="P20" s="382"/>
    </row>
    <row r="21" spans="1:16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87" t="s">
        <v>146</v>
      </c>
      <c r="B22" s="589"/>
      <c r="C22" s="589"/>
      <c r="D22" s="523" t="s">
        <v>147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87" t="s">
        <v>148</v>
      </c>
      <c r="B23" s="589"/>
      <c r="C23" s="589"/>
      <c r="D23" s="523" t="s">
        <v>147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14430.549999999996</v>
      </c>
      <c r="F27" s="501">
        <v>9</v>
      </c>
      <c r="G27" s="502">
        <f>E27*F27</f>
        <v>129874.94999999995</v>
      </c>
      <c r="H27" s="460">
        <f>G27+'13'!H27</f>
        <v>1980704.5199999998</v>
      </c>
      <c r="I27" s="503"/>
      <c r="J27" s="552">
        <f>H27/DAY(B2)</f>
        <v>141478.89428571428</v>
      </c>
      <c r="K27" s="373"/>
      <c r="L27" s="443"/>
      <c r="N27" s="721"/>
      <c r="O27" s="72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2">
        <f>G15</f>
        <v>292.58000000007451</v>
      </c>
      <c r="F28" s="501">
        <v>49</v>
      </c>
      <c r="G28" s="502">
        <f>E28*F28</f>
        <v>14336.420000003651</v>
      </c>
      <c r="H28" s="460">
        <f>G28+'13'!H28</f>
        <v>298556.02000000363</v>
      </c>
      <c r="I28" s="505"/>
      <c r="J28" s="552">
        <f>H28/DAY(B2)</f>
        <v>21325.430000000259</v>
      </c>
      <c r="K28" s="373"/>
      <c r="L28" s="443"/>
      <c r="N28" s="721"/>
      <c r="O28" s="72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2">
        <f>G19</f>
        <v>57</v>
      </c>
      <c r="F30" s="501">
        <v>134</v>
      </c>
      <c r="G30" s="502">
        <f>E30*F30</f>
        <v>7638</v>
      </c>
      <c r="H30" s="460">
        <f>G30+'13'!H30</f>
        <v>102242</v>
      </c>
      <c r="I30" s="505"/>
      <c r="J30" s="552">
        <f>H30/DAY(B2)</f>
        <v>7303</v>
      </c>
      <c r="K30" s="373"/>
      <c r="L30" s="443"/>
      <c r="N30" s="721"/>
      <c r="O30" s="72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2">
        <f>G18</f>
        <v>20</v>
      </c>
      <c r="F31" s="501">
        <v>80</v>
      </c>
      <c r="G31" s="502">
        <f>E31*F31</f>
        <v>1600</v>
      </c>
      <c r="H31" s="460">
        <f>G31+'13'!H31</f>
        <v>40000</v>
      </c>
      <c r="I31" s="505"/>
      <c r="J31" s="552">
        <f>H31/DAY(B2)</f>
        <v>2857.1428571428573</v>
      </c>
      <c r="K31" s="373"/>
      <c r="L31" s="443"/>
      <c r="N31" s="721"/>
      <c r="O31" s="728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153449.3700000036</v>
      </c>
      <c r="H32" s="460">
        <f>G32+'13'!H32</f>
        <v>2421502.5400000038</v>
      </c>
      <c r="I32" s="509"/>
      <c r="J32" s="552">
        <f>H32/DAY(B2)</f>
        <v>172964.46714285741</v>
      </c>
      <c r="K32" s="373"/>
      <c r="L32" s="443"/>
      <c r="N32" s="721"/>
      <c r="O32" s="728"/>
      <c r="P32" s="382"/>
    </row>
    <row r="33" spans="1:16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721"/>
      <c r="O33" s="728"/>
      <c r="P33" s="382"/>
    </row>
    <row r="34" spans="1:16">
      <c r="A34" s="598" t="s">
        <v>162</v>
      </c>
      <c r="B34" s="1189"/>
      <c r="C34" s="1189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'13'!F35</f>
        <v>913250.23</v>
      </c>
      <c r="F35" s="510">
        <v>915038.95</v>
      </c>
      <c r="G35" s="473">
        <f t="shared" ref="G35:G46" si="3">F35-E35</f>
        <v>1788.7199999999721</v>
      </c>
      <c r="H35" s="460">
        <f>G35+'13'!H35</f>
        <v>28579.949999999953</v>
      </c>
      <c r="I35" s="455"/>
      <c r="J35" s="552">
        <f>H35/DAY(B2)</f>
        <v>2041.4249999999968</v>
      </c>
      <c r="K35" s="428"/>
      <c r="L35" s="377"/>
      <c r="N35" s="721"/>
      <c r="O35" s="729" t="s">
        <v>267</v>
      </c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'13'!F36</f>
        <v>347065</v>
      </c>
      <c r="F36" s="510">
        <v>347065</v>
      </c>
      <c r="G36" s="473">
        <f t="shared" si="3"/>
        <v>0</v>
      </c>
      <c r="H36" s="460">
        <f>G36+'13'!H36</f>
        <v>2457</v>
      </c>
      <c r="I36" s="455"/>
      <c r="J36" s="552">
        <f>H36/DAY(B2)</f>
        <v>175.5</v>
      </c>
      <c r="K36" s="428"/>
      <c r="L36" s="377"/>
      <c r="N36" s="722"/>
      <c r="O36" s="729" t="s">
        <v>270</v>
      </c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'13'!F37</f>
        <v>111072</v>
      </c>
      <c r="F37" s="510">
        <v>112266.91</v>
      </c>
      <c r="G37" s="473">
        <f t="shared" si="3"/>
        <v>1194.9100000000035</v>
      </c>
      <c r="H37" s="460">
        <f>G37+'13'!H37</f>
        <v>17041.910000000003</v>
      </c>
      <c r="I37" s="455"/>
      <c r="J37" s="552">
        <f>H37/DAY(B2)</f>
        <v>1217.2792857142861</v>
      </c>
      <c r="K37" s="428"/>
      <c r="L37" s="377"/>
      <c r="N37" s="722"/>
      <c r="O37" s="729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'13'!F38</f>
        <v>135231.85999999999</v>
      </c>
      <c r="F38" s="469">
        <v>136320.97</v>
      </c>
      <c r="G38" s="473">
        <f t="shared" si="3"/>
        <v>1089.1100000000151</v>
      </c>
      <c r="H38" s="460">
        <f>G38+'13'!H38</f>
        <v>16724.97</v>
      </c>
      <c r="I38" s="455"/>
      <c r="J38" s="552">
        <f>H38/DAY(B2)</f>
        <v>1194.6407142857145</v>
      </c>
      <c r="K38" s="428"/>
      <c r="L38" s="377"/>
      <c r="N38" s="721"/>
      <c r="O38" s="728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'13'!F39</f>
        <v>269227.59000000003</v>
      </c>
      <c r="F39" s="510">
        <v>271010.89</v>
      </c>
      <c r="G39" s="473">
        <f t="shared" si="3"/>
        <v>1783.2999999999884</v>
      </c>
      <c r="H39" s="460">
        <f>G39+'13'!H39</f>
        <v>24357.890000000014</v>
      </c>
      <c r="I39" s="455"/>
      <c r="J39" s="552">
        <f>H39/DAY(B2)</f>
        <v>1739.8492857142867</v>
      </c>
      <c r="K39" s="428"/>
      <c r="L39" s="377"/>
      <c r="N39" s="721"/>
      <c r="O39" s="729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'13'!F40</f>
        <v>210.03</v>
      </c>
      <c r="F40" s="510">
        <v>263.02999999999997</v>
      </c>
      <c r="G40" s="473">
        <f t="shared" si="3"/>
        <v>52.999999999999972</v>
      </c>
      <c r="H40" s="460">
        <f>G40+'13'!H40</f>
        <v>262.79999999999995</v>
      </c>
      <c r="I40" s="455"/>
      <c r="J40" s="552">
        <f>H40/DAY(B2)</f>
        <v>18.771428571428569</v>
      </c>
      <c r="K40" s="429"/>
      <c r="L40" s="377"/>
      <c r="N40" s="721"/>
      <c r="O40" s="728"/>
      <c r="P40" s="382"/>
    </row>
    <row r="41" spans="1:16">
      <c r="A41" s="578" t="s">
        <v>169</v>
      </c>
      <c r="B41" s="579"/>
      <c r="C41" s="579" t="s">
        <v>214</v>
      </c>
      <c r="D41" s="523" t="s">
        <v>131</v>
      </c>
      <c r="E41" s="510">
        <f>'13'!F41</f>
        <v>239196.55</v>
      </c>
      <c r="F41" s="510">
        <v>239196.55</v>
      </c>
      <c r="G41" s="473">
        <f t="shared" si="3"/>
        <v>0</v>
      </c>
      <c r="H41" s="460">
        <f>G41+'13'!H41</f>
        <v>57668.549999999988</v>
      </c>
      <c r="I41" s="455"/>
      <c r="J41" s="552">
        <f>H41/DAY(B2)</f>
        <v>4119.182142857142</v>
      </c>
      <c r="K41" s="428"/>
      <c r="L41" s="377"/>
      <c r="N41" s="721"/>
      <c r="O41" s="730"/>
      <c r="P41" s="724"/>
    </row>
    <row r="42" spans="1:16">
      <c r="A42" s="578" t="s">
        <v>170</v>
      </c>
      <c r="B42" s="579"/>
      <c r="C42" s="579"/>
      <c r="D42" s="523" t="s">
        <v>131</v>
      </c>
      <c r="E42" s="510">
        <f>'13'!F42</f>
        <v>59200.08</v>
      </c>
      <c r="F42" s="510">
        <v>59200.08</v>
      </c>
      <c r="G42" s="473">
        <f t="shared" si="3"/>
        <v>0</v>
      </c>
      <c r="H42" s="460">
        <f>G42+'13'!H42</f>
        <v>8.000000000174623E-2</v>
      </c>
      <c r="I42" s="455"/>
      <c r="J42" s="552">
        <f>H42/DAY(B2)</f>
        <v>5.7142857144104452E-3</v>
      </c>
      <c r="K42" s="428"/>
      <c r="L42" s="377"/>
      <c r="N42" s="721"/>
      <c r="O42" s="728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'13'!F43</f>
        <v>1002550.3</v>
      </c>
      <c r="F43" s="510">
        <v>1004558.2</v>
      </c>
      <c r="G43" s="473">
        <f t="shared" si="3"/>
        <v>2007.8999999999069</v>
      </c>
      <c r="H43" s="460">
        <f>G43+'13'!H43</f>
        <v>30600.199999999953</v>
      </c>
      <c r="I43" s="455"/>
      <c r="J43" s="552">
        <f>H43/DAY(B2)</f>
        <v>2185.7285714285681</v>
      </c>
      <c r="K43" s="428"/>
      <c r="L43" s="377"/>
      <c r="N43" s="721"/>
      <c r="O43" s="729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7916.9399999998859</v>
      </c>
      <c r="H47" s="460">
        <f>G47+'13'!H47</f>
        <v>177693.83999999991</v>
      </c>
      <c r="I47" s="455"/>
      <c r="J47" s="552">
        <f>H47/DAY(B2)</f>
        <v>12692.417142857137</v>
      </c>
      <c r="K47" s="428"/>
      <c r="L47" s="377"/>
      <c r="N47" s="721"/>
      <c r="O47" s="728"/>
      <c r="P47" s="382"/>
    </row>
    <row r="48" spans="1:16">
      <c r="A48" s="598" t="s">
        <v>176</v>
      </c>
      <c r="B48" s="1189"/>
      <c r="C48" s="1189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'13'!F49</f>
        <v>260732.13</v>
      </c>
      <c r="F49" s="510">
        <v>260732.13</v>
      </c>
      <c r="G49" s="473">
        <f t="shared" ref="G49:G58" si="4">F49-E49</f>
        <v>0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'13'!F50</f>
        <v>486743.15</v>
      </c>
      <c r="F50" s="510">
        <v>487528.99</v>
      </c>
      <c r="G50" s="473">
        <f t="shared" si="4"/>
        <v>785.8399999999674</v>
      </c>
      <c r="H50" s="460">
        <f>G50+'13'!H50</f>
        <v>12053.989999999991</v>
      </c>
      <c r="I50" s="455"/>
      <c r="J50" s="552">
        <f>H50/DAY(B2)</f>
        <v>860.99928571428507</v>
      </c>
      <c r="K50" s="428"/>
      <c r="L50" s="377"/>
      <c r="N50" s="721"/>
      <c r="O50" s="729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21"/>
      <c r="O51" s="728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'13'!F53</f>
        <v>423100.15</v>
      </c>
      <c r="F53" s="510">
        <v>423524.29</v>
      </c>
      <c r="G53" s="473">
        <f t="shared" si="4"/>
        <v>424.13999999995576</v>
      </c>
      <c r="H53" s="460">
        <f>G53+'13'!H53</f>
        <v>6690.289999999979</v>
      </c>
      <c r="I53" s="455"/>
      <c r="J53" s="552">
        <f>H53/DAY(B2)</f>
        <v>477.87785714285565</v>
      </c>
      <c r="K53" s="428"/>
      <c r="L53" s="377"/>
      <c r="N53" s="721"/>
      <c r="O53" s="728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'13'!F54</f>
        <v>12326.21</v>
      </c>
      <c r="F54" s="510">
        <v>12398.01</v>
      </c>
      <c r="G54" s="473">
        <f t="shared" si="4"/>
        <v>71.800000000001091</v>
      </c>
      <c r="H54" s="460">
        <f>G54+'13'!H54</f>
        <v>4636.01</v>
      </c>
      <c r="I54" s="455"/>
      <c r="J54" s="552">
        <f>H54/DAY(B2)</f>
        <v>331.14357142857142</v>
      </c>
      <c r="K54" s="428"/>
      <c r="L54" s="377"/>
      <c r="N54" s="721"/>
      <c r="O54" s="728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'13'!F55</f>
        <v>5227.1000000000004</v>
      </c>
      <c r="F55" s="656">
        <v>9724.99</v>
      </c>
      <c r="G55" s="655">
        <f t="shared" si="4"/>
        <v>4497.8899999999994</v>
      </c>
      <c r="H55" s="708">
        <f>G55+'13'!H55</f>
        <v>9724.99</v>
      </c>
      <c r="I55" s="709"/>
      <c r="J55" s="710">
        <f>H55/DAY(B2)</f>
        <v>694.64214285714286</v>
      </c>
      <c r="K55" s="428"/>
      <c r="L55" s="377"/>
      <c r="N55" s="721"/>
      <c r="O55" s="728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'13'!F56</f>
        <v>589424.71</v>
      </c>
      <c r="F56" s="656">
        <v>589424.71</v>
      </c>
      <c r="G56" s="473">
        <f t="shared" si="4"/>
        <v>0</v>
      </c>
      <c r="H56" s="460">
        <f>G56+'13'!H56</f>
        <v>136.34999999997672</v>
      </c>
      <c r="I56" s="455"/>
      <c r="J56" s="552">
        <f>H56/DAY(B2)</f>
        <v>9.7392857142840512</v>
      </c>
      <c r="K56" s="427"/>
      <c r="L56" s="377"/>
      <c r="N56" s="721"/>
      <c r="O56" s="730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21"/>
      <c r="O57" s="728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'13'!F58</f>
        <v>47868.12</v>
      </c>
      <c r="F58" s="656">
        <v>47868.27</v>
      </c>
      <c r="G58" s="473">
        <f t="shared" si="4"/>
        <v>0.14999999999417923</v>
      </c>
      <c r="H58" s="460">
        <f>G58+'13'!H58</f>
        <v>1151.2699999999968</v>
      </c>
      <c r="I58" s="455"/>
      <c r="J58" s="552">
        <f>H58/DAY(B2)</f>
        <v>82.233571428571196</v>
      </c>
      <c r="K58" s="428"/>
      <c r="L58" s="377"/>
      <c r="N58" s="721"/>
      <c r="O58" s="728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5779.8199999999179</v>
      </c>
      <c r="H59" s="460">
        <f>G59+'13'!H59</f>
        <v>34393.169999999889</v>
      </c>
      <c r="I59" s="455">
        <f>G7-G60</f>
        <v>606.92000000019652</v>
      </c>
      <c r="J59" s="552">
        <f>H59/DAY(B2)</f>
        <v>2456.654999999992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13696.759999999804</v>
      </c>
      <c r="H60" s="460">
        <f>G60+'13'!H60</f>
        <v>213670.89999999982</v>
      </c>
      <c r="I60" s="455">
        <f>G13-G60</f>
        <v>130.1400000001031</v>
      </c>
      <c r="J60" s="552">
        <f>H60/DAY(B2)</f>
        <v>15262.207142857131</v>
      </c>
      <c r="K60" s="428"/>
      <c r="L60" s="377"/>
      <c r="N60" s="721"/>
      <c r="O60" s="728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186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0.18199999999706051</v>
      </c>
      <c r="I62" s="515"/>
      <c r="J62" s="552">
        <f>H62/DAY(B2)</f>
        <v>1.2999999999790037E-2</v>
      </c>
      <c r="K62" s="428"/>
      <c r="L62" s="377"/>
      <c r="N62" s="721"/>
      <c r="O62" s="728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'13'!F63</f>
        <v>2408.36</v>
      </c>
      <c r="F63" s="514">
        <v>2412.15</v>
      </c>
      <c r="G63" s="473">
        <f t="shared" si="5"/>
        <v>3.7899999999999636</v>
      </c>
      <c r="H63" s="460">
        <f>G63+'13'!H63</f>
        <v>53.150000000000091</v>
      </c>
      <c r="I63" s="515"/>
      <c r="J63" s="552">
        <f>H63/DAY(B2)</f>
        <v>3.7964285714285779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186</v>
      </c>
      <c r="E64" s="514">
        <f>'13'!F64</f>
        <v>155994.29</v>
      </c>
      <c r="F64" s="478">
        <v>156201.04999999999</v>
      </c>
      <c r="G64" s="473">
        <f t="shared" si="5"/>
        <v>206.75999999998021</v>
      </c>
      <c r="H64" s="460">
        <f>G64+'13'!H64</f>
        <v>2902.0499999999884</v>
      </c>
      <c r="I64" s="480"/>
      <c r="J64" s="552">
        <f>H64/DAY(B2)</f>
        <v>207.28928571428489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186</v>
      </c>
      <c r="E65" s="514">
        <f>'13'!F65</f>
        <v>156935.51999999999</v>
      </c>
      <c r="F65" s="654">
        <v>157101.17000000001</v>
      </c>
      <c r="G65" s="473">
        <f t="shared" si="5"/>
        <v>165.65000000002328</v>
      </c>
      <c r="H65" s="460">
        <f>G65+'13'!H65</f>
        <v>2502.1700000000128</v>
      </c>
      <c r="I65" s="489"/>
      <c r="J65" s="552">
        <f>H65/DAY(B2)</f>
        <v>178.72642857142949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186</v>
      </c>
      <c r="E66" s="514">
        <f>'13'!F66</f>
        <v>51922.93</v>
      </c>
      <c r="F66" s="478">
        <v>52175.54</v>
      </c>
      <c r="G66" s="473">
        <f t="shared" si="5"/>
        <v>252.61000000000058</v>
      </c>
      <c r="H66" s="460">
        <f>G66+'13'!H66</f>
        <v>3604.5400000000009</v>
      </c>
      <c r="I66" s="480"/>
      <c r="J66" s="552">
        <f>H66/DAY(B2)</f>
        <v>257.4671428571429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186</v>
      </c>
      <c r="E67" s="514">
        <f>'13'!F67</f>
        <v>245187.61</v>
      </c>
      <c r="F67" s="478">
        <v>245401.59</v>
      </c>
      <c r="G67" s="473">
        <f t="shared" si="5"/>
        <v>213.98000000001048</v>
      </c>
      <c r="H67" s="460">
        <f>G67+'13'!H67</f>
        <v>2227.5899999999965</v>
      </c>
      <c r="I67" s="489"/>
      <c r="J67" s="552">
        <f>H67/DAY(B2)</f>
        <v>159.11357142857119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186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186</v>
      </c>
      <c r="E69" s="514">
        <f>'13'!F69</f>
        <v>79957.27</v>
      </c>
      <c r="F69" s="478">
        <v>80000.070000000007</v>
      </c>
      <c r="G69" s="473">
        <f t="shared" si="5"/>
        <v>42.80000000000291</v>
      </c>
      <c r="H69" s="460">
        <f>G69+'13'!H69</f>
        <v>1006.070000000007</v>
      </c>
      <c r="I69" s="516"/>
      <c r="J69" s="552">
        <f>H69/DAY(B2)</f>
        <v>71.862142857143354</v>
      </c>
      <c r="K69" s="431"/>
      <c r="L69" s="377"/>
      <c r="N69" s="721"/>
      <c r="O69" s="728"/>
      <c r="P69" s="382"/>
    </row>
    <row r="70" spans="1:16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721"/>
      <c r="O71" s="728"/>
      <c r="P71" s="382"/>
    </row>
    <row r="72" spans="1:16" ht="27.75">
      <c r="A72" s="1530" t="s">
        <v>190</v>
      </c>
      <c r="B72" s="1531"/>
      <c r="C72" s="1532"/>
      <c r="D72" s="523" t="s">
        <v>186</v>
      </c>
      <c r="E72" s="519">
        <f>'13'!F72</f>
        <v>855655</v>
      </c>
      <c r="F72" s="657">
        <v>855665</v>
      </c>
      <c r="G72" s="473">
        <f t="shared" ref="G72" si="6">F72-E72</f>
        <v>10</v>
      </c>
      <c r="H72" s="460">
        <f>G72+'12'!H72</f>
        <v>193</v>
      </c>
      <c r="I72" s="480"/>
      <c r="J72" s="552">
        <f>H72/DAY(B2)</f>
        <v>13.785714285714286</v>
      </c>
      <c r="K72" s="431"/>
      <c r="L72" s="377"/>
      <c r="N72" s="721"/>
      <c r="O72" s="728"/>
      <c r="P72" s="382"/>
    </row>
    <row r="73" spans="1:16" ht="27.75">
      <c r="A73" s="1530" t="s">
        <v>191</v>
      </c>
      <c r="B73" s="1531"/>
      <c r="C73" s="1532"/>
      <c r="D73" s="523" t="s">
        <v>186</v>
      </c>
      <c r="E73" s="519">
        <f>'13'!F73</f>
        <v>885890</v>
      </c>
      <c r="F73" s="658">
        <v>885891</v>
      </c>
      <c r="G73" s="655">
        <f t="shared" ref="G73:G84" si="7">F73-E73</f>
        <v>1</v>
      </c>
      <c r="H73" s="460">
        <f>G73+'13'!H72</f>
        <v>195</v>
      </c>
      <c r="I73" s="480"/>
      <c r="J73" s="552">
        <f>H73/DAY(B2)</f>
        <v>13.928571428571429</v>
      </c>
      <c r="K73" s="430"/>
      <c r="L73" s="377"/>
      <c r="N73" s="721"/>
      <c r="O73" s="728"/>
      <c r="P73" s="382"/>
    </row>
    <row r="74" spans="1:16" ht="27.75">
      <c r="A74" s="1530" t="s">
        <v>192</v>
      </c>
      <c r="B74" s="1531"/>
      <c r="C74" s="1532"/>
      <c r="D74" s="523" t="s">
        <v>186</v>
      </c>
      <c r="E74" s="519">
        <f>'13'!F74</f>
        <v>2464.54</v>
      </c>
      <c r="F74" s="658">
        <v>2473.16</v>
      </c>
      <c r="G74" s="473">
        <f t="shared" si="7"/>
        <v>8.6199999999998909</v>
      </c>
      <c r="H74" s="460">
        <f>G74+'13'!H74</f>
        <v>194.15999999999985</v>
      </c>
      <c r="I74" s="480"/>
      <c r="J74" s="552">
        <f>H74/DAY(B2)</f>
        <v>13.868571428571418</v>
      </c>
      <c r="K74" s="431"/>
      <c r="L74" s="377"/>
      <c r="N74" s="721"/>
      <c r="O74" s="728"/>
      <c r="P74" s="382"/>
    </row>
    <row r="75" spans="1:16" ht="27.75">
      <c r="A75" s="1527" t="s">
        <v>193</v>
      </c>
      <c r="B75" s="1528"/>
      <c r="C75" s="1529"/>
      <c r="D75" s="523" t="s">
        <v>186</v>
      </c>
      <c r="E75" s="519">
        <f>'13'!F75</f>
        <v>11663.63</v>
      </c>
      <c r="F75" s="658">
        <v>11714.59</v>
      </c>
      <c r="G75" s="473">
        <f t="shared" si="7"/>
        <v>50.960000000000946</v>
      </c>
      <c r="H75" s="460">
        <f>G75+'13'!H75</f>
        <v>744.59000000000015</v>
      </c>
      <c r="I75" s="480"/>
      <c r="J75" s="552">
        <f>H75/DAY(B2)</f>
        <v>53.185000000000009</v>
      </c>
      <c r="K75" s="430"/>
      <c r="L75" s="377"/>
      <c r="N75" s="721"/>
      <c r="O75" s="728"/>
      <c r="P75" s="382"/>
    </row>
    <row r="76" spans="1:16" ht="27.75">
      <c r="A76" s="1527" t="s">
        <v>194</v>
      </c>
      <c r="B76" s="1528"/>
      <c r="C76" s="1529"/>
      <c r="D76" s="523" t="s">
        <v>186</v>
      </c>
      <c r="E76" s="519">
        <f>'13'!F76</f>
        <v>6410.58</v>
      </c>
      <c r="F76" s="658">
        <v>6464.57</v>
      </c>
      <c r="G76" s="473">
        <f t="shared" si="7"/>
        <v>53.989999999999782</v>
      </c>
      <c r="H76" s="460">
        <f>G76+'13'!H75</f>
        <v>747.61999999999898</v>
      </c>
      <c r="I76" s="505"/>
      <c r="J76" s="552">
        <f>H76/DAY(B2)</f>
        <v>53.401428571428497</v>
      </c>
      <c r="K76" s="430"/>
      <c r="L76" s="377"/>
      <c r="N76" s="721"/>
      <c r="O76" s="728"/>
      <c r="P76" s="382"/>
    </row>
    <row r="77" spans="1:16" ht="27.75">
      <c r="A77" s="1530" t="s">
        <v>195</v>
      </c>
      <c r="B77" s="1531"/>
      <c r="C77" s="1532"/>
      <c r="D77" s="523" t="s">
        <v>186</v>
      </c>
      <c r="E77" s="519">
        <f>'13'!F77</f>
        <v>702188</v>
      </c>
      <c r="F77" s="658">
        <v>702211</v>
      </c>
      <c r="G77" s="655">
        <f t="shared" si="7"/>
        <v>23</v>
      </c>
      <c r="H77" s="460">
        <f>G77+'13'!H77</f>
        <v>649</v>
      </c>
      <c r="I77" s="505"/>
      <c r="J77" s="552">
        <f>H77/DAY(B2)</f>
        <v>46.357142857142854</v>
      </c>
      <c r="K77" s="430"/>
      <c r="L77" s="377"/>
      <c r="N77" s="721"/>
      <c r="O77" s="728"/>
      <c r="P77" s="382"/>
    </row>
    <row r="78" spans="1:16" ht="27.75">
      <c r="A78" s="1190" t="s">
        <v>196</v>
      </c>
      <c r="B78" s="1186"/>
      <c r="C78" s="1186"/>
      <c r="D78" s="523" t="s">
        <v>186</v>
      </c>
      <c r="E78" s="519">
        <f>'13'!F78</f>
        <v>670977</v>
      </c>
      <c r="F78" s="659">
        <v>671123</v>
      </c>
      <c r="G78" s="473">
        <f t="shared" si="7"/>
        <v>146</v>
      </c>
      <c r="H78" s="460">
        <f>G78+'13'!H78</f>
        <v>1098</v>
      </c>
      <c r="I78" s="505"/>
      <c r="J78" s="552">
        <f>H78/DAY(B2)</f>
        <v>78.428571428571431</v>
      </c>
      <c r="K78" s="430"/>
      <c r="L78" s="377"/>
      <c r="N78" s="721"/>
      <c r="O78" s="728"/>
      <c r="P78" s="382"/>
    </row>
    <row r="79" spans="1:16" ht="27.75">
      <c r="A79" s="1527" t="s">
        <v>92</v>
      </c>
      <c r="B79" s="1528"/>
      <c r="C79" s="1529"/>
      <c r="D79" s="524" t="s">
        <v>186</v>
      </c>
      <c r="E79" s="519">
        <f>'13'!F79</f>
        <v>828683</v>
      </c>
      <c r="F79" s="659">
        <v>828805</v>
      </c>
      <c r="G79" s="473">
        <f t="shared" si="7"/>
        <v>122</v>
      </c>
      <c r="H79" s="460">
        <f>G79+'13'!H78</f>
        <v>1074</v>
      </c>
      <c r="I79" s="505"/>
      <c r="J79" s="552">
        <f>H79/DAY(B2)</f>
        <v>76.714285714285708</v>
      </c>
      <c r="K79" s="430"/>
      <c r="L79" s="377"/>
      <c r="N79" s="721"/>
      <c r="O79" s="728"/>
      <c r="P79" s="382"/>
    </row>
    <row r="80" spans="1:16" ht="27.75">
      <c r="A80" s="1527" t="s">
        <v>197</v>
      </c>
      <c r="B80" s="1528"/>
      <c r="C80" s="1529"/>
      <c r="D80" s="524" t="s">
        <v>186</v>
      </c>
      <c r="E80" s="519">
        <f>'13'!F80</f>
        <v>521360</v>
      </c>
      <c r="F80" s="658">
        <v>521713.32</v>
      </c>
      <c r="G80" s="473">
        <f t="shared" si="7"/>
        <v>353.32000000000698</v>
      </c>
      <c r="H80" s="460">
        <f>G80+'13'!H79</f>
        <v>2252.320000000007</v>
      </c>
      <c r="I80" s="505"/>
      <c r="J80" s="552">
        <f>H80/DAY(B2)</f>
        <v>160.88000000000051</v>
      </c>
      <c r="K80" s="430"/>
      <c r="L80" s="377"/>
      <c r="N80" s="721"/>
      <c r="O80" s="728"/>
      <c r="P80" s="382"/>
    </row>
    <row r="81" spans="1:16" ht="27.75">
      <c r="A81" s="1527" t="s">
        <v>198</v>
      </c>
      <c r="B81" s="1528"/>
      <c r="C81" s="1529"/>
      <c r="D81" s="524" t="s">
        <v>186</v>
      </c>
      <c r="E81" s="519">
        <f>'13'!F81</f>
        <v>637438</v>
      </c>
      <c r="F81" s="658">
        <v>637518.84</v>
      </c>
      <c r="G81" s="473">
        <f t="shared" si="7"/>
        <v>80.839999999967404</v>
      </c>
      <c r="H81" s="460">
        <f>G81+'13'!H81</f>
        <v>1040.8399999999674</v>
      </c>
      <c r="I81" s="505"/>
      <c r="J81" s="552">
        <f>H81/DAY(B2)</f>
        <v>74.345714285711963</v>
      </c>
      <c r="K81" s="430"/>
      <c r="L81" s="377"/>
      <c r="N81" s="721"/>
      <c r="O81" s="728"/>
      <c r="P81" s="382"/>
    </row>
    <row r="82" spans="1:16" ht="27.75">
      <c r="A82" s="1527" t="s">
        <v>93</v>
      </c>
      <c r="B82" s="1528"/>
      <c r="C82" s="1529"/>
      <c r="D82" s="485" t="s">
        <v>131</v>
      </c>
      <c r="E82" s="519">
        <f>'13'!F82</f>
        <v>107859</v>
      </c>
      <c r="F82" s="654">
        <v>107871.05</v>
      </c>
      <c r="G82" s="473">
        <f t="shared" si="7"/>
        <v>12.05000000000291</v>
      </c>
      <c r="H82" s="460">
        <f>G82+'13'!H82</f>
        <v>259.05000000000291</v>
      </c>
      <c r="I82" s="486"/>
      <c r="J82" s="552">
        <f>H82/DAY(B2)</f>
        <v>18.503571428571636</v>
      </c>
      <c r="K82" s="430"/>
      <c r="L82" s="377"/>
      <c r="N82" s="721"/>
      <c r="O82" s="728"/>
      <c r="P82" s="382"/>
    </row>
    <row r="83" spans="1:16" ht="27.75">
      <c r="A83" s="1527" t="s">
        <v>199</v>
      </c>
      <c r="B83" s="1528"/>
      <c r="C83" s="1529"/>
      <c r="D83" s="620" t="s">
        <v>131</v>
      </c>
      <c r="E83" s="519">
        <f>'13'!F83</f>
        <v>17360</v>
      </c>
      <c r="F83" s="511">
        <v>17536</v>
      </c>
      <c r="G83" s="473">
        <f t="shared" si="7"/>
        <v>176</v>
      </c>
      <c r="H83" s="460">
        <f>G83+'13'!H83</f>
        <v>2765</v>
      </c>
      <c r="I83" s="481"/>
      <c r="J83" s="552">
        <f>H83/DAY(B2)</f>
        <v>197.5</v>
      </c>
      <c r="K83" s="429"/>
      <c r="L83" s="377"/>
      <c r="N83" s="721"/>
      <c r="O83" s="728"/>
      <c r="P83" s="382"/>
    </row>
    <row r="84" spans="1:16">
      <c r="A84" s="1193" t="s">
        <v>200</v>
      </c>
      <c r="B84" s="571"/>
      <c r="C84" s="571"/>
      <c r="D84" s="478" t="s">
        <v>131</v>
      </c>
      <c r="E84" s="519">
        <f>'13'!F84</f>
        <v>489535</v>
      </c>
      <c r="F84" s="627">
        <v>490097</v>
      </c>
      <c r="G84" s="473">
        <f t="shared" si="7"/>
        <v>562</v>
      </c>
      <c r="H84" s="460">
        <f>G84+'13'!H84</f>
        <v>9964</v>
      </c>
      <c r="I84" s="481"/>
      <c r="J84" s="552">
        <f>H84/DAY(B2)</f>
        <v>711.71428571428567</v>
      </c>
      <c r="K84" s="380"/>
      <c r="L84" s="377"/>
      <c r="N84" s="721"/>
      <c r="O84" s="728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1599.7799999999779</v>
      </c>
      <c r="H85" s="460">
        <f>G85+'13'!H85</f>
        <v>24685.529999999977</v>
      </c>
      <c r="I85" s="481"/>
      <c r="J85" s="552">
        <f>H85/DAY(B2)</f>
        <v>1763.2521428571413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182</v>
      </c>
      <c r="E86" s="627">
        <f>'13'!F86</f>
        <v>460310</v>
      </c>
      <c r="F86" s="650">
        <v>460333.4</v>
      </c>
      <c r="G86" s="708">
        <f t="shared" ref="G86:G91" si="8">F86-E86</f>
        <v>23.400000000023283</v>
      </c>
      <c r="H86" s="708">
        <f t="shared" ref="H86:H88" si="9">G86</f>
        <v>23.400000000023283</v>
      </c>
      <c r="I86" s="655"/>
      <c r="J86" s="710">
        <f>H86/DAY(B2)</f>
        <v>1.6714285714302346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182</v>
      </c>
      <c r="E87" s="627">
        <f>'13'!F87</f>
        <v>81090</v>
      </c>
      <c r="F87" s="650">
        <v>81097.8</v>
      </c>
      <c r="G87" s="708">
        <f t="shared" si="8"/>
        <v>7.8000000000029104</v>
      </c>
      <c r="H87" s="708">
        <f t="shared" si="9"/>
        <v>7.8000000000029104</v>
      </c>
      <c r="I87" s="655"/>
      <c r="J87" s="710">
        <f>H87/DAY(B2)</f>
        <v>0.557142857143065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182</v>
      </c>
      <c r="E88" s="627">
        <f>'13'!F88</f>
        <v>152389.63</v>
      </c>
      <c r="F88" s="650">
        <v>152441</v>
      </c>
      <c r="G88" s="708">
        <f t="shared" si="8"/>
        <v>51.369999999995343</v>
      </c>
      <c r="H88" s="708">
        <f t="shared" si="9"/>
        <v>51.369999999995343</v>
      </c>
      <c r="I88" s="655"/>
      <c r="J88" s="710">
        <f>H88/DAY(B2)</f>
        <v>3.6692857142853819</v>
      </c>
      <c r="K88" s="736"/>
      <c r="L88" s="737"/>
      <c r="O88" s="716"/>
    </row>
    <row r="89" spans="1:16" s="738" customFormat="1">
      <c r="A89" s="733" t="s">
        <v>203</v>
      </c>
      <c r="B89" s="734"/>
      <c r="C89" s="734"/>
      <c r="D89" s="735" t="s">
        <v>182</v>
      </c>
      <c r="E89" s="627">
        <f>'13'!F89</f>
        <v>64917.8</v>
      </c>
      <c r="F89" s="650">
        <v>64924.5</v>
      </c>
      <c r="G89" s="708">
        <f t="shared" si="8"/>
        <v>6.6999999999970896</v>
      </c>
      <c r="H89" s="708">
        <f>G89</f>
        <v>6.6999999999970896</v>
      </c>
      <c r="I89" s="655"/>
      <c r="J89" s="710">
        <f>H89/DAY(B2)</f>
        <v>0.4785714285712207</v>
      </c>
      <c r="K89" s="736"/>
      <c r="L89" s="737"/>
      <c r="N89" s="780"/>
      <c r="O89" s="382"/>
    </row>
    <row r="90" spans="1:16" s="738" customFormat="1">
      <c r="A90" s="733" t="s">
        <v>203</v>
      </c>
      <c r="B90" s="734"/>
      <c r="C90" s="734"/>
      <c r="D90" s="735" t="s">
        <v>182</v>
      </c>
      <c r="E90" s="627">
        <f>'13'!F90</f>
        <v>3272.5</v>
      </c>
      <c r="F90" s="650">
        <v>3272.5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361</v>
      </c>
      <c r="B91" s="734"/>
      <c r="C91" s="734"/>
      <c r="D91" s="735"/>
      <c r="E91" s="627">
        <f>'13'!F91</f>
        <v>27942.83</v>
      </c>
      <c r="F91" s="650">
        <v>27949.93</v>
      </c>
      <c r="G91" s="708">
        <f t="shared" si="8"/>
        <v>7.0999999999985448</v>
      </c>
      <c r="H91" s="708">
        <f>G91</f>
        <v>7.0999999999985448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204</v>
      </c>
      <c r="B92" s="1191"/>
      <c r="C92" s="1191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1" t="s">
        <v>205</v>
      </c>
      <c r="B93" s="1552"/>
      <c r="C93" s="1553"/>
      <c r="D93" s="523" t="s">
        <v>143</v>
      </c>
      <c r="E93" s="484">
        <f>'13'!F93</f>
        <v>244864</v>
      </c>
      <c r="F93" s="478">
        <v>244879</v>
      </c>
      <c r="G93" s="473">
        <f t="shared" ref="G93:G94" si="10">F93-E93</f>
        <v>15</v>
      </c>
      <c r="H93" s="460">
        <f>G93+'13'!H93</f>
        <v>355</v>
      </c>
      <c r="I93" s="480"/>
      <c r="J93" s="552">
        <f>H93/DAY(B2)</f>
        <v>25.357142857142858</v>
      </c>
      <c r="K93" s="429"/>
      <c r="L93" s="377"/>
      <c r="N93" s="721"/>
      <c r="O93" s="728"/>
      <c r="P93" s="382"/>
    </row>
    <row r="94" spans="1:16" ht="27.75">
      <c r="A94" s="1551" t="s">
        <v>206</v>
      </c>
      <c r="B94" s="1552"/>
      <c r="C94" s="1553"/>
      <c r="D94" s="523" t="s">
        <v>143</v>
      </c>
      <c r="E94" s="484">
        <f>'13'!F94</f>
        <v>184579</v>
      </c>
      <c r="F94" s="654">
        <v>184662</v>
      </c>
      <c r="G94" s="473">
        <f t="shared" si="10"/>
        <v>83</v>
      </c>
      <c r="H94" s="460">
        <f>G94+'13'!H94</f>
        <v>1131</v>
      </c>
      <c r="I94" s="480"/>
      <c r="J94" s="552">
        <f>H94/DAY(B2)</f>
        <v>80.785714285714292</v>
      </c>
      <c r="K94" s="380"/>
      <c r="L94" s="377"/>
      <c r="N94" s="721"/>
      <c r="O94" s="728"/>
      <c r="P94" s="382"/>
    </row>
    <row r="95" spans="1:16">
      <c r="A95" s="1579" t="s">
        <v>207</v>
      </c>
      <c r="B95" s="1580"/>
      <c r="C95" s="1581"/>
      <c r="D95" s="523"/>
      <c r="E95" s="484">
        <f>'13'!F95</f>
        <v>0</v>
      </c>
      <c r="F95" s="478"/>
      <c r="G95" s="473">
        <f>G93+G94</f>
        <v>98</v>
      </c>
      <c r="H95" s="460">
        <f>G95+'13'!H95</f>
        <v>1339</v>
      </c>
      <c r="I95" s="480"/>
      <c r="J95" s="552">
        <f>H95/DAY(B2)</f>
        <v>95.642857142857139</v>
      </c>
      <c r="K95" s="380"/>
      <c r="L95" s="377"/>
      <c r="N95" s="721"/>
      <c r="O95" s="728"/>
      <c r="P95" s="382"/>
    </row>
    <row r="96" spans="1:16" ht="27.75">
      <c r="A96" s="1551" t="s">
        <v>208</v>
      </c>
      <c r="B96" s="1552"/>
      <c r="C96" s="1553"/>
      <c r="D96" s="523" t="s">
        <v>143</v>
      </c>
      <c r="E96" s="484">
        <f>'13'!F96</f>
        <v>413479</v>
      </c>
      <c r="F96" s="478">
        <v>413525</v>
      </c>
      <c r="G96" s="473">
        <f t="shared" ref="G96:G101" si="11">F96-E96</f>
        <v>46</v>
      </c>
      <c r="H96" s="460">
        <f>G96+'13'!H96</f>
        <v>639</v>
      </c>
      <c r="I96" s="480"/>
      <c r="J96" s="552">
        <f>H96/DAY(B2)</f>
        <v>45.642857142857146</v>
      </c>
      <c r="K96" s="380"/>
      <c r="L96" s="377"/>
      <c r="N96" s="721"/>
      <c r="O96" s="728"/>
      <c r="P96" s="382"/>
    </row>
    <row r="97" spans="1:16" ht="27.75">
      <c r="A97" s="1187" t="s">
        <v>209</v>
      </c>
      <c r="B97" s="1188"/>
      <c r="C97" s="1188"/>
      <c r="D97" s="523" t="s">
        <v>143</v>
      </c>
      <c r="E97" s="484">
        <f>'13'!F97</f>
        <v>102463</v>
      </c>
      <c r="F97" s="478">
        <v>102473</v>
      </c>
      <c r="G97" s="473">
        <f t="shared" si="11"/>
        <v>10</v>
      </c>
      <c r="H97" s="460">
        <f>G97+'13'!H97</f>
        <v>130</v>
      </c>
      <c r="I97" s="480"/>
      <c r="J97" s="552">
        <f>H97/DAY(B2)</f>
        <v>9.2857142857142865</v>
      </c>
      <c r="K97" s="427"/>
      <c r="L97" s="377"/>
      <c r="N97" s="721"/>
      <c r="O97" s="728"/>
      <c r="P97" s="382"/>
    </row>
    <row r="98" spans="1:16" ht="27.75">
      <c r="A98" s="1187" t="s">
        <v>210</v>
      </c>
      <c r="B98" s="1188"/>
      <c r="C98" s="1188"/>
      <c r="D98" s="523" t="s">
        <v>143</v>
      </c>
      <c r="E98" s="484">
        <f>'13'!F98</f>
        <v>97593</v>
      </c>
      <c r="F98" s="478">
        <v>97610</v>
      </c>
      <c r="G98" s="473">
        <f t="shared" si="11"/>
        <v>17</v>
      </c>
      <c r="H98" s="460">
        <f>G98+'13'!H98</f>
        <v>183</v>
      </c>
      <c r="I98" s="480"/>
      <c r="J98" s="552">
        <f>H98/DAY(B2)</f>
        <v>13.071428571428571</v>
      </c>
      <c r="K98" s="432"/>
      <c r="L98" s="377"/>
      <c r="N98" s="721"/>
      <c r="O98" s="728"/>
      <c r="P98" s="382"/>
    </row>
    <row r="99" spans="1:16" ht="27.75">
      <c r="A99" s="1187" t="s">
        <v>211</v>
      </c>
      <c r="B99" s="1188"/>
      <c r="C99" s="1188"/>
      <c r="D99" s="523" t="s">
        <v>143</v>
      </c>
      <c r="E99" s="484">
        <f>'13'!F99</f>
        <v>149669</v>
      </c>
      <c r="F99" s="478">
        <v>149695</v>
      </c>
      <c r="G99" s="473">
        <f t="shared" si="11"/>
        <v>26</v>
      </c>
      <c r="H99" s="460">
        <f>G99+'13'!H99</f>
        <v>162</v>
      </c>
      <c r="I99" s="480"/>
      <c r="J99" s="552">
        <f>H99/DAY(B2)</f>
        <v>11.571428571428571</v>
      </c>
      <c r="K99" s="380"/>
      <c r="L99" s="377"/>
      <c r="N99" s="723"/>
      <c r="O99" s="728"/>
      <c r="P99" s="382"/>
    </row>
    <row r="100" spans="1:16" ht="27.75">
      <c r="A100" s="1187" t="s">
        <v>212</v>
      </c>
      <c r="B100" s="1188"/>
      <c r="C100" s="1188"/>
      <c r="D100" s="523" t="s">
        <v>143</v>
      </c>
      <c r="E100" s="484">
        <f>'13'!F100</f>
        <v>7233</v>
      </c>
      <c r="F100" s="478">
        <v>7238</v>
      </c>
      <c r="G100" s="473">
        <f t="shared" si="11"/>
        <v>5</v>
      </c>
      <c r="H100" s="460">
        <f>G100+'13'!H100</f>
        <v>53</v>
      </c>
      <c r="I100" s="480"/>
      <c r="J100" s="552">
        <f>H100/DAY(B2)</f>
        <v>3.7857142857142856</v>
      </c>
      <c r="K100" s="380"/>
      <c r="L100" s="377"/>
      <c r="N100" s="721"/>
      <c r="O100" s="728"/>
      <c r="P100" s="382"/>
    </row>
    <row r="101" spans="1:16" ht="27.75">
      <c r="A101" s="1187" t="s">
        <v>213</v>
      </c>
      <c r="B101" s="1188"/>
      <c r="C101" s="1188"/>
      <c r="D101" s="523" t="s">
        <v>143</v>
      </c>
      <c r="E101" s="484">
        <f>'13'!F101</f>
        <v>5228</v>
      </c>
      <c r="F101" s="478">
        <v>5232</v>
      </c>
      <c r="G101" s="473">
        <f t="shared" si="11"/>
        <v>4</v>
      </c>
      <c r="H101" s="460">
        <f>G101+'13'!H101</f>
        <v>94</v>
      </c>
      <c r="I101" s="480"/>
      <c r="J101" s="552">
        <f>H101/DAY(B2)</f>
        <v>6.7142857142857144</v>
      </c>
      <c r="K101" s="380"/>
      <c r="L101" s="377"/>
      <c r="N101" s="721"/>
      <c r="O101" s="728"/>
      <c r="P101" s="382"/>
    </row>
    <row r="102" spans="1:16">
      <c r="A102" s="1579" t="s">
        <v>215</v>
      </c>
      <c r="B102" s="1580"/>
      <c r="C102" s="1581"/>
      <c r="D102" s="524"/>
      <c r="E102" s="484"/>
      <c r="F102" s="524"/>
      <c r="G102" s="525">
        <f>SUM(G96:G101)</f>
        <v>108</v>
      </c>
      <c r="H102" s="460">
        <f>G102+'13'!H102</f>
        <v>1261</v>
      </c>
      <c r="I102" s="526"/>
      <c r="J102" s="552">
        <f>H102/DAY(B2)</f>
        <v>90.071428571428569</v>
      </c>
      <c r="K102" s="380"/>
      <c r="L102" s="377"/>
      <c r="N102" s="721"/>
      <c r="O102" s="728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82" t="s">
        <v>217</v>
      </c>
      <c r="B104" s="1583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3" t="s">
        <v>218</v>
      </c>
      <c r="B105" s="1544"/>
      <c r="C105" s="1192"/>
      <c r="D105" s="622" t="s">
        <v>143</v>
      </c>
      <c r="E105" s="484">
        <f>'13'!F105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21"/>
      <c r="O105" s="728"/>
      <c r="P105" s="382"/>
    </row>
    <row r="106" spans="1:16" s="442" customFormat="1" ht="27.75">
      <c r="A106" s="1543" t="s">
        <v>77</v>
      </c>
      <c r="B106" s="1544"/>
      <c r="C106" s="1192"/>
      <c r="D106" s="622" t="s">
        <v>143</v>
      </c>
      <c r="E106" s="484">
        <f>'13'!F106</f>
        <v>35875</v>
      </c>
      <c r="F106" s="662">
        <v>35875</v>
      </c>
      <c r="G106" s="532">
        <f t="shared" ref="G106:G107" si="12">F106-E106</f>
        <v>0</v>
      </c>
      <c r="H106" s="533">
        <f>SUM(G106+'1'!G77)</f>
        <v>50</v>
      </c>
      <c r="I106" s="532"/>
      <c r="J106" s="558">
        <f>H106/DAY(B2)</f>
        <v>3.5714285714285716</v>
      </c>
      <c r="N106" s="721"/>
      <c r="O106" s="728"/>
      <c r="P106" s="382"/>
    </row>
    <row r="107" spans="1:16" s="442" customFormat="1" ht="27.75">
      <c r="A107" s="1543" t="s">
        <v>78</v>
      </c>
      <c r="B107" s="1584"/>
      <c r="C107" s="1544"/>
      <c r="D107" s="622" t="s">
        <v>143</v>
      </c>
      <c r="E107" s="484">
        <f>'13'!F107</f>
        <v>19660</v>
      </c>
      <c r="F107" s="662">
        <v>19660</v>
      </c>
      <c r="G107" s="532">
        <f t="shared" si="12"/>
        <v>0</v>
      </c>
      <c r="H107" s="533">
        <f>SUM(G107+'1'!G78)</f>
        <v>124</v>
      </c>
      <c r="I107" s="532"/>
      <c r="J107" s="558">
        <f>H107/DAY(B2)</f>
        <v>8.8571428571428577</v>
      </c>
      <c r="N107" s="721"/>
      <c r="O107" s="728"/>
      <c r="P107" s="382"/>
    </row>
    <row r="108" spans="1:16" s="442" customFormat="1" ht="27.75">
      <c r="A108" s="1545" t="s">
        <v>201</v>
      </c>
      <c r="B108" s="1546"/>
      <c r="C108" s="1192"/>
      <c r="D108" s="622"/>
      <c r="E108" s="484">
        <f>'13'!F108</f>
        <v>0</v>
      </c>
      <c r="F108" s="662"/>
      <c r="G108" s="532">
        <f>SUM(G105:G107)</f>
        <v>0</v>
      </c>
      <c r="H108" s="533">
        <f>SUM(G108+'1'!G79)</f>
        <v>189</v>
      </c>
      <c r="I108" s="532"/>
      <c r="J108" s="558">
        <f>H108/DAY(B2)</f>
        <v>13.5</v>
      </c>
      <c r="N108" s="721"/>
      <c r="O108" s="728"/>
      <c r="P108" s="382"/>
    </row>
    <row r="109" spans="1:16" s="442" customFormat="1" ht="27.75">
      <c r="A109" s="1549" t="s">
        <v>79</v>
      </c>
      <c r="B109" s="1550"/>
      <c r="C109" s="1192"/>
      <c r="D109" s="622" t="s">
        <v>143</v>
      </c>
      <c r="E109" s="484">
        <f>'13'!F109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3" t="s">
        <v>219</v>
      </c>
      <c r="B110" s="1544"/>
      <c r="C110" s="1192"/>
      <c r="D110" s="622" t="s">
        <v>143</v>
      </c>
      <c r="E110" s="484">
        <f>'13'!F110</f>
        <v>61830</v>
      </c>
      <c r="F110" s="662">
        <v>61870</v>
      </c>
      <c r="G110" s="532">
        <f>F110-E110</f>
        <v>40</v>
      </c>
      <c r="H110" s="533">
        <f>SUM(G110+'1'!G81)</f>
        <v>121</v>
      </c>
      <c r="I110" s="532"/>
      <c r="J110" s="558">
        <f>H110/DAY(B2)</f>
        <v>8.6428571428571423</v>
      </c>
      <c r="N110" s="721"/>
      <c r="O110" s="728"/>
      <c r="P110" s="382"/>
    </row>
    <row r="111" spans="1:16" s="442" customFormat="1" ht="27.75">
      <c r="A111" s="1543" t="s">
        <v>220</v>
      </c>
      <c r="B111" s="1544"/>
      <c r="C111" s="1192"/>
      <c r="D111" s="622" t="s">
        <v>143</v>
      </c>
      <c r="E111" s="484">
        <f>'13'!F111</f>
        <v>32354</v>
      </c>
      <c r="F111" s="662">
        <v>32371</v>
      </c>
      <c r="G111" s="532">
        <f t="shared" ref="G111:G112" si="13">F111-E111</f>
        <v>17</v>
      </c>
      <c r="H111" s="533">
        <f>SUM(G111+'1'!G82)</f>
        <v>29</v>
      </c>
      <c r="I111" s="532"/>
      <c r="J111" s="558">
        <f>H111/DAY(B2)</f>
        <v>2.0714285714285716</v>
      </c>
      <c r="N111" s="721"/>
      <c r="O111" s="728"/>
      <c r="P111" s="382"/>
    </row>
    <row r="112" spans="1:16" s="442" customFormat="1" ht="27.75">
      <c r="A112" s="1543" t="s">
        <v>221</v>
      </c>
      <c r="B112" s="1544"/>
      <c r="C112" s="1192"/>
      <c r="D112" s="622" t="s">
        <v>143</v>
      </c>
      <c r="E112" s="484">
        <f>'13'!F112</f>
        <v>4492</v>
      </c>
      <c r="F112" s="662">
        <v>4492</v>
      </c>
      <c r="G112" s="532">
        <f t="shared" si="13"/>
        <v>0</v>
      </c>
      <c r="H112" s="533">
        <f>SUM(G112+'1'!G83)</f>
        <v>255</v>
      </c>
      <c r="I112" s="532"/>
      <c r="J112" s="558">
        <f>H112/DAY(B2)</f>
        <v>18.214285714285715</v>
      </c>
      <c r="N112" s="721"/>
      <c r="O112" s="728"/>
      <c r="P112" s="382"/>
    </row>
    <row r="113" spans="1:16" s="442" customFormat="1" ht="27.75">
      <c r="A113" s="1545" t="s">
        <v>110</v>
      </c>
      <c r="B113" s="1546"/>
      <c r="C113" s="1192"/>
      <c r="D113" s="622"/>
      <c r="E113" s="484">
        <f>'13'!F113</f>
        <v>0</v>
      </c>
      <c r="F113" s="662"/>
      <c r="G113" s="532">
        <f>SUM(G110:G112)</f>
        <v>57</v>
      </c>
      <c r="H113" s="533">
        <f>SUM(G113+'1'!G84)</f>
        <v>772</v>
      </c>
      <c r="I113" s="532"/>
      <c r="J113" s="558">
        <f>H113/DAY(B2)</f>
        <v>55.142857142857146</v>
      </c>
      <c r="N113" s="721"/>
      <c r="O113" s="728"/>
      <c r="P113" s="382"/>
    </row>
    <row r="114" spans="1:16" s="442" customFormat="1" ht="27.75">
      <c r="A114" s="1549" t="s">
        <v>222</v>
      </c>
      <c r="B114" s="1550"/>
      <c r="C114" s="1192"/>
      <c r="D114" s="622"/>
      <c r="E114" s="484">
        <f>'13'!F114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3" t="s">
        <v>223</v>
      </c>
      <c r="B115" s="1544"/>
      <c r="C115" s="574"/>
      <c r="D115" s="622" t="s">
        <v>143</v>
      </c>
      <c r="E115" s="484">
        <f>'13'!F115</f>
        <v>11326</v>
      </c>
      <c r="F115" s="662">
        <v>11332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0.42857142857142855</v>
      </c>
      <c r="N115" s="721"/>
      <c r="O115" s="728"/>
      <c r="P115" s="382"/>
    </row>
    <row r="116" spans="1:16" s="442" customFormat="1" ht="27.75">
      <c r="A116" s="1543" t="s">
        <v>224</v>
      </c>
      <c r="B116" s="1544"/>
      <c r="C116" s="574"/>
      <c r="D116" s="622" t="s">
        <v>143</v>
      </c>
      <c r="E116" s="484">
        <f>'13'!F116</f>
        <v>8194</v>
      </c>
      <c r="F116" s="662">
        <v>8198</v>
      </c>
      <c r="G116" s="534">
        <f t="shared" ref="G116:G117" si="14">F116-E116</f>
        <v>4</v>
      </c>
      <c r="H116" s="533">
        <f>SUM(G116+'1'!G93)</f>
        <v>56</v>
      </c>
      <c r="I116" s="532"/>
      <c r="J116" s="558">
        <f>H116/DAY(B2)</f>
        <v>4</v>
      </c>
      <c r="N116" s="721"/>
      <c r="O116" s="728"/>
      <c r="P116" s="382"/>
    </row>
    <row r="117" spans="1:16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4"/>
        <v>0</v>
      </c>
      <c r="H117" s="533">
        <f>SUM(G117+'1'!G94)</f>
        <v>95</v>
      </c>
      <c r="I117" s="532"/>
      <c r="J117" s="558">
        <f>H117/DAY(B2)</f>
        <v>6.7857142857142856</v>
      </c>
      <c r="N117" s="721"/>
      <c r="O117" s="728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5.8571428571428568</v>
      </c>
      <c r="N118" s="721"/>
      <c r="O118" s="728"/>
      <c r="P118" s="382"/>
    </row>
    <row r="119" spans="1:16" s="446" customFormat="1" ht="27.75">
      <c r="A119" s="1539" t="s">
        <v>226</v>
      </c>
      <c r="B119" s="1540"/>
      <c r="C119" s="1195"/>
      <c r="D119" s="624" t="s">
        <v>143</v>
      </c>
      <c r="E119" s="536"/>
      <c r="F119" s="663"/>
      <c r="G119" s="536">
        <f>SUM(G19+G93)</f>
        <v>72</v>
      </c>
      <c r="H119" s="533">
        <f>SUM(G119+'1'!G97)</f>
        <v>84</v>
      </c>
      <c r="I119" s="535"/>
      <c r="J119" s="559">
        <f>H119/DAY(B2)</f>
        <v>6</v>
      </c>
      <c r="N119" s="721"/>
      <c r="O119" s="728"/>
      <c r="P119" s="382"/>
    </row>
    <row r="120" spans="1:16" s="446" customFormat="1" ht="27.75">
      <c r="A120" s="1539" t="s">
        <v>227</v>
      </c>
      <c r="B120" s="1540"/>
      <c r="C120" s="1195"/>
      <c r="D120" s="624" t="s">
        <v>143</v>
      </c>
      <c r="E120" s="536"/>
      <c r="F120" s="663">
        <f>SUM(G96,G97,G98,G100,G101)</f>
        <v>82</v>
      </c>
      <c r="G120" s="536">
        <f>SUM(G96,G97,G98,G100,G101)</f>
        <v>82</v>
      </c>
      <c r="H120" s="533">
        <f>SUM(G120+'1'!G99)</f>
        <v>87</v>
      </c>
      <c r="I120" s="535"/>
      <c r="J120" s="559">
        <f>H120/DAY(B2)</f>
        <v>6.2142857142857144</v>
      </c>
      <c r="N120" s="721"/>
      <c r="O120" s="728"/>
      <c r="P120" s="382"/>
    </row>
    <row r="121" spans="1:16" s="446" customFormat="1" ht="27.75">
      <c r="A121" s="1539" t="s">
        <v>228</v>
      </c>
      <c r="B121" s="1540"/>
      <c r="C121" s="1195"/>
      <c r="D121" s="624" t="s">
        <v>143</v>
      </c>
      <c r="E121" s="534"/>
      <c r="F121" s="662">
        <f>SUM(G113)</f>
        <v>57</v>
      </c>
      <c r="G121" s="534">
        <f>SUM(G113)</f>
        <v>57</v>
      </c>
      <c r="H121" s="533">
        <f>SUM(G121+'1'!G101)</f>
        <v>63</v>
      </c>
      <c r="I121" s="535"/>
      <c r="J121" s="559">
        <f>H121/DAY(B2)</f>
        <v>4.5</v>
      </c>
      <c r="N121" s="721"/>
      <c r="O121" s="728"/>
      <c r="P121" s="382"/>
    </row>
    <row r="122" spans="1:16" s="442" customFormat="1" ht="27.75">
      <c r="A122" s="1541"/>
      <c r="B122" s="1542"/>
      <c r="C122" s="1196"/>
      <c r="D122" s="560"/>
      <c r="E122" s="560"/>
      <c r="F122" s="664" t="s">
        <v>214</v>
      </c>
      <c r="G122" s="560"/>
      <c r="H122" s="561"/>
      <c r="I122" s="560"/>
      <c r="J122" s="562"/>
      <c r="N122" s="721"/>
      <c r="O122" s="728"/>
      <c r="P122" s="382"/>
    </row>
    <row r="123" spans="1:16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187" t="s">
        <v>230</v>
      </c>
      <c r="B124" s="1188"/>
      <c r="C124" s="1188"/>
      <c r="D124" s="523" t="s">
        <v>140</v>
      </c>
      <c r="E124" s="478">
        <f>'13'!F124</f>
        <v>828726.78</v>
      </c>
      <c r="F124" s="478">
        <v>828928.09</v>
      </c>
      <c r="G124" s="473">
        <f t="shared" ref="G124:G128" si="15">F124-E124</f>
        <v>201.30999999993946</v>
      </c>
      <c r="H124" s="460">
        <f>G124+'13'!H124</f>
        <v>2839.6300000000047</v>
      </c>
      <c r="I124" s="526"/>
      <c r="J124" s="552">
        <f>H124/DAY(B2)</f>
        <v>202.83071428571461</v>
      </c>
      <c r="K124" s="380"/>
      <c r="L124" s="377"/>
      <c r="N124" s="721"/>
      <c r="O124" s="728"/>
      <c r="P124" s="382"/>
    </row>
    <row r="125" spans="1:16" ht="27.75">
      <c r="A125" s="1187" t="s">
        <v>231</v>
      </c>
      <c r="B125" s="1188"/>
      <c r="C125" s="1188"/>
      <c r="D125" s="523" t="s">
        <v>140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21"/>
      <c r="O125" s="728"/>
      <c r="P125" s="382"/>
    </row>
    <row r="126" spans="1:16" ht="27.75">
      <c r="A126" s="1530" t="s">
        <v>232</v>
      </c>
      <c r="B126" s="1531"/>
      <c r="C126" s="1532"/>
      <c r="D126" s="523" t="s">
        <v>140</v>
      </c>
      <c r="E126" s="478">
        <f>'13'!F126</f>
        <v>145442.09</v>
      </c>
      <c r="F126" s="478">
        <v>145491</v>
      </c>
      <c r="G126" s="473">
        <f t="shared" si="15"/>
        <v>48.910000000003492</v>
      </c>
      <c r="H126" s="460">
        <f>G126+'13'!H126</f>
        <v>803.55999999999767</v>
      </c>
      <c r="I126" s="526"/>
      <c r="J126" s="552">
        <f>H126/DAY(B2)</f>
        <v>57.39714285714269</v>
      </c>
      <c r="K126" s="380"/>
      <c r="L126" s="377"/>
      <c r="N126" s="721"/>
      <c r="O126" s="728"/>
      <c r="P126" s="382"/>
    </row>
    <row r="127" spans="1:16" ht="27.75">
      <c r="A127" s="609" t="s">
        <v>233</v>
      </c>
      <c r="B127" s="1188"/>
      <c r="C127" s="1188"/>
      <c r="D127" s="523" t="s">
        <v>140</v>
      </c>
      <c r="E127" s="626">
        <f>'13'!F127</f>
        <v>31404</v>
      </c>
      <c r="F127" s="626">
        <v>31404</v>
      </c>
      <c r="G127" s="473">
        <f t="shared" si="15"/>
        <v>0</v>
      </c>
      <c r="H127" s="460">
        <f>G127+'13'!H127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234</v>
      </c>
      <c r="B128" s="1188"/>
      <c r="C128" s="1188"/>
      <c r="D128" s="523" t="s">
        <v>140</v>
      </c>
      <c r="E128" s="626">
        <f>'13'!F128</f>
        <v>8971</v>
      </c>
      <c r="F128" s="626">
        <v>8971</v>
      </c>
      <c r="G128" s="473">
        <f t="shared" si="15"/>
        <v>0</v>
      </c>
      <c r="H128" s="460">
        <f>G128+'13'!H128</f>
        <v>1.2999999999992724</v>
      </c>
      <c r="I128" s="480"/>
      <c r="J128" s="552">
        <f>H128/DAY(B2)</f>
        <v>9.2857142857090888E-2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235</v>
      </c>
      <c r="B129" s="1188"/>
      <c r="C129" s="1188"/>
      <c r="D129" s="523"/>
      <c r="E129" s="478"/>
      <c r="F129" s="478"/>
      <c r="G129" s="473">
        <f>G15-SUM(G124:G128)</f>
        <v>42.360000000131549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187" t="s">
        <v>237</v>
      </c>
      <c r="B131" s="1188"/>
      <c r="C131" s="1188"/>
      <c r="D131" s="523" t="s">
        <v>238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87" t="s">
        <v>239</v>
      </c>
      <c r="B132" s="1188"/>
      <c r="C132" s="1188"/>
      <c r="D132" s="523" t="s">
        <v>238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187" t="s">
        <v>240</v>
      </c>
      <c r="B133" s="1188"/>
      <c r="C133" s="1188"/>
      <c r="D133" s="523" t="s">
        <v>238</v>
      </c>
      <c r="E133" s="541">
        <f>'13'!F133</f>
        <v>40029.35</v>
      </c>
      <c r="F133" s="654">
        <v>40029.35</v>
      </c>
      <c r="G133" s="473">
        <f t="shared" si="16"/>
        <v>0</v>
      </c>
      <c r="H133" s="460">
        <f>G133+'13'!H133</f>
        <v>282.86999999999534</v>
      </c>
      <c r="I133" s="480"/>
      <c r="J133" s="552">
        <f>H133/DAY(B2)</f>
        <v>20.204999999999668</v>
      </c>
      <c r="N133" s="721"/>
      <c r="O133" s="728"/>
      <c r="P133" s="382"/>
    </row>
    <row r="134" spans="1:16" ht="27.75">
      <c r="A134" s="1187" t="s">
        <v>241</v>
      </c>
      <c r="B134" s="1188"/>
      <c r="C134" s="1188"/>
      <c r="D134" s="523" t="s">
        <v>238</v>
      </c>
      <c r="E134" s="704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187" t="s">
        <v>242</v>
      </c>
      <c r="B135" s="1188"/>
      <c r="C135" s="1188"/>
      <c r="D135" s="523" t="s">
        <v>238</v>
      </c>
      <c r="E135" s="704">
        <f>'13'!F135</f>
        <v>41420.9</v>
      </c>
      <c r="F135" s="626">
        <v>41445.129999999997</v>
      </c>
      <c r="G135" s="473">
        <f t="shared" si="16"/>
        <v>24.229999999995925</v>
      </c>
      <c r="H135" s="460">
        <f>G135+'13'!H135</f>
        <v>60.129999999997381</v>
      </c>
      <c r="I135" s="480"/>
      <c r="J135" s="552">
        <f>H135/DAY(B2)</f>
        <v>4.2949999999998125</v>
      </c>
      <c r="N135" s="721"/>
      <c r="O135" s="728"/>
      <c r="P135" s="382"/>
    </row>
    <row r="136" spans="1:16" ht="27.75">
      <c r="A136" s="1187" t="s">
        <v>243</v>
      </c>
      <c r="B136" s="1188"/>
      <c r="C136" s="1188"/>
      <c r="D136" s="523" t="s">
        <v>238</v>
      </c>
      <c r="E136" s="541">
        <f>'13'!F136</f>
        <v>32582.560000000001</v>
      </c>
      <c r="F136" s="654">
        <v>32582.98</v>
      </c>
      <c r="G136" s="473">
        <f t="shared" si="16"/>
        <v>0.41999999999825377</v>
      </c>
      <c r="H136" s="460">
        <f>G136+'13'!H136</f>
        <v>-2.0000000000436557E-2</v>
      </c>
      <c r="I136" s="480"/>
      <c r="J136" s="552">
        <f>H136/DAY(B2)</f>
        <v>-1.4285714286026113E-3</v>
      </c>
      <c r="N136" s="721"/>
      <c r="O136" s="728"/>
      <c r="P136" s="382"/>
    </row>
    <row r="137" spans="1:16" ht="27.75">
      <c r="A137" s="1187" t="s">
        <v>244</v>
      </c>
      <c r="B137" s="1188"/>
      <c r="C137" s="1188"/>
      <c r="D137" s="523" t="s">
        <v>238</v>
      </c>
      <c r="E137" s="541">
        <f>'13'!F137</f>
        <v>22766.92</v>
      </c>
      <c r="F137" s="654">
        <v>22766.92</v>
      </c>
      <c r="G137" s="473">
        <f t="shared" si="16"/>
        <v>0</v>
      </c>
      <c r="H137" s="460">
        <f>G137+'13'!H137</f>
        <v>27.329999999998108</v>
      </c>
      <c r="I137" s="480">
        <f>G135+G136+G137</f>
        <v>24.649999999994179</v>
      </c>
      <c r="J137" s="552">
        <f>H137/DAY(B2)</f>
        <v>1.952142857142722</v>
      </c>
      <c r="N137" s="721"/>
      <c r="O137" s="728"/>
      <c r="P137" s="382"/>
    </row>
    <row r="138" spans="1:16" ht="27.75">
      <c r="A138" s="1187" t="s">
        <v>245</v>
      </c>
      <c r="B138" s="1188"/>
      <c r="C138" s="1188"/>
      <c r="D138" s="523" t="s">
        <v>238</v>
      </c>
      <c r="E138" s="541">
        <f>'13'!F138</f>
        <v>25051.72</v>
      </c>
      <c r="F138" s="654">
        <v>25051.72</v>
      </c>
      <c r="G138" s="473">
        <f t="shared" si="16"/>
        <v>0</v>
      </c>
      <c r="H138" s="460">
        <f>G138+'13'!H138</f>
        <v>0.13000000000101863</v>
      </c>
      <c r="I138" s="480"/>
      <c r="J138" s="552">
        <f>H138/DAY(B2)</f>
        <v>9.2857142857870455E-3</v>
      </c>
      <c r="N138" s="721"/>
      <c r="O138" s="728"/>
      <c r="P138" s="382"/>
    </row>
    <row r="139" spans="1:16" ht="27.75">
      <c r="A139" s="1187" t="s">
        <v>246</v>
      </c>
      <c r="B139" s="1188"/>
      <c r="C139" s="1188"/>
      <c r="D139" s="523" t="s">
        <v>238</v>
      </c>
      <c r="E139" s="541">
        <f>'13'!F139</f>
        <v>70351.94</v>
      </c>
      <c r="F139" s="654">
        <v>70351.94</v>
      </c>
      <c r="G139" s="473">
        <f t="shared" si="16"/>
        <v>0</v>
      </c>
      <c r="H139" s="460">
        <f>G139+'13'!H139</f>
        <v>36.130000000004657</v>
      </c>
      <c r="I139" s="480">
        <f>G138+G139</f>
        <v>0</v>
      </c>
      <c r="J139" s="552">
        <f>H139/DAY(B2)</f>
        <v>2.5807142857146181</v>
      </c>
      <c r="N139" s="721"/>
      <c r="O139" s="728"/>
      <c r="P139" s="382"/>
    </row>
    <row r="140" spans="1:16" ht="27.75">
      <c r="A140" s="1187" t="s">
        <v>247</v>
      </c>
      <c r="B140" s="1188"/>
      <c r="C140" s="1188"/>
      <c r="D140" s="523" t="s">
        <v>238</v>
      </c>
      <c r="E140" s="704">
        <f>'13'!F140</f>
        <v>1716.31</v>
      </c>
      <c r="F140" s="626">
        <v>1723.89</v>
      </c>
      <c r="G140" s="473">
        <f t="shared" si="16"/>
        <v>7.5800000000001546</v>
      </c>
      <c r="H140" s="460">
        <f>G140+'13'!H140</f>
        <v>107.0300000000002</v>
      </c>
      <c r="I140" s="542"/>
      <c r="J140" s="552">
        <f>H140/DAY(B2)</f>
        <v>7.6450000000000147</v>
      </c>
      <c r="N140" s="721"/>
      <c r="O140" s="728"/>
      <c r="P140" s="382"/>
    </row>
    <row r="141" spans="1:16" ht="27.75">
      <c r="A141" s="1187" t="s">
        <v>248</v>
      </c>
      <c r="B141" s="1188"/>
      <c r="C141" s="1188"/>
      <c r="D141" s="523" t="s">
        <v>238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21"/>
      <c r="O141" s="728"/>
      <c r="P141" s="382"/>
    </row>
    <row r="142" spans="1:16">
      <c r="A142" s="1557" t="s">
        <v>249</v>
      </c>
      <c r="B142" s="1558"/>
      <c r="C142" s="1191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3796.6199999998789</v>
      </c>
      <c r="H143" s="460">
        <f>G143+'13'!H143</f>
        <v>59180.479999999909</v>
      </c>
      <c r="I143" s="480"/>
      <c r="J143" s="552">
        <f>H143/DAY(B2)</f>
        <v>4227.1771428571365</v>
      </c>
      <c r="K143" s="380"/>
      <c r="L143" s="377"/>
      <c r="N143" s="721"/>
      <c r="O143" s="728"/>
      <c r="P143" s="382"/>
    </row>
    <row r="144" spans="1:16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0.26542959574038838</v>
      </c>
      <c r="H144" s="460">
        <f>G144+'13'!H144</f>
        <v>3.7902022076114341</v>
      </c>
      <c r="I144" s="544"/>
      <c r="J144" s="552">
        <f>H144/DAY(B2)</f>
        <v>0.27072872911510243</v>
      </c>
      <c r="K144" s="380"/>
      <c r="L144" s="377"/>
      <c r="N144" s="721"/>
      <c r="O144" s="728"/>
      <c r="P144" s="382"/>
    </row>
    <row r="145" spans="1:16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4497.8899999999994</v>
      </c>
      <c r="H145" s="460">
        <f>G145+'13'!H145</f>
        <v>67529.859999999986</v>
      </c>
      <c r="I145" s="480"/>
      <c r="J145" s="552">
        <f>H145/DAY(B2)</f>
        <v>4823.5614285714273</v>
      </c>
      <c r="K145" s="380"/>
      <c r="L145" s="377"/>
      <c r="N145" s="721"/>
      <c r="O145" s="728"/>
      <c r="P145" s="382"/>
    </row>
    <row r="146" spans="1:16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0.31445683907917399</v>
      </c>
      <c r="H146" s="460">
        <f>G146+'13'!H146</f>
        <v>4.3379407698026906</v>
      </c>
      <c r="I146" s="544"/>
      <c r="J146" s="552">
        <f>H146/DAY(B2)</f>
        <v>0.30985291212876359</v>
      </c>
      <c r="K146" s="380"/>
      <c r="L146" s="377"/>
      <c r="N146" s="721"/>
      <c r="O146" s="728"/>
      <c r="P146" s="382"/>
    </row>
    <row r="147" spans="1:16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2207.4399999999441</v>
      </c>
      <c r="H147" s="460">
        <f>G147+'13'!H147</f>
        <v>31571.179999999993</v>
      </c>
      <c r="I147" s="545"/>
      <c r="J147" s="552">
        <f>H147/DAY(B2)</f>
        <v>2255.0842857142852</v>
      </c>
      <c r="K147" s="380"/>
      <c r="L147" s="377"/>
      <c r="N147" s="721"/>
      <c r="O147" s="728"/>
      <c r="P147" s="382"/>
    </row>
    <row r="148" spans="1:16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0.15432671871853565</v>
      </c>
      <c r="H148" s="460">
        <f>G148+'13'!H148</f>
        <v>2.0241753564598519</v>
      </c>
      <c r="I148" s="545"/>
      <c r="J148" s="552">
        <f>H148/DAY(B2)</f>
        <v>0.14458395403284657</v>
      </c>
      <c r="N148" s="721"/>
      <c r="O148" s="728"/>
      <c r="P148" s="382"/>
    </row>
    <row r="149" spans="1:16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1089.1100000000151</v>
      </c>
      <c r="H149" s="460">
        <f>G149+'13'!H149</f>
        <v>16725.03999999995</v>
      </c>
      <c r="I149" s="480"/>
      <c r="J149" s="552">
        <f>H149/DAY(B2)</f>
        <v>1194.6457142857107</v>
      </c>
      <c r="K149" s="381"/>
      <c r="N149" s="721"/>
      <c r="O149" s="728"/>
      <c r="P149" s="382"/>
    </row>
    <row r="150" spans="1:16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7.6141943891363278E-2</v>
      </c>
      <c r="H150" s="460">
        <f>G150+'13'!H150</f>
        <v>1.0724602102861276</v>
      </c>
      <c r="I150" s="545"/>
      <c r="J150" s="552">
        <f>H150/DAY(B2)</f>
        <v>7.6604300734723393E-2</v>
      </c>
      <c r="N150" s="721"/>
      <c r="O150" s="728"/>
      <c r="P150" s="382"/>
    </row>
    <row r="151" spans="1:16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785.8399999999674</v>
      </c>
      <c r="H151" s="460">
        <f>G151+'13'!H151</f>
        <v>15449.989999999991</v>
      </c>
      <c r="I151" s="545"/>
      <c r="J151" s="552">
        <f>H151/DAY(B2)</f>
        <v>1103.5707142857136</v>
      </c>
      <c r="N151" s="721"/>
      <c r="O151" s="728"/>
      <c r="P151" s="382"/>
    </row>
    <row r="152" spans="1:16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5.493970782343896E-2</v>
      </c>
      <c r="H152" s="460">
        <f>G152+'13'!H152</f>
        <v>0.98236926743352471</v>
      </c>
      <c r="I152" s="480"/>
      <c r="J152" s="552">
        <f>H152/DAY(B2)</f>
        <v>7.0169233388108904E-2</v>
      </c>
      <c r="N152" s="721"/>
      <c r="O152" s="728"/>
      <c r="P152" s="382"/>
    </row>
    <row r="153" spans="1:16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1194.9100000000035</v>
      </c>
      <c r="H153" s="460">
        <f>G153+'13'!H153</f>
        <v>17041.78</v>
      </c>
      <c r="I153" s="480"/>
      <c r="J153" s="552">
        <f>H153/DAY(B2)</f>
        <v>1217.27</v>
      </c>
      <c r="N153" s="721"/>
      <c r="O153" s="728"/>
      <c r="P153" s="382"/>
    </row>
    <row r="154" spans="1:16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8.3538641804067448E-2</v>
      </c>
      <c r="H154" s="460">
        <f>G154+'13'!H154</f>
        <v>1.0935009160404494</v>
      </c>
      <c r="I154" s="568"/>
      <c r="J154" s="569">
        <f>H154/DAY(B2)</f>
        <v>7.8107208288603527E-2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262</v>
      </c>
      <c r="B161" s="798"/>
      <c r="C161" s="798"/>
      <c r="D161" s="620" t="s">
        <v>186</v>
      </c>
      <c r="E161" s="522">
        <f>'13'!F161</f>
        <v>36991.79</v>
      </c>
      <c r="F161" s="806">
        <v>37071.870000000003</v>
      </c>
      <c r="G161" s="473">
        <f t="shared" ref="G161:G164" si="17">F161-E161</f>
        <v>80.080000000001746</v>
      </c>
      <c r="N161" s="721"/>
    </row>
    <row r="162" spans="1:14" ht="21.75" customHeight="1">
      <c r="A162" s="797" t="s">
        <v>263</v>
      </c>
      <c r="B162" s="798"/>
      <c r="C162" s="798"/>
      <c r="D162" s="620" t="s">
        <v>186</v>
      </c>
      <c r="E162" s="522">
        <f>'13'!F162</f>
        <v>87811.65</v>
      </c>
      <c r="F162" s="806">
        <v>88224.68</v>
      </c>
      <c r="G162" s="473">
        <f t="shared" si="17"/>
        <v>413.02999999999884</v>
      </c>
      <c r="N162" s="721"/>
    </row>
    <row r="163" spans="1:14" ht="21.75" customHeight="1">
      <c r="A163" s="797" t="s">
        <v>264</v>
      </c>
      <c r="B163" s="798"/>
      <c r="C163" s="798"/>
      <c r="D163" s="620" t="s">
        <v>186</v>
      </c>
      <c r="E163" s="522">
        <f>'13'!F163</f>
        <v>41174.32</v>
      </c>
      <c r="F163" s="806">
        <v>41418.35</v>
      </c>
      <c r="G163" s="473">
        <f t="shared" si="17"/>
        <v>244.02999999999884</v>
      </c>
      <c r="N163" s="721"/>
    </row>
    <row r="164" spans="1:14" ht="21.75" customHeight="1">
      <c r="A164" s="797" t="s">
        <v>265</v>
      </c>
      <c r="B164" s="798"/>
      <c r="C164" s="798"/>
      <c r="D164" s="620" t="s">
        <v>186</v>
      </c>
      <c r="E164" s="522">
        <f>'13'!F164</f>
        <v>6367.18</v>
      </c>
      <c r="F164" s="806">
        <v>6378.14</v>
      </c>
      <c r="G164" s="473">
        <f t="shared" si="17"/>
        <v>10.960000000000036</v>
      </c>
      <c r="N164" s="721"/>
    </row>
    <row r="165" spans="1:14" ht="21.75" customHeight="1">
      <c r="A165" s="799" t="s">
        <v>98</v>
      </c>
      <c r="B165" s="800"/>
      <c r="C165" s="800"/>
      <c r="D165" s="620" t="s">
        <v>186</v>
      </c>
      <c r="E165" s="514">
        <f>E62</f>
        <v>0</v>
      </c>
      <c r="F165" s="514">
        <f>F62</f>
        <v>0</v>
      </c>
      <c r="G165" s="473">
        <f t="shared" ref="G165:G172" si="18">F165-E165</f>
        <v>0</v>
      </c>
      <c r="N165" s="721"/>
    </row>
    <row r="166" spans="1:14" ht="21.75" customHeight="1">
      <c r="A166" s="799" t="s">
        <v>187</v>
      </c>
      <c r="B166" s="800"/>
      <c r="C166" s="800"/>
      <c r="D166" s="620" t="s">
        <v>186</v>
      </c>
      <c r="E166" s="514">
        <f t="shared" ref="E166:E172" si="19">E63</f>
        <v>2408.36</v>
      </c>
      <c r="F166" s="514">
        <f t="shared" ref="F166:F172" si="20">F63</f>
        <v>2412.15</v>
      </c>
      <c r="G166" s="473">
        <f t="shared" si="18"/>
        <v>3.7899999999999636</v>
      </c>
      <c r="N166" s="721"/>
    </row>
    <row r="167" spans="1:14" ht="21.75" customHeight="1">
      <c r="A167" s="1596" t="s">
        <v>99</v>
      </c>
      <c r="B167" s="1596"/>
      <c r="C167" s="1596"/>
      <c r="D167" s="524" t="s">
        <v>186</v>
      </c>
      <c r="E167" s="514">
        <f t="shared" si="19"/>
        <v>155994.29</v>
      </c>
      <c r="F167" s="514">
        <f t="shared" si="20"/>
        <v>156201.04999999999</v>
      </c>
      <c r="G167" s="473">
        <f t="shared" si="18"/>
        <v>206.75999999998021</v>
      </c>
      <c r="N167" s="721"/>
    </row>
    <row r="168" spans="1:14" ht="21.75" customHeight="1">
      <c r="A168" s="1596" t="s">
        <v>100</v>
      </c>
      <c r="B168" s="1596"/>
      <c r="C168" s="1596"/>
      <c r="D168" s="524" t="s">
        <v>186</v>
      </c>
      <c r="E168" s="514">
        <f t="shared" si="19"/>
        <v>156935.51999999999</v>
      </c>
      <c r="F168" s="514">
        <f t="shared" si="20"/>
        <v>157101.17000000001</v>
      </c>
      <c r="G168" s="473">
        <f t="shared" si="18"/>
        <v>165.65000000002328</v>
      </c>
      <c r="N168" s="721"/>
    </row>
    <row r="169" spans="1:14" ht="21.75" customHeight="1">
      <c r="A169" s="1596" t="s">
        <v>101</v>
      </c>
      <c r="B169" s="1596"/>
      <c r="C169" s="1596"/>
      <c r="D169" s="524" t="s">
        <v>186</v>
      </c>
      <c r="E169" s="514">
        <f t="shared" si="19"/>
        <v>51922.93</v>
      </c>
      <c r="F169" s="514">
        <f t="shared" si="20"/>
        <v>52175.54</v>
      </c>
      <c r="G169" s="473">
        <f t="shared" si="18"/>
        <v>252.61000000000058</v>
      </c>
      <c r="N169" s="721"/>
    </row>
    <row r="170" spans="1:14" ht="21.75" customHeight="1">
      <c r="A170" s="1596" t="s">
        <v>102</v>
      </c>
      <c r="B170" s="1596"/>
      <c r="C170" s="1596"/>
      <c r="D170" s="524" t="s">
        <v>186</v>
      </c>
      <c r="E170" s="514">
        <f t="shared" si="19"/>
        <v>245187.61</v>
      </c>
      <c r="F170" s="514">
        <f t="shared" si="20"/>
        <v>245401.59</v>
      </c>
      <c r="G170" s="473">
        <f t="shared" si="18"/>
        <v>213.98000000001048</v>
      </c>
      <c r="N170" s="721"/>
    </row>
    <row r="171" spans="1:14" ht="24" customHeight="1">
      <c r="A171" s="1596" t="s">
        <v>103</v>
      </c>
      <c r="B171" s="1596"/>
      <c r="C171" s="1596"/>
      <c r="D171" s="524" t="s">
        <v>186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21"/>
    </row>
    <row r="172" spans="1:14" ht="27.75">
      <c r="A172" s="1596" t="s">
        <v>104</v>
      </c>
      <c r="B172" s="1596"/>
      <c r="C172" s="1596"/>
      <c r="D172" s="524" t="s">
        <v>186</v>
      </c>
      <c r="E172" s="514">
        <f t="shared" si="19"/>
        <v>79957.27</v>
      </c>
      <c r="F172" s="514">
        <f t="shared" si="20"/>
        <v>80000.070000000007</v>
      </c>
      <c r="G172" s="473">
        <f t="shared" si="18"/>
        <v>42.80000000000291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1633.6900000000169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2.5" customHeight="1">
      <c r="N178" s="721"/>
    </row>
    <row r="179" spans="14:14" ht="22.5" customHeight="1">
      <c r="N179" s="721"/>
    </row>
    <row r="180" spans="14:14" ht="22.5" customHeight="1">
      <c r="N180" s="721"/>
    </row>
    <row r="181" spans="14:14" ht="22.5" customHeight="1">
      <c r="N181" s="721"/>
    </row>
    <row r="182" spans="14:14" ht="22.5" customHeight="1">
      <c r="N182" s="721"/>
    </row>
    <row r="183" spans="14:14" ht="22.5" customHeight="1">
      <c r="N183" s="721"/>
    </row>
    <row r="184" spans="14:14" ht="22.5" customHeight="1">
      <c r="N184" s="721"/>
    </row>
    <row r="185" spans="14:14" ht="22.5" customHeight="1">
      <c r="N185" s="721"/>
    </row>
    <row r="186" spans="14:14" ht="22.5" customHeight="1">
      <c r="N186" s="721"/>
    </row>
    <row r="187" spans="14:14" ht="22.5" customHeight="1">
      <c r="N187" s="721"/>
    </row>
    <row r="188" spans="14:14" ht="22.5" customHeight="1">
      <c r="N188" s="721"/>
    </row>
    <row r="189" spans="14:14" ht="22.5" customHeight="1">
      <c r="N189" s="721"/>
    </row>
    <row r="190" spans="14:14" ht="22.5" customHeight="1">
      <c r="N190" s="721"/>
    </row>
    <row r="191" spans="14:14" ht="22.5" customHeight="1">
      <c r="N191" s="721"/>
    </row>
    <row r="192" spans="14:14" ht="22.5" customHeight="1">
      <c r="N192" s="721"/>
    </row>
    <row r="193" spans="14:14" ht="22.5" customHeight="1">
      <c r="N193" s="721"/>
    </row>
    <row r="194" spans="14:14" ht="22.5" customHeight="1">
      <c r="N194" s="721"/>
    </row>
    <row r="195" spans="14:14" ht="22.5" customHeight="1">
      <c r="N195" s="721"/>
    </row>
    <row r="196" spans="14:14" ht="22.5" customHeight="1">
      <c r="N196" s="721"/>
    </row>
    <row r="197" spans="14:14" ht="22.5" customHeight="1">
      <c r="N197" s="721"/>
    </row>
    <row r="198" spans="14:14" ht="22.5" customHeight="1">
      <c r="N198" s="721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Normal="80" zoomScaleSheetLayoutView="55" workbookViewId="0">
      <selection activeCell="H8" sqref="H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6" s="281" customFormat="1" ht="27">
      <c r="A2" s="575" t="s">
        <v>352</v>
      </c>
      <c r="B2" s="1035">
        <v>44331</v>
      </c>
      <c r="C2" s="1203" t="s">
        <v>69</v>
      </c>
      <c r="D2" s="611">
        <v>0.83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20"/>
      <c r="O2" s="727"/>
    </row>
    <row r="3" spans="1:16" s="281" customFormat="1" ht="27">
      <c r="A3" s="570"/>
      <c r="B3" s="614"/>
      <c r="C3" s="1203" t="s">
        <v>119</v>
      </c>
      <c r="D3" s="612">
        <v>31</v>
      </c>
      <c r="E3" s="1568" t="s">
        <v>120</v>
      </c>
      <c r="F3" s="1569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03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130</v>
      </c>
      <c r="B7" s="680"/>
      <c r="C7" s="680"/>
      <c r="D7" s="638" t="s">
        <v>131</v>
      </c>
      <c r="E7" s="633">
        <f>'14'!F7</f>
        <v>63827.51</v>
      </c>
      <c r="F7" s="455">
        <v>80860</v>
      </c>
      <c r="G7" s="681">
        <f t="shared" ref="G7:G12" si="0">F7-E7</f>
        <v>17032.489999999998</v>
      </c>
      <c r="H7" s="682">
        <f>G7+'14'!H7</f>
        <v>235882.99999999997</v>
      </c>
      <c r="I7" s="683">
        <f>'1'!I7</f>
        <v>12000</v>
      </c>
      <c r="J7" s="684">
        <f>H7/DAY(B2)</f>
        <v>15725.533333333331</v>
      </c>
      <c r="K7" s="549"/>
      <c r="L7" s="377"/>
      <c r="N7" s="732"/>
      <c r="O7" s="728"/>
      <c r="P7" s="731"/>
    </row>
    <row r="8" spans="1:16" ht="27.75" thickBot="1">
      <c r="A8" s="685" t="s">
        <v>132</v>
      </c>
      <c r="B8" s="686"/>
      <c r="C8" s="687"/>
      <c r="D8" s="688" t="s">
        <v>25</v>
      </c>
      <c r="E8" s="633">
        <f>'14'!F8</f>
        <v>64319.28</v>
      </c>
      <c r="F8" s="475">
        <v>81436</v>
      </c>
      <c r="G8" s="692">
        <f t="shared" si="0"/>
        <v>17116.72</v>
      </c>
      <c r="H8" s="682">
        <f>G8+'14'!H8</f>
        <v>237195.00000000003</v>
      </c>
      <c r="I8" s="689">
        <f>'1'!I8</f>
        <v>12000</v>
      </c>
      <c r="J8" s="684">
        <f>H8/DAY(B2)</f>
        <v>15813.000000000002</v>
      </c>
      <c r="K8" s="549"/>
      <c r="L8" s="425"/>
      <c r="M8" s="440"/>
      <c r="N8" s="721"/>
      <c r="O8" s="728"/>
      <c r="P8" s="382"/>
    </row>
    <row r="9" spans="1:16">
      <c r="A9" s="690" t="s">
        <v>133</v>
      </c>
      <c r="B9" s="691"/>
      <c r="C9" s="691"/>
      <c r="D9" s="638" t="s">
        <v>131</v>
      </c>
      <c r="E9" s="633">
        <f>'14'!F9</f>
        <v>1202298.2</v>
      </c>
      <c r="F9" s="478">
        <v>1218784</v>
      </c>
      <c r="G9" s="705">
        <f t="shared" si="0"/>
        <v>16485.800000000047</v>
      </c>
      <c r="H9" s="682">
        <f>G9+'14'!H9</f>
        <v>228070</v>
      </c>
      <c r="I9" s="693">
        <f>I7-J7</f>
        <v>-3725.533333333331</v>
      </c>
      <c r="J9" s="684">
        <f>H9/DAY(B2)</f>
        <v>15204.666666666666</v>
      </c>
      <c r="K9" s="428"/>
      <c r="L9" s="377"/>
      <c r="N9" s="721"/>
      <c r="O9" s="728"/>
      <c r="P9" s="382"/>
    </row>
    <row r="10" spans="1:16">
      <c r="A10" s="679" t="s">
        <v>134</v>
      </c>
      <c r="B10" s="680"/>
      <c r="C10" s="680"/>
      <c r="D10" s="638" t="s">
        <v>131</v>
      </c>
      <c r="E10" s="633">
        <f>'14'!F10</f>
        <v>2322.58</v>
      </c>
      <c r="F10" s="478">
        <v>2322.58</v>
      </c>
      <c r="G10" s="692">
        <f t="shared" si="0"/>
        <v>0</v>
      </c>
      <c r="H10" s="682">
        <f>G10+'14'!H10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135</v>
      </c>
      <c r="B11" s="680"/>
      <c r="C11" s="680"/>
      <c r="D11" s="638" t="s">
        <v>131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G11+'14'!H11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136</v>
      </c>
      <c r="B12" s="680"/>
      <c r="C12" s="680"/>
      <c r="D12" s="638" t="s">
        <v>131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G12+'14'!H12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137</v>
      </c>
      <c r="B13" s="696"/>
      <c r="C13" s="696"/>
      <c r="D13" s="638"/>
      <c r="E13" s="633"/>
      <c r="F13" s="455"/>
      <c r="G13" s="697">
        <f>G9+G10+G11+G12</f>
        <v>16485.800000000047</v>
      </c>
      <c r="H13" s="682">
        <f>G13+'14'!H13</f>
        <v>213549</v>
      </c>
      <c r="I13" s="698">
        <f>G7-G13</f>
        <v>546.6899999999514</v>
      </c>
      <c r="J13" s="684">
        <f>H13/DAY(B2)</f>
        <v>14236.6</v>
      </c>
      <c r="K13" s="428"/>
      <c r="L13" s="377"/>
      <c r="N13" s="721"/>
      <c r="O13" s="728"/>
      <c r="P13" s="382"/>
    </row>
    <row r="14" spans="1:16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139</v>
      </c>
      <c r="B15" s="796"/>
      <c r="C15" s="796"/>
      <c r="D15" s="524" t="s">
        <v>140</v>
      </c>
      <c r="E15" s="485">
        <f>'14'!F15</f>
        <v>1676663.58</v>
      </c>
      <c r="F15" s="626">
        <v>1677101</v>
      </c>
      <c r="G15" s="667">
        <f>(F15-E15)</f>
        <v>437.41999999992549</v>
      </c>
      <c r="H15" s="486">
        <f>G15+'14'!H15</f>
        <v>6444</v>
      </c>
      <c r="I15" s="474">
        <v>800</v>
      </c>
      <c r="J15" s="553">
        <f>H15/DAY(B2)</f>
        <v>429.6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370.4</v>
      </c>
      <c r="J16" s="553"/>
      <c r="K16" s="428"/>
      <c r="L16" s="377"/>
      <c r="N16" s="721"/>
      <c r="O16" s="728"/>
      <c r="P16" s="382"/>
    </row>
    <row r="17" spans="1:16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1" t="s">
        <v>142</v>
      </c>
      <c r="B18" s="1592"/>
      <c r="C18" s="1593"/>
      <c r="D18" s="638" t="s">
        <v>143</v>
      </c>
      <c r="E18" s="635">
        <f>'14'!F18</f>
        <v>2</v>
      </c>
      <c r="F18" s="478">
        <v>6</v>
      </c>
      <c r="G18" s="697">
        <f>F18*10</f>
        <v>60</v>
      </c>
      <c r="H18" s="682">
        <f>G18+'14'!H18</f>
        <v>560</v>
      </c>
      <c r="I18" s="683">
        <f>'1'!I18</f>
        <v>65</v>
      </c>
      <c r="J18" s="684">
        <f>H18/DAY(B2)</f>
        <v>37.333333333333336</v>
      </c>
      <c r="K18" s="428"/>
      <c r="L18" s="377"/>
      <c r="N18" s="721"/>
      <c r="O18" s="728"/>
      <c r="P18" s="382"/>
    </row>
    <row r="19" spans="1:16" ht="27.75">
      <c r="A19" s="1591" t="s">
        <v>71</v>
      </c>
      <c r="B19" s="1592"/>
      <c r="C19" s="1593"/>
      <c r="D19" s="638" t="s">
        <v>143</v>
      </c>
      <c r="E19" s="635">
        <f>'14'!F19</f>
        <v>138575</v>
      </c>
      <c r="F19" s="478">
        <v>138631</v>
      </c>
      <c r="G19" s="692">
        <f t="shared" ref="G19" si="1">F19-E19</f>
        <v>56</v>
      </c>
      <c r="H19" s="682">
        <f>G19+'14'!H19</f>
        <v>819</v>
      </c>
      <c r="I19" s="699"/>
      <c r="J19" s="684">
        <f>H19/DAY(B2)</f>
        <v>54.6</v>
      </c>
      <c r="K19" s="428"/>
      <c r="L19" s="377"/>
      <c r="N19" s="721"/>
      <c r="O19" s="728"/>
      <c r="P19" s="382"/>
    </row>
    <row r="20" spans="1:16">
      <c r="A20" s="695" t="s">
        <v>144</v>
      </c>
      <c r="B20" s="696"/>
      <c r="C20" s="696"/>
      <c r="D20" s="638"/>
      <c r="E20" s="638"/>
      <c r="F20" s="712"/>
      <c r="G20" s="700">
        <f>G18+G19</f>
        <v>116</v>
      </c>
      <c r="H20" s="682">
        <f>G20+'14'!H20</f>
        <v>1379</v>
      </c>
      <c r="I20" s="701">
        <f>I18-J20</f>
        <v>-26.933333333333337</v>
      </c>
      <c r="J20" s="684">
        <f>H20/DAY(B2)</f>
        <v>91.933333333333337</v>
      </c>
      <c r="K20" s="428"/>
      <c r="L20" s="377"/>
      <c r="N20" s="721"/>
      <c r="O20" s="728"/>
      <c r="P20" s="382"/>
    </row>
    <row r="21" spans="1:16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1" t="s">
        <v>146</v>
      </c>
      <c r="B22" s="589"/>
      <c r="C22" s="589"/>
      <c r="D22" s="523" t="s">
        <v>147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1" t="s">
        <v>148</v>
      </c>
      <c r="B23" s="589"/>
      <c r="C23" s="589"/>
      <c r="D23" s="523" t="s">
        <v>147</v>
      </c>
      <c r="E23" s="635">
        <f>'14'!F23</f>
        <v>2900</v>
      </c>
      <c r="F23" s="478">
        <v>2900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17116.72</v>
      </c>
      <c r="F27" s="501">
        <v>9</v>
      </c>
      <c r="G27" s="502">
        <f>E27*F27</f>
        <v>154050.48000000001</v>
      </c>
      <c r="H27" s="460">
        <f>G27+'14'!H27</f>
        <v>2134755</v>
      </c>
      <c r="I27" s="503"/>
      <c r="J27" s="552">
        <f>H27/DAY(B2)</f>
        <v>142317</v>
      </c>
      <c r="K27" s="373"/>
      <c r="L27" s="443"/>
      <c r="N27" s="721"/>
      <c r="O27" s="72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2">
        <f>G15</f>
        <v>437.41999999992549</v>
      </c>
      <c r="F28" s="501">
        <v>51.45</v>
      </c>
      <c r="G28" s="502">
        <f>E28*F28</f>
        <v>22505.258999996167</v>
      </c>
      <c r="H28" s="460">
        <f>G28+'14'!H28</f>
        <v>321061.27899999981</v>
      </c>
      <c r="I28" s="505"/>
      <c r="J28" s="552">
        <f>H28/DAY(B2)</f>
        <v>21404.085266666654</v>
      </c>
      <c r="K28" s="373"/>
      <c r="L28" s="443"/>
      <c r="N28" s="721"/>
      <c r="O28" s="72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2">
        <f>G19</f>
        <v>56</v>
      </c>
      <c r="F30" s="501">
        <v>134</v>
      </c>
      <c r="G30" s="502">
        <f>E30*F30</f>
        <v>7504</v>
      </c>
      <c r="H30" s="460">
        <f>G30+'14'!H30</f>
        <v>109746</v>
      </c>
      <c r="I30" s="505"/>
      <c r="J30" s="552">
        <f>H30/DAY(B2)</f>
        <v>7316.4</v>
      </c>
      <c r="K30" s="373"/>
      <c r="L30" s="443"/>
      <c r="N30" s="721"/>
      <c r="O30" s="72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2">
        <f>G18</f>
        <v>60</v>
      </c>
      <c r="F31" s="501">
        <v>80</v>
      </c>
      <c r="G31" s="502">
        <f>E31*F31</f>
        <v>4800</v>
      </c>
      <c r="H31" s="460">
        <f>G31+'14'!H31</f>
        <v>44800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188859.73899999619</v>
      </c>
      <c r="H32" s="460">
        <f>G32+'14'!H32</f>
        <v>2610362.2790000001</v>
      </c>
      <c r="I32" s="509"/>
      <c r="J32" s="552">
        <f>H32/DAY(B2)</f>
        <v>174024.15193333334</v>
      </c>
      <c r="K32" s="373"/>
      <c r="L32" s="443"/>
      <c r="N32" s="721"/>
      <c r="O32" s="728"/>
      <c r="P32" s="382"/>
    </row>
    <row r="33" spans="1:16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721"/>
      <c r="O33" s="728"/>
      <c r="P33" s="382"/>
    </row>
    <row r="34" spans="1:16">
      <c r="A34" s="598" t="s">
        <v>162</v>
      </c>
      <c r="B34" s="1206"/>
      <c r="C34" s="1206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'14'!F35</f>
        <v>915038.95</v>
      </c>
      <c r="F35" s="510">
        <v>917046</v>
      </c>
      <c r="G35" s="473">
        <f t="shared" ref="G35:G46" si="3">F35-E35</f>
        <v>2007.0500000000466</v>
      </c>
      <c r="H35" s="460">
        <f>G35+'14'!H35</f>
        <v>30587</v>
      </c>
      <c r="I35" s="455"/>
      <c r="J35" s="552">
        <f>H35/DAY(B2)</f>
        <v>2039.1333333333334</v>
      </c>
      <c r="K35" s="428"/>
      <c r="L35" s="377"/>
      <c r="N35" s="721"/>
      <c r="O35" s="729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'14'!F36</f>
        <v>347065</v>
      </c>
      <c r="F36" s="510">
        <v>347065</v>
      </c>
      <c r="G36" s="473">
        <f t="shared" si="3"/>
        <v>0</v>
      </c>
      <c r="H36" s="460">
        <f>G36+'14'!H36</f>
        <v>2457</v>
      </c>
      <c r="I36" s="455"/>
      <c r="J36" s="552">
        <f>H36/DAY(B2)</f>
        <v>163.80000000000001</v>
      </c>
      <c r="K36" s="428"/>
      <c r="L36" s="377"/>
      <c r="N36" s="722"/>
      <c r="O36" s="729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'14'!F37</f>
        <v>112266.91</v>
      </c>
      <c r="F37" s="510">
        <v>113564</v>
      </c>
      <c r="G37" s="473">
        <f t="shared" si="3"/>
        <v>1297.0899999999965</v>
      </c>
      <c r="H37" s="460">
        <f>G37+'14'!H37</f>
        <v>18339</v>
      </c>
      <c r="I37" s="455"/>
      <c r="J37" s="552">
        <f>H37/DAY(B2)</f>
        <v>1222.5999999999999</v>
      </c>
      <c r="K37" s="428"/>
      <c r="L37" s="377"/>
      <c r="N37" s="722"/>
      <c r="O37" s="729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'14'!F38</f>
        <v>136320.97</v>
      </c>
      <c r="F38" s="469">
        <v>137637</v>
      </c>
      <c r="G38" s="473">
        <f t="shared" si="3"/>
        <v>1316.0299999999988</v>
      </c>
      <c r="H38" s="460">
        <f>G38+'14'!H38</f>
        <v>18041</v>
      </c>
      <c r="I38" s="455"/>
      <c r="J38" s="552">
        <f>H38/DAY(B2)</f>
        <v>1202.7333333333333</v>
      </c>
      <c r="K38" s="428"/>
      <c r="L38" s="377"/>
      <c r="N38" s="721"/>
      <c r="O38" s="728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'14'!F39</f>
        <v>271010.89</v>
      </c>
      <c r="F39" s="510">
        <v>273184</v>
      </c>
      <c r="G39" s="473">
        <f t="shared" si="3"/>
        <v>2173.109999999986</v>
      </c>
      <c r="H39" s="460">
        <f>G39+'14'!H39</f>
        <v>26531</v>
      </c>
      <c r="I39" s="455"/>
      <c r="J39" s="552">
        <f>H39/DAY(B2)</f>
        <v>1768.7333333333333</v>
      </c>
      <c r="K39" s="428"/>
      <c r="L39" s="377"/>
      <c r="N39" s="721"/>
      <c r="O39" s="729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'14'!F40</f>
        <v>263.02999999999997</v>
      </c>
      <c r="F40" s="510">
        <v>298</v>
      </c>
      <c r="G40" s="473">
        <f t="shared" si="3"/>
        <v>34.970000000000027</v>
      </c>
      <c r="H40" s="460">
        <f>G40+'14'!H40</f>
        <v>297.77</v>
      </c>
      <c r="I40" s="455"/>
      <c r="J40" s="552">
        <f>H40/DAY(B2)</f>
        <v>19.851333333333333</v>
      </c>
      <c r="K40" s="429"/>
      <c r="L40" s="377"/>
      <c r="N40" s="721"/>
      <c r="O40" s="728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'14'!F41</f>
        <v>239196.55</v>
      </c>
      <c r="F41" s="510">
        <v>239668</v>
      </c>
      <c r="G41" s="473">
        <f t="shared" si="3"/>
        <v>471.45000000001164</v>
      </c>
      <c r="H41" s="460">
        <f>G41+'14'!H41</f>
        <v>58140</v>
      </c>
      <c r="I41" s="455"/>
      <c r="J41" s="552">
        <f>H41/DAY(B2)</f>
        <v>3876</v>
      </c>
      <c r="K41" s="428"/>
      <c r="L41" s="377"/>
      <c r="N41" s="721"/>
      <c r="O41" s="730"/>
      <c r="P41" s="724"/>
    </row>
    <row r="42" spans="1:16">
      <c r="A42" s="578" t="s">
        <v>170</v>
      </c>
      <c r="B42" s="579"/>
      <c r="C42" s="579"/>
      <c r="D42" s="523" t="s">
        <v>131</v>
      </c>
      <c r="E42" s="510">
        <f>'14'!F42</f>
        <v>59200.08</v>
      </c>
      <c r="F42" s="510">
        <v>59200</v>
      </c>
      <c r="G42" s="473">
        <f t="shared" si="3"/>
        <v>-8.000000000174623E-2</v>
      </c>
      <c r="H42" s="460">
        <f>G42+'14'!H42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'14'!F43</f>
        <v>1004558.2</v>
      </c>
      <c r="F43" s="510">
        <v>1006633</v>
      </c>
      <c r="G43" s="473">
        <f t="shared" si="3"/>
        <v>2074.8000000000466</v>
      </c>
      <c r="H43" s="460">
        <f>G43+'14'!H43</f>
        <v>32675</v>
      </c>
      <c r="I43" s="455"/>
      <c r="J43" s="552">
        <f>H43/DAY(B2)</f>
        <v>2178.3333333333335</v>
      </c>
      <c r="K43" s="428"/>
      <c r="L43" s="377"/>
      <c r="N43" s="721"/>
      <c r="O43" s="729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9374.4200000000856</v>
      </c>
      <c r="H47" s="460">
        <f>G47+'14'!H47</f>
        <v>187068.26</v>
      </c>
      <c r="I47" s="455"/>
      <c r="J47" s="552">
        <f>H47/DAY(B2)</f>
        <v>12471.217333333334</v>
      </c>
      <c r="K47" s="428"/>
      <c r="L47" s="377"/>
      <c r="N47" s="721"/>
      <c r="O47" s="728"/>
      <c r="P47" s="382"/>
    </row>
    <row r="48" spans="1:16">
      <c r="A48" s="598" t="s">
        <v>176</v>
      </c>
      <c r="B48" s="1206"/>
      <c r="C48" s="1206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'14'!F49</f>
        <v>260732.13</v>
      </c>
      <c r="F49" s="510">
        <v>260732</v>
      </c>
      <c r="G49" s="473">
        <f t="shared" ref="G49:G58" si="4">F49-E49</f>
        <v>-0.13000000000465661</v>
      </c>
      <c r="H49" s="460">
        <f>G49+'14'!H49</f>
        <v>-0.13000000000465661</v>
      </c>
      <c r="I49" s="455"/>
      <c r="J49" s="552">
        <f>H49/DAY(B2)</f>
        <v>-8.6666666669771072E-3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'14'!F50</f>
        <v>487528.99</v>
      </c>
      <c r="F50" s="510">
        <v>488424</v>
      </c>
      <c r="G50" s="473">
        <f t="shared" si="4"/>
        <v>895.01000000000931</v>
      </c>
      <c r="H50" s="460">
        <f>G50+'14'!H50</f>
        <v>12949</v>
      </c>
      <c r="I50" s="455"/>
      <c r="J50" s="552">
        <f>H50/DAY(B2)</f>
        <v>863.26666666666665</v>
      </c>
      <c r="K50" s="428"/>
      <c r="L50" s="377"/>
      <c r="N50" s="721"/>
      <c r="O50" s="729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21"/>
      <c r="O51" s="728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21"/>
      <c r="O52" s="728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'14'!F53</f>
        <v>423524.29</v>
      </c>
      <c r="F53" s="510">
        <v>423999</v>
      </c>
      <c r="G53" s="473">
        <f t="shared" si="4"/>
        <v>474.71000000002095</v>
      </c>
      <c r="H53" s="460">
        <f>G53+'14'!H53</f>
        <v>7165</v>
      </c>
      <c r="I53" s="455"/>
      <c r="J53" s="552">
        <f>H53/DAY(B2)</f>
        <v>477.66666666666669</v>
      </c>
      <c r="K53" s="428"/>
      <c r="L53" s="377"/>
      <c r="N53" s="721"/>
      <c r="O53" s="728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'14'!F54</f>
        <v>12398.01</v>
      </c>
      <c r="F54" s="510">
        <v>12469</v>
      </c>
      <c r="G54" s="473">
        <f t="shared" si="4"/>
        <v>70.989999999999782</v>
      </c>
      <c r="H54" s="460">
        <f>G54+'14'!H54</f>
        <v>4707</v>
      </c>
      <c r="I54" s="455"/>
      <c r="J54" s="552">
        <f>H54/DAY(B2)</f>
        <v>313.8</v>
      </c>
      <c r="K54" s="428"/>
      <c r="L54" s="377"/>
      <c r="N54" s="721"/>
      <c r="O54" s="728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'14'!F55</f>
        <v>9724.99</v>
      </c>
      <c r="F55" s="656">
        <v>15098</v>
      </c>
      <c r="G55" s="655">
        <f t="shared" si="4"/>
        <v>5373.01</v>
      </c>
      <c r="H55" s="708">
        <f>G55+'14'!H55</f>
        <v>15098</v>
      </c>
      <c r="I55" s="709"/>
      <c r="J55" s="710">
        <f>H55/DAY(B2)</f>
        <v>1006.5333333333333</v>
      </c>
      <c r="K55" s="428"/>
      <c r="L55" s="377"/>
      <c r="N55" s="721"/>
      <c r="O55" s="728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'14'!F56</f>
        <v>589424.71</v>
      </c>
      <c r="F56" s="656">
        <v>589435.47</v>
      </c>
      <c r="G56" s="473">
        <f t="shared" si="4"/>
        <v>10.760000000009313</v>
      </c>
      <c r="H56" s="460">
        <f>G56+'14'!H56</f>
        <v>147.10999999998603</v>
      </c>
      <c r="I56" s="455"/>
      <c r="J56" s="552">
        <f>H56/DAY(B2)</f>
        <v>9.8073333333324015</v>
      </c>
      <c r="K56" s="427"/>
      <c r="L56" s="377"/>
      <c r="N56" s="721"/>
      <c r="O56" s="730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21"/>
      <c r="O57" s="728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'14'!F58</f>
        <v>47868.27</v>
      </c>
      <c r="F58" s="656">
        <v>47905</v>
      </c>
      <c r="G58" s="473">
        <f t="shared" si="4"/>
        <v>36.730000000003201</v>
      </c>
      <c r="H58" s="460">
        <f>G58+'14'!H58</f>
        <v>1188</v>
      </c>
      <c r="I58" s="455"/>
      <c r="J58" s="552">
        <f>H58/DAY(B2)</f>
        <v>79.2</v>
      </c>
      <c r="K58" s="428"/>
      <c r="L58" s="377"/>
      <c r="N58" s="721"/>
      <c r="O58" s="728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6861.0100000000893</v>
      </c>
      <c r="H59" s="460">
        <f>G59+'14'!H59</f>
        <v>41254.179999999978</v>
      </c>
      <c r="I59" s="455">
        <f>G7-G60</f>
        <v>797.05999999982305</v>
      </c>
      <c r="J59" s="552">
        <f>H59/DAY(B2)</f>
        <v>2750.2786666666652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16235.430000000175</v>
      </c>
      <c r="H60" s="460">
        <f>G60+'14'!H60</f>
        <v>229906.33</v>
      </c>
      <c r="I60" s="455">
        <f>G13-G60</f>
        <v>250.36999999987165</v>
      </c>
      <c r="J60" s="552">
        <f>H60/DAY(B2)</f>
        <v>15327.088666666667</v>
      </c>
      <c r="K60" s="428"/>
      <c r="L60" s="377"/>
      <c r="N60" s="721"/>
      <c r="O60" s="728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186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0.36199999999735155</v>
      </c>
      <c r="I62" s="515"/>
      <c r="J62" s="552">
        <f>H62/DAY(B2)</f>
        <v>2.4133333333156769E-2</v>
      </c>
      <c r="K62" s="428"/>
      <c r="L62" s="377"/>
      <c r="N62" s="721"/>
      <c r="O62" s="728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'14'!F63</f>
        <v>2412.15</v>
      </c>
      <c r="F63" s="514">
        <v>2415</v>
      </c>
      <c r="G63" s="473">
        <f t="shared" si="5"/>
        <v>2.8499999999999091</v>
      </c>
      <c r="H63" s="460">
        <f>G63+'14'!H63</f>
        <v>56</v>
      </c>
      <c r="I63" s="515"/>
      <c r="J63" s="552">
        <f>H63/DAY(B2)</f>
        <v>3.7333333333333334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186</v>
      </c>
      <c r="E64" s="514">
        <f>'14'!F64</f>
        <v>156201.04999999999</v>
      </c>
      <c r="F64" s="478">
        <v>156403</v>
      </c>
      <c r="G64" s="473">
        <f t="shared" si="5"/>
        <v>201.95000000001164</v>
      </c>
      <c r="H64" s="460">
        <f>G64+'14'!H64</f>
        <v>3104</v>
      </c>
      <c r="I64" s="480"/>
      <c r="J64" s="552">
        <f>H64/DAY(B2)</f>
        <v>206.93333333333334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186</v>
      </c>
      <c r="E65" s="514">
        <f>'14'!F65</f>
        <v>157101.17000000001</v>
      </c>
      <c r="F65" s="654">
        <v>157372</v>
      </c>
      <c r="G65" s="473">
        <f t="shared" si="5"/>
        <v>270.82999999998719</v>
      </c>
      <c r="H65" s="460">
        <f>G65+'14'!H65</f>
        <v>2773</v>
      </c>
      <c r="I65" s="489"/>
      <c r="J65" s="552">
        <f>H65/DAY(B2)</f>
        <v>184.86666666666667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186</v>
      </c>
      <c r="E66" s="514">
        <f>'14'!F66</f>
        <v>52175.54</v>
      </c>
      <c r="F66" s="478">
        <v>52447</v>
      </c>
      <c r="G66" s="473">
        <f t="shared" si="5"/>
        <v>271.45999999999913</v>
      </c>
      <c r="H66" s="460">
        <f>G66+'14'!H66</f>
        <v>3876</v>
      </c>
      <c r="I66" s="480"/>
      <c r="J66" s="552">
        <f>H66/DAY(B2)</f>
        <v>258.39999999999998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186</v>
      </c>
      <c r="E67" s="514">
        <f>'14'!F67</f>
        <v>245401.59</v>
      </c>
      <c r="F67" s="478">
        <v>245741</v>
      </c>
      <c r="G67" s="473">
        <f t="shared" si="5"/>
        <v>339.41000000000349</v>
      </c>
      <c r="H67" s="460">
        <f>G67+'14'!H67</f>
        <v>2567</v>
      </c>
      <c r="I67" s="489"/>
      <c r="J67" s="552">
        <f>H67/DAY(B2)</f>
        <v>171.13333333333333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186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186</v>
      </c>
      <c r="E69" s="514">
        <f>'14'!F69</f>
        <v>80000.070000000007</v>
      </c>
      <c r="F69" s="478">
        <v>80090</v>
      </c>
      <c r="G69" s="473">
        <f t="shared" si="5"/>
        <v>89.929999999993015</v>
      </c>
      <c r="H69" s="460">
        <f>G69+'14'!H69</f>
        <v>1096</v>
      </c>
      <c r="I69" s="516"/>
      <c r="J69" s="552">
        <f>H69/DAY(B2)</f>
        <v>73.066666666666663</v>
      </c>
      <c r="K69" s="431"/>
      <c r="L69" s="377"/>
      <c r="N69" s="721"/>
      <c r="O69" s="728"/>
      <c r="P69" s="382"/>
    </row>
    <row r="70" spans="1:16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721"/>
      <c r="O71" s="728"/>
      <c r="P71" s="382"/>
    </row>
    <row r="72" spans="1:16" ht="27.75">
      <c r="A72" s="1530" t="s">
        <v>190</v>
      </c>
      <c r="B72" s="1531"/>
      <c r="C72" s="1532"/>
      <c r="D72" s="523" t="s">
        <v>186</v>
      </c>
      <c r="E72" s="519">
        <f>'14'!F72</f>
        <v>855665</v>
      </c>
      <c r="F72" s="657">
        <v>855675</v>
      </c>
      <c r="G72" s="473">
        <f t="shared" ref="G72:G84" si="6">F72-E72</f>
        <v>10</v>
      </c>
      <c r="H72" s="460">
        <f>G72+'14'!H72</f>
        <v>203</v>
      </c>
      <c r="I72" s="480"/>
      <c r="J72" s="552">
        <f>H72/DAY(B2)</f>
        <v>13.533333333333333</v>
      </c>
      <c r="K72" s="431"/>
      <c r="L72" s="377"/>
      <c r="N72" s="721"/>
      <c r="O72" s="728"/>
      <c r="P72" s="382"/>
    </row>
    <row r="73" spans="1:16" ht="27.75">
      <c r="A73" s="1530" t="s">
        <v>191</v>
      </c>
      <c r="B73" s="1531"/>
      <c r="C73" s="1532"/>
      <c r="D73" s="523" t="s">
        <v>186</v>
      </c>
      <c r="E73" s="519">
        <f>'14'!F73</f>
        <v>885891</v>
      </c>
      <c r="F73" s="658">
        <v>885892</v>
      </c>
      <c r="G73" s="655">
        <f t="shared" si="6"/>
        <v>1</v>
      </c>
      <c r="H73" s="460">
        <f>G73+'14'!H73</f>
        <v>196</v>
      </c>
      <c r="I73" s="480"/>
      <c r="J73" s="552">
        <f>H73/DAY(B2)</f>
        <v>13.066666666666666</v>
      </c>
      <c r="K73" s="430"/>
      <c r="L73" s="377"/>
      <c r="N73" s="721"/>
      <c r="O73" s="728"/>
      <c r="P73" s="382"/>
    </row>
    <row r="74" spans="1:16" ht="27.75">
      <c r="A74" s="1530" t="s">
        <v>192</v>
      </c>
      <c r="B74" s="1531"/>
      <c r="C74" s="1532"/>
      <c r="D74" s="523" t="s">
        <v>186</v>
      </c>
      <c r="E74" s="519">
        <f>'14'!F74</f>
        <v>2473.16</v>
      </c>
      <c r="F74" s="658">
        <v>2480</v>
      </c>
      <c r="G74" s="473">
        <f t="shared" si="6"/>
        <v>6.8400000000001455</v>
      </c>
      <c r="H74" s="460">
        <f>G74+'14'!H74</f>
        <v>201</v>
      </c>
      <c r="I74" s="480"/>
      <c r="J74" s="552">
        <f>H74/DAY(B2)</f>
        <v>13.4</v>
      </c>
      <c r="K74" s="431"/>
      <c r="L74" s="377"/>
      <c r="N74" s="721"/>
      <c r="O74" s="728"/>
      <c r="P74" s="382"/>
    </row>
    <row r="75" spans="1:16" ht="27.75">
      <c r="A75" s="1527" t="s">
        <v>193</v>
      </c>
      <c r="B75" s="1528"/>
      <c r="C75" s="1529"/>
      <c r="D75" s="523" t="s">
        <v>186</v>
      </c>
      <c r="E75" s="519">
        <f>'14'!F75</f>
        <v>11714.59</v>
      </c>
      <c r="F75" s="658">
        <v>11767</v>
      </c>
      <c r="G75" s="473">
        <f t="shared" si="6"/>
        <v>52.409999999999854</v>
      </c>
      <c r="H75" s="460">
        <f>G75+'14'!H75</f>
        <v>797</v>
      </c>
      <c r="I75" s="480"/>
      <c r="J75" s="552">
        <f>H75/DAY(B2)</f>
        <v>53.133333333333333</v>
      </c>
      <c r="K75" s="430"/>
      <c r="L75" s="377"/>
      <c r="N75" s="721"/>
      <c r="O75" s="728"/>
      <c r="P75" s="382"/>
    </row>
    <row r="76" spans="1:16" ht="27.75">
      <c r="A76" s="1527" t="s">
        <v>194</v>
      </c>
      <c r="B76" s="1528"/>
      <c r="C76" s="1529"/>
      <c r="D76" s="523" t="s">
        <v>186</v>
      </c>
      <c r="E76" s="519">
        <f>'14'!F76</f>
        <v>6464.57</v>
      </c>
      <c r="F76" s="658">
        <v>6522</v>
      </c>
      <c r="G76" s="473">
        <f t="shared" si="6"/>
        <v>57.430000000000291</v>
      </c>
      <c r="H76" s="460">
        <f>G76+'14'!H76</f>
        <v>805.04999999999927</v>
      </c>
      <c r="I76" s="505"/>
      <c r="J76" s="552">
        <f>H76/DAY(B2)</f>
        <v>53.669999999999952</v>
      </c>
      <c r="K76" s="430"/>
      <c r="L76" s="377"/>
      <c r="N76" s="721"/>
      <c r="O76" s="728"/>
      <c r="P76" s="382"/>
    </row>
    <row r="77" spans="1:16" ht="27.75">
      <c r="A77" s="1530" t="s">
        <v>195</v>
      </c>
      <c r="B77" s="1531"/>
      <c r="C77" s="1532"/>
      <c r="D77" s="523" t="s">
        <v>186</v>
      </c>
      <c r="E77" s="519">
        <f>'14'!F77</f>
        <v>702211</v>
      </c>
      <c r="F77" s="658">
        <v>702236</v>
      </c>
      <c r="G77" s="655">
        <f t="shared" si="6"/>
        <v>25</v>
      </c>
      <c r="H77" s="460">
        <f>G77+'14'!H77</f>
        <v>674</v>
      </c>
      <c r="I77" s="505"/>
      <c r="J77" s="552">
        <f>H77/DAY(B2)</f>
        <v>44.93333333333333</v>
      </c>
      <c r="K77" s="430"/>
      <c r="L77" s="377"/>
      <c r="N77" s="721"/>
      <c r="O77" s="728"/>
      <c r="P77" s="382"/>
    </row>
    <row r="78" spans="1:16" ht="27.75">
      <c r="A78" s="1204" t="s">
        <v>196</v>
      </c>
      <c r="B78" s="1197"/>
      <c r="C78" s="1197"/>
      <c r="D78" s="523" t="s">
        <v>186</v>
      </c>
      <c r="E78" s="519">
        <f>'14'!F78</f>
        <v>671123</v>
      </c>
      <c r="F78" s="659">
        <v>671267</v>
      </c>
      <c r="G78" s="473">
        <f t="shared" si="6"/>
        <v>144</v>
      </c>
      <c r="H78" s="460">
        <f>G78+'14'!H78</f>
        <v>1242</v>
      </c>
      <c r="I78" s="505"/>
      <c r="J78" s="552">
        <f>H78/DAY(B2)</f>
        <v>82.8</v>
      </c>
      <c r="K78" s="430"/>
      <c r="L78" s="377"/>
      <c r="N78" s="721"/>
      <c r="O78" s="728"/>
      <c r="P78" s="382"/>
    </row>
    <row r="79" spans="1:16" ht="27.75">
      <c r="A79" s="1527" t="s">
        <v>92</v>
      </c>
      <c r="B79" s="1528"/>
      <c r="C79" s="1529"/>
      <c r="D79" s="524" t="s">
        <v>186</v>
      </c>
      <c r="E79" s="519">
        <f>'14'!F79</f>
        <v>828805</v>
      </c>
      <c r="F79" s="659">
        <v>828930</v>
      </c>
      <c r="G79" s="473">
        <f t="shared" si="6"/>
        <v>125</v>
      </c>
      <c r="H79" s="460">
        <f>G79+'14'!H79</f>
        <v>1199</v>
      </c>
      <c r="I79" s="505"/>
      <c r="J79" s="552">
        <f>H79/DAY(B2)</f>
        <v>79.933333333333337</v>
      </c>
      <c r="K79" s="430"/>
      <c r="L79" s="377"/>
      <c r="N79" s="721"/>
      <c r="O79" s="728"/>
      <c r="P79" s="382"/>
    </row>
    <row r="80" spans="1:16" ht="27.75">
      <c r="A80" s="1527" t="s">
        <v>197</v>
      </c>
      <c r="B80" s="1528"/>
      <c r="C80" s="1529"/>
      <c r="D80" s="524" t="s">
        <v>186</v>
      </c>
      <c r="E80" s="519">
        <f>'14'!F80</f>
        <v>521713.32</v>
      </c>
      <c r="F80" s="658">
        <v>522087</v>
      </c>
      <c r="G80" s="473">
        <f t="shared" si="6"/>
        <v>373.67999999999302</v>
      </c>
      <c r="H80" s="460">
        <f>G80+'14'!H80</f>
        <v>2626</v>
      </c>
      <c r="I80" s="505"/>
      <c r="J80" s="552">
        <f>H80/DAY(B2)</f>
        <v>175.06666666666666</v>
      </c>
      <c r="K80" s="430"/>
      <c r="L80" s="377"/>
      <c r="N80" s="721"/>
      <c r="O80" s="728"/>
      <c r="P80" s="382"/>
    </row>
    <row r="81" spans="1:16" ht="27.75">
      <c r="A81" s="1527" t="s">
        <v>198</v>
      </c>
      <c r="B81" s="1528"/>
      <c r="C81" s="1529"/>
      <c r="D81" s="524" t="s">
        <v>186</v>
      </c>
      <c r="E81" s="519">
        <f>'14'!F81</f>
        <v>637518.84</v>
      </c>
      <c r="F81" s="658">
        <v>637594</v>
      </c>
      <c r="G81" s="473">
        <f t="shared" si="6"/>
        <v>75.160000000032596</v>
      </c>
      <c r="H81" s="460">
        <f>G81+'14'!H81</f>
        <v>1116</v>
      </c>
      <c r="I81" s="505"/>
      <c r="J81" s="552">
        <f>H81/DAY(B2)</f>
        <v>74.400000000000006</v>
      </c>
      <c r="K81" s="430"/>
      <c r="L81" s="377"/>
      <c r="N81" s="721"/>
      <c r="O81" s="728"/>
      <c r="P81" s="382"/>
    </row>
    <row r="82" spans="1:16" s="778" customFormat="1" ht="27.75">
      <c r="A82" s="1597" t="s">
        <v>93</v>
      </c>
      <c r="B82" s="1598"/>
      <c r="C82" s="1599"/>
      <c r="D82" s="485" t="s">
        <v>131</v>
      </c>
      <c r="E82" s="519">
        <f>'14'!F82</f>
        <v>107871.05</v>
      </c>
      <c r="F82" s="485">
        <v>107909</v>
      </c>
      <c r="G82" s="473">
        <f t="shared" si="6"/>
        <v>37.94999999999709</v>
      </c>
      <c r="H82" s="486">
        <f>G82+'14'!H82</f>
        <v>297</v>
      </c>
      <c r="I82" s="486"/>
      <c r="J82" s="553">
        <f>H82/DAY(B2)</f>
        <v>19.8</v>
      </c>
      <c r="K82" s="1219"/>
      <c r="L82" s="1220"/>
      <c r="N82" s="725"/>
      <c r="O82" s="729"/>
      <c r="P82" s="724"/>
    </row>
    <row r="83" spans="1:16" s="778" customFormat="1" ht="27.75">
      <c r="A83" s="1600" t="s">
        <v>199</v>
      </c>
      <c r="B83" s="1601"/>
      <c r="C83" s="1602"/>
      <c r="D83" s="1318" t="s">
        <v>131</v>
      </c>
      <c r="E83" s="785">
        <f>'14'!F83</f>
        <v>17536</v>
      </c>
      <c r="F83" s="1318">
        <v>17788</v>
      </c>
      <c r="G83" s="776">
        <f t="shared" si="6"/>
        <v>252</v>
      </c>
      <c r="H83" s="479">
        <f>G83+'14'!H83</f>
        <v>3017</v>
      </c>
      <c r="I83" s="776"/>
      <c r="J83" s="777">
        <f>H83/DAY(B2)</f>
        <v>201.13333333333333</v>
      </c>
      <c r="K83" s="1319"/>
      <c r="L83" s="1220"/>
      <c r="N83" s="725"/>
      <c r="O83" s="729"/>
      <c r="P83" s="724"/>
    </row>
    <row r="84" spans="1:16">
      <c r="A84" s="1205" t="s">
        <v>200</v>
      </c>
      <c r="B84" s="571"/>
      <c r="C84" s="571"/>
      <c r="D84" s="478" t="s">
        <v>131</v>
      </c>
      <c r="E84" s="519">
        <f>'14'!F84</f>
        <v>490097</v>
      </c>
      <c r="F84" s="627">
        <v>490696</v>
      </c>
      <c r="G84" s="473">
        <f t="shared" si="6"/>
        <v>599</v>
      </c>
      <c r="H84" s="460">
        <f>G84+'14'!H84</f>
        <v>10563</v>
      </c>
      <c r="I84" s="481"/>
      <c r="J84" s="552">
        <f>H84/DAY(B2)</f>
        <v>704.2</v>
      </c>
      <c r="K84" s="380"/>
      <c r="L84" s="377"/>
      <c r="N84" s="721"/>
      <c r="O84" s="728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1759.470000000023</v>
      </c>
      <c r="H85" s="460">
        <f>G85+'14'!H85</f>
        <v>26445</v>
      </c>
      <c r="I85" s="481"/>
      <c r="J85" s="552">
        <f>H85/DAY(B2)</f>
        <v>1763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182</v>
      </c>
      <c r="E86" s="627">
        <f>'14'!F86</f>
        <v>460333.4</v>
      </c>
      <c r="F86" s="650">
        <v>460414</v>
      </c>
      <c r="G86" s="708">
        <f t="shared" ref="G86:G91" si="7">F86-E86</f>
        <v>80.599999999976717</v>
      </c>
      <c r="H86" s="708">
        <f t="shared" ref="H86:H88" si="8">G86</f>
        <v>80.599999999976717</v>
      </c>
      <c r="I86" s="655"/>
      <c r="J86" s="710">
        <f>H86/DAY(B2)</f>
        <v>5.3733333333317814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182</v>
      </c>
      <c r="E87" s="627">
        <f>'14'!F87</f>
        <v>81097.8</v>
      </c>
      <c r="F87" s="650">
        <v>81105</v>
      </c>
      <c r="G87" s="708">
        <f t="shared" si="7"/>
        <v>7.1999999999970896</v>
      </c>
      <c r="H87" s="708">
        <f t="shared" si="8"/>
        <v>7.1999999999970896</v>
      </c>
      <c r="I87" s="655"/>
      <c r="J87" s="710">
        <f>H87/DAY(B2)</f>
        <v>0.47999999999980597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182</v>
      </c>
      <c r="E88" s="627">
        <f>'14'!F88</f>
        <v>152441</v>
      </c>
      <c r="F88" s="1475">
        <v>152445</v>
      </c>
      <c r="G88" s="708">
        <f t="shared" si="7"/>
        <v>4</v>
      </c>
      <c r="H88" s="708">
        <f t="shared" si="8"/>
        <v>4</v>
      </c>
      <c r="I88" s="655"/>
      <c r="J88" s="710">
        <f>H88/DAY(B2)</f>
        <v>0.26666666666666666</v>
      </c>
      <c r="K88" s="736"/>
      <c r="L88" s="737"/>
      <c r="O88" s="716"/>
    </row>
    <row r="89" spans="1:16" s="738" customFormat="1">
      <c r="A89" s="733" t="s">
        <v>203</v>
      </c>
      <c r="B89" s="734"/>
      <c r="C89" s="734"/>
      <c r="D89" s="735" t="s">
        <v>182</v>
      </c>
      <c r="E89" s="627">
        <f>'14'!F89</f>
        <v>64924.5</v>
      </c>
      <c r="F89" s="650">
        <v>64930</v>
      </c>
      <c r="G89" s="708">
        <f t="shared" si="7"/>
        <v>5.5</v>
      </c>
      <c r="H89" s="708">
        <f>G89</f>
        <v>5.5</v>
      </c>
      <c r="I89" s="655"/>
      <c r="J89" s="710">
        <f>H89/DAY(B2)</f>
        <v>0.36666666666666664</v>
      </c>
      <c r="K89" s="736"/>
      <c r="L89" s="737"/>
      <c r="N89" s="780"/>
      <c r="O89" s="382"/>
    </row>
    <row r="90" spans="1:16" s="738" customFormat="1">
      <c r="A90" s="733" t="s">
        <v>203</v>
      </c>
      <c r="B90" s="734"/>
      <c r="C90" s="734"/>
      <c r="D90" s="735" t="s">
        <v>182</v>
      </c>
      <c r="E90" s="627">
        <f>'14'!F90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361</v>
      </c>
      <c r="B91" s="734"/>
      <c r="C91" s="734"/>
      <c r="D91" s="735"/>
      <c r="E91" s="627">
        <f>'14'!F91</f>
        <v>27949.93</v>
      </c>
      <c r="F91" s="650">
        <v>27954</v>
      </c>
      <c r="G91" s="708">
        <f t="shared" si="7"/>
        <v>4.069999999999709</v>
      </c>
      <c r="H91" s="708">
        <f>G91</f>
        <v>4.069999999999709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204</v>
      </c>
      <c r="B92" s="1207"/>
      <c r="C92" s="1207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1" t="s">
        <v>205</v>
      </c>
      <c r="B93" s="1552"/>
      <c r="C93" s="1553"/>
      <c r="D93" s="523" t="s">
        <v>143</v>
      </c>
      <c r="E93" s="484">
        <f>'14'!F93</f>
        <v>244879</v>
      </c>
      <c r="F93" s="478">
        <v>245032</v>
      </c>
      <c r="G93" s="473">
        <f t="shared" ref="G93:G94" si="9">F93-E93</f>
        <v>153</v>
      </c>
      <c r="H93" s="460">
        <f>G93+'14'!H93</f>
        <v>508</v>
      </c>
      <c r="I93" s="480"/>
      <c r="J93" s="552">
        <f>H93/DAY(B2)</f>
        <v>33.866666666666667</v>
      </c>
      <c r="K93" s="429"/>
      <c r="L93" s="377"/>
      <c r="N93" s="721"/>
      <c r="O93" s="728"/>
      <c r="P93" s="382"/>
    </row>
    <row r="94" spans="1:16" ht="27.75">
      <c r="A94" s="1551" t="s">
        <v>206</v>
      </c>
      <c r="B94" s="1552"/>
      <c r="C94" s="1553"/>
      <c r="D94" s="523" t="s">
        <v>143</v>
      </c>
      <c r="E94" s="484">
        <f>'14'!F94</f>
        <v>184662</v>
      </c>
      <c r="F94" s="478">
        <v>184793</v>
      </c>
      <c r="G94" s="473">
        <f t="shared" si="9"/>
        <v>131</v>
      </c>
      <c r="H94" s="460">
        <f>G94+'14'!H94</f>
        <v>1262</v>
      </c>
      <c r="I94" s="480"/>
      <c r="J94" s="552">
        <f>H94/DAY(B2)</f>
        <v>84.13333333333334</v>
      </c>
      <c r="K94" s="380"/>
      <c r="L94" s="377"/>
      <c r="N94" s="721"/>
      <c r="O94" s="728"/>
      <c r="P94" s="382"/>
    </row>
    <row r="95" spans="1:16">
      <c r="A95" s="1579" t="s">
        <v>207</v>
      </c>
      <c r="B95" s="1580"/>
      <c r="C95" s="1581"/>
      <c r="D95" s="523"/>
      <c r="E95" s="484"/>
      <c r="F95" s="478"/>
      <c r="G95" s="473">
        <f>G93+G94</f>
        <v>284</v>
      </c>
      <c r="H95" s="460">
        <f>G95+'14'!H95</f>
        <v>1623</v>
      </c>
      <c r="I95" s="480"/>
      <c r="J95" s="552">
        <f>H95/DAY(B2)</f>
        <v>108.2</v>
      </c>
      <c r="K95" s="380"/>
      <c r="L95" s="377"/>
      <c r="N95" s="721"/>
      <c r="O95" s="728"/>
      <c r="P95" s="382"/>
    </row>
    <row r="96" spans="1:16" ht="27.75">
      <c r="A96" s="1551" t="s">
        <v>208</v>
      </c>
      <c r="B96" s="1552"/>
      <c r="C96" s="1553"/>
      <c r="D96" s="523" t="s">
        <v>143</v>
      </c>
      <c r="E96" s="484">
        <f>'14'!F96</f>
        <v>413525</v>
      </c>
      <c r="F96" s="478">
        <v>413567</v>
      </c>
      <c r="G96" s="473">
        <f t="shared" ref="G96:G101" si="10">F96-E96</f>
        <v>42</v>
      </c>
      <c r="H96" s="460">
        <f>G96+'14'!H96</f>
        <v>681</v>
      </c>
      <c r="I96" s="480"/>
      <c r="J96" s="552">
        <f>H96/DAY(B2)</f>
        <v>45.4</v>
      </c>
      <c r="K96" s="380"/>
      <c r="L96" s="377"/>
      <c r="N96" s="721"/>
      <c r="O96" s="728"/>
      <c r="P96" s="382"/>
    </row>
    <row r="97" spans="1:16" ht="27.75">
      <c r="A97" s="1201" t="s">
        <v>209</v>
      </c>
      <c r="B97" s="1202"/>
      <c r="C97" s="1202"/>
      <c r="D97" s="523" t="s">
        <v>143</v>
      </c>
      <c r="E97" s="484">
        <f>'14'!F97</f>
        <v>102473</v>
      </c>
      <c r="F97" s="478">
        <v>102483</v>
      </c>
      <c r="G97" s="473">
        <f t="shared" si="10"/>
        <v>10</v>
      </c>
      <c r="H97" s="460">
        <f>G97+'14'!H97</f>
        <v>140</v>
      </c>
      <c r="I97" s="480"/>
      <c r="J97" s="552">
        <f>H97/DAY(B2)</f>
        <v>9.3333333333333339</v>
      </c>
      <c r="K97" s="427"/>
      <c r="L97" s="377"/>
      <c r="N97" s="721"/>
      <c r="O97" s="728"/>
      <c r="P97" s="382"/>
    </row>
    <row r="98" spans="1:16" ht="27.75">
      <c r="A98" s="1201" t="s">
        <v>210</v>
      </c>
      <c r="B98" s="1202"/>
      <c r="C98" s="1202"/>
      <c r="D98" s="523" t="s">
        <v>143</v>
      </c>
      <c r="E98" s="484">
        <f>'14'!F98</f>
        <v>97610</v>
      </c>
      <c r="F98" s="478">
        <v>97643</v>
      </c>
      <c r="G98" s="473">
        <f t="shared" si="10"/>
        <v>33</v>
      </c>
      <c r="H98" s="460">
        <f>G98+'14'!H98</f>
        <v>216</v>
      </c>
      <c r="I98" s="480"/>
      <c r="J98" s="552">
        <f>H98/DAY(B2)</f>
        <v>14.4</v>
      </c>
      <c r="K98" s="432"/>
      <c r="L98" s="377"/>
      <c r="N98" s="721"/>
      <c r="O98" s="728"/>
      <c r="P98" s="382"/>
    </row>
    <row r="99" spans="1:16" ht="27.75">
      <c r="A99" s="1201" t="s">
        <v>211</v>
      </c>
      <c r="B99" s="1202"/>
      <c r="C99" s="1202"/>
      <c r="D99" s="523" t="s">
        <v>143</v>
      </c>
      <c r="E99" s="484">
        <f>'14'!F99</f>
        <v>149695</v>
      </c>
      <c r="F99" s="478">
        <v>149718</v>
      </c>
      <c r="G99" s="473">
        <f t="shared" si="10"/>
        <v>23</v>
      </c>
      <c r="H99" s="460">
        <f>G99+'14'!H99</f>
        <v>185</v>
      </c>
      <c r="I99" s="480"/>
      <c r="J99" s="552">
        <f>H99/DAY(B2)</f>
        <v>12.333333333333334</v>
      </c>
      <c r="K99" s="380"/>
      <c r="L99" s="377"/>
      <c r="N99" s="723"/>
      <c r="O99" s="728"/>
      <c r="P99" s="382"/>
    </row>
    <row r="100" spans="1:16" ht="27.75">
      <c r="A100" s="1201" t="s">
        <v>212</v>
      </c>
      <c r="B100" s="1202"/>
      <c r="C100" s="1202"/>
      <c r="D100" s="523" t="s">
        <v>143</v>
      </c>
      <c r="E100" s="484">
        <f>'14'!F100</f>
        <v>7238</v>
      </c>
      <c r="F100" s="478">
        <v>7243</v>
      </c>
      <c r="G100" s="473">
        <f t="shared" si="10"/>
        <v>5</v>
      </c>
      <c r="H100" s="460">
        <f>G100+'14'!H100</f>
        <v>58</v>
      </c>
      <c r="I100" s="480"/>
      <c r="J100" s="552">
        <f>H100/DAY(B2)</f>
        <v>3.8666666666666667</v>
      </c>
      <c r="K100" s="380"/>
      <c r="L100" s="377"/>
      <c r="N100" s="721"/>
      <c r="O100" s="728"/>
      <c r="P100" s="382"/>
    </row>
    <row r="101" spans="1:16" ht="27.75">
      <c r="A101" s="1201" t="s">
        <v>213</v>
      </c>
      <c r="B101" s="1202"/>
      <c r="C101" s="1202"/>
      <c r="D101" s="523" t="s">
        <v>143</v>
      </c>
      <c r="E101" s="484">
        <f>'14'!F101</f>
        <v>5232</v>
      </c>
      <c r="F101" s="478">
        <v>5237</v>
      </c>
      <c r="G101" s="473">
        <f t="shared" si="10"/>
        <v>5</v>
      </c>
      <c r="H101" s="460">
        <f>G101+'14'!H101</f>
        <v>99</v>
      </c>
      <c r="I101" s="480"/>
      <c r="J101" s="552">
        <f>H101/DAY(B2)</f>
        <v>6.6</v>
      </c>
      <c r="K101" s="380"/>
      <c r="L101" s="377"/>
      <c r="N101" s="721"/>
      <c r="O101" s="728"/>
      <c r="P101" s="382"/>
    </row>
    <row r="102" spans="1:16">
      <c r="A102" s="1579" t="s">
        <v>215</v>
      </c>
      <c r="B102" s="1580"/>
      <c r="C102" s="1581"/>
      <c r="D102" s="524"/>
      <c r="E102" s="484"/>
      <c r="F102" s="524"/>
      <c r="G102" s="525">
        <f>SUM(G96:G101)</f>
        <v>118</v>
      </c>
      <c r="H102" s="460">
        <f>G102+'14'!H102</f>
        <v>1379</v>
      </c>
      <c r="I102" s="526"/>
      <c r="J102" s="552">
        <f>H102/DAY(B2)</f>
        <v>91.933333333333337</v>
      </c>
      <c r="K102" s="380"/>
      <c r="L102" s="377"/>
      <c r="N102" s="721"/>
      <c r="O102" s="728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60"/>
      <c r="G103" s="529"/>
      <c r="H103" s="530"/>
      <c r="I103" s="531"/>
      <c r="J103" s="557">
        <v>3</v>
      </c>
      <c r="N103" s="721"/>
      <c r="O103" s="728"/>
      <c r="P103" s="382"/>
    </row>
    <row r="104" spans="1:16" s="442" customFormat="1" ht="27.75">
      <c r="A104" s="1582" t="s">
        <v>217</v>
      </c>
      <c r="B104" s="1583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3" t="s">
        <v>218</v>
      </c>
      <c r="B105" s="1544"/>
      <c r="C105" s="1200"/>
      <c r="D105" s="622" t="s">
        <v>143</v>
      </c>
      <c r="E105" s="484">
        <f>'14'!F105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21"/>
      <c r="O105" s="728"/>
      <c r="P105" s="382"/>
    </row>
    <row r="106" spans="1:16" s="442" customFormat="1" ht="27.75">
      <c r="A106" s="1543" t="s">
        <v>77</v>
      </c>
      <c r="B106" s="1544"/>
      <c r="C106" s="1200"/>
      <c r="D106" s="622" t="s">
        <v>143</v>
      </c>
      <c r="E106" s="484">
        <f>'14'!F106</f>
        <v>35875</v>
      </c>
      <c r="F106" s="662">
        <v>35875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3.3333333333333335</v>
      </c>
      <c r="N106" s="721"/>
      <c r="O106" s="728"/>
      <c r="P106" s="382"/>
    </row>
    <row r="107" spans="1:16" s="442" customFormat="1" ht="27.75">
      <c r="A107" s="1543" t="s">
        <v>78</v>
      </c>
      <c r="B107" s="1584"/>
      <c r="C107" s="1544"/>
      <c r="D107" s="622" t="s">
        <v>143</v>
      </c>
      <c r="E107" s="484">
        <f>'14'!F107</f>
        <v>19660</v>
      </c>
      <c r="F107" s="662">
        <v>19663</v>
      </c>
      <c r="G107" s="532">
        <f t="shared" si="11"/>
        <v>3</v>
      </c>
      <c r="H107" s="533">
        <f>SUM(G107+'1'!G78)</f>
        <v>127</v>
      </c>
      <c r="I107" s="532"/>
      <c r="J107" s="558">
        <f>H107/DAY(B2)</f>
        <v>8.4666666666666668</v>
      </c>
      <c r="N107" s="721"/>
      <c r="O107" s="728"/>
      <c r="P107" s="382"/>
    </row>
    <row r="108" spans="1:16" s="442" customFormat="1" ht="27.75">
      <c r="A108" s="1545" t="s">
        <v>201</v>
      </c>
      <c r="B108" s="1546"/>
      <c r="C108" s="1200"/>
      <c r="D108" s="622"/>
      <c r="E108" s="484">
        <f>'14'!F108</f>
        <v>0</v>
      </c>
      <c r="F108" s="662"/>
      <c r="G108" s="532">
        <f>SUM(G105:G107)</f>
        <v>3</v>
      </c>
      <c r="H108" s="533">
        <f>SUM(G108+'1'!G79)</f>
        <v>192</v>
      </c>
      <c r="I108" s="532"/>
      <c r="J108" s="558">
        <f>H108/DAY(B2)</f>
        <v>12.8</v>
      </c>
      <c r="N108" s="721"/>
      <c r="O108" s="728"/>
      <c r="P108" s="382"/>
    </row>
    <row r="109" spans="1:16" s="442" customFormat="1" ht="27.75">
      <c r="A109" s="1549" t="s">
        <v>79</v>
      </c>
      <c r="B109" s="1550"/>
      <c r="C109" s="1200"/>
      <c r="D109" s="622" t="s">
        <v>143</v>
      </c>
      <c r="E109" s="484">
        <f>'14'!F109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3" t="s">
        <v>219</v>
      </c>
      <c r="B110" s="1544"/>
      <c r="C110" s="1200"/>
      <c r="D110" s="622" t="s">
        <v>143</v>
      </c>
      <c r="E110" s="484">
        <f>'14'!F110</f>
        <v>61870</v>
      </c>
      <c r="F110" s="662">
        <v>61912</v>
      </c>
      <c r="G110" s="532">
        <f>F110-E110</f>
        <v>42</v>
      </c>
      <c r="H110" s="533">
        <f>SUM(G110+'1'!G81)</f>
        <v>123</v>
      </c>
      <c r="I110" s="532"/>
      <c r="J110" s="558">
        <f>H110/DAY(B2)</f>
        <v>8.1999999999999993</v>
      </c>
      <c r="N110" s="721"/>
      <c r="O110" s="728"/>
      <c r="P110" s="382"/>
    </row>
    <row r="111" spans="1:16" s="442" customFormat="1" ht="27.75">
      <c r="A111" s="1543" t="s">
        <v>220</v>
      </c>
      <c r="B111" s="1544"/>
      <c r="C111" s="1200"/>
      <c r="D111" s="622" t="s">
        <v>143</v>
      </c>
      <c r="E111" s="484">
        <f>'14'!F111</f>
        <v>32371</v>
      </c>
      <c r="F111" s="662">
        <v>32401</v>
      </c>
      <c r="G111" s="532">
        <f t="shared" ref="G111:G112" si="12">F111-E111</f>
        <v>30</v>
      </c>
      <c r="H111" s="533">
        <f>SUM(G111+'1'!G82)</f>
        <v>42</v>
      </c>
      <c r="I111" s="532"/>
      <c r="J111" s="558">
        <f>H111/DAY(B2)</f>
        <v>2.8</v>
      </c>
      <c r="N111" s="721"/>
      <c r="O111" s="728"/>
      <c r="P111" s="382"/>
    </row>
    <row r="112" spans="1:16" s="442" customFormat="1" ht="27.75">
      <c r="A112" s="1543" t="s">
        <v>221</v>
      </c>
      <c r="B112" s="1544"/>
      <c r="C112" s="1200"/>
      <c r="D112" s="622" t="s">
        <v>143</v>
      </c>
      <c r="E112" s="484">
        <f>'14'!F112</f>
        <v>4492</v>
      </c>
      <c r="F112" s="662">
        <v>4509</v>
      </c>
      <c r="G112" s="532">
        <f t="shared" si="12"/>
        <v>17</v>
      </c>
      <c r="H112" s="533">
        <f>SUM(G112+'1'!G83)</f>
        <v>272</v>
      </c>
      <c r="I112" s="532"/>
      <c r="J112" s="558">
        <f>H112/DAY(B2)</f>
        <v>18.133333333333333</v>
      </c>
      <c r="N112" s="721"/>
      <c r="O112" s="728"/>
      <c r="P112" s="382"/>
    </row>
    <row r="113" spans="1:16" s="442" customFormat="1" ht="27.75">
      <c r="A113" s="1545" t="s">
        <v>110</v>
      </c>
      <c r="B113" s="1546"/>
      <c r="C113" s="1200"/>
      <c r="D113" s="622"/>
      <c r="E113" s="484">
        <f>'14'!F113</f>
        <v>0</v>
      </c>
      <c r="F113" s="662"/>
      <c r="G113" s="532">
        <f>SUM(G110:G112)</f>
        <v>89</v>
      </c>
      <c r="H113" s="533">
        <f>SUM(G113+'1'!G84)</f>
        <v>804</v>
      </c>
      <c r="I113" s="532"/>
      <c r="J113" s="558">
        <f>H113/DAY(B2)</f>
        <v>53.6</v>
      </c>
      <c r="N113" s="721"/>
      <c r="O113" s="728"/>
      <c r="P113" s="382"/>
    </row>
    <row r="114" spans="1:16" s="442" customFormat="1" ht="27.75">
      <c r="A114" s="1549" t="s">
        <v>222</v>
      </c>
      <c r="B114" s="1550"/>
      <c r="C114" s="1200"/>
      <c r="D114" s="622"/>
      <c r="E114" s="484">
        <f>'14'!F114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3" t="s">
        <v>223</v>
      </c>
      <c r="B115" s="1544"/>
      <c r="C115" s="574"/>
      <c r="D115" s="622" t="s">
        <v>143</v>
      </c>
      <c r="E115" s="484">
        <f>'14'!F115</f>
        <v>11332</v>
      </c>
      <c r="F115" s="662">
        <v>11339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0.46666666666666667</v>
      </c>
      <c r="N115" s="721"/>
      <c r="O115" s="728"/>
      <c r="P115" s="382"/>
    </row>
    <row r="116" spans="1:16" s="442" customFormat="1" ht="27.75">
      <c r="A116" s="1543" t="s">
        <v>224</v>
      </c>
      <c r="B116" s="1544"/>
      <c r="C116" s="574"/>
      <c r="D116" s="622" t="s">
        <v>143</v>
      </c>
      <c r="E116" s="484">
        <f>'14'!F116</f>
        <v>8198</v>
      </c>
      <c r="F116" s="662">
        <v>8199</v>
      </c>
      <c r="G116" s="534">
        <f t="shared" ref="G116:G117" si="13">F116-E116</f>
        <v>1</v>
      </c>
      <c r="H116" s="533">
        <f>SUM(G116+'1'!G93)</f>
        <v>53</v>
      </c>
      <c r="I116" s="532"/>
      <c r="J116" s="558">
        <f>H116/DAY(B2)</f>
        <v>3.5333333333333332</v>
      </c>
      <c r="N116" s="721"/>
      <c r="O116" s="728"/>
      <c r="P116" s="382"/>
    </row>
    <row r="117" spans="1:16" s="442" customFormat="1" ht="27.75">
      <c r="A117" s="1543" t="s">
        <v>225</v>
      </c>
      <c r="B117" s="1544"/>
      <c r="C117" s="574"/>
      <c r="D117" s="622" t="s">
        <v>143</v>
      </c>
      <c r="E117" s="534">
        <f>'14'!F117</f>
        <v>0</v>
      </c>
      <c r="F117" s="662">
        <v>0</v>
      </c>
      <c r="G117" s="534">
        <f t="shared" si="13"/>
        <v>0</v>
      </c>
      <c r="H117" s="533">
        <f>SUM(G117+'1'!G94)</f>
        <v>95</v>
      </c>
      <c r="I117" s="532"/>
      <c r="J117" s="558">
        <f>H117/DAY(B2)</f>
        <v>6.333333333333333</v>
      </c>
      <c r="N117" s="721"/>
      <c r="O117" s="728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8</v>
      </c>
      <c r="H118" s="533">
        <f>SUM(G118+'1'!G96)</f>
        <v>80</v>
      </c>
      <c r="I118" s="534"/>
      <c r="J118" s="558">
        <f>H118/DAY(B2)</f>
        <v>5.333333333333333</v>
      </c>
      <c r="N118" s="721"/>
      <c r="O118" s="728"/>
      <c r="P118" s="382"/>
    </row>
    <row r="119" spans="1:16" s="446" customFormat="1" ht="27.75">
      <c r="A119" s="1539" t="s">
        <v>226</v>
      </c>
      <c r="B119" s="1540"/>
      <c r="C119" s="1198"/>
      <c r="D119" s="624" t="s">
        <v>143</v>
      </c>
      <c r="E119" s="536"/>
      <c r="F119" s="663">
        <f>SUM(G19+G93)</f>
        <v>209</v>
      </c>
      <c r="G119" s="536">
        <f>SUM(G19+G93)</f>
        <v>209</v>
      </c>
      <c r="H119" s="533">
        <f>SUM(G119+'1'!G97)</f>
        <v>221</v>
      </c>
      <c r="I119" s="535"/>
      <c r="J119" s="559">
        <f>H119/DAY(B2)</f>
        <v>14.733333333333333</v>
      </c>
      <c r="N119" s="721"/>
      <c r="O119" s="728"/>
      <c r="P119" s="382"/>
    </row>
    <row r="120" spans="1:16" s="446" customFormat="1" ht="27.75">
      <c r="A120" s="1539" t="s">
        <v>227</v>
      </c>
      <c r="B120" s="1540"/>
      <c r="C120" s="1198"/>
      <c r="D120" s="624" t="s">
        <v>143</v>
      </c>
      <c r="E120" s="536"/>
      <c r="F120" s="663">
        <f>SUM(G96,G97,G98,G100,G101)</f>
        <v>95</v>
      </c>
      <c r="G120" s="536">
        <f>SUM(G96,G97,G98,G100,G101)</f>
        <v>95</v>
      </c>
      <c r="H120" s="533">
        <f>SUM(G120+'1'!G99)</f>
        <v>100</v>
      </c>
      <c r="I120" s="535"/>
      <c r="J120" s="559">
        <f>H120/DAY(B2)</f>
        <v>6.666666666666667</v>
      </c>
      <c r="N120" s="721"/>
      <c r="O120" s="728"/>
      <c r="P120" s="382"/>
    </row>
    <row r="121" spans="1:16" s="446" customFormat="1" ht="27.75">
      <c r="A121" s="1539" t="s">
        <v>228</v>
      </c>
      <c r="B121" s="1540"/>
      <c r="C121" s="1198"/>
      <c r="D121" s="624" t="s">
        <v>143</v>
      </c>
      <c r="E121" s="534"/>
      <c r="F121" s="662">
        <f>SUM(G113)</f>
        <v>89</v>
      </c>
      <c r="G121" s="534">
        <f>SUM(G113)</f>
        <v>89</v>
      </c>
      <c r="H121" s="533">
        <f>SUM(G121+'1'!G101)</f>
        <v>95</v>
      </c>
      <c r="I121" s="535"/>
      <c r="J121" s="559">
        <f>H121/DAY(B2)</f>
        <v>6.333333333333333</v>
      </c>
      <c r="N121" s="721"/>
      <c r="O121" s="728"/>
      <c r="P121" s="382"/>
    </row>
    <row r="122" spans="1:16" s="442" customFormat="1" ht="27.75">
      <c r="A122" s="1541"/>
      <c r="B122" s="1542"/>
      <c r="C122" s="1199"/>
      <c r="D122" s="560"/>
      <c r="E122" s="560"/>
      <c r="F122" s="664" t="s">
        <v>214</v>
      </c>
      <c r="G122" s="560"/>
      <c r="H122" s="561"/>
      <c r="I122" s="560"/>
      <c r="J122" s="562"/>
      <c r="N122" s="721"/>
      <c r="O122" s="728"/>
      <c r="P122" s="382"/>
    </row>
    <row r="123" spans="1:16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01" t="s">
        <v>230</v>
      </c>
      <c r="B124" s="1202"/>
      <c r="C124" s="1202"/>
      <c r="D124" s="523" t="s">
        <v>140</v>
      </c>
      <c r="E124" s="478">
        <f>'14'!F124</f>
        <v>828928.09</v>
      </c>
      <c r="F124" s="478">
        <v>829129</v>
      </c>
      <c r="G124" s="473">
        <f>F124-E124</f>
        <v>200.9100000000326</v>
      </c>
      <c r="H124" s="460">
        <f>G124+'14'!H124</f>
        <v>3040.5400000000373</v>
      </c>
      <c r="I124" s="526"/>
      <c r="J124" s="552">
        <f>H124/DAY(B2)</f>
        <v>202.70266666666916</v>
      </c>
      <c r="K124" s="380"/>
      <c r="L124" s="377"/>
      <c r="N124" s="721"/>
      <c r="O124" s="728"/>
      <c r="P124" s="382"/>
    </row>
    <row r="125" spans="1:16" ht="27.75">
      <c r="A125" s="1201" t="s">
        <v>231</v>
      </c>
      <c r="B125" s="1202"/>
      <c r="C125" s="1202"/>
      <c r="D125" s="523" t="s">
        <v>140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30" t="s">
        <v>232</v>
      </c>
      <c r="B126" s="1531"/>
      <c r="C126" s="1532"/>
      <c r="D126" s="523" t="s">
        <v>140</v>
      </c>
      <c r="E126" s="478">
        <f>'14'!F126</f>
        <v>145491</v>
      </c>
      <c r="F126" s="478">
        <v>145536</v>
      </c>
      <c r="G126" s="473">
        <f t="shared" si="14"/>
        <v>45</v>
      </c>
      <c r="H126" s="460">
        <f>G126+'14'!H126</f>
        <v>848.55999999999767</v>
      </c>
      <c r="I126" s="526"/>
      <c r="J126" s="552">
        <f>H126/DAY(B2)</f>
        <v>56.570666666666511</v>
      </c>
      <c r="K126" s="380"/>
      <c r="L126" s="377"/>
      <c r="N126" s="721"/>
      <c r="O126" s="728"/>
      <c r="P126" s="382"/>
    </row>
    <row r="127" spans="1:16" ht="27.75">
      <c r="A127" s="609" t="s">
        <v>233</v>
      </c>
      <c r="B127" s="1202"/>
      <c r="C127" s="1202"/>
      <c r="D127" s="523" t="s">
        <v>140</v>
      </c>
      <c r="E127" s="626">
        <f>'14'!F127</f>
        <v>31404</v>
      </c>
      <c r="F127" s="626">
        <v>31404</v>
      </c>
      <c r="G127" s="473">
        <f t="shared" si="14"/>
        <v>0</v>
      </c>
      <c r="H127" s="460">
        <f>G127+'14'!H127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234</v>
      </c>
      <c r="B128" s="1202"/>
      <c r="C128" s="1202"/>
      <c r="D128" s="523" t="s">
        <v>140</v>
      </c>
      <c r="E128" s="626">
        <f>'14'!F128</f>
        <v>8971</v>
      </c>
      <c r="F128" s="626">
        <v>8971</v>
      </c>
      <c r="G128" s="473">
        <f t="shared" si="14"/>
        <v>0</v>
      </c>
      <c r="H128" s="460">
        <f>G128+'14'!H128</f>
        <v>1.2999999999992724</v>
      </c>
      <c r="I128" s="480"/>
      <c r="J128" s="552">
        <f>H128/DAY(B2)</f>
        <v>8.6666666666618167E-2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235</v>
      </c>
      <c r="B129" s="1202"/>
      <c r="C129" s="1202"/>
      <c r="D129" s="523"/>
      <c r="E129" s="478"/>
      <c r="F129" s="478"/>
      <c r="G129" s="473">
        <f>G15-SUM(G124:G128)</f>
        <v>191.10999999989872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01" t="s">
        <v>237</v>
      </c>
      <c r="B131" s="1202"/>
      <c r="C131" s="1202"/>
      <c r="D131" s="523" t="s">
        <v>238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1" t="s">
        <v>239</v>
      </c>
      <c r="B132" s="1202"/>
      <c r="C132" s="1202"/>
      <c r="D132" s="523" t="s">
        <v>238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01" t="s">
        <v>240</v>
      </c>
      <c r="B133" s="1202"/>
      <c r="C133" s="1202"/>
      <c r="D133" s="523" t="s">
        <v>238</v>
      </c>
      <c r="E133" s="484">
        <f>'14'!F133</f>
        <v>40029.35</v>
      </c>
      <c r="F133" s="654">
        <v>40031.519999999997</v>
      </c>
      <c r="G133" s="473">
        <f t="shared" si="15"/>
        <v>2.1699999999982538</v>
      </c>
      <c r="H133" s="460">
        <f>G133+'14'!H133</f>
        <v>285.0399999999936</v>
      </c>
      <c r="I133" s="480"/>
      <c r="J133" s="552">
        <f>H133/DAY(B2)</f>
        <v>19.00266666666624</v>
      </c>
      <c r="N133" s="721"/>
      <c r="O133" s="728"/>
      <c r="P133" s="382"/>
    </row>
    <row r="134" spans="1:16" ht="27.75">
      <c r="A134" s="1201" t="s">
        <v>241</v>
      </c>
      <c r="B134" s="1202"/>
      <c r="C134" s="1202"/>
      <c r="D134" s="523" t="s">
        <v>238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2.1699999999982538</v>
      </c>
      <c r="J134" s="552">
        <f>H134/DAY(B2)</f>
        <v>0</v>
      </c>
      <c r="N134" s="721"/>
      <c r="O134" s="728"/>
      <c r="P134" s="382"/>
    </row>
    <row r="135" spans="1:16" ht="27.75">
      <c r="A135" s="1201" t="s">
        <v>242</v>
      </c>
      <c r="B135" s="1202"/>
      <c r="C135" s="1202"/>
      <c r="D135" s="523" t="s">
        <v>238</v>
      </c>
      <c r="E135" s="484">
        <f>'14'!F135</f>
        <v>41445.129999999997</v>
      </c>
      <c r="F135" s="626">
        <v>41469.06</v>
      </c>
      <c r="G135" s="473">
        <f t="shared" si="15"/>
        <v>23.930000000000291</v>
      </c>
      <c r="H135" s="460">
        <f>G135+'14'!H135</f>
        <v>84.059999999997672</v>
      </c>
      <c r="I135" s="480"/>
      <c r="J135" s="552">
        <f>H135/DAY(B2)</f>
        <v>5.6039999999998447</v>
      </c>
      <c r="N135" s="721"/>
      <c r="O135" s="728"/>
      <c r="P135" s="382"/>
    </row>
    <row r="136" spans="1:16" ht="27.75">
      <c r="A136" s="1201" t="s">
        <v>243</v>
      </c>
      <c r="B136" s="1202"/>
      <c r="C136" s="1202"/>
      <c r="D136" s="523" t="s">
        <v>238</v>
      </c>
      <c r="E136" s="484">
        <f>'14'!F136</f>
        <v>32582.98</v>
      </c>
      <c r="F136" s="654">
        <v>32582.98</v>
      </c>
      <c r="G136" s="473">
        <f t="shared" si="15"/>
        <v>0</v>
      </c>
      <c r="H136" s="460">
        <f>G136+'14'!H136</f>
        <v>-2.0000000000436557E-2</v>
      </c>
      <c r="I136" s="480"/>
      <c r="J136" s="552">
        <f>H136/DAY(B2)</f>
        <v>-1.3333333333624372E-3</v>
      </c>
      <c r="N136" s="721"/>
      <c r="O136" s="728"/>
      <c r="P136" s="382"/>
    </row>
    <row r="137" spans="1:16" ht="27.75">
      <c r="A137" s="1201" t="s">
        <v>244</v>
      </c>
      <c r="B137" s="1202"/>
      <c r="C137" s="1202"/>
      <c r="D137" s="523" t="s">
        <v>238</v>
      </c>
      <c r="E137" s="484">
        <f>'14'!F137</f>
        <v>22766.92</v>
      </c>
      <c r="F137" s="654">
        <v>22766.92</v>
      </c>
      <c r="G137" s="473">
        <f t="shared" si="15"/>
        <v>0</v>
      </c>
      <c r="H137" s="460">
        <f>G137+'14'!H137</f>
        <v>27.329999999998108</v>
      </c>
      <c r="I137" s="480">
        <f>G135+G136+G137</f>
        <v>23.930000000000291</v>
      </c>
      <c r="J137" s="552">
        <f>H137/DAY(B2)</f>
        <v>1.8219999999998739</v>
      </c>
      <c r="N137" s="721"/>
      <c r="O137" s="728"/>
      <c r="P137" s="382"/>
    </row>
    <row r="138" spans="1:16" ht="27.75">
      <c r="A138" s="1201" t="s">
        <v>245</v>
      </c>
      <c r="B138" s="1202"/>
      <c r="C138" s="1202"/>
      <c r="D138" s="523" t="s">
        <v>238</v>
      </c>
      <c r="E138" s="484">
        <f>'14'!F138</f>
        <v>25051.72</v>
      </c>
      <c r="F138" s="654">
        <v>25051.72</v>
      </c>
      <c r="G138" s="473">
        <f t="shared" si="15"/>
        <v>0</v>
      </c>
      <c r="H138" s="460">
        <f>G138+'14'!H138</f>
        <v>0.13000000000101863</v>
      </c>
      <c r="I138" s="480"/>
      <c r="J138" s="552">
        <f>H138/DAY(B2)</f>
        <v>8.6666666667345755E-3</v>
      </c>
      <c r="N138" s="721"/>
      <c r="O138" s="728"/>
      <c r="P138" s="382"/>
    </row>
    <row r="139" spans="1:16" ht="27.75">
      <c r="A139" s="1201" t="s">
        <v>246</v>
      </c>
      <c r="B139" s="1202"/>
      <c r="C139" s="1202"/>
      <c r="D139" s="523" t="s">
        <v>238</v>
      </c>
      <c r="E139" s="484">
        <f>'14'!F139</f>
        <v>70351.94</v>
      </c>
      <c r="F139" s="654">
        <v>70361.47</v>
      </c>
      <c r="G139" s="473">
        <f t="shared" si="15"/>
        <v>9.5299999999988358</v>
      </c>
      <c r="H139" s="460">
        <f>G139+'14'!H139</f>
        <v>45.660000000003492</v>
      </c>
      <c r="I139" s="480">
        <f>G138+G139</f>
        <v>9.5299999999988358</v>
      </c>
      <c r="J139" s="552">
        <f>H139/DAY(B2)</f>
        <v>3.0440000000002327</v>
      </c>
      <c r="N139" s="721"/>
      <c r="O139" s="728"/>
      <c r="P139" s="382"/>
    </row>
    <row r="140" spans="1:16" ht="27.75">
      <c r="A140" s="1201" t="s">
        <v>247</v>
      </c>
      <c r="B140" s="1202"/>
      <c r="C140" s="1202"/>
      <c r="D140" s="523" t="s">
        <v>238</v>
      </c>
      <c r="E140" s="484">
        <f>'14'!F140</f>
        <v>1723.89</v>
      </c>
      <c r="F140" s="626">
        <v>1731.51</v>
      </c>
      <c r="G140" s="473">
        <f t="shared" si="15"/>
        <v>7.6199999999998909</v>
      </c>
      <c r="H140" s="460">
        <f>G140+'14'!H140</f>
        <v>114.65000000000009</v>
      </c>
      <c r="I140" s="542"/>
      <c r="J140" s="552">
        <f>H140/DAY(B2)</f>
        <v>7.6433333333333398</v>
      </c>
      <c r="N140" s="721"/>
      <c r="O140" s="728"/>
      <c r="P140" s="382"/>
    </row>
    <row r="141" spans="1:16" ht="27.75">
      <c r="A141" s="1201" t="s">
        <v>248</v>
      </c>
      <c r="B141" s="1202"/>
      <c r="C141" s="1202"/>
      <c r="D141" s="523" t="s">
        <v>238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21"/>
      <c r="O141" s="728"/>
      <c r="P141" s="382"/>
    </row>
    <row r="142" spans="1:16">
      <c r="A142" s="1557" t="s">
        <v>249</v>
      </c>
      <c r="B142" s="1558"/>
      <c r="C142" s="1207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4081.7200000000885</v>
      </c>
      <c r="H143" s="460">
        <f>G143+'14'!H143</f>
        <v>63262.2</v>
      </c>
      <c r="I143" s="480"/>
      <c r="J143" s="552">
        <f>H143/DAY(B2)</f>
        <v>4217.4799999999996</v>
      </c>
      <c r="K143" s="380"/>
      <c r="L143" s="377"/>
      <c r="N143" s="721"/>
      <c r="O143" s="728"/>
      <c r="P143" s="382"/>
    </row>
    <row r="144" spans="1:16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0.23964317607114927</v>
      </c>
      <c r="H144" s="460">
        <f>G144+'14'!H144</f>
        <v>4.0298453836825834</v>
      </c>
      <c r="I144" s="544"/>
      <c r="J144" s="552">
        <f>H144/DAY(B2)</f>
        <v>0.26865635891217221</v>
      </c>
      <c r="K144" s="380"/>
      <c r="L144" s="377"/>
      <c r="N144" s="721"/>
      <c r="O144" s="728"/>
      <c r="P144" s="382"/>
    </row>
    <row r="145" spans="1:16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5855.1400000000194</v>
      </c>
      <c r="H145" s="460">
        <f>G145+'14'!H145</f>
        <v>73385</v>
      </c>
      <c r="I145" s="480"/>
      <c r="J145" s="552">
        <f>H145/DAY(B2)</f>
        <v>4892.333333333333</v>
      </c>
      <c r="K145" s="380"/>
      <c r="L145" s="377"/>
      <c r="N145" s="721"/>
      <c r="O145" s="728"/>
      <c r="P145" s="382"/>
    </row>
    <row r="146" spans="1:16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0.34376300822721867</v>
      </c>
      <c r="H146" s="460">
        <f>G146+'14'!H146</f>
        <v>4.6817037780299096</v>
      </c>
      <c r="I146" s="544"/>
      <c r="J146" s="552">
        <f>H146/DAY(B2)</f>
        <v>0.31211358520199395</v>
      </c>
      <c r="K146" s="380"/>
      <c r="L146" s="377"/>
      <c r="N146" s="721"/>
      <c r="O146" s="728"/>
      <c r="P146" s="382"/>
    </row>
    <row r="147" spans="1:16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2647.820000000007</v>
      </c>
      <c r="H147" s="460">
        <f>G147+'14'!H147</f>
        <v>34219</v>
      </c>
      <c r="I147" s="545"/>
      <c r="J147" s="552">
        <f>H147/DAY(B2)</f>
        <v>2281.2666666666669</v>
      </c>
      <c r="K147" s="380"/>
      <c r="L147" s="377"/>
      <c r="N147" s="721"/>
      <c r="O147" s="728"/>
      <c r="P147" s="382"/>
    </row>
    <row r="148" spans="1:16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0.15545701186379721</v>
      </c>
      <c r="H148" s="460">
        <f>G148+'14'!H148</f>
        <v>2.1796323683236491</v>
      </c>
      <c r="I148" s="545"/>
      <c r="J148" s="552">
        <f>H148/DAY(B2)</f>
        <v>0.14530882455490995</v>
      </c>
      <c r="N148" s="721"/>
      <c r="O148" s="728"/>
      <c r="P148" s="382"/>
    </row>
    <row r="149" spans="1:16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1315.9600000000501</v>
      </c>
      <c r="H149" s="460">
        <f>G149+'14'!H149</f>
        <v>18041</v>
      </c>
      <c r="I149" s="480"/>
      <c r="J149" s="552">
        <f>H149/DAY(B2)</f>
        <v>1202.7333333333333</v>
      </c>
      <c r="K149" s="381"/>
      <c r="N149" s="721"/>
      <c r="O149" s="728"/>
      <c r="P149" s="382"/>
    </row>
    <row r="150" spans="1:16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7.7261750924265932E-2</v>
      </c>
      <c r="H150" s="460">
        <f>G150+'14'!H150</f>
        <v>1.1497219612103935</v>
      </c>
      <c r="I150" s="545"/>
      <c r="J150" s="552">
        <f>H150/DAY(B2)</f>
        <v>7.6648130747359572E-2</v>
      </c>
      <c r="N150" s="721"/>
      <c r="O150" s="728"/>
      <c r="P150" s="382"/>
    </row>
    <row r="151" spans="1:16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895.01000000000931</v>
      </c>
      <c r="H151" s="460">
        <f>G151+'14'!H151</f>
        <v>16345</v>
      </c>
      <c r="I151" s="545"/>
      <c r="J151" s="552">
        <f>H151/DAY(B2)</f>
        <v>1089.6666666666667</v>
      </c>
      <c r="N151" s="721"/>
      <c r="O151" s="728"/>
      <c r="P151" s="382"/>
    </row>
    <row r="152" spans="1:16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5.2547220048273002E-2</v>
      </c>
      <c r="H152" s="460">
        <f>G152+'14'!H152</f>
        <v>1.0349164874817978</v>
      </c>
      <c r="I152" s="480"/>
      <c r="J152" s="552">
        <f>H152/DAY(B2)</f>
        <v>6.899443249878652E-2</v>
      </c>
      <c r="N152" s="721"/>
      <c r="O152" s="728"/>
      <c r="P152" s="382"/>
    </row>
    <row r="153" spans="1:16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1297.0899999999965</v>
      </c>
      <c r="H153" s="460">
        <f>G153+'14'!H153</f>
        <v>18338.869999999995</v>
      </c>
      <c r="I153" s="480"/>
      <c r="J153" s="552">
        <f>H153/DAY(B2)</f>
        <v>1222.5913333333331</v>
      </c>
      <c r="N153" s="721"/>
      <c r="O153" s="728"/>
      <c r="P153" s="382"/>
    </row>
    <row r="154" spans="1:16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7.6153868283497989E-2</v>
      </c>
      <c r="H154" s="460">
        <f>G154+'14'!H154</f>
        <v>1.1696547843239473</v>
      </c>
      <c r="I154" s="568"/>
      <c r="J154" s="569">
        <f>H154/DAY(B2)</f>
        <v>7.7976985621596481E-2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262</v>
      </c>
      <c r="B161" s="798"/>
      <c r="C161" s="798"/>
      <c r="D161" s="620" t="s">
        <v>186</v>
      </c>
      <c r="E161" s="522">
        <f>'14'!F161</f>
        <v>37071.870000000003</v>
      </c>
      <c r="F161" s="806">
        <v>37152.94</v>
      </c>
      <c r="G161" s="473">
        <f t="shared" ref="G161:G164" si="16">F161-E161</f>
        <v>81.069999999999709</v>
      </c>
      <c r="N161" s="721"/>
    </row>
    <row r="162" spans="1:14" ht="21.75" customHeight="1">
      <c r="A162" s="797" t="s">
        <v>263</v>
      </c>
      <c r="B162" s="798"/>
      <c r="C162" s="798"/>
      <c r="D162" s="620" t="s">
        <v>186</v>
      </c>
      <c r="E162" s="522">
        <f>'14'!F162</f>
        <v>88224.68</v>
      </c>
      <c r="F162" s="806">
        <v>88619</v>
      </c>
      <c r="G162" s="473">
        <f t="shared" si="16"/>
        <v>394.32000000000698</v>
      </c>
      <c r="N162" s="721"/>
    </row>
    <row r="163" spans="1:14" ht="21.75" customHeight="1">
      <c r="A163" s="797" t="s">
        <v>264</v>
      </c>
      <c r="B163" s="798"/>
      <c r="C163" s="798"/>
      <c r="D163" s="620" t="s">
        <v>186</v>
      </c>
      <c r="E163" s="522">
        <f>'14'!F163</f>
        <v>41418.35</v>
      </c>
      <c r="F163" s="806">
        <v>41655</v>
      </c>
      <c r="G163" s="473">
        <f t="shared" si="16"/>
        <v>236.65000000000146</v>
      </c>
      <c r="N163" s="721"/>
    </row>
    <row r="164" spans="1:14" ht="21.75" customHeight="1">
      <c r="A164" s="797" t="s">
        <v>265</v>
      </c>
      <c r="B164" s="798"/>
      <c r="C164" s="798"/>
      <c r="D164" s="620" t="s">
        <v>186</v>
      </c>
      <c r="E164" s="522">
        <f>'14'!F164</f>
        <v>6378.14</v>
      </c>
      <c r="F164" s="806">
        <v>6389</v>
      </c>
      <c r="G164" s="473">
        <f t="shared" si="16"/>
        <v>10.859999999999673</v>
      </c>
      <c r="N164" s="721"/>
    </row>
    <row r="165" spans="1:14" ht="21.75" customHeight="1">
      <c r="A165" s="799" t="s">
        <v>98</v>
      </c>
      <c r="B165" s="800"/>
      <c r="C165" s="800"/>
      <c r="D165" s="620" t="s">
        <v>186</v>
      </c>
      <c r="E165" s="514">
        <f>E62</f>
        <v>20419</v>
      </c>
      <c r="F165" s="514">
        <f>F62</f>
        <v>20419.18</v>
      </c>
      <c r="G165" s="473">
        <f t="shared" ref="G165:G172" si="17">F165-E165</f>
        <v>0.18000000000029104</v>
      </c>
      <c r="N165" s="721"/>
    </row>
    <row r="166" spans="1:14" ht="21.75" customHeight="1">
      <c r="A166" s="799" t="s">
        <v>187</v>
      </c>
      <c r="B166" s="800"/>
      <c r="C166" s="800"/>
      <c r="D166" s="620" t="s">
        <v>186</v>
      </c>
      <c r="E166" s="514">
        <f t="shared" ref="E166:E172" si="18">E63</f>
        <v>2412.15</v>
      </c>
      <c r="F166" s="514">
        <v>2415</v>
      </c>
      <c r="G166" s="473">
        <f t="shared" si="17"/>
        <v>2.8499999999999091</v>
      </c>
      <c r="N166" s="721"/>
    </row>
    <row r="167" spans="1:14" ht="21.75" customHeight="1">
      <c r="A167" s="1596" t="s">
        <v>99</v>
      </c>
      <c r="B167" s="1596"/>
      <c r="C167" s="1596"/>
      <c r="D167" s="524" t="s">
        <v>186</v>
      </c>
      <c r="E167" s="514">
        <f t="shared" si="18"/>
        <v>156201.04999999999</v>
      </c>
      <c r="F167" s="514">
        <f t="shared" ref="F167:F172" si="19">F64</f>
        <v>156403</v>
      </c>
      <c r="G167" s="473">
        <f t="shared" si="17"/>
        <v>201.95000000001164</v>
      </c>
      <c r="N167" s="721"/>
    </row>
    <row r="168" spans="1:14" ht="21.75" customHeight="1">
      <c r="A168" s="1596" t="s">
        <v>100</v>
      </c>
      <c r="B168" s="1596"/>
      <c r="C168" s="1596"/>
      <c r="D168" s="524" t="s">
        <v>186</v>
      </c>
      <c r="E168" s="514">
        <f t="shared" si="18"/>
        <v>157101.17000000001</v>
      </c>
      <c r="F168" s="514">
        <f t="shared" si="19"/>
        <v>157372</v>
      </c>
      <c r="G168" s="473">
        <f t="shared" si="17"/>
        <v>270.82999999998719</v>
      </c>
      <c r="N168" s="721"/>
    </row>
    <row r="169" spans="1:14" ht="21.75" customHeight="1">
      <c r="A169" s="1596" t="s">
        <v>101</v>
      </c>
      <c r="B169" s="1596"/>
      <c r="C169" s="1596"/>
      <c r="D169" s="524" t="s">
        <v>186</v>
      </c>
      <c r="E169" s="514">
        <f t="shared" si="18"/>
        <v>52175.54</v>
      </c>
      <c r="F169" s="514">
        <f t="shared" si="19"/>
        <v>52447</v>
      </c>
      <c r="G169" s="473">
        <f t="shared" si="17"/>
        <v>271.45999999999913</v>
      </c>
      <c r="N169" s="721"/>
    </row>
    <row r="170" spans="1:14" ht="23.25" customHeight="1">
      <c r="A170" s="1596" t="s">
        <v>102</v>
      </c>
      <c r="B170" s="1596"/>
      <c r="C170" s="1596"/>
      <c r="D170" s="524" t="s">
        <v>186</v>
      </c>
      <c r="E170" s="514">
        <f t="shared" si="18"/>
        <v>245401.59</v>
      </c>
      <c r="F170" s="514">
        <f t="shared" si="19"/>
        <v>245741</v>
      </c>
      <c r="G170" s="473">
        <f t="shared" si="17"/>
        <v>339.41000000000349</v>
      </c>
      <c r="N170" s="721"/>
    </row>
    <row r="171" spans="1:14" ht="24" customHeight="1">
      <c r="A171" s="1596" t="s">
        <v>103</v>
      </c>
      <c r="B171" s="1596"/>
      <c r="C171" s="1596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96" t="s">
        <v>104</v>
      </c>
      <c r="B172" s="1596"/>
      <c r="C172" s="1596"/>
      <c r="D172" s="524" t="s">
        <v>186</v>
      </c>
      <c r="E172" s="514">
        <f t="shared" si="18"/>
        <v>80000.070000000007</v>
      </c>
      <c r="F172" s="514">
        <f t="shared" si="19"/>
        <v>80090</v>
      </c>
      <c r="G172" s="473">
        <f t="shared" si="17"/>
        <v>89.929999999993015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1899.5100000000025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7" customHeight="1">
      <c r="N178" s="721"/>
    </row>
    <row r="179" spans="14:14" ht="27" customHeight="1">
      <c r="N179" s="721"/>
    </row>
    <row r="180" spans="14:14" ht="27" customHeight="1">
      <c r="N180" s="721"/>
    </row>
    <row r="181" spans="14:14" ht="27" customHeight="1">
      <c r="N181" s="721"/>
    </row>
    <row r="182" spans="14:14" ht="27" customHeight="1">
      <c r="N182" s="721"/>
    </row>
    <row r="183" spans="14:14" ht="27" customHeight="1">
      <c r="N183" s="721"/>
    </row>
    <row r="184" spans="14:14" ht="27" customHeight="1">
      <c r="N184" s="721"/>
    </row>
    <row r="185" spans="14:14" ht="27" customHeight="1">
      <c r="N185" s="721"/>
    </row>
    <row r="186" spans="14:14" ht="27" customHeight="1">
      <c r="N186" s="721"/>
    </row>
    <row r="187" spans="14:14" ht="27" customHeight="1">
      <c r="N187" s="721"/>
    </row>
    <row r="188" spans="14:14" ht="27" customHeight="1">
      <c r="N188" s="721"/>
    </row>
    <row r="189" spans="14:14" ht="27" customHeight="1">
      <c r="N189" s="721"/>
    </row>
    <row r="190" spans="14:14" ht="27" customHeight="1">
      <c r="N190" s="721"/>
    </row>
    <row r="191" spans="14:14" ht="27" customHeight="1">
      <c r="N191" s="721"/>
    </row>
    <row r="192" spans="14:14" ht="27" customHeight="1">
      <c r="N192" s="721"/>
    </row>
    <row r="193" spans="14:14" ht="27" customHeight="1">
      <c r="N193" s="721"/>
    </row>
    <row r="194" spans="14:14" ht="27" customHeight="1">
      <c r="N194" s="721"/>
    </row>
    <row r="195" spans="14:14" ht="27" customHeight="1">
      <c r="N195" s="721"/>
    </row>
    <row r="196" spans="14:14" ht="27" customHeight="1">
      <c r="N196" s="721"/>
    </row>
    <row r="197" spans="14:14" ht="27" customHeight="1">
      <c r="N197" s="721"/>
    </row>
    <row r="198" spans="14:14" ht="27" customHeight="1">
      <c r="N198" s="721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Normal="90" zoomScaleSheetLayoutView="55" workbookViewId="0">
      <selection activeCell="H8" sqref="H8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6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6" s="281" customFormat="1" ht="27">
      <c r="A2" s="575" t="s">
        <v>353</v>
      </c>
      <c r="B2" s="1035">
        <v>44332</v>
      </c>
      <c r="C2" s="1216" t="s">
        <v>69</v>
      </c>
      <c r="D2" s="611">
        <v>0.52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20"/>
      <c r="O2" s="727"/>
    </row>
    <row r="3" spans="1:16" s="281" customFormat="1" ht="27">
      <c r="A3" s="570"/>
      <c r="B3" s="614"/>
      <c r="C3" s="1216" t="s">
        <v>119</v>
      </c>
      <c r="D3" s="612">
        <v>30</v>
      </c>
      <c r="E3" s="1568" t="s">
        <v>120</v>
      </c>
      <c r="F3" s="1569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16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130</v>
      </c>
      <c r="B7" s="680"/>
      <c r="C7" s="680"/>
      <c r="D7" s="638" t="s">
        <v>131</v>
      </c>
      <c r="E7" s="633">
        <f>'15'!F7</f>
        <v>80860</v>
      </c>
      <c r="F7" s="455">
        <v>95882</v>
      </c>
      <c r="G7" s="681">
        <f>F7-E7</f>
        <v>15022</v>
      </c>
      <c r="H7" s="682">
        <f>G7+'15'!H7</f>
        <v>250904.99999999997</v>
      </c>
      <c r="I7" s="683">
        <f>'1'!I7</f>
        <v>12000</v>
      </c>
      <c r="J7" s="684">
        <f>H7/DAY(B2)</f>
        <v>15681.562499999998</v>
      </c>
      <c r="K7" s="549">
        <f>'1'!E7-'16'!F7</f>
        <v>5631551</v>
      </c>
      <c r="L7" s="377"/>
      <c r="N7" s="732"/>
      <c r="O7" s="728"/>
      <c r="P7" s="731"/>
    </row>
    <row r="8" spans="1:16" ht="27.75" thickBot="1">
      <c r="A8" s="685" t="s">
        <v>132</v>
      </c>
      <c r="B8" s="686"/>
      <c r="C8" s="687"/>
      <c r="D8" s="688" t="s">
        <v>25</v>
      </c>
      <c r="E8" s="633">
        <f>'15'!F8</f>
        <v>81436</v>
      </c>
      <c r="F8" s="475">
        <v>96591</v>
      </c>
      <c r="G8" s="692">
        <f>F8-E8</f>
        <v>15155</v>
      </c>
      <c r="H8" s="682">
        <f>G8+'15'!H8</f>
        <v>252350.00000000003</v>
      </c>
      <c r="I8" s="689">
        <f>'1'!I8</f>
        <v>12000</v>
      </c>
      <c r="J8" s="684">
        <f>H8/DAY(B2)</f>
        <v>15771.875000000002</v>
      </c>
      <c r="K8" s="549">
        <f>'1'!E8-'16'!F8</f>
        <v>5664653</v>
      </c>
      <c r="L8" s="425"/>
      <c r="M8" s="440"/>
      <c r="N8" s="721"/>
      <c r="O8" s="728"/>
      <c r="P8" s="382"/>
    </row>
    <row r="9" spans="1:16">
      <c r="A9" s="690" t="s">
        <v>133</v>
      </c>
      <c r="B9" s="691"/>
      <c r="C9" s="691"/>
      <c r="D9" s="638" t="s">
        <v>131</v>
      </c>
      <c r="E9" s="633">
        <f>'15'!F9</f>
        <v>1218784</v>
      </c>
      <c r="F9" s="478">
        <v>1233310</v>
      </c>
      <c r="G9" s="705">
        <f t="shared" ref="G9:G12" si="0">F9-E9</f>
        <v>14526</v>
      </c>
      <c r="H9" s="682">
        <f>G9+'15'!H9</f>
        <v>242596</v>
      </c>
      <c r="I9" s="693">
        <f>I7-J7</f>
        <v>-3681.5624999999982</v>
      </c>
      <c r="J9" s="684">
        <f>H9/DAY(B2)</f>
        <v>15162.25</v>
      </c>
      <c r="K9" s="428">
        <f>'1'!E9-'16'!F9</f>
        <v>-242596</v>
      </c>
      <c r="L9" s="377"/>
      <c r="N9" s="721"/>
      <c r="O9" s="728"/>
      <c r="P9" s="382"/>
    </row>
    <row r="10" spans="1:16">
      <c r="A10" s="679" t="s">
        <v>134</v>
      </c>
      <c r="B10" s="680"/>
      <c r="C10" s="680"/>
      <c r="D10" s="638" t="s">
        <v>131</v>
      </c>
      <c r="E10" s="633">
        <f>'15'!F10</f>
        <v>2322.58</v>
      </c>
      <c r="F10" s="478">
        <v>2322.58</v>
      </c>
      <c r="G10" s="692">
        <f t="shared" si="0"/>
        <v>0</v>
      </c>
      <c r="H10" s="682">
        <f>G10+'15'!H10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135</v>
      </c>
      <c r="B11" s="680"/>
      <c r="C11" s="680"/>
      <c r="D11" s="638" t="s">
        <v>131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G11+'15'!H11</f>
        <v>0</v>
      </c>
      <c r="I11" s="694"/>
      <c r="J11" s="684">
        <f>H11/DAY(B2)</f>
        <v>0</v>
      </c>
      <c r="K11" s="428"/>
      <c r="L11" s="377"/>
      <c r="N11" s="721">
        <f>G8-G10</f>
        <v>15155</v>
      </c>
      <c r="O11" s="728"/>
      <c r="P11" s="382"/>
    </row>
    <row r="12" spans="1:16">
      <c r="A12" s="679" t="s">
        <v>136</v>
      </c>
      <c r="B12" s="680"/>
      <c r="C12" s="680"/>
      <c r="D12" s="638" t="s">
        <v>131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G12+'15'!H12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137</v>
      </c>
      <c r="B13" s="696"/>
      <c r="C13" s="696"/>
      <c r="D13" s="638"/>
      <c r="E13" s="633"/>
      <c r="F13" s="455"/>
      <c r="G13" s="697">
        <f>G9+G10+G11+G12</f>
        <v>14526</v>
      </c>
      <c r="H13" s="682">
        <f>G13+'15'!H13</f>
        <v>228075</v>
      </c>
      <c r="I13" s="698">
        <f>G7-G13</f>
        <v>496</v>
      </c>
      <c r="J13" s="684">
        <f>H13/DAY(B2)</f>
        <v>14254.6875</v>
      </c>
      <c r="K13" s="428"/>
      <c r="L13" s="377"/>
      <c r="N13" s="721"/>
      <c r="O13" s="728"/>
      <c r="P13" s="382"/>
    </row>
    <row r="14" spans="1:16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139</v>
      </c>
      <c r="B15" s="796"/>
      <c r="C15" s="796"/>
      <c r="D15" s="524" t="s">
        <v>140</v>
      </c>
      <c r="E15" s="485">
        <f>'15'!F15</f>
        <v>1677101</v>
      </c>
      <c r="F15" s="485">
        <v>1677418</v>
      </c>
      <c r="G15" s="667">
        <f>(F15-E15)</f>
        <v>317</v>
      </c>
      <c r="H15" s="486">
        <f>G15+'15'!H15</f>
        <v>6761</v>
      </c>
      <c r="I15" s="474">
        <f>'1'!I15</f>
        <v>800</v>
      </c>
      <c r="J15" s="553">
        <f>H15/DAY(B2)</f>
        <v>422.5625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 t="s">
        <v>271</v>
      </c>
      <c r="G16" s="672"/>
      <c r="H16" s="486"/>
      <c r="I16" s="482">
        <f>I15-J15</f>
        <v>377.4375</v>
      </c>
      <c r="J16" s="553"/>
      <c r="K16" s="428"/>
      <c r="L16" s="377"/>
      <c r="N16" s="721"/>
      <c r="O16" s="728"/>
      <c r="P16" s="382"/>
    </row>
    <row r="17" spans="1:16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1" t="s">
        <v>142</v>
      </c>
      <c r="B18" s="1592"/>
      <c r="C18" s="1593"/>
      <c r="D18" s="638" t="s">
        <v>143</v>
      </c>
      <c r="E18" s="635">
        <f>'15'!F18</f>
        <v>6</v>
      </c>
      <c r="F18" s="478">
        <v>6</v>
      </c>
      <c r="G18" s="697">
        <f>F18*10</f>
        <v>60</v>
      </c>
      <c r="H18" s="682">
        <f>G18+'15'!H18</f>
        <v>620</v>
      </c>
      <c r="I18" s="683">
        <f>'1'!I18</f>
        <v>65</v>
      </c>
      <c r="J18" s="684">
        <f>H18/DAY(B2)</f>
        <v>38.75</v>
      </c>
      <c r="K18" s="428"/>
      <c r="L18" s="377"/>
      <c r="N18" s="721"/>
      <c r="O18" s="728"/>
      <c r="P18" s="382"/>
    </row>
    <row r="19" spans="1:16" ht="27.75">
      <c r="A19" s="1591" t="s">
        <v>71</v>
      </c>
      <c r="B19" s="1592"/>
      <c r="C19" s="1593"/>
      <c r="D19" s="638" t="s">
        <v>143</v>
      </c>
      <c r="E19" s="635">
        <f>'15'!F19</f>
        <v>138631</v>
      </c>
      <c r="F19" s="478">
        <v>138688</v>
      </c>
      <c r="G19" s="692">
        <f t="shared" ref="G19" si="1">F19-E19</f>
        <v>57</v>
      </c>
      <c r="H19" s="682">
        <f>G19+'15'!H19</f>
        <v>876</v>
      </c>
      <c r="I19" s="699"/>
      <c r="J19" s="684">
        <f>H19/DAY(B2)</f>
        <v>54.75</v>
      </c>
      <c r="K19" s="428"/>
      <c r="L19" s="377"/>
      <c r="N19" s="721"/>
      <c r="O19" s="728"/>
      <c r="P19" s="382"/>
    </row>
    <row r="20" spans="1:16">
      <c r="A20" s="695" t="s">
        <v>144</v>
      </c>
      <c r="B20" s="696"/>
      <c r="C20" s="696"/>
      <c r="D20" s="638"/>
      <c r="E20" s="638"/>
      <c r="F20" s="712"/>
      <c r="G20" s="700">
        <f>G18+G19</f>
        <v>117</v>
      </c>
      <c r="H20" s="682">
        <f>G20+'15'!H20</f>
        <v>1496</v>
      </c>
      <c r="I20" s="701">
        <f>I18-J20</f>
        <v>-28.5</v>
      </c>
      <c r="J20" s="684">
        <f>H20/DAY(B2)</f>
        <v>93.5</v>
      </c>
      <c r="K20" s="428"/>
      <c r="L20" s="377"/>
      <c r="N20" s="721"/>
      <c r="O20" s="728"/>
      <c r="P20" s="382"/>
    </row>
    <row r="21" spans="1:16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9" t="s">
        <v>146</v>
      </c>
      <c r="B22" s="589"/>
      <c r="C22" s="589"/>
      <c r="D22" s="523" t="s">
        <v>147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9" t="s">
        <v>148</v>
      </c>
      <c r="B23" s="589"/>
      <c r="C23" s="589"/>
      <c r="D23" s="523" t="s">
        <v>147</v>
      </c>
      <c r="E23" s="635">
        <f>'15'!F23</f>
        <v>2900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15155</v>
      </c>
      <c r="F27" s="501">
        <v>9</v>
      </c>
      <c r="G27" s="502">
        <f>E27*F27</f>
        <v>136395</v>
      </c>
      <c r="H27" s="460">
        <f>G27+'15'!H27</f>
        <v>2271150</v>
      </c>
      <c r="I27" s="503"/>
      <c r="J27" s="552">
        <f>H27/DAY(B2)</f>
        <v>141946.875</v>
      </c>
      <c r="K27" s="373"/>
      <c r="L27" s="443"/>
      <c r="N27" s="721"/>
      <c r="O27" s="72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2">
        <f>G15</f>
        <v>317</v>
      </c>
      <c r="F28" s="501">
        <v>51.45</v>
      </c>
      <c r="G28" s="502">
        <f>E28*F28</f>
        <v>16309.650000000001</v>
      </c>
      <c r="H28" s="460">
        <f>G28+'15'!H28</f>
        <v>337370.92899999983</v>
      </c>
      <c r="I28" s="505"/>
      <c r="J28" s="552">
        <f>H28/DAY(B2)</f>
        <v>21085.683062499989</v>
      </c>
      <c r="K28" s="373"/>
      <c r="L28" s="443"/>
      <c r="N28" s="721"/>
      <c r="O28" s="72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2">
        <f>G19</f>
        <v>57</v>
      </c>
      <c r="F30" s="501">
        <v>134</v>
      </c>
      <c r="G30" s="502">
        <f>E30*F30</f>
        <v>7638</v>
      </c>
      <c r="H30" s="460">
        <f>G30+'15'!H30</f>
        <v>117384</v>
      </c>
      <c r="I30" s="505"/>
      <c r="J30" s="552">
        <f>H30/DAY(B2)</f>
        <v>7336.5</v>
      </c>
      <c r="K30" s="373"/>
      <c r="L30" s="443"/>
      <c r="N30" s="721"/>
      <c r="O30" s="72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2">
        <f>G18</f>
        <v>60</v>
      </c>
      <c r="F31" s="501">
        <v>80</v>
      </c>
      <c r="G31" s="502">
        <f>E31*F31</f>
        <v>4800</v>
      </c>
      <c r="H31" s="460">
        <f>G31+'15'!H31</f>
        <v>49600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165142.65</v>
      </c>
      <c r="H32" s="460">
        <f>G32+'15'!H32</f>
        <v>2775504.929</v>
      </c>
      <c r="I32" s="509"/>
      <c r="J32" s="552">
        <f>H32/DAY(B2)</f>
        <v>173469.0580625</v>
      </c>
      <c r="K32" s="373"/>
      <c r="L32" s="443"/>
      <c r="N32" s="721"/>
      <c r="O32" s="728"/>
      <c r="P32" s="382"/>
    </row>
    <row r="33" spans="1:16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721"/>
      <c r="O33" s="728"/>
      <c r="P33" s="382"/>
    </row>
    <row r="34" spans="1:16">
      <c r="A34" s="598" t="s">
        <v>162</v>
      </c>
      <c r="B34" s="1211"/>
      <c r="C34" s="1211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'15'!F35</f>
        <v>917046</v>
      </c>
      <c r="F35" s="510">
        <v>918972</v>
      </c>
      <c r="G35" s="473">
        <f t="shared" ref="G35:G46" si="3">F35-E35</f>
        <v>1926</v>
      </c>
      <c r="H35" s="460">
        <f>G35+'15'!H35</f>
        <v>32513</v>
      </c>
      <c r="I35" s="455"/>
      <c r="J35" s="552">
        <f>H35/DAY(B2)</f>
        <v>2032.0625</v>
      </c>
      <c r="K35" s="428"/>
      <c r="L35" s="377"/>
      <c r="N35" s="721"/>
      <c r="O35" s="729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'15'!F36</f>
        <v>347065</v>
      </c>
      <c r="F36" s="510">
        <v>347065</v>
      </c>
      <c r="G36" s="473">
        <f t="shared" si="3"/>
        <v>0</v>
      </c>
      <c r="H36" s="460">
        <f>G36+'15'!H36</f>
        <v>2457</v>
      </c>
      <c r="I36" s="455"/>
      <c r="J36" s="552">
        <f>H36/DAY(B2)</f>
        <v>153.5625</v>
      </c>
      <c r="K36" s="428"/>
      <c r="L36" s="377"/>
      <c r="N36" s="722"/>
      <c r="O36" s="729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'15'!F37</f>
        <v>113564</v>
      </c>
      <c r="F37" s="510">
        <v>114803</v>
      </c>
      <c r="G37" s="473">
        <f t="shared" si="3"/>
        <v>1239</v>
      </c>
      <c r="H37" s="460">
        <f>G37+'15'!H37</f>
        <v>19578</v>
      </c>
      <c r="I37" s="455"/>
      <c r="J37" s="552">
        <f>H37/DAY(B2)</f>
        <v>1223.625</v>
      </c>
      <c r="K37" s="428"/>
      <c r="L37" s="377"/>
      <c r="N37" s="722"/>
      <c r="O37" s="729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'15'!F38</f>
        <v>137637</v>
      </c>
      <c r="F38" s="469">
        <v>138734</v>
      </c>
      <c r="G38" s="473">
        <f t="shared" si="3"/>
        <v>1097</v>
      </c>
      <c r="H38" s="460">
        <f>G38+'15'!H38</f>
        <v>19138</v>
      </c>
      <c r="I38" s="455"/>
      <c r="J38" s="552">
        <f>H38/DAY(B2)</f>
        <v>1196.125</v>
      </c>
      <c r="K38" s="428"/>
      <c r="L38" s="377"/>
      <c r="N38" s="721"/>
      <c r="O38" s="728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'15'!F39</f>
        <v>273184</v>
      </c>
      <c r="F39" s="510">
        <v>275338</v>
      </c>
      <c r="G39" s="473">
        <f t="shared" si="3"/>
        <v>2154</v>
      </c>
      <c r="H39" s="460">
        <f>G39+'15'!H39</f>
        <v>28685</v>
      </c>
      <c r="I39" s="455"/>
      <c r="J39" s="552">
        <f>H39/DAY(B2)</f>
        <v>1792.8125</v>
      </c>
      <c r="K39" s="428"/>
      <c r="L39" s="377"/>
      <c r="N39" s="721"/>
      <c r="O39" s="729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'15'!F40</f>
        <v>298</v>
      </c>
      <c r="F40" s="510">
        <v>350</v>
      </c>
      <c r="G40" s="473">
        <f t="shared" si="3"/>
        <v>52</v>
      </c>
      <c r="H40" s="460">
        <f>G40+'15'!H40</f>
        <v>349.77</v>
      </c>
      <c r="I40" s="455"/>
      <c r="J40" s="552">
        <f>H40/DAY(B2)</f>
        <v>21.860624999999999</v>
      </c>
      <c r="K40" s="429"/>
      <c r="L40" s="377"/>
      <c r="N40" s="721"/>
      <c r="O40" s="728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'15'!F41</f>
        <v>239668</v>
      </c>
      <c r="F41" s="510">
        <v>239668</v>
      </c>
      <c r="G41" s="473">
        <f t="shared" si="3"/>
        <v>0</v>
      </c>
      <c r="H41" s="460">
        <f>G41+'15'!H41</f>
        <v>58140</v>
      </c>
      <c r="I41" s="455"/>
      <c r="J41" s="552">
        <f>H41/DAY(B2)</f>
        <v>3633.75</v>
      </c>
      <c r="K41" s="428"/>
      <c r="L41" s="377"/>
      <c r="N41" s="721"/>
      <c r="O41" s="730"/>
      <c r="P41" s="724"/>
    </row>
    <row r="42" spans="1:16">
      <c r="A42" s="578" t="s">
        <v>170</v>
      </c>
      <c r="B42" s="579"/>
      <c r="C42" s="579"/>
      <c r="D42" s="523" t="s">
        <v>131</v>
      </c>
      <c r="E42" s="510">
        <f>'15'!F42</f>
        <v>59200</v>
      </c>
      <c r="F42" s="510">
        <v>59200</v>
      </c>
      <c r="G42" s="473">
        <f>F42-E42</f>
        <v>0</v>
      </c>
      <c r="H42" s="460">
        <f>G42+'15'!H42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'15'!F43</f>
        <v>1006633</v>
      </c>
      <c r="F43" s="510">
        <v>1008759</v>
      </c>
      <c r="G43" s="473">
        <f t="shared" si="3"/>
        <v>2126</v>
      </c>
      <c r="H43" s="460">
        <f>G43+'15'!H43</f>
        <v>34801</v>
      </c>
      <c r="I43" s="455"/>
      <c r="J43" s="552">
        <f>H43/DAY(B2)</f>
        <v>2175.0625</v>
      </c>
      <c r="K43" s="428"/>
      <c r="L43" s="377"/>
      <c r="N43" s="721"/>
      <c r="O43" s="729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8594</v>
      </c>
      <c r="H47" s="460">
        <f>G47+'15'!H47</f>
        <v>195662.26</v>
      </c>
      <c r="I47" s="455"/>
      <c r="J47" s="552">
        <f>H47/DAY(B2)</f>
        <v>12228.891250000001</v>
      </c>
      <c r="K47" s="428"/>
      <c r="L47" s="377"/>
      <c r="N47" s="721"/>
      <c r="O47" s="728"/>
      <c r="P47" s="382"/>
    </row>
    <row r="48" spans="1:16">
      <c r="A48" s="598" t="s">
        <v>176</v>
      </c>
      <c r="B48" s="1211"/>
      <c r="C48" s="1211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</v>
      </c>
      <c r="I49" s="455"/>
      <c r="J49" s="552">
        <f>H49/DAY(B2)</f>
        <v>0</v>
      </c>
      <c r="K49" s="428">
        <f>E49+244</f>
        <v>260976</v>
      </c>
      <c r="L49" s="377"/>
      <c r="N49" s="721"/>
      <c r="O49" s="728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'15'!F50</f>
        <v>488424</v>
      </c>
      <c r="F50" s="510">
        <v>489245</v>
      </c>
      <c r="G50" s="473">
        <f t="shared" si="4"/>
        <v>821</v>
      </c>
      <c r="H50" s="460">
        <f>G50+'15'!H50</f>
        <v>13770</v>
      </c>
      <c r="I50" s="455"/>
      <c r="J50" s="552">
        <f>H50/DAY(B2)</f>
        <v>860.625</v>
      </c>
      <c r="K50" s="428"/>
      <c r="L50" s="377"/>
      <c r="N50" s="721"/>
      <c r="O50" s="729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21"/>
      <c r="O51" s="728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'15'!F52</f>
        <v>539606</v>
      </c>
      <c r="F52" s="510">
        <v>539606</v>
      </c>
      <c r="G52" s="473">
        <f t="shared" si="4"/>
        <v>0</v>
      </c>
      <c r="H52" s="460">
        <f>G52+'15'!H52</f>
        <v>-6.9999999948777258E-2</v>
      </c>
      <c r="I52" s="455"/>
      <c r="J52" s="552">
        <f>H52/DAY(B2)</f>
        <v>-4.3749999967985786E-3</v>
      </c>
      <c r="K52" s="428"/>
      <c r="L52" s="377"/>
      <c r="N52" s="721"/>
      <c r="O52" s="728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'15'!F53</f>
        <v>423999</v>
      </c>
      <c r="F53" s="510">
        <v>424453</v>
      </c>
      <c r="G53" s="473">
        <f t="shared" si="4"/>
        <v>454</v>
      </c>
      <c r="H53" s="460">
        <f>G53+'15'!H53</f>
        <v>7619</v>
      </c>
      <c r="I53" s="455"/>
      <c r="J53" s="552">
        <f>H53/DAY(B2)</f>
        <v>476.1875</v>
      </c>
      <c r="K53" s="428"/>
      <c r="L53" s="377"/>
      <c r="N53" s="721"/>
      <c r="O53" s="728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'15'!F54</f>
        <v>12469</v>
      </c>
      <c r="F54" s="510">
        <v>12542</v>
      </c>
      <c r="G54" s="473">
        <f t="shared" si="4"/>
        <v>73</v>
      </c>
      <c r="H54" s="460">
        <f>G54+'15'!H54</f>
        <v>4780</v>
      </c>
      <c r="I54" s="455"/>
      <c r="J54" s="552">
        <f>H54/DAY(B2)</f>
        <v>298.75</v>
      </c>
      <c r="K54" s="428"/>
      <c r="L54" s="377"/>
      <c r="N54" s="721"/>
      <c r="O54" s="728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'15'!F55</f>
        <v>15098</v>
      </c>
      <c r="F55" s="656">
        <v>19546</v>
      </c>
      <c r="G55" s="655">
        <f t="shared" si="4"/>
        <v>4448</v>
      </c>
      <c r="H55" s="708">
        <f>G55+'15'!H55</f>
        <v>19546</v>
      </c>
      <c r="I55" s="709"/>
      <c r="J55" s="710">
        <f>H55/DAY(B2)</f>
        <v>1221.625</v>
      </c>
      <c r="K55" s="428"/>
      <c r="L55" s="377"/>
      <c r="N55" s="721"/>
      <c r="O55" s="728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'15'!F56</f>
        <v>589435.47</v>
      </c>
      <c r="F56" s="656">
        <v>589435.47</v>
      </c>
      <c r="G56" s="473">
        <f t="shared" si="4"/>
        <v>0</v>
      </c>
      <c r="H56" s="460">
        <f>G56+'15'!H56</f>
        <v>147.10999999998603</v>
      </c>
      <c r="I56" s="455"/>
      <c r="J56" s="552">
        <f>H56/DAY(B2)</f>
        <v>9.1943749999991269</v>
      </c>
      <c r="K56" s="427"/>
      <c r="L56" s="377"/>
      <c r="N56" s="721"/>
      <c r="O56" s="730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21"/>
      <c r="O57" s="728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'15'!F58</f>
        <v>47905</v>
      </c>
      <c r="F58" s="656">
        <v>47905</v>
      </c>
      <c r="G58" s="473">
        <f t="shared" si="4"/>
        <v>0</v>
      </c>
      <c r="H58" s="460">
        <f>G58+'15'!H58</f>
        <v>1188</v>
      </c>
      <c r="I58" s="455"/>
      <c r="J58" s="552">
        <f>H58/DAY(B2)</f>
        <v>74.25</v>
      </c>
      <c r="K58" s="428"/>
      <c r="L58" s="377"/>
      <c r="N58" s="721"/>
      <c r="O58" s="728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5796.1300000000047</v>
      </c>
      <c r="H59" s="460">
        <f>G59+'15'!H59</f>
        <v>47050.309999999983</v>
      </c>
      <c r="I59" s="455">
        <f>G7-G60</f>
        <v>631.86999999999534</v>
      </c>
      <c r="J59" s="552">
        <f>H59/DAY(B2)</f>
        <v>2940.6443749999989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14390.130000000005</v>
      </c>
      <c r="H60" s="460">
        <f>G60+'15'!H60</f>
        <v>244296.46</v>
      </c>
      <c r="I60" s="455">
        <f>G13-G60</f>
        <v>135.86999999999534</v>
      </c>
      <c r="J60" s="552">
        <f>H60/DAY(B2)</f>
        <v>15268.528749999999</v>
      </c>
      <c r="K60" s="428"/>
      <c r="L60" s="377"/>
      <c r="N60" s="721"/>
      <c r="O60" s="728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186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0.36199999999735155</v>
      </c>
      <c r="I62" s="515"/>
      <c r="J62" s="552">
        <f>H62/DAY(B2)</f>
        <v>2.2624999999834472E-2</v>
      </c>
      <c r="K62" s="428"/>
      <c r="L62" s="377"/>
      <c r="N62" s="721"/>
      <c r="O62" s="728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'15'!F63</f>
        <v>2415</v>
      </c>
      <c r="F63" s="514">
        <v>2419</v>
      </c>
      <c r="G63" s="473">
        <f t="shared" si="5"/>
        <v>4</v>
      </c>
      <c r="H63" s="460">
        <f>G63+'15'!H63</f>
        <v>60</v>
      </c>
      <c r="I63" s="515"/>
      <c r="J63" s="552">
        <f>H63/DAY(B2)</f>
        <v>3.75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186</v>
      </c>
      <c r="E64" s="1233">
        <f>'15'!F64</f>
        <v>156403</v>
      </c>
      <c r="F64" s="626">
        <v>156604</v>
      </c>
      <c r="G64" s="776">
        <f t="shared" si="5"/>
        <v>201</v>
      </c>
      <c r="H64" s="460">
        <f>G64+'15'!H64</f>
        <v>3305</v>
      </c>
      <c r="I64" s="480"/>
      <c r="J64" s="552">
        <f>H64/DAY(B2)</f>
        <v>206.5625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186</v>
      </c>
      <c r="E65" s="514">
        <f>'15'!F65</f>
        <v>157372</v>
      </c>
      <c r="F65" s="654">
        <v>157667</v>
      </c>
      <c r="G65" s="473">
        <f t="shared" si="5"/>
        <v>295</v>
      </c>
      <c r="H65" s="460">
        <f>G65+'15'!H65</f>
        <v>3068</v>
      </c>
      <c r="I65" s="489"/>
      <c r="J65" s="552">
        <f>H65/DAY(B2)</f>
        <v>191.75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186</v>
      </c>
      <c r="E66" s="514">
        <f>'15'!F66</f>
        <v>52447</v>
      </c>
      <c r="F66" s="478">
        <v>52707</v>
      </c>
      <c r="G66" s="473">
        <f t="shared" si="5"/>
        <v>260</v>
      </c>
      <c r="H66" s="460">
        <f>G66+'15'!H66</f>
        <v>4136</v>
      </c>
      <c r="I66" s="480"/>
      <c r="J66" s="552">
        <f>H66/DAY(B2)</f>
        <v>258.5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186</v>
      </c>
      <c r="E67" s="514">
        <f>'15'!F67</f>
        <v>245741</v>
      </c>
      <c r="F67" s="478">
        <v>246073</v>
      </c>
      <c r="G67" s="473">
        <f t="shared" si="5"/>
        <v>332</v>
      </c>
      <c r="H67" s="460">
        <f>G67+'15'!H67</f>
        <v>2899</v>
      </c>
      <c r="I67" s="489"/>
      <c r="J67" s="552">
        <f>H67/DAY(B2)</f>
        <v>181.1875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186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186</v>
      </c>
      <c r="E69" s="514">
        <f>'15'!F69</f>
        <v>80090</v>
      </c>
      <c r="F69" s="478">
        <v>80185</v>
      </c>
      <c r="G69" s="473">
        <f t="shared" si="5"/>
        <v>95</v>
      </c>
      <c r="H69" s="460">
        <f>G69+'15'!H69</f>
        <v>1191</v>
      </c>
      <c r="I69" s="516"/>
      <c r="J69" s="552">
        <f>H69/DAY(B2)</f>
        <v>74.4375</v>
      </c>
      <c r="K69" s="431"/>
      <c r="L69" s="377"/>
      <c r="N69" s="721"/>
      <c r="O69" s="728"/>
      <c r="P69" s="382"/>
    </row>
    <row r="70" spans="1:16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33"/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721"/>
      <c r="O71" s="728"/>
      <c r="P71" s="382"/>
    </row>
    <row r="72" spans="1:16" ht="27.75">
      <c r="A72" s="1530" t="s">
        <v>190</v>
      </c>
      <c r="B72" s="1531"/>
      <c r="C72" s="1532"/>
      <c r="D72" s="523" t="s">
        <v>186</v>
      </c>
      <c r="E72" s="519">
        <f>'15'!F72</f>
        <v>855675</v>
      </c>
      <c r="F72" s="657">
        <v>855682</v>
      </c>
      <c r="G72" s="473">
        <f t="shared" ref="G72:G84" si="6">F72-E72</f>
        <v>7</v>
      </c>
      <c r="H72" s="460">
        <f>G72+'15'!H72</f>
        <v>210</v>
      </c>
      <c r="I72" s="480"/>
      <c r="J72" s="552">
        <f>H72/DAY(B2)</f>
        <v>13.125</v>
      </c>
      <c r="K72" s="431"/>
      <c r="L72" s="377"/>
      <c r="N72" s="721"/>
      <c r="O72" s="728"/>
      <c r="P72" s="382"/>
    </row>
    <row r="73" spans="1:16" ht="27.75">
      <c r="A73" s="1530" t="s">
        <v>191</v>
      </c>
      <c r="B73" s="1531"/>
      <c r="C73" s="1532"/>
      <c r="D73" s="523" t="s">
        <v>186</v>
      </c>
      <c r="E73" s="519">
        <f>'15'!F73</f>
        <v>885892</v>
      </c>
      <c r="F73" s="658">
        <v>885892</v>
      </c>
      <c r="G73" s="655">
        <f t="shared" si="6"/>
        <v>0</v>
      </c>
      <c r="H73" s="460">
        <f>G73+'15'!H73</f>
        <v>196</v>
      </c>
      <c r="I73" s="480"/>
      <c r="J73" s="552">
        <f>H73/DAY(B2)</f>
        <v>12.25</v>
      </c>
      <c r="K73" s="430"/>
      <c r="L73" s="377"/>
      <c r="N73" s="721"/>
      <c r="O73" s="728"/>
      <c r="P73" s="382"/>
    </row>
    <row r="74" spans="1:16" ht="27.75">
      <c r="A74" s="1530" t="s">
        <v>192</v>
      </c>
      <c r="B74" s="1531"/>
      <c r="C74" s="1532"/>
      <c r="D74" s="523" t="s">
        <v>186</v>
      </c>
      <c r="E74" s="519">
        <f>'15'!F74</f>
        <v>2480</v>
      </c>
      <c r="F74" s="658">
        <v>2489</v>
      </c>
      <c r="G74" s="473">
        <f t="shared" si="6"/>
        <v>9</v>
      </c>
      <c r="H74" s="460">
        <f>G74+'15'!H74</f>
        <v>210</v>
      </c>
      <c r="I74" s="480"/>
      <c r="J74" s="552">
        <f>H74/DAY(B2)</f>
        <v>13.125</v>
      </c>
      <c r="K74" s="431"/>
      <c r="L74" s="377"/>
      <c r="N74" s="721"/>
      <c r="O74" s="728"/>
      <c r="P74" s="382"/>
    </row>
    <row r="75" spans="1:16" ht="27.75">
      <c r="A75" s="1527" t="s">
        <v>193</v>
      </c>
      <c r="B75" s="1528"/>
      <c r="C75" s="1529"/>
      <c r="D75" s="523" t="s">
        <v>186</v>
      </c>
      <c r="E75" s="519">
        <f>'15'!F75</f>
        <v>11767</v>
      </c>
      <c r="F75" s="658">
        <v>11821</v>
      </c>
      <c r="G75" s="473">
        <f t="shared" si="6"/>
        <v>54</v>
      </c>
      <c r="H75" s="460">
        <f>G75+'15'!H75</f>
        <v>851</v>
      </c>
      <c r="I75" s="480"/>
      <c r="J75" s="552">
        <f>H75/DAY(B2)</f>
        <v>53.1875</v>
      </c>
      <c r="K75" s="430"/>
      <c r="L75" s="377"/>
      <c r="N75" s="721"/>
      <c r="O75" s="728"/>
      <c r="P75" s="382"/>
    </row>
    <row r="76" spans="1:16" ht="27.75">
      <c r="A76" s="1527" t="s">
        <v>194</v>
      </c>
      <c r="B76" s="1528"/>
      <c r="C76" s="1529"/>
      <c r="D76" s="523" t="s">
        <v>186</v>
      </c>
      <c r="E76" s="519">
        <f>'15'!F76</f>
        <v>6522</v>
      </c>
      <c r="F76" s="658">
        <v>6578</v>
      </c>
      <c r="G76" s="473">
        <f t="shared" si="6"/>
        <v>56</v>
      </c>
      <c r="H76" s="460">
        <f>G76+'15'!H76</f>
        <v>861.04999999999927</v>
      </c>
      <c r="I76" s="505"/>
      <c r="J76" s="552">
        <f>H76/DAY(B2)</f>
        <v>53.815624999999955</v>
      </c>
      <c r="K76" s="430"/>
      <c r="L76" s="377"/>
      <c r="N76" s="721"/>
      <c r="O76" s="728"/>
      <c r="P76" s="382"/>
    </row>
    <row r="77" spans="1:16" ht="27.75">
      <c r="A77" s="1530" t="s">
        <v>195</v>
      </c>
      <c r="B77" s="1531"/>
      <c r="C77" s="1532"/>
      <c r="D77" s="523" t="s">
        <v>186</v>
      </c>
      <c r="E77" s="519">
        <f>'15'!F77</f>
        <v>702236</v>
      </c>
      <c r="F77" s="658">
        <v>702265</v>
      </c>
      <c r="G77" s="655">
        <f t="shared" si="6"/>
        <v>29</v>
      </c>
      <c r="H77" s="460">
        <f>G77+'15'!H77</f>
        <v>703</v>
      </c>
      <c r="I77" s="505"/>
      <c r="J77" s="552">
        <f>H77/DAY(B2)</f>
        <v>43.9375</v>
      </c>
      <c r="K77" s="430"/>
      <c r="L77" s="377"/>
      <c r="N77" s="721"/>
      <c r="O77" s="728"/>
      <c r="P77" s="382"/>
    </row>
    <row r="78" spans="1:16" ht="27.75">
      <c r="A78" s="1212" t="s">
        <v>196</v>
      </c>
      <c r="B78" s="1208"/>
      <c r="C78" s="1208"/>
      <c r="D78" s="523" t="s">
        <v>186</v>
      </c>
      <c r="E78" s="519">
        <f>'15'!F78</f>
        <v>671267</v>
      </c>
      <c r="F78" s="659">
        <v>671385</v>
      </c>
      <c r="G78" s="473">
        <f t="shared" si="6"/>
        <v>118</v>
      </c>
      <c r="H78" s="460">
        <f>G78+'15'!H78</f>
        <v>1360</v>
      </c>
      <c r="I78" s="505"/>
      <c r="J78" s="552">
        <f>H78/DAY(B2)</f>
        <v>85</v>
      </c>
      <c r="K78" s="430"/>
      <c r="L78" s="377"/>
      <c r="N78" s="721"/>
      <c r="O78" s="728"/>
      <c r="P78" s="382"/>
    </row>
    <row r="79" spans="1:16" ht="27.75">
      <c r="A79" s="1527" t="s">
        <v>92</v>
      </c>
      <c r="B79" s="1528"/>
      <c r="C79" s="1529"/>
      <c r="D79" s="524" t="s">
        <v>186</v>
      </c>
      <c r="E79" s="519">
        <f>'15'!F79</f>
        <v>828930</v>
      </c>
      <c r="F79" s="659">
        <v>829050</v>
      </c>
      <c r="G79" s="473">
        <f t="shared" si="6"/>
        <v>120</v>
      </c>
      <c r="H79" s="460">
        <f>G79+'15'!H79</f>
        <v>1319</v>
      </c>
      <c r="I79" s="505"/>
      <c r="J79" s="552">
        <f>H79/DAY(B2)</f>
        <v>82.4375</v>
      </c>
      <c r="K79" s="430"/>
      <c r="L79" s="377"/>
      <c r="N79" s="721"/>
      <c r="O79" s="728"/>
      <c r="P79" s="382"/>
    </row>
    <row r="80" spans="1:16" ht="27.75">
      <c r="A80" s="1527" t="s">
        <v>197</v>
      </c>
      <c r="B80" s="1528"/>
      <c r="C80" s="1529"/>
      <c r="D80" s="524" t="s">
        <v>186</v>
      </c>
      <c r="E80" s="519">
        <f>'15'!F80</f>
        <v>522087</v>
      </c>
      <c r="F80" s="658">
        <v>522420</v>
      </c>
      <c r="G80" s="473">
        <f t="shared" si="6"/>
        <v>333</v>
      </c>
      <c r="H80" s="460">
        <f>G80+'15'!H80</f>
        <v>2959</v>
      </c>
      <c r="I80" s="505"/>
      <c r="J80" s="552">
        <f>H80/DAY(B2)</f>
        <v>184.9375</v>
      </c>
      <c r="K80" s="430"/>
      <c r="L80" s="377"/>
      <c r="N80" s="721"/>
      <c r="O80" s="728"/>
      <c r="P80" s="382"/>
    </row>
    <row r="81" spans="1:16" ht="27.75">
      <c r="A81" s="1527" t="s">
        <v>198</v>
      </c>
      <c r="B81" s="1528"/>
      <c r="C81" s="1529"/>
      <c r="D81" s="524" t="s">
        <v>186</v>
      </c>
      <c r="E81" s="519">
        <f>'15'!F81</f>
        <v>637594</v>
      </c>
      <c r="F81" s="658">
        <v>637676</v>
      </c>
      <c r="G81" s="473">
        <f t="shared" si="6"/>
        <v>82</v>
      </c>
      <c r="H81" s="460">
        <f>G81+'15'!H81</f>
        <v>1198</v>
      </c>
      <c r="I81" s="505"/>
      <c r="J81" s="552">
        <f>H81/DAY(B2)</f>
        <v>74.875</v>
      </c>
      <c r="K81" s="430"/>
      <c r="L81" s="377"/>
      <c r="N81" s="721"/>
      <c r="O81" s="728"/>
      <c r="P81" s="382"/>
    </row>
    <row r="82" spans="1:16" s="441" customFormat="1" ht="27.75">
      <c r="A82" s="1603" t="s">
        <v>93</v>
      </c>
      <c r="B82" s="1604"/>
      <c r="C82" s="1605"/>
      <c r="D82" s="654" t="s">
        <v>131</v>
      </c>
      <c r="E82" s="520">
        <f>'15'!F82</f>
        <v>107909</v>
      </c>
      <c r="F82" s="654">
        <v>107919</v>
      </c>
      <c r="G82" s="655">
        <f t="shared" si="6"/>
        <v>10</v>
      </c>
      <c r="H82" s="708">
        <f>G82+'15'!H82</f>
        <v>307</v>
      </c>
      <c r="I82" s="708"/>
      <c r="J82" s="710">
        <f>H82/DAY(B2)</f>
        <v>19.1875</v>
      </c>
      <c r="K82" s="1321"/>
      <c r="L82" s="1109"/>
      <c r="N82" s="721"/>
      <c r="O82" s="730"/>
      <c r="P82" s="716"/>
    </row>
    <row r="83" spans="1:16" ht="27.75">
      <c r="A83" s="1527" t="s">
        <v>199</v>
      </c>
      <c r="B83" s="1528"/>
      <c r="C83" s="1529"/>
      <c r="D83" s="620" t="s">
        <v>131</v>
      </c>
      <c r="E83" s="519">
        <f>'15'!F83</f>
        <v>17788</v>
      </c>
      <c r="F83" s="511">
        <v>17904</v>
      </c>
      <c r="G83" s="473">
        <f t="shared" si="6"/>
        <v>116</v>
      </c>
      <c r="H83" s="460">
        <f>G83+'15'!H83</f>
        <v>3133</v>
      </c>
      <c r="I83" s="481"/>
      <c r="J83" s="552">
        <f>H83/DAY(B2)</f>
        <v>195.8125</v>
      </c>
      <c r="K83" s="429"/>
      <c r="L83" s="377"/>
      <c r="N83" s="721"/>
      <c r="O83" s="728"/>
      <c r="P83" s="382"/>
    </row>
    <row r="84" spans="1:16">
      <c r="A84" s="1215" t="s">
        <v>200</v>
      </c>
      <c r="B84" s="571"/>
      <c r="C84" s="571"/>
      <c r="D84" s="478" t="s">
        <v>131</v>
      </c>
      <c r="E84" s="519">
        <f>'15'!F84</f>
        <v>490696</v>
      </c>
      <c r="F84" s="627">
        <v>491207</v>
      </c>
      <c r="G84" s="473">
        <f t="shared" si="6"/>
        <v>511</v>
      </c>
      <c r="H84" s="460">
        <f>G84+'15'!H84</f>
        <v>11074</v>
      </c>
      <c r="I84" s="481"/>
      <c r="J84" s="552">
        <f>H84/DAY(B2)</f>
        <v>692.125</v>
      </c>
      <c r="K84" s="380"/>
      <c r="L84" s="377"/>
      <c r="N84" s="721"/>
      <c r="O84" s="728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1445</v>
      </c>
      <c r="H85" s="460">
        <f>G85+'15'!H85</f>
        <v>27890</v>
      </c>
      <c r="I85" s="481"/>
      <c r="J85" s="552">
        <f>H85/DAY(B2)</f>
        <v>1743.125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182</v>
      </c>
      <c r="E86" s="627">
        <f>'15'!F86</f>
        <v>460414</v>
      </c>
      <c r="F86" s="650">
        <v>460442</v>
      </c>
      <c r="G86" s="708">
        <f t="shared" ref="G86:G91" si="7">F86-E86</f>
        <v>28</v>
      </c>
      <c r="H86" s="708">
        <f t="shared" ref="H86:H88" si="8">G86</f>
        <v>28</v>
      </c>
      <c r="I86" s="655"/>
      <c r="J86" s="710">
        <f>H86/DAY(B2)</f>
        <v>1.75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182</v>
      </c>
      <c r="E87" s="627">
        <f>'15'!F87</f>
        <v>81105</v>
      </c>
      <c r="F87" s="650">
        <v>81109</v>
      </c>
      <c r="G87" s="708">
        <f t="shared" si="7"/>
        <v>4</v>
      </c>
      <c r="H87" s="708">
        <f t="shared" si="8"/>
        <v>4</v>
      </c>
      <c r="I87" s="655"/>
      <c r="J87" s="710">
        <f>H87/DAY(B2)</f>
        <v>0.25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182</v>
      </c>
      <c r="E88" s="627">
        <f>'15'!F88</f>
        <v>152445</v>
      </c>
      <c r="F88" s="1475">
        <v>152454</v>
      </c>
      <c r="G88" s="708">
        <f t="shared" si="7"/>
        <v>9</v>
      </c>
      <c r="H88" s="708">
        <f t="shared" si="8"/>
        <v>9</v>
      </c>
      <c r="I88" s="655"/>
      <c r="J88" s="710">
        <f>H88/DAY(B2)</f>
        <v>0.5625</v>
      </c>
      <c r="K88" s="736"/>
      <c r="L88" s="737"/>
      <c r="O88" s="716"/>
    </row>
    <row r="89" spans="1:16" s="738" customFormat="1">
      <c r="A89" s="733" t="s">
        <v>203</v>
      </c>
      <c r="B89" s="734"/>
      <c r="C89" s="734"/>
      <c r="D89" s="735" t="s">
        <v>182</v>
      </c>
      <c r="E89" s="627">
        <f>'15'!F89</f>
        <v>64930</v>
      </c>
      <c r="F89" s="650">
        <v>64937</v>
      </c>
      <c r="G89" s="708">
        <f t="shared" si="7"/>
        <v>7</v>
      </c>
      <c r="H89" s="708">
        <f>G89</f>
        <v>7</v>
      </c>
      <c r="I89" s="655"/>
      <c r="J89" s="710">
        <f>H89/DAY(B2)</f>
        <v>0.4375</v>
      </c>
      <c r="K89" s="736"/>
      <c r="L89" s="737"/>
      <c r="N89" s="780"/>
      <c r="O89" s="382"/>
    </row>
    <row r="90" spans="1:16" s="738" customFormat="1">
      <c r="A90" s="733" t="s">
        <v>203</v>
      </c>
      <c r="B90" s="734"/>
      <c r="C90" s="734"/>
      <c r="D90" s="735" t="s">
        <v>182</v>
      </c>
      <c r="E90" s="627">
        <f>'15'!F90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361</v>
      </c>
      <c r="B91" s="734"/>
      <c r="C91" s="734"/>
      <c r="D91" s="735"/>
      <c r="E91" s="627">
        <f>'15'!F91</f>
        <v>27954</v>
      </c>
      <c r="F91" s="650">
        <v>27954</v>
      </c>
      <c r="G91" s="708">
        <f t="shared" si="7"/>
        <v>0</v>
      </c>
      <c r="H91" s="708">
        <f>G91</f>
        <v>0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204</v>
      </c>
      <c r="B92" s="1213"/>
      <c r="C92" s="1213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1" t="s">
        <v>205</v>
      </c>
      <c r="B93" s="1552"/>
      <c r="C93" s="1553"/>
      <c r="D93" s="523" t="s">
        <v>143</v>
      </c>
      <c r="E93" s="484">
        <f>'15'!F93</f>
        <v>245032</v>
      </c>
      <c r="F93" s="478">
        <v>245077</v>
      </c>
      <c r="G93" s="473">
        <f t="shared" ref="G93:G94" si="9">F93-E93</f>
        <v>45</v>
      </c>
      <c r="H93" s="460">
        <f>G93+'15'!H93</f>
        <v>553</v>
      </c>
      <c r="I93" s="480"/>
      <c r="J93" s="552">
        <f>H93/DAY(B2)</f>
        <v>34.5625</v>
      </c>
      <c r="K93" s="429"/>
      <c r="L93" s="377"/>
      <c r="N93" s="721"/>
      <c r="O93" s="728"/>
      <c r="P93" s="382"/>
    </row>
    <row r="94" spans="1:16" ht="27.75">
      <c r="A94" s="1551" t="s">
        <v>206</v>
      </c>
      <c r="B94" s="1552"/>
      <c r="C94" s="1553"/>
      <c r="D94" s="523" t="s">
        <v>143</v>
      </c>
      <c r="E94" s="484">
        <f>'15'!F94</f>
        <v>184793</v>
      </c>
      <c r="F94" s="478">
        <v>184822</v>
      </c>
      <c r="G94" s="473">
        <f t="shared" si="9"/>
        <v>29</v>
      </c>
      <c r="H94" s="460">
        <f>G94+'15'!H94</f>
        <v>1291</v>
      </c>
      <c r="I94" s="480"/>
      <c r="J94" s="552">
        <f>H94/DAY(B2)</f>
        <v>80.6875</v>
      </c>
      <c r="K94" s="380"/>
      <c r="L94" s="377"/>
      <c r="N94" s="721"/>
      <c r="O94" s="728"/>
      <c r="P94" s="382"/>
    </row>
    <row r="95" spans="1:16">
      <c r="A95" s="1579" t="s">
        <v>207</v>
      </c>
      <c r="B95" s="1580"/>
      <c r="C95" s="1581"/>
      <c r="D95" s="523"/>
      <c r="E95" s="484">
        <f>'15'!F95</f>
        <v>0</v>
      </c>
      <c r="F95" s="478">
        <v>0</v>
      </c>
      <c r="G95" s="473">
        <f>G93+G94</f>
        <v>74</v>
      </c>
      <c r="H95" s="460">
        <f>G95+'15'!H95</f>
        <v>1697</v>
      </c>
      <c r="I95" s="480"/>
      <c r="J95" s="552">
        <f>H95/DAY(B2)</f>
        <v>106.0625</v>
      </c>
      <c r="K95" s="380"/>
      <c r="L95" s="377"/>
      <c r="N95" s="721"/>
      <c r="O95" s="728"/>
      <c r="P95" s="382"/>
    </row>
    <row r="96" spans="1:16" ht="27.75">
      <c r="A96" s="1551" t="s">
        <v>208</v>
      </c>
      <c r="B96" s="1552"/>
      <c r="C96" s="1553"/>
      <c r="D96" s="523" t="s">
        <v>143</v>
      </c>
      <c r="E96" s="484">
        <f>'15'!F96</f>
        <v>413567</v>
      </c>
      <c r="F96" s="478">
        <v>413594</v>
      </c>
      <c r="G96" s="473">
        <f t="shared" ref="G96:G101" si="10">F96-E96</f>
        <v>27</v>
      </c>
      <c r="H96" s="460">
        <f>G96+'15'!H96</f>
        <v>708</v>
      </c>
      <c r="I96" s="480"/>
      <c r="J96" s="552">
        <f>H96/DAY(B2)</f>
        <v>44.25</v>
      </c>
      <c r="K96" s="380"/>
      <c r="L96" s="377"/>
      <c r="N96" s="721"/>
      <c r="O96" s="728"/>
      <c r="P96" s="382"/>
    </row>
    <row r="97" spans="1:16" ht="27.75">
      <c r="A97" s="1209" t="s">
        <v>209</v>
      </c>
      <c r="B97" s="1210"/>
      <c r="C97" s="1210"/>
      <c r="D97" s="523" t="s">
        <v>143</v>
      </c>
      <c r="E97" s="484">
        <f>'15'!F97</f>
        <v>102483</v>
      </c>
      <c r="F97" s="478">
        <v>102497</v>
      </c>
      <c r="G97" s="473">
        <f t="shared" si="10"/>
        <v>14</v>
      </c>
      <c r="H97" s="460">
        <f>G97+'15'!H97</f>
        <v>154</v>
      </c>
      <c r="I97" s="480"/>
      <c r="J97" s="552">
        <f>H97/DAY(B2)</f>
        <v>9.625</v>
      </c>
      <c r="K97" s="427"/>
      <c r="L97" s="377"/>
      <c r="N97" s="721"/>
      <c r="O97" s="728"/>
      <c r="P97" s="382"/>
    </row>
    <row r="98" spans="1:16" ht="27.75">
      <c r="A98" s="1209" t="s">
        <v>210</v>
      </c>
      <c r="B98" s="1210"/>
      <c r="C98" s="1210"/>
      <c r="D98" s="523" t="s">
        <v>143</v>
      </c>
      <c r="E98" s="484">
        <f>'15'!F98</f>
        <v>97643</v>
      </c>
      <c r="F98" s="478">
        <v>97662</v>
      </c>
      <c r="G98" s="473">
        <f t="shared" si="10"/>
        <v>19</v>
      </c>
      <c r="H98" s="460">
        <f>G98+'15'!H98</f>
        <v>235</v>
      </c>
      <c r="I98" s="480"/>
      <c r="J98" s="552">
        <f>H98/DAY(B2)</f>
        <v>14.6875</v>
      </c>
      <c r="K98" s="432"/>
      <c r="L98" s="377"/>
      <c r="N98" s="721">
        <v>96617</v>
      </c>
      <c r="O98" s="728"/>
      <c r="P98" s="382"/>
    </row>
    <row r="99" spans="1:16" ht="27.75">
      <c r="A99" s="1209" t="s">
        <v>211</v>
      </c>
      <c r="B99" s="1210"/>
      <c r="C99" s="1210"/>
      <c r="D99" s="523" t="s">
        <v>143</v>
      </c>
      <c r="E99" s="484">
        <f>'15'!F99</f>
        <v>149718</v>
      </c>
      <c r="F99" s="478">
        <v>149723</v>
      </c>
      <c r="G99" s="473">
        <f t="shared" si="10"/>
        <v>5</v>
      </c>
      <c r="H99" s="460">
        <f>G99+'15'!H99</f>
        <v>190</v>
      </c>
      <c r="I99" s="480"/>
      <c r="J99" s="552">
        <f>H99/DAY(B2)</f>
        <v>11.875</v>
      </c>
      <c r="K99" s="380"/>
      <c r="L99" s="377"/>
      <c r="N99" s="723"/>
      <c r="O99" s="728"/>
      <c r="P99" s="382"/>
    </row>
    <row r="100" spans="1:16" ht="27.75">
      <c r="A100" s="1209" t="s">
        <v>212</v>
      </c>
      <c r="B100" s="1210"/>
      <c r="C100" s="1210"/>
      <c r="D100" s="523" t="s">
        <v>143</v>
      </c>
      <c r="E100" s="484">
        <f>'15'!F100</f>
        <v>7243</v>
      </c>
      <c r="F100" s="478">
        <v>7267</v>
      </c>
      <c r="G100" s="473">
        <f t="shared" si="10"/>
        <v>24</v>
      </c>
      <c r="H100" s="460">
        <f>G100+'15'!H100</f>
        <v>82</v>
      </c>
      <c r="I100" s="480"/>
      <c r="J100" s="552">
        <f>H100/DAY(B2)</f>
        <v>5.125</v>
      </c>
      <c r="K100" s="380"/>
      <c r="L100" s="377"/>
      <c r="N100" s="721"/>
      <c r="O100" s="728"/>
      <c r="P100" s="382"/>
    </row>
    <row r="101" spans="1:16" ht="27.75">
      <c r="A101" s="1209" t="s">
        <v>213</v>
      </c>
      <c r="B101" s="1210"/>
      <c r="C101" s="1210"/>
      <c r="D101" s="523" t="s">
        <v>143</v>
      </c>
      <c r="E101" s="484">
        <f>'15'!F101</f>
        <v>5237</v>
      </c>
      <c r="F101" s="478">
        <v>5247</v>
      </c>
      <c r="G101" s="473">
        <f t="shared" si="10"/>
        <v>10</v>
      </c>
      <c r="H101" s="460">
        <f>G101+'15'!H101</f>
        <v>109</v>
      </c>
      <c r="I101" s="480"/>
      <c r="J101" s="552">
        <f>H101/DAY(B2)</f>
        <v>6.8125</v>
      </c>
      <c r="K101" s="380"/>
      <c r="L101" s="377"/>
      <c r="N101" s="721"/>
      <c r="O101" s="728"/>
      <c r="P101" s="382"/>
    </row>
    <row r="102" spans="1:16">
      <c r="A102" s="1579" t="s">
        <v>215</v>
      </c>
      <c r="B102" s="1580"/>
      <c r="C102" s="1581"/>
      <c r="D102" s="524"/>
      <c r="E102" s="484"/>
      <c r="F102" s="524"/>
      <c r="G102" s="525">
        <f>SUM(G96:G101)</f>
        <v>99</v>
      </c>
      <c r="H102" s="460">
        <f>G102+'15'!H102</f>
        <v>1478</v>
      </c>
      <c r="I102" s="526"/>
      <c r="J102" s="552">
        <f>H102/DAY(B2)</f>
        <v>92.375</v>
      </c>
      <c r="K102" s="380"/>
      <c r="L102" s="377"/>
      <c r="N102" s="721"/>
      <c r="O102" s="728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82" t="s">
        <v>217</v>
      </c>
      <c r="B104" s="1583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3" t="s">
        <v>218</v>
      </c>
      <c r="B105" s="1544"/>
      <c r="C105" s="1214"/>
      <c r="D105" s="622" t="s">
        <v>143</v>
      </c>
      <c r="E105" s="484">
        <f>'15'!F105</f>
        <v>7473</v>
      </c>
      <c r="F105" s="1320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21"/>
      <c r="O105" s="728"/>
      <c r="P105" s="382"/>
    </row>
    <row r="106" spans="1:16" s="442" customFormat="1" ht="27.75">
      <c r="A106" s="1543" t="s">
        <v>77</v>
      </c>
      <c r="B106" s="1544"/>
      <c r="C106" s="1214"/>
      <c r="D106" s="622" t="s">
        <v>143</v>
      </c>
      <c r="E106" s="484">
        <f>'15'!F106</f>
        <v>35875</v>
      </c>
      <c r="F106" s="662">
        <v>35875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3.125</v>
      </c>
      <c r="N106" s="721"/>
      <c r="O106" s="728"/>
      <c r="P106" s="382"/>
    </row>
    <row r="107" spans="1:16" s="442" customFormat="1" ht="27.75">
      <c r="A107" s="1543" t="s">
        <v>78</v>
      </c>
      <c r="B107" s="1584"/>
      <c r="C107" s="1544"/>
      <c r="D107" s="622" t="s">
        <v>143</v>
      </c>
      <c r="E107" s="484">
        <f>'15'!F107</f>
        <v>19663</v>
      </c>
      <c r="F107" s="662">
        <v>19663</v>
      </c>
      <c r="G107" s="532">
        <f t="shared" si="11"/>
        <v>0</v>
      </c>
      <c r="H107" s="533">
        <f>SUM(G107+'1'!G78)</f>
        <v>124</v>
      </c>
      <c r="I107" s="532"/>
      <c r="J107" s="558">
        <f>H107/DAY(B2)</f>
        <v>7.75</v>
      </c>
      <c r="N107" s="721"/>
      <c r="O107" s="728"/>
      <c r="P107" s="382"/>
    </row>
    <row r="108" spans="1:16" s="442" customFormat="1" ht="27.75">
      <c r="A108" s="1545" t="s">
        <v>201</v>
      </c>
      <c r="B108" s="1546"/>
      <c r="C108" s="1214"/>
      <c r="D108" s="622"/>
      <c r="E108" s="484">
        <f>'15'!F108</f>
        <v>0</v>
      </c>
      <c r="F108" s="662"/>
      <c r="G108" s="532">
        <f>SUM(G105:G107)</f>
        <v>0</v>
      </c>
      <c r="H108" s="533">
        <f>SUM(G108+'1'!G79)</f>
        <v>189</v>
      </c>
      <c r="I108" s="532"/>
      <c r="J108" s="558">
        <f>H108/DAY(B2)</f>
        <v>11.8125</v>
      </c>
      <c r="N108" s="721"/>
      <c r="O108" s="728"/>
      <c r="P108" s="382"/>
    </row>
    <row r="109" spans="1:16" s="442" customFormat="1" ht="27.75">
      <c r="A109" s="1549" t="s">
        <v>79</v>
      </c>
      <c r="B109" s="1550"/>
      <c r="C109" s="1214"/>
      <c r="D109" s="622" t="s">
        <v>143</v>
      </c>
      <c r="E109" s="484">
        <f>'15'!F109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3" t="s">
        <v>219</v>
      </c>
      <c r="B110" s="1544"/>
      <c r="C110" s="1214"/>
      <c r="D110" s="622" t="s">
        <v>143</v>
      </c>
      <c r="E110" s="484">
        <f>'15'!F110</f>
        <v>61912</v>
      </c>
      <c r="F110" s="662">
        <v>62019</v>
      </c>
      <c r="G110" s="532">
        <f>F110-E110</f>
        <v>107</v>
      </c>
      <c r="H110" s="533">
        <f>SUM(G110+'1'!G81)</f>
        <v>188</v>
      </c>
      <c r="I110" s="532"/>
      <c r="J110" s="558">
        <f>H110/DAY(B2)</f>
        <v>11.75</v>
      </c>
      <c r="N110" s="721"/>
      <c r="O110" s="728"/>
      <c r="P110" s="382"/>
    </row>
    <row r="111" spans="1:16" s="442" customFormat="1" ht="27.75">
      <c r="A111" s="1543" t="s">
        <v>220</v>
      </c>
      <c r="B111" s="1544"/>
      <c r="C111" s="1214"/>
      <c r="D111" s="622" t="s">
        <v>143</v>
      </c>
      <c r="E111" s="484">
        <f>'15'!F111</f>
        <v>32401</v>
      </c>
      <c r="F111" s="662">
        <v>32401</v>
      </c>
      <c r="G111" s="532">
        <f t="shared" ref="G111:G112" si="12">F111-E111</f>
        <v>0</v>
      </c>
      <c r="H111" s="533">
        <f>SUM(G111+'1'!G82)</f>
        <v>12</v>
      </c>
      <c r="I111" s="532"/>
      <c r="J111" s="558">
        <f>H111/DAY(B2)</f>
        <v>0.75</v>
      </c>
      <c r="N111" s="721"/>
      <c r="O111" s="728"/>
      <c r="P111" s="382"/>
    </row>
    <row r="112" spans="1:16" s="442" customFormat="1" ht="27.75">
      <c r="A112" s="1543" t="s">
        <v>221</v>
      </c>
      <c r="B112" s="1544"/>
      <c r="C112" s="1214"/>
      <c r="D112" s="622" t="s">
        <v>143</v>
      </c>
      <c r="E112" s="484">
        <f>'15'!F112</f>
        <v>4509</v>
      </c>
      <c r="F112" s="662">
        <v>4509</v>
      </c>
      <c r="G112" s="532">
        <f t="shared" si="12"/>
        <v>0</v>
      </c>
      <c r="H112" s="533">
        <f>SUM(G112+'1'!G83)</f>
        <v>255</v>
      </c>
      <c r="I112" s="532"/>
      <c r="J112" s="558">
        <f>H112/DAY(B2)</f>
        <v>15.9375</v>
      </c>
      <c r="N112" s="721"/>
      <c r="O112" s="728"/>
      <c r="P112" s="382"/>
    </row>
    <row r="113" spans="1:16" s="442" customFormat="1" ht="27.75">
      <c r="A113" s="1545" t="s">
        <v>110</v>
      </c>
      <c r="B113" s="1546"/>
      <c r="C113" s="1214"/>
      <c r="D113" s="622"/>
      <c r="E113" s="484">
        <f>'15'!F113</f>
        <v>0</v>
      </c>
      <c r="F113" s="662"/>
      <c r="G113" s="532">
        <f>SUM(G110:G112)</f>
        <v>107</v>
      </c>
      <c r="H113" s="533">
        <f>SUM(G113+'1'!G84)</f>
        <v>822</v>
      </c>
      <c r="I113" s="532"/>
      <c r="J113" s="558">
        <f>H113/DAY(B2)</f>
        <v>51.375</v>
      </c>
      <c r="N113" s="721"/>
      <c r="O113" s="728"/>
      <c r="P113" s="382"/>
    </row>
    <row r="114" spans="1:16" s="442" customFormat="1" ht="27.75">
      <c r="A114" s="1549" t="s">
        <v>222</v>
      </c>
      <c r="B114" s="1550"/>
      <c r="C114" s="1214"/>
      <c r="D114" s="622"/>
      <c r="E114" s="484">
        <f>'15'!F114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3" t="s">
        <v>223</v>
      </c>
      <c r="B115" s="1544"/>
      <c r="C115" s="574"/>
      <c r="D115" s="622" t="s">
        <v>143</v>
      </c>
      <c r="E115" s="484">
        <f>'15'!F115</f>
        <v>11339</v>
      </c>
      <c r="F115" s="662">
        <v>11367</v>
      </c>
      <c r="G115" s="534">
        <f>F115-E115</f>
        <v>28</v>
      </c>
      <c r="H115" s="533">
        <f>SUM(G115+'1'!G92)</f>
        <v>28</v>
      </c>
      <c r="I115" s="532"/>
      <c r="J115" s="558">
        <f>H115/DAY(B2)</f>
        <v>1.75</v>
      </c>
      <c r="N115" s="721"/>
      <c r="O115" s="728"/>
      <c r="P115" s="382"/>
    </row>
    <row r="116" spans="1:16" s="442" customFormat="1" ht="27.75">
      <c r="A116" s="1543" t="s">
        <v>224</v>
      </c>
      <c r="B116" s="1544"/>
      <c r="C116" s="574"/>
      <c r="D116" s="622" t="s">
        <v>143</v>
      </c>
      <c r="E116" s="484">
        <f>'15'!F116</f>
        <v>8199</v>
      </c>
      <c r="F116" s="662">
        <v>8206</v>
      </c>
      <c r="G116" s="534">
        <f t="shared" ref="G116:G117" si="13">F116-E116</f>
        <v>7</v>
      </c>
      <c r="H116" s="533">
        <f>SUM(G116+'1'!G93)</f>
        <v>59</v>
      </c>
      <c r="I116" s="532"/>
      <c r="J116" s="558">
        <f>H116/DAY(B2)</f>
        <v>3.6875</v>
      </c>
      <c r="N116" s="721"/>
      <c r="O116" s="728"/>
      <c r="P116" s="382"/>
    </row>
    <row r="117" spans="1:16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5.9375</v>
      </c>
      <c r="N117" s="721"/>
      <c r="O117" s="728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35</v>
      </c>
      <c r="H118" s="533">
        <f>SUM(G118+'1'!G96)</f>
        <v>107</v>
      </c>
      <c r="I118" s="534"/>
      <c r="J118" s="558">
        <f>H118/DAY(B2)</f>
        <v>6.6875</v>
      </c>
      <c r="N118" s="721"/>
      <c r="O118" s="728"/>
      <c r="P118" s="382"/>
    </row>
    <row r="119" spans="1:16" s="446" customFormat="1" ht="27.75">
      <c r="A119" s="1539" t="s">
        <v>226</v>
      </c>
      <c r="B119" s="1540"/>
      <c r="C119" s="1217"/>
      <c r="D119" s="624" t="s">
        <v>143</v>
      </c>
      <c r="E119" s="536"/>
      <c r="F119" s="663">
        <f>SUM(G19+G93)</f>
        <v>102</v>
      </c>
      <c r="G119" s="536">
        <f>SUM(G19+G93)</f>
        <v>102</v>
      </c>
      <c r="H119" s="533">
        <f>SUM(G119+'1'!G97)</f>
        <v>114</v>
      </c>
      <c r="I119" s="535"/>
      <c r="J119" s="559">
        <f>H119/DAY(B2)</f>
        <v>7.125</v>
      </c>
      <c r="N119" s="721"/>
      <c r="O119" s="728"/>
      <c r="P119" s="382"/>
    </row>
    <row r="120" spans="1:16" s="446" customFormat="1" ht="27.75">
      <c r="A120" s="1539" t="s">
        <v>227</v>
      </c>
      <c r="B120" s="1540"/>
      <c r="C120" s="1217"/>
      <c r="D120" s="624" t="s">
        <v>143</v>
      </c>
      <c r="E120" s="536"/>
      <c r="F120" s="663">
        <f>SUM(G96,G97,G98,G100,G101)</f>
        <v>94</v>
      </c>
      <c r="G120" s="536">
        <f>SUM(G96,G97,G98,G100,G101)</f>
        <v>94</v>
      </c>
      <c r="H120" s="533">
        <f>SUM(G120+'1'!G99)</f>
        <v>99</v>
      </c>
      <c r="I120" s="535"/>
      <c r="J120" s="559">
        <f>H120/DAY(B2)</f>
        <v>6.1875</v>
      </c>
      <c r="N120" s="721"/>
      <c r="O120" s="728"/>
      <c r="P120" s="382"/>
    </row>
    <row r="121" spans="1:16" s="446" customFormat="1" ht="27.75">
      <c r="A121" s="1539" t="s">
        <v>228</v>
      </c>
      <c r="B121" s="1540"/>
      <c r="C121" s="1217"/>
      <c r="D121" s="624" t="s">
        <v>143</v>
      </c>
      <c r="E121" s="534"/>
      <c r="F121" s="662">
        <f>SUM(G113)</f>
        <v>107</v>
      </c>
      <c r="G121" s="534">
        <f>SUM(G113)</f>
        <v>107</v>
      </c>
      <c r="H121" s="533">
        <f>SUM(G121+'1'!G101)</f>
        <v>113</v>
      </c>
      <c r="I121" s="535"/>
      <c r="J121" s="559">
        <f>H121/DAY(B2)</f>
        <v>7.0625</v>
      </c>
      <c r="N121" s="721"/>
      <c r="O121" s="728"/>
      <c r="P121" s="382"/>
    </row>
    <row r="122" spans="1:16" s="442" customFormat="1" ht="27.75">
      <c r="A122" s="1541"/>
      <c r="B122" s="1542"/>
      <c r="C122" s="1218"/>
      <c r="D122" s="560"/>
      <c r="E122" s="560"/>
      <c r="F122" s="664" t="s">
        <v>214</v>
      </c>
      <c r="G122" s="560"/>
      <c r="H122" s="561"/>
      <c r="I122" s="560"/>
      <c r="J122" s="562"/>
      <c r="N122" s="721"/>
      <c r="O122" s="728"/>
      <c r="P122" s="382"/>
    </row>
    <row r="123" spans="1:16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09" t="s">
        <v>230</v>
      </c>
      <c r="B124" s="1210"/>
      <c r="C124" s="1210"/>
      <c r="D124" s="523" t="s">
        <v>140</v>
      </c>
      <c r="E124" s="478">
        <f>'15'!F124</f>
        <v>829129</v>
      </c>
      <c r="F124" s="478">
        <v>829338</v>
      </c>
      <c r="G124" s="473">
        <f t="shared" ref="G124:G128" si="14">F124-E124</f>
        <v>209</v>
      </c>
      <c r="H124" s="460">
        <f>G124+'15'!H124</f>
        <v>3249.5400000000373</v>
      </c>
      <c r="I124" s="526"/>
      <c r="J124" s="552">
        <f>H124/DAY(B2)</f>
        <v>203.09625000000233</v>
      </c>
      <c r="K124" s="380"/>
      <c r="L124" s="377"/>
      <c r="N124" s="721"/>
      <c r="O124" s="728"/>
      <c r="P124" s="382"/>
    </row>
    <row r="125" spans="1:16" ht="27.75">
      <c r="A125" s="1209" t="s">
        <v>231</v>
      </c>
      <c r="B125" s="1210"/>
      <c r="C125" s="1210"/>
      <c r="D125" s="523" t="s">
        <v>140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30" t="s">
        <v>232</v>
      </c>
      <c r="B126" s="1531"/>
      <c r="C126" s="1532"/>
      <c r="D126" s="523" t="s">
        <v>140</v>
      </c>
      <c r="E126" s="478">
        <f>'15'!F126</f>
        <v>145536</v>
      </c>
      <c r="F126" s="478">
        <v>145593</v>
      </c>
      <c r="G126" s="473">
        <f t="shared" si="14"/>
        <v>57</v>
      </c>
      <c r="H126" s="460">
        <f>G126+'15'!H126</f>
        <v>905.55999999999767</v>
      </c>
      <c r="I126" s="526"/>
      <c r="J126" s="552">
        <f>H126/DAY(B2)</f>
        <v>56.597499999999854</v>
      </c>
      <c r="K126" s="380"/>
      <c r="L126" s="377"/>
      <c r="N126" s="721"/>
      <c r="O126" s="728"/>
      <c r="P126" s="382"/>
    </row>
    <row r="127" spans="1:16" ht="27.75">
      <c r="A127" s="609" t="s">
        <v>233</v>
      </c>
      <c r="B127" s="1210"/>
      <c r="C127" s="1210"/>
      <c r="D127" s="523" t="s">
        <v>140</v>
      </c>
      <c r="E127" s="626">
        <f>'15'!F127</f>
        <v>31404</v>
      </c>
      <c r="F127" s="626">
        <v>31404</v>
      </c>
      <c r="G127" s="473">
        <f t="shared" si="14"/>
        <v>0</v>
      </c>
      <c r="H127" s="460">
        <f>G127+'15'!H127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234</v>
      </c>
      <c r="B128" s="1210"/>
      <c r="C128" s="1210"/>
      <c r="D128" s="523" t="s">
        <v>140</v>
      </c>
      <c r="E128" s="626">
        <f>'15'!F128</f>
        <v>8971</v>
      </c>
      <c r="F128" s="626">
        <v>8971</v>
      </c>
      <c r="G128" s="473">
        <f t="shared" si="14"/>
        <v>0</v>
      </c>
      <c r="H128" s="460">
        <f>G128+'15'!H128</f>
        <v>1.2999999999992724</v>
      </c>
      <c r="I128" s="480"/>
      <c r="J128" s="552">
        <f>H128/DAY(B2)</f>
        <v>8.1249999999954525E-2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235</v>
      </c>
      <c r="B129" s="1210"/>
      <c r="C129" s="1210"/>
      <c r="D129" s="523"/>
      <c r="E129" s="478"/>
      <c r="F129" s="478"/>
      <c r="G129" s="473">
        <f>G15-SUM(G124:G128)</f>
        <v>51</v>
      </c>
      <c r="H129" s="460">
        <f>G129+'15'!H129</f>
        <v>51</v>
      </c>
      <c r="I129" s="480"/>
      <c r="J129" s="552">
        <f>H129/DAY(B2)</f>
        <v>3.1875</v>
      </c>
      <c r="K129" s="364"/>
      <c r="L129" s="292"/>
      <c r="N129" s="721"/>
      <c r="O129" s="728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09" t="s">
        <v>237</v>
      </c>
      <c r="B131" s="1210"/>
      <c r="C131" s="1210"/>
      <c r="D131" s="523" t="s">
        <v>238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9" t="s">
        <v>239</v>
      </c>
      <c r="B132" s="1210"/>
      <c r="C132" s="1210"/>
      <c r="D132" s="523" t="s">
        <v>238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09" t="s">
        <v>240</v>
      </c>
      <c r="B133" s="1210"/>
      <c r="C133" s="1210"/>
      <c r="D133" s="523" t="s">
        <v>238</v>
      </c>
      <c r="E133" s="541">
        <f>'15'!F133</f>
        <v>40031.519999999997</v>
      </c>
      <c r="F133" s="654">
        <v>40031.519999999997</v>
      </c>
      <c r="G133" s="473">
        <f t="shared" si="15"/>
        <v>0</v>
      </c>
      <c r="H133" s="460">
        <f>G133+'15'!H133</f>
        <v>285.0399999999936</v>
      </c>
      <c r="I133" s="480"/>
      <c r="J133" s="552">
        <f>H133/DAY(B2)</f>
        <v>17.8149999999996</v>
      </c>
      <c r="N133" s="721"/>
      <c r="O133" s="728"/>
      <c r="P133" s="382"/>
    </row>
    <row r="134" spans="1:16" ht="27.75">
      <c r="A134" s="1209" t="s">
        <v>241</v>
      </c>
      <c r="B134" s="1210"/>
      <c r="C134" s="1210"/>
      <c r="D134" s="523" t="s">
        <v>238</v>
      </c>
      <c r="E134" s="704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209" t="s">
        <v>242</v>
      </c>
      <c r="B135" s="1210"/>
      <c r="C135" s="1210"/>
      <c r="D135" s="523" t="s">
        <v>238</v>
      </c>
      <c r="E135" s="704">
        <f>'15'!F135</f>
        <v>41469.06</v>
      </c>
      <c r="F135" s="626">
        <v>41492.65</v>
      </c>
      <c r="G135" s="473">
        <f t="shared" si="15"/>
        <v>23.590000000003783</v>
      </c>
      <c r="H135" s="460">
        <f>G135+'15'!H135</f>
        <v>107.65000000000146</v>
      </c>
      <c r="I135" s="480"/>
      <c r="J135" s="552">
        <f>H135/DAY(B2)</f>
        <v>6.7281250000000909</v>
      </c>
      <c r="N135" s="721"/>
      <c r="O135" s="728"/>
      <c r="P135" s="382"/>
    </row>
    <row r="136" spans="1:16" ht="27.75">
      <c r="A136" s="1209" t="s">
        <v>243</v>
      </c>
      <c r="B136" s="1210"/>
      <c r="C136" s="1210"/>
      <c r="D136" s="523" t="s">
        <v>238</v>
      </c>
      <c r="E136" s="541">
        <f>'15'!F136</f>
        <v>32582.98</v>
      </c>
      <c r="F136" s="654">
        <v>32582.98</v>
      </c>
      <c r="G136" s="473">
        <f t="shared" si="15"/>
        <v>0</v>
      </c>
      <c r="H136" s="460">
        <f>G136+'15'!H136</f>
        <v>-2.0000000000436557E-2</v>
      </c>
      <c r="I136" s="480"/>
      <c r="J136" s="552">
        <f>H136/DAY(B2)</f>
        <v>-1.2500000000272848E-3</v>
      </c>
      <c r="N136" s="721"/>
      <c r="O136" s="728"/>
      <c r="P136" s="382"/>
    </row>
    <row r="137" spans="1:16" ht="27.75">
      <c r="A137" s="1209" t="s">
        <v>244</v>
      </c>
      <c r="B137" s="1210"/>
      <c r="C137" s="1210"/>
      <c r="D137" s="523" t="s">
        <v>238</v>
      </c>
      <c r="E137" s="541">
        <f>'15'!F137</f>
        <v>22766.92</v>
      </c>
      <c r="F137" s="654">
        <v>22766.92</v>
      </c>
      <c r="G137" s="473">
        <f t="shared" si="15"/>
        <v>0</v>
      </c>
      <c r="H137" s="460">
        <f>G137+'15'!H137</f>
        <v>27.329999999998108</v>
      </c>
      <c r="I137" s="480">
        <f>G135+G136+G137</f>
        <v>23.590000000003783</v>
      </c>
      <c r="J137" s="552">
        <f>H137/DAY(B2)</f>
        <v>1.7081249999998818</v>
      </c>
      <c r="N137" s="721"/>
      <c r="O137" s="728"/>
      <c r="P137" s="382"/>
    </row>
    <row r="138" spans="1:16" ht="27.75">
      <c r="A138" s="1209" t="s">
        <v>245</v>
      </c>
      <c r="B138" s="1210"/>
      <c r="C138" s="1210"/>
      <c r="D138" s="523" t="s">
        <v>238</v>
      </c>
      <c r="E138" s="541">
        <f>'15'!F138</f>
        <v>25051.72</v>
      </c>
      <c r="F138" s="654">
        <v>25051.72</v>
      </c>
      <c r="G138" s="473">
        <f t="shared" si="15"/>
        <v>0</v>
      </c>
      <c r="H138" s="460">
        <f>G138+'15'!H138</f>
        <v>0.13000000000101863</v>
      </c>
      <c r="I138" s="480"/>
      <c r="J138" s="552">
        <f>H138/DAY(B2)</f>
        <v>8.1250000000636646E-3</v>
      </c>
      <c r="N138" s="721"/>
      <c r="O138" s="728"/>
      <c r="P138" s="382"/>
    </row>
    <row r="139" spans="1:16" ht="27.75">
      <c r="A139" s="1209" t="s">
        <v>246</v>
      </c>
      <c r="B139" s="1210"/>
      <c r="C139" s="1210"/>
      <c r="D139" s="523" t="s">
        <v>238</v>
      </c>
      <c r="E139" s="541">
        <f>'15'!F139</f>
        <v>70361.47</v>
      </c>
      <c r="F139" s="654">
        <v>70361.47</v>
      </c>
      <c r="G139" s="473">
        <f t="shared" si="15"/>
        <v>0</v>
      </c>
      <c r="H139" s="460">
        <f>G139+'15'!H139</f>
        <v>45.660000000003492</v>
      </c>
      <c r="I139" s="480">
        <f>G138+G139</f>
        <v>0</v>
      </c>
      <c r="J139" s="552">
        <f>H139/DAY(B2)</f>
        <v>2.8537500000002183</v>
      </c>
      <c r="N139" s="721"/>
      <c r="O139" s="728"/>
      <c r="P139" s="382"/>
    </row>
    <row r="140" spans="1:16" ht="27.75">
      <c r="A140" s="1209" t="s">
        <v>247</v>
      </c>
      <c r="B140" s="1210"/>
      <c r="C140" s="1210"/>
      <c r="D140" s="523" t="s">
        <v>238</v>
      </c>
      <c r="E140" s="704">
        <f>'15'!F140</f>
        <v>1731.51</v>
      </c>
      <c r="F140" s="626">
        <v>1739.48</v>
      </c>
      <c r="G140" s="473">
        <f t="shared" si="15"/>
        <v>7.9700000000000273</v>
      </c>
      <c r="H140" s="460">
        <f>G140+'15'!H140</f>
        <v>122.62000000000012</v>
      </c>
      <c r="I140" s="542"/>
      <c r="J140" s="552">
        <f>H140/DAY(B2)</f>
        <v>7.6637500000000074</v>
      </c>
      <c r="N140" s="721"/>
      <c r="O140" s="728"/>
      <c r="P140" s="382"/>
    </row>
    <row r="141" spans="1:16" ht="27.75">
      <c r="A141" s="1209" t="s">
        <v>248</v>
      </c>
      <c r="B141" s="1210"/>
      <c r="C141" s="1210"/>
      <c r="D141" s="523" t="s">
        <v>238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21"/>
      <c r="O141" s="728"/>
      <c r="P141" s="382"/>
    </row>
    <row r="142" spans="1:16">
      <c r="A142" s="1557" t="s">
        <v>308</v>
      </c>
      <c r="B142" s="1558"/>
      <c r="C142" s="1213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4052.1300000000047</v>
      </c>
      <c r="H143" s="460">
        <f>G143+'15'!H143</f>
        <v>67314.33</v>
      </c>
      <c r="I143" s="480"/>
      <c r="J143" s="552">
        <f>H143/DAY(B2)</f>
        <v>4207.1456250000001</v>
      </c>
      <c r="K143" s="380"/>
      <c r="L143" s="377"/>
      <c r="N143" s="721"/>
      <c r="O143" s="728"/>
      <c r="P143" s="382"/>
    </row>
    <row r="144" spans="1:16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0.26974637198775159</v>
      </c>
      <c r="H144" s="460">
        <f>G144+'15'!H144</f>
        <v>4.2995917556703347</v>
      </c>
      <c r="I144" s="544"/>
      <c r="J144" s="552">
        <f>H144/DAY(B2)</f>
        <v>0.26872448472939592</v>
      </c>
      <c r="K144" s="380"/>
      <c r="L144" s="377"/>
      <c r="N144" s="721"/>
      <c r="O144" s="728"/>
      <c r="P144" s="382"/>
    </row>
    <row r="145" spans="1:16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4448</v>
      </c>
      <c r="H145" s="460">
        <f>G145+'15'!H145</f>
        <v>77833</v>
      </c>
      <c r="I145" s="480"/>
      <c r="J145" s="552">
        <f>H145/DAY(B2)</f>
        <v>4864.5625</v>
      </c>
      <c r="K145" s="380"/>
      <c r="L145" s="377"/>
      <c r="N145" s="721"/>
      <c r="O145" s="728"/>
      <c r="P145" s="382"/>
    </row>
    <row r="146" spans="1:16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0.29609905471974435</v>
      </c>
      <c r="H146" s="460">
        <f>G146+'15'!H146</f>
        <v>4.9778028327496537</v>
      </c>
      <c r="I146" s="544"/>
      <c r="J146" s="552">
        <f>H146/DAY(B2)</f>
        <v>0.31111267704685336</v>
      </c>
      <c r="K146" s="380"/>
      <c r="L146" s="377"/>
      <c r="N146" s="721"/>
      <c r="O146" s="728"/>
      <c r="P146" s="382"/>
    </row>
    <row r="147" spans="1:16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2608</v>
      </c>
      <c r="H147" s="460">
        <f>G147+'15'!H147</f>
        <v>36827</v>
      </c>
      <c r="I147" s="545"/>
      <c r="J147" s="552">
        <f>H147/DAY(B2)</f>
        <v>2301.6875</v>
      </c>
      <c r="K147" s="380"/>
      <c r="L147" s="377"/>
      <c r="N147" s="721"/>
      <c r="O147" s="728"/>
      <c r="P147" s="382"/>
    </row>
    <row r="148" spans="1:16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0.1736120356810012</v>
      </c>
      <c r="H148" s="460">
        <f>G148+'15'!H148</f>
        <v>2.3532444040046503</v>
      </c>
      <c r="I148" s="545"/>
      <c r="J148" s="552">
        <f>H148/DAY(B2)</f>
        <v>0.14707777525029064</v>
      </c>
      <c r="N148" s="721"/>
      <c r="O148" s="728"/>
      <c r="P148" s="382"/>
    </row>
    <row r="149" spans="1:16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1097</v>
      </c>
      <c r="H149" s="460">
        <f>G149+'15'!H149</f>
        <v>19138</v>
      </c>
      <c r="I149" s="480"/>
      <c r="J149" s="552">
        <f>H149/DAY(B2)</f>
        <v>1196.125</v>
      </c>
      <c r="K149" s="381"/>
      <c r="N149" s="721"/>
      <c r="O149" s="728"/>
      <c r="P149" s="382"/>
    </row>
    <row r="150" spans="1:16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7.302622819864199E-2</v>
      </c>
      <c r="H150" s="460">
        <f>G150+'15'!H150</f>
        <v>1.2227481894090355</v>
      </c>
      <c r="I150" s="545"/>
      <c r="J150" s="552">
        <f>H150/DAY(B2)</f>
        <v>7.642176183806472E-2</v>
      </c>
      <c r="N150" s="721"/>
      <c r="O150" s="728"/>
      <c r="P150" s="382"/>
    </row>
    <row r="151" spans="1:16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821</v>
      </c>
      <c r="H151" s="460">
        <f>G151+'15'!H151</f>
        <v>17166</v>
      </c>
      <c r="I151" s="545"/>
      <c r="J151" s="552">
        <f>H151/DAY(B2)</f>
        <v>1072.875</v>
      </c>
      <c r="N151" s="721"/>
      <c r="O151" s="728"/>
      <c r="P151" s="382"/>
    </row>
    <row r="152" spans="1:16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5.4653175342830512E-2</v>
      </c>
      <c r="H152" s="460">
        <f>G152+'15'!H152</f>
        <v>1.0895696628246283</v>
      </c>
      <c r="I152" s="480"/>
      <c r="J152" s="552">
        <f>H152/DAY(B2)</f>
        <v>6.8098103926539269E-2</v>
      </c>
      <c r="N152" s="721"/>
      <c r="O152" s="728"/>
      <c r="P152" s="382"/>
    </row>
    <row r="153" spans="1:16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1239</v>
      </c>
      <c r="H153" s="460">
        <f>G153+'15'!H153</f>
        <v>19577.869999999995</v>
      </c>
      <c r="I153" s="480"/>
      <c r="J153" s="552">
        <f>H153/DAY(B2)</f>
        <v>1223.6168749999997</v>
      </c>
      <c r="N153" s="721"/>
      <c r="O153" s="728"/>
      <c r="P153" s="382"/>
    </row>
    <row r="154" spans="1:16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8.2479030754892824E-2</v>
      </c>
      <c r="H154" s="460">
        <f>G154+'15'!H154</f>
        <v>1.2521338150788401</v>
      </c>
      <c r="I154" s="568"/>
      <c r="J154" s="569">
        <f>H154/DAY(B2)</f>
        <v>7.8258363442427509E-2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262</v>
      </c>
      <c r="B161" s="798"/>
      <c r="C161" s="798"/>
      <c r="D161" s="620" t="s">
        <v>186</v>
      </c>
      <c r="E161" s="522">
        <f>'15'!F161</f>
        <v>37152.94</v>
      </c>
      <c r="F161" s="806">
        <v>37232</v>
      </c>
      <c r="G161" s="473">
        <f t="shared" ref="G161:G164" si="16">F161-E161</f>
        <v>79.059999999997672</v>
      </c>
      <c r="N161" s="721"/>
    </row>
    <row r="162" spans="1:14">
      <c r="A162" s="797" t="s">
        <v>263</v>
      </c>
      <c r="B162" s="798"/>
      <c r="C162" s="798"/>
      <c r="D162" s="620" t="s">
        <v>186</v>
      </c>
      <c r="E162" s="522">
        <f>'15'!F162</f>
        <v>88619</v>
      </c>
      <c r="F162" s="806">
        <v>89007</v>
      </c>
      <c r="G162" s="473">
        <f t="shared" si="16"/>
        <v>388</v>
      </c>
      <c r="N162" s="721"/>
    </row>
    <row r="163" spans="1:14">
      <c r="A163" s="797" t="s">
        <v>264</v>
      </c>
      <c r="B163" s="798"/>
      <c r="C163" s="798"/>
      <c r="D163" s="620" t="s">
        <v>186</v>
      </c>
      <c r="E163" s="522">
        <f>'15'!F163</f>
        <v>41655</v>
      </c>
      <c r="F163" s="786">
        <v>41864</v>
      </c>
      <c r="G163" s="473">
        <f t="shared" si="16"/>
        <v>209</v>
      </c>
      <c r="N163" s="721"/>
    </row>
    <row r="164" spans="1:14">
      <c r="A164" s="797" t="s">
        <v>265</v>
      </c>
      <c r="B164" s="798"/>
      <c r="C164" s="798"/>
      <c r="D164" s="620" t="s">
        <v>186</v>
      </c>
      <c r="E164" s="522">
        <f>'15'!F164</f>
        <v>6389</v>
      </c>
      <c r="F164" s="806">
        <v>6402</v>
      </c>
      <c r="G164" s="473">
        <f t="shared" si="16"/>
        <v>13</v>
      </c>
      <c r="N164" s="721"/>
    </row>
    <row r="165" spans="1:14">
      <c r="A165" s="799" t="s">
        <v>98</v>
      </c>
      <c r="B165" s="800"/>
      <c r="C165" s="800"/>
      <c r="D165" s="620" t="s">
        <v>186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21"/>
    </row>
    <row r="166" spans="1:14">
      <c r="A166" s="799" t="s">
        <v>187</v>
      </c>
      <c r="B166" s="800"/>
      <c r="C166" s="800"/>
      <c r="D166" s="620" t="s">
        <v>186</v>
      </c>
      <c r="E166" s="522">
        <f>'15'!F166</f>
        <v>2415</v>
      </c>
      <c r="F166" s="514">
        <f t="shared" ref="F166:F172" si="18">F63</f>
        <v>2419</v>
      </c>
      <c r="G166" s="473">
        <f t="shared" si="17"/>
        <v>4</v>
      </c>
      <c r="N166" s="721"/>
    </row>
    <row r="167" spans="1:14" ht="27.75">
      <c r="A167" s="1596" t="s">
        <v>99</v>
      </c>
      <c r="B167" s="1596"/>
      <c r="C167" s="1596"/>
      <c r="D167" s="524" t="s">
        <v>186</v>
      </c>
      <c r="E167" s="522">
        <f>'15'!F167</f>
        <v>156403</v>
      </c>
      <c r="F167" s="514">
        <f t="shared" si="18"/>
        <v>156604</v>
      </c>
      <c r="G167" s="473">
        <f t="shared" si="17"/>
        <v>201</v>
      </c>
      <c r="N167" s="721"/>
    </row>
    <row r="168" spans="1:14" ht="27.75">
      <c r="A168" s="1596" t="s">
        <v>100</v>
      </c>
      <c r="B168" s="1596"/>
      <c r="C168" s="1596"/>
      <c r="D168" s="524" t="s">
        <v>186</v>
      </c>
      <c r="E168" s="522">
        <f>'15'!F168</f>
        <v>157372</v>
      </c>
      <c r="F168" s="514">
        <f t="shared" si="18"/>
        <v>157667</v>
      </c>
      <c r="G168" s="473">
        <f t="shared" si="17"/>
        <v>295</v>
      </c>
      <c r="N168" s="721"/>
    </row>
    <row r="169" spans="1:14" ht="27.75">
      <c r="A169" s="1596" t="s">
        <v>101</v>
      </c>
      <c r="B169" s="1596"/>
      <c r="C169" s="1596"/>
      <c r="D169" s="524" t="s">
        <v>186</v>
      </c>
      <c r="E169" s="522">
        <f>'15'!F169</f>
        <v>52447</v>
      </c>
      <c r="F169" s="514">
        <f t="shared" si="18"/>
        <v>52707</v>
      </c>
      <c r="G169" s="473">
        <f t="shared" si="17"/>
        <v>260</v>
      </c>
      <c r="N169" s="721"/>
    </row>
    <row r="170" spans="1:14" ht="27.75">
      <c r="A170" s="1596" t="s">
        <v>102</v>
      </c>
      <c r="B170" s="1596"/>
      <c r="C170" s="1596"/>
      <c r="D170" s="524" t="s">
        <v>186</v>
      </c>
      <c r="E170" s="522">
        <f>'15'!F170</f>
        <v>245741</v>
      </c>
      <c r="F170" s="514">
        <f t="shared" si="18"/>
        <v>246073</v>
      </c>
      <c r="G170" s="473">
        <f t="shared" si="17"/>
        <v>332</v>
      </c>
      <c r="N170" s="721"/>
    </row>
    <row r="171" spans="1:14" ht="27.75">
      <c r="A171" s="1596" t="s">
        <v>103</v>
      </c>
      <c r="B171" s="1596"/>
      <c r="C171" s="1596"/>
      <c r="D171" s="524" t="s">
        <v>186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21"/>
    </row>
    <row r="172" spans="1:14" ht="27.75">
      <c r="A172" s="1596" t="s">
        <v>104</v>
      </c>
      <c r="B172" s="1596"/>
      <c r="C172" s="1596"/>
      <c r="D172" s="524" t="s">
        <v>186</v>
      </c>
      <c r="E172" s="522">
        <f>'15'!F172</f>
        <v>80090</v>
      </c>
      <c r="F172" s="514">
        <f t="shared" si="18"/>
        <v>80185</v>
      </c>
      <c r="G172" s="473">
        <f t="shared" si="17"/>
        <v>95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1876.0599999999977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>
      <c r="N198" s="721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SheetLayoutView="55" zoomScalePageLayoutView="60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6" s="281" customFormat="1" ht="27">
      <c r="A2" s="575" t="s">
        <v>352</v>
      </c>
      <c r="B2" s="1035">
        <v>44333</v>
      </c>
      <c r="C2" s="1228" t="s">
        <v>69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20"/>
      <c r="O2" s="727"/>
    </row>
    <row r="3" spans="1:16" s="281" customFormat="1" ht="27">
      <c r="A3" s="570"/>
      <c r="B3" s="614"/>
      <c r="C3" s="1228" t="s">
        <v>119</v>
      </c>
      <c r="D3" s="612">
        <v>29</v>
      </c>
      <c r="E3" s="1568" t="s">
        <v>120</v>
      </c>
      <c r="F3" s="1569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28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130</v>
      </c>
      <c r="B7" s="680"/>
      <c r="C7" s="680"/>
      <c r="D7" s="638" t="s">
        <v>131</v>
      </c>
      <c r="E7" s="633">
        <f>'16'!F7</f>
        <v>95882</v>
      </c>
      <c r="F7" s="455">
        <v>110754</v>
      </c>
      <c r="G7" s="681">
        <f>F7-E7</f>
        <v>14872</v>
      </c>
      <c r="H7" s="682">
        <f>G7+'16'!H7</f>
        <v>265777</v>
      </c>
      <c r="I7" s="683">
        <f>'1'!I7</f>
        <v>12000</v>
      </c>
      <c r="J7" s="684">
        <f>H7/DAY(B2)</f>
        <v>15633.941176470587</v>
      </c>
      <c r="K7" s="549"/>
      <c r="L7" s="377"/>
      <c r="N7" s="732"/>
      <c r="O7" s="728"/>
      <c r="P7" s="731"/>
    </row>
    <row r="8" spans="1:16" ht="27.75" thickBot="1">
      <c r="A8" s="685" t="s">
        <v>132</v>
      </c>
      <c r="B8" s="686"/>
      <c r="C8" s="687"/>
      <c r="D8" s="688" t="s">
        <v>25</v>
      </c>
      <c r="E8" s="633">
        <f>'16'!F8</f>
        <v>96591</v>
      </c>
      <c r="F8" s="475">
        <v>111639</v>
      </c>
      <c r="G8" s="692">
        <f>F8-E8</f>
        <v>15048</v>
      </c>
      <c r="H8" s="682">
        <f>G8+'16'!H8</f>
        <v>267398</v>
      </c>
      <c r="I8" s="689">
        <f>'1'!I8</f>
        <v>12000</v>
      </c>
      <c r="J8" s="684">
        <f>H8/DAY(B2)</f>
        <v>15729.294117647059</v>
      </c>
      <c r="K8" s="549"/>
      <c r="L8" s="425"/>
      <c r="M8" s="440"/>
      <c r="N8" s="721"/>
      <c r="O8" s="728"/>
      <c r="P8" s="382"/>
    </row>
    <row r="9" spans="1:16">
      <c r="A9" s="690" t="s">
        <v>133</v>
      </c>
      <c r="B9" s="691"/>
      <c r="C9" s="691"/>
      <c r="D9" s="638" t="s">
        <v>131</v>
      </c>
      <c r="E9" s="633">
        <f>'16'!F9</f>
        <v>1233310</v>
      </c>
      <c r="F9" s="478">
        <v>1247690</v>
      </c>
      <c r="G9" s="705">
        <f t="shared" ref="G9:G12" si="0">F9-E9</f>
        <v>14380</v>
      </c>
      <c r="H9" s="682">
        <f>G9+'16'!H9</f>
        <v>256976</v>
      </c>
      <c r="I9" s="693">
        <f>I7-J7</f>
        <v>-3633.9411764705874</v>
      </c>
      <c r="J9" s="684">
        <f>H9/DAY(B2)</f>
        <v>15116.235294117647</v>
      </c>
      <c r="K9" s="428"/>
      <c r="L9" s="377"/>
      <c r="N9" s="721"/>
      <c r="O9" s="728"/>
      <c r="P9" s="382"/>
    </row>
    <row r="10" spans="1:16">
      <c r="A10" s="679" t="s">
        <v>134</v>
      </c>
      <c r="B10" s="680"/>
      <c r="C10" s="680"/>
      <c r="D10" s="638" t="s">
        <v>131</v>
      </c>
      <c r="E10" s="633">
        <f>'16'!F10</f>
        <v>2322.58</v>
      </c>
      <c r="F10" s="478">
        <v>2322.58</v>
      </c>
      <c r="G10" s="692">
        <f t="shared" si="0"/>
        <v>0</v>
      </c>
      <c r="H10" s="682">
        <f>G10+'16'!H10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135</v>
      </c>
      <c r="B11" s="680"/>
      <c r="C11" s="680"/>
      <c r="D11" s="638" t="s">
        <v>131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G11+'16'!H11</f>
        <v>0</v>
      </c>
      <c r="I11" s="694"/>
      <c r="J11" s="684">
        <f>H11/DAY(B2)</f>
        <v>0</v>
      </c>
      <c r="K11" s="428"/>
      <c r="L11" s="377"/>
      <c r="N11" s="721">
        <f>G8-866</f>
        <v>14182</v>
      </c>
      <c r="O11" s="728"/>
      <c r="P11" s="382"/>
    </row>
    <row r="12" spans="1:16">
      <c r="A12" s="679" t="s">
        <v>136</v>
      </c>
      <c r="B12" s="680"/>
      <c r="C12" s="680"/>
      <c r="D12" s="638" t="s">
        <v>131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G12+'16'!H12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137</v>
      </c>
      <c r="B13" s="696"/>
      <c r="C13" s="696"/>
      <c r="D13" s="638"/>
      <c r="E13" s="633"/>
      <c r="F13" s="455"/>
      <c r="G13" s="697">
        <f>G9+G10+G11+G12</f>
        <v>14380</v>
      </c>
      <c r="H13" s="682">
        <f>G13+'16'!H13</f>
        <v>242455</v>
      </c>
      <c r="I13" s="698">
        <f>G7-G13</f>
        <v>492</v>
      </c>
      <c r="J13" s="684">
        <f>H13/DAY(B2)</f>
        <v>14262.058823529413</v>
      </c>
      <c r="K13" s="428"/>
      <c r="L13" s="377"/>
      <c r="N13" s="721"/>
      <c r="O13" s="728"/>
      <c r="P13" s="382"/>
    </row>
    <row r="14" spans="1:16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139</v>
      </c>
      <c r="B15" s="796"/>
      <c r="C15" s="796"/>
      <c r="D15" s="524" t="s">
        <v>140</v>
      </c>
      <c r="E15" s="485">
        <f>'16'!F15</f>
        <v>1677418</v>
      </c>
      <c r="F15" s="485">
        <v>1677980</v>
      </c>
      <c r="G15" s="667">
        <f>(F15-E15)</f>
        <v>562</v>
      </c>
      <c r="H15" s="486">
        <f>G15+'16'!H15</f>
        <v>7323</v>
      </c>
      <c r="I15" s="474">
        <f>'1'!I15</f>
        <v>800</v>
      </c>
      <c r="J15" s="553">
        <f>H15/DAY(B2)</f>
        <v>430.76470588235293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369.23529411764707</v>
      </c>
      <c r="J16" s="553"/>
      <c r="K16" s="428"/>
      <c r="L16" s="377"/>
      <c r="N16" s="721"/>
      <c r="O16" s="728"/>
      <c r="P16" s="382"/>
    </row>
    <row r="17" spans="1:16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1" t="s">
        <v>142</v>
      </c>
      <c r="B18" s="1592"/>
      <c r="C18" s="1593"/>
      <c r="D18" s="638" t="s">
        <v>143</v>
      </c>
      <c r="E18" s="635">
        <f>'16'!F18</f>
        <v>6</v>
      </c>
      <c r="F18" s="478">
        <v>2</v>
      </c>
      <c r="G18" s="697">
        <f>F18*10</f>
        <v>20</v>
      </c>
      <c r="H18" s="682">
        <f>G18+'16'!H18</f>
        <v>640</v>
      </c>
      <c r="I18" s="683">
        <f>'1'!I18</f>
        <v>65</v>
      </c>
      <c r="J18" s="684">
        <f>H18/DAY(B2)</f>
        <v>37.647058823529413</v>
      </c>
      <c r="K18" s="428"/>
      <c r="L18" s="377"/>
      <c r="N18" s="721"/>
      <c r="O18" s="728"/>
      <c r="P18" s="382"/>
    </row>
    <row r="19" spans="1:16" ht="27.75">
      <c r="A19" s="1591" t="s">
        <v>71</v>
      </c>
      <c r="B19" s="1592"/>
      <c r="C19" s="1593"/>
      <c r="D19" s="638" t="s">
        <v>143</v>
      </c>
      <c r="E19" s="635">
        <f>'16'!F19</f>
        <v>138688</v>
      </c>
      <c r="F19" s="478">
        <v>138744</v>
      </c>
      <c r="G19" s="692">
        <f>F19-E19</f>
        <v>56</v>
      </c>
      <c r="H19" s="682">
        <f>G19+'16'!H19</f>
        <v>932</v>
      </c>
      <c r="I19" s="699"/>
      <c r="J19" s="684">
        <f>H19/DAY(B2)</f>
        <v>54.823529411764703</v>
      </c>
      <c r="K19" s="428"/>
      <c r="L19" s="377"/>
      <c r="N19" s="721"/>
      <c r="O19" s="728"/>
      <c r="P19" s="382"/>
    </row>
    <row r="20" spans="1:16">
      <c r="A20" s="695" t="s">
        <v>144</v>
      </c>
      <c r="B20" s="696"/>
      <c r="C20" s="696"/>
      <c r="D20" s="638"/>
      <c r="E20" s="638"/>
      <c r="F20" s="712"/>
      <c r="G20" s="700">
        <f>G18+G19</f>
        <v>76</v>
      </c>
      <c r="H20" s="682">
        <f>G20+'16'!H20</f>
        <v>1572</v>
      </c>
      <c r="I20" s="701">
        <f>I18-J20</f>
        <v>-27.470588235294116</v>
      </c>
      <c r="J20" s="684">
        <f>H20/DAY(B2)</f>
        <v>92.470588235294116</v>
      </c>
      <c r="K20" s="428"/>
      <c r="L20" s="377"/>
      <c r="N20" s="721"/>
      <c r="O20" s="728"/>
      <c r="P20" s="382"/>
    </row>
    <row r="21" spans="1:16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26" t="s">
        <v>146</v>
      </c>
      <c r="B22" s="589"/>
      <c r="C22" s="589"/>
      <c r="D22" s="523" t="s">
        <v>147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26" t="s">
        <v>148</v>
      </c>
      <c r="B23" s="589"/>
      <c r="C23" s="589"/>
      <c r="D23" s="523" t="s">
        <v>147</v>
      </c>
      <c r="E23" s="635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15048</v>
      </c>
      <c r="F27" s="501">
        <v>9</v>
      </c>
      <c r="G27" s="502">
        <f>E27*F27</f>
        <v>135432</v>
      </c>
      <c r="H27" s="460">
        <f>G27+'16'!H27</f>
        <v>2406582</v>
      </c>
      <c r="I27" s="503"/>
      <c r="J27" s="552">
        <f>H27/DAY(B2)</f>
        <v>141563.64705882352</v>
      </c>
      <c r="K27" s="373"/>
      <c r="L27" s="443"/>
      <c r="N27" s="721"/>
      <c r="O27" s="72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2">
        <f>G15</f>
        <v>562</v>
      </c>
      <c r="F28" s="501">
        <v>51.45</v>
      </c>
      <c r="G28" s="502">
        <f>E28*F28</f>
        <v>28914.9</v>
      </c>
      <c r="H28" s="460">
        <f>G28+'16'!H28</f>
        <v>366285.82899999985</v>
      </c>
      <c r="I28" s="505"/>
      <c r="J28" s="552">
        <f>H28/DAY(B2)</f>
        <v>21546.22523529411</v>
      </c>
      <c r="K28" s="373"/>
      <c r="L28" s="443"/>
      <c r="N28" s="721"/>
      <c r="O28" s="72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2">
        <f>G19</f>
        <v>56</v>
      </c>
      <c r="F30" s="501">
        <v>134</v>
      </c>
      <c r="G30" s="502">
        <f>E30*F30</f>
        <v>7504</v>
      </c>
      <c r="H30" s="460">
        <f>G30+'16'!H30</f>
        <v>124888</v>
      </c>
      <c r="I30" s="505"/>
      <c r="J30" s="552">
        <f>H30/DAY(B2)</f>
        <v>7346.3529411764703</v>
      </c>
      <c r="K30" s="373"/>
      <c r="L30" s="443"/>
      <c r="N30" s="721"/>
      <c r="O30" s="72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2">
        <f>G18</f>
        <v>20</v>
      </c>
      <c r="F31" s="501">
        <v>80</v>
      </c>
      <c r="G31" s="502">
        <f>E31*F31</f>
        <v>1600</v>
      </c>
      <c r="H31" s="460">
        <f>G31+'16'!H31</f>
        <v>51200</v>
      </c>
      <c r="I31" s="505"/>
      <c r="J31" s="552"/>
      <c r="K31" s="373">
        <f>E31*80%</f>
        <v>16</v>
      </c>
      <c r="L31" s="443"/>
      <c r="N31" s="721"/>
      <c r="O31" s="728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173450.9</v>
      </c>
      <c r="H32" s="460">
        <f>G32+'16'!H32</f>
        <v>2948955.8289999999</v>
      </c>
      <c r="I32" s="509"/>
      <c r="J32" s="552">
        <f>H32/DAY(B2)</f>
        <v>173467.98994117646</v>
      </c>
      <c r="K32" s="373"/>
      <c r="L32" s="443"/>
      <c r="N32" s="721"/>
      <c r="O32" s="728"/>
      <c r="P32" s="382"/>
    </row>
    <row r="33" spans="1:16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721"/>
      <c r="O33" s="728"/>
      <c r="P33" s="382"/>
    </row>
    <row r="34" spans="1:16">
      <c r="A34" s="598" t="s">
        <v>162</v>
      </c>
      <c r="B34" s="1231"/>
      <c r="C34" s="1231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'16'!F35</f>
        <v>918972</v>
      </c>
      <c r="F35" s="510">
        <v>920574</v>
      </c>
      <c r="G35" s="473">
        <f t="shared" ref="G35:G46" si="1">F35-E35</f>
        <v>1602</v>
      </c>
      <c r="H35" s="460">
        <f>G35+'16'!H35</f>
        <v>34115</v>
      </c>
      <c r="I35" s="455"/>
      <c r="J35" s="552">
        <f>H35/DAY(B2)</f>
        <v>2006.7647058823529</v>
      </c>
      <c r="K35" s="428"/>
      <c r="L35" s="377"/>
      <c r="N35" s="721"/>
      <c r="O35" s="729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'16'!F36</f>
        <v>347065</v>
      </c>
      <c r="F36" s="510">
        <v>347065</v>
      </c>
      <c r="G36" s="473">
        <f t="shared" si="1"/>
        <v>0</v>
      </c>
      <c r="H36" s="460">
        <f>G36+'16'!H36</f>
        <v>2457</v>
      </c>
      <c r="I36" s="455"/>
      <c r="J36" s="552">
        <f>H36/DAY(B2)</f>
        <v>144.52941176470588</v>
      </c>
      <c r="K36" s="428"/>
      <c r="L36" s="377"/>
      <c r="N36" s="722"/>
      <c r="O36" s="729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'16'!F37</f>
        <v>114803</v>
      </c>
      <c r="F37" s="510">
        <v>116141</v>
      </c>
      <c r="G37" s="473">
        <f t="shared" si="1"/>
        <v>1338</v>
      </c>
      <c r="H37" s="460">
        <f>G37+'16'!H37</f>
        <v>20916</v>
      </c>
      <c r="I37" s="455"/>
      <c r="J37" s="552">
        <f>H37/DAY(B2)</f>
        <v>1230.3529411764705</v>
      </c>
      <c r="K37" s="428"/>
      <c r="L37" s="377"/>
      <c r="N37" s="722"/>
      <c r="O37" s="729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'16'!F38</f>
        <v>138734</v>
      </c>
      <c r="F38" s="469">
        <v>139784</v>
      </c>
      <c r="G38" s="473">
        <f t="shared" si="1"/>
        <v>1050</v>
      </c>
      <c r="H38" s="460">
        <f>G38+'16'!H38</f>
        <v>20188</v>
      </c>
      <c r="I38" s="455"/>
      <c r="J38" s="552">
        <f>H38/DAY(B2)</f>
        <v>1187.5294117647059</v>
      </c>
      <c r="K38" s="428"/>
      <c r="L38" s="377"/>
      <c r="N38" s="721"/>
      <c r="O38" s="728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'16'!F39</f>
        <v>275338</v>
      </c>
      <c r="F39" s="510">
        <v>277493</v>
      </c>
      <c r="G39" s="473">
        <f>F39-E39</f>
        <v>2155</v>
      </c>
      <c r="H39" s="460">
        <f>G39+'16'!H39</f>
        <v>30840</v>
      </c>
      <c r="I39" s="455"/>
      <c r="J39" s="552">
        <f>H39/DAY(B2)</f>
        <v>1814.1176470588234</v>
      </c>
      <c r="K39" s="428"/>
      <c r="L39" s="377"/>
      <c r="N39" s="721"/>
      <c r="O39" s="729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'16'!F40</f>
        <v>350</v>
      </c>
      <c r="F40" s="510">
        <v>430</v>
      </c>
      <c r="G40" s="473">
        <f t="shared" si="1"/>
        <v>80</v>
      </c>
      <c r="H40" s="460">
        <f>G40+'16'!H40</f>
        <v>429.77</v>
      </c>
      <c r="I40" s="455"/>
      <c r="J40" s="552">
        <f>H40/DAY(B2)</f>
        <v>25.280588235294118</v>
      </c>
      <c r="K40" s="429"/>
      <c r="L40" s="377"/>
      <c r="N40" s="721"/>
      <c r="O40" s="728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'16'!F41</f>
        <v>239668</v>
      </c>
      <c r="F41" s="510">
        <v>239668</v>
      </c>
      <c r="G41" s="473">
        <f t="shared" si="1"/>
        <v>0</v>
      </c>
      <c r="H41" s="460">
        <f>G41+'16'!H41</f>
        <v>58140</v>
      </c>
      <c r="I41" s="455"/>
      <c r="J41" s="552">
        <f>H41/DAY(B2)</f>
        <v>3420</v>
      </c>
      <c r="K41" s="428"/>
      <c r="L41" s="377"/>
      <c r="N41" s="721"/>
      <c r="O41" s="730"/>
      <c r="P41" s="724"/>
    </row>
    <row r="42" spans="1:16">
      <c r="A42" s="578" t="s">
        <v>170</v>
      </c>
      <c r="B42" s="579"/>
      <c r="C42" s="579"/>
      <c r="D42" s="523" t="s">
        <v>131</v>
      </c>
      <c r="E42" s="510">
        <f>'16'!F42</f>
        <v>59200</v>
      </c>
      <c r="F42" s="510">
        <v>59200</v>
      </c>
      <c r="G42" s="473">
        <f>F42-E42</f>
        <v>0</v>
      </c>
      <c r="H42" s="460">
        <f>G42+'16'!H42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'16'!F43</f>
        <v>1008759</v>
      </c>
      <c r="F43" s="510">
        <v>1010795</v>
      </c>
      <c r="G43" s="473">
        <f t="shared" si="1"/>
        <v>2036</v>
      </c>
      <c r="H43" s="460">
        <f>G43+'16'!H43</f>
        <v>36837</v>
      </c>
      <c r="I43" s="455"/>
      <c r="J43" s="552">
        <f>H43/DAY(B2)</f>
        <v>2166.8823529411766</v>
      </c>
      <c r="K43" s="428"/>
      <c r="L43" s="377"/>
      <c r="N43" s="721"/>
      <c r="O43" s="729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8261</v>
      </c>
      <c r="H47" s="460">
        <f>G47+'16'!H47</f>
        <v>203923.26</v>
      </c>
      <c r="I47" s="455"/>
      <c r="J47" s="552">
        <f>H47/DAY(B2)</f>
        <v>11995.485882352941</v>
      </c>
      <c r="K47" s="428"/>
      <c r="L47" s="377"/>
      <c r="N47" s="721"/>
      <c r="O47" s="728"/>
      <c r="P47" s="382"/>
    </row>
    <row r="48" spans="1:16">
      <c r="A48" s="598" t="s">
        <v>176</v>
      </c>
      <c r="B48" s="1231"/>
      <c r="C48" s="1231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</v>
      </c>
      <c r="I49" s="455"/>
      <c r="J49" s="552">
        <f>H49/DAY(B2)</f>
        <v>0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'16'!F50</f>
        <v>489245</v>
      </c>
      <c r="F50" s="510">
        <v>490007</v>
      </c>
      <c r="G50" s="473">
        <f t="shared" si="2"/>
        <v>762</v>
      </c>
      <c r="H50" s="460">
        <f>G50+'16'!H50</f>
        <v>14532</v>
      </c>
      <c r="I50" s="455"/>
      <c r="J50" s="552">
        <f>H50/DAY(B2)</f>
        <v>854.82352941176475</v>
      </c>
      <c r="K50" s="428"/>
      <c r="L50" s="377"/>
      <c r="N50" s="721"/>
      <c r="O50" s="729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'16'!F52</f>
        <v>539606</v>
      </c>
      <c r="F52" s="510">
        <v>539606</v>
      </c>
      <c r="G52" s="473">
        <f t="shared" si="2"/>
        <v>0</v>
      </c>
      <c r="H52" s="460">
        <f>G52+'16'!H52</f>
        <v>-6.9999999948777258E-2</v>
      </c>
      <c r="I52" s="455"/>
      <c r="J52" s="552">
        <f>H52/DAY(B2)</f>
        <v>-4.1176470558104269E-3</v>
      </c>
      <c r="K52" s="428"/>
      <c r="L52" s="377"/>
      <c r="N52" s="721"/>
      <c r="O52" s="728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'16'!F53</f>
        <v>424453</v>
      </c>
      <c r="F53" s="510">
        <v>424944</v>
      </c>
      <c r="G53" s="473">
        <f t="shared" si="2"/>
        <v>491</v>
      </c>
      <c r="H53" s="460">
        <f>G53+'16'!H53</f>
        <v>8110</v>
      </c>
      <c r="I53" s="455"/>
      <c r="J53" s="552">
        <f>H53/DAY(B2)</f>
        <v>477.05882352941177</v>
      </c>
      <c r="K53" s="428"/>
      <c r="L53" s="377"/>
      <c r="N53" s="721"/>
      <c r="O53" s="728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'16'!F54</f>
        <v>12542</v>
      </c>
      <c r="F54" s="510">
        <v>12622</v>
      </c>
      <c r="G54" s="473">
        <f t="shared" si="2"/>
        <v>80</v>
      </c>
      <c r="H54" s="460">
        <f>G54+'16'!H54</f>
        <v>4860</v>
      </c>
      <c r="I54" s="455"/>
      <c r="J54" s="552">
        <f>H54/DAY(B2)</f>
        <v>285.88235294117646</v>
      </c>
      <c r="K54" s="428"/>
      <c r="L54" s="377"/>
      <c r="N54" s="721"/>
      <c r="O54" s="728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'16'!F55</f>
        <v>19546</v>
      </c>
      <c r="F55" s="656">
        <v>24040</v>
      </c>
      <c r="G55" s="655">
        <f t="shared" si="2"/>
        <v>4494</v>
      </c>
      <c r="H55" s="708">
        <f>G55+'16'!H55</f>
        <v>24040</v>
      </c>
      <c r="I55" s="709"/>
      <c r="J55" s="710">
        <f>H55/DAY(B2)</f>
        <v>1414.1176470588234</v>
      </c>
      <c r="K55" s="428"/>
      <c r="L55" s="377"/>
      <c r="N55" s="721"/>
      <c r="O55" s="728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'16'!F56</f>
        <v>589435.47</v>
      </c>
      <c r="F56" s="656">
        <v>589435.47</v>
      </c>
      <c r="G56" s="473">
        <f>F56-E56</f>
        <v>0</v>
      </c>
      <c r="H56" s="460">
        <f>G56+'16'!H56</f>
        <v>147.10999999998603</v>
      </c>
      <c r="I56" s="455"/>
      <c r="J56" s="552">
        <f>H56/DAY(B2)</f>
        <v>8.6535294117638841</v>
      </c>
      <c r="K56" s="427"/>
      <c r="L56" s="377"/>
      <c r="N56" s="721"/>
      <c r="O56" s="730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21"/>
      <c r="O57" s="728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'16'!F58</f>
        <v>47905</v>
      </c>
      <c r="F58" s="656">
        <v>48104</v>
      </c>
      <c r="G58" s="473">
        <f t="shared" si="2"/>
        <v>199</v>
      </c>
      <c r="H58" s="460">
        <f>G58+'16'!H58</f>
        <v>1387</v>
      </c>
      <c r="I58" s="455"/>
      <c r="J58" s="552">
        <f>H58/DAY(B2)</f>
        <v>81.588235294117652</v>
      </c>
      <c r="K58" s="428"/>
      <c r="L58" s="377"/>
      <c r="N58" s="721"/>
      <c r="O58" s="728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6026.1300000000047</v>
      </c>
      <c r="H59" s="460">
        <f>G59+'16'!H59</f>
        <v>53076.439999999988</v>
      </c>
      <c r="I59" s="455">
        <f>G7-G60</f>
        <v>584.86999999999534</v>
      </c>
      <c r="J59" s="552">
        <f>H59/DAY(B2)</f>
        <v>3122.1435294117641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14287.130000000005</v>
      </c>
      <c r="H60" s="460">
        <f>G60+'16'!H60</f>
        <v>258583.59</v>
      </c>
      <c r="I60" s="455">
        <f>G13-G60</f>
        <v>92.869999999995343</v>
      </c>
      <c r="J60" s="552">
        <f>H60/DAY(B2)</f>
        <v>15210.799411764705</v>
      </c>
      <c r="K60" s="428"/>
      <c r="L60" s="377"/>
      <c r="N60" s="721"/>
      <c r="O60" s="728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186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0.18199999999706051</v>
      </c>
      <c r="I62" s="515"/>
      <c r="J62" s="552">
        <f>H62/DAY(B2)</f>
        <v>1.0705882352768266E-2</v>
      </c>
      <c r="K62" s="428"/>
      <c r="L62" s="377"/>
      <c r="N62" s="721"/>
      <c r="O62" s="728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'16'!F63</f>
        <v>2419</v>
      </c>
      <c r="F63" s="514">
        <v>2423</v>
      </c>
      <c r="G63" s="473">
        <f t="shared" si="3"/>
        <v>4</v>
      </c>
      <c r="H63" s="460">
        <f>G63+'16'!H63</f>
        <v>64</v>
      </c>
      <c r="I63" s="515"/>
      <c r="J63" s="552">
        <f>H63/DAY(B2)</f>
        <v>3.7647058823529411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186</v>
      </c>
      <c r="E64" s="1233">
        <f>'16'!F64</f>
        <v>156604</v>
      </c>
      <c r="F64" s="626">
        <v>156870</v>
      </c>
      <c r="G64" s="776">
        <f t="shared" si="3"/>
        <v>266</v>
      </c>
      <c r="H64" s="460">
        <f>G64+'16'!H64</f>
        <v>3571</v>
      </c>
      <c r="I64" s="480"/>
      <c r="J64" s="552">
        <f>H64/DAY(B2)</f>
        <v>210.05882352941177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186</v>
      </c>
      <c r="E65" s="514">
        <f>'16'!F65</f>
        <v>157667</v>
      </c>
      <c r="F65" s="654">
        <v>157951</v>
      </c>
      <c r="G65" s="473">
        <f t="shared" si="3"/>
        <v>284</v>
      </c>
      <c r="H65" s="460">
        <f>G65+'16'!H65</f>
        <v>3352</v>
      </c>
      <c r="I65" s="489"/>
      <c r="J65" s="552">
        <f>H65/DAY(B2)</f>
        <v>197.1764705882353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186</v>
      </c>
      <c r="E66" s="514">
        <f>'16'!F66</f>
        <v>52707</v>
      </c>
      <c r="F66" s="478">
        <v>52979</v>
      </c>
      <c r="G66" s="473">
        <f t="shared" si="3"/>
        <v>272</v>
      </c>
      <c r="H66" s="460">
        <f>G66+'16'!H66</f>
        <v>4408</v>
      </c>
      <c r="I66" s="480"/>
      <c r="J66" s="552">
        <f>H66/DAY(B2)</f>
        <v>259.29411764705884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186</v>
      </c>
      <c r="E67" s="514">
        <f>'16'!F67</f>
        <v>246073</v>
      </c>
      <c r="F67" s="478">
        <v>246395</v>
      </c>
      <c r="G67" s="473">
        <f t="shared" si="3"/>
        <v>322</v>
      </c>
      <c r="H67" s="460">
        <f>G67+'16'!H67</f>
        <v>3221</v>
      </c>
      <c r="I67" s="489"/>
      <c r="J67" s="552">
        <f>H67/DAY(B2)</f>
        <v>189.47058823529412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186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186</v>
      </c>
      <c r="E69" s="514">
        <f>'16'!F69</f>
        <v>80185</v>
      </c>
      <c r="F69" s="478">
        <v>80272</v>
      </c>
      <c r="G69" s="473">
        <f t="shared" si="3"/>
        <v>87</v>
      </c>
      <c r="H69" s="460">
        <f>G69+'16'!H69</f>
        <v>1278</v>
      </c>
      <c r="I69" s="516"/>
      <c r="J69" s="552">
        <f>H69/DAY(B2)</f>
        <v>75.17647058823529</v>
      </c>
      <c r="K69" s="431"/>
      <c r="L69" s="377"/>
      <c r="N69" s="721"/>
      <c r="O69" s="728"/>
      <c r="P69" s="382"/>
    </row>
    <row r="70" spans="1:16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33">
        <v>855695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721"/>
      <c r="O71" s="728"/>
      <c r="P71" s="382"/>
    </row>
    <row r="72" spans="1:16" ht="27.75">
      <c r="A72" s="1530" t="s">
        <v>190</v>
      </c>
      <c r="B72" s="1531"/>
      <c r="C72" s="1532"/>
      <c r="D72" s="523" t="s">
        <v>186</v>
      </c>
      <c r="E72" s="519">
        <f>'16'!F72</f>
        <v>855682</v>
      </c>
      <c r="F72" s="657">
        <v>855696</v>
      </c>
      <c r="G72" s="473">
        <f t="shared" ref="G72:G84" si="4">F72-E72</f>
        <v>14</v>
      </c>
      <c r="H72" s="460">
        <f>G72+'16'!H72</f>
        <v>224</v>
      </c>
      <c r="I72" s="480"/>
      <c r="J72" s="552">
        <f>H72/DAY(B2)</f>
        <v>13.176470588235293</v>
      </c>
      <c r="K72" s="431"/>
      <c r="L72" s="377"/>
      <c r="N72" s="721"/>
      <c r="O72" s="728"/>
      <c r="P72" s="382"/>
    </row>
    <row r="73" spans="1:16" ht="27.75">
      <c r="A73" s="1530" t="s">
        <v>191</v>
      </c>
      <c r="B73" s="1531"/>
      <c r="C73" s="1532"/>
      <c r="D73" s="523" t="s">
        <v>186</v>
      </c>
      <c r="E73" s="519">
        <f>'16'!F73</f>
        <v>885892</v>
      </c>
      <c r="F73" s="658">
        <v>885893</v>
      </c>
      <c r="G73" s="655">
        <f t="shared" si="4"/>
        <v>1</v>
      </c>
      <c r="H73" s="460">
        <f>G73+'16'!H73</f>
        <v>197</v>
      </c>
      <c r="I73" s="480"/>
      <c r="J73" s="552">
        <f>H73/DAY(B2)</f>
        <v>11.588235294117647</v>
      </c>
      <c r="K73" s="430"/>
      <c r="L73" s="377"/>
      <c r="N73" s="721"/>
      <c r="O73" s="728"/>
      <c r="P73" s="382"/>
    </row>
    <row r="74" spans="1:16" ht="27.75">
      <c r="A74" s="1530" t="s">
        <v>192</v>
      </c>
      <c r="B74" s="1531"/>
      <c r="C74" s="1532"/>
      <c r="D74" s="523" t="s">
        <v>186</v>
      </c>
      <c r="E74" s="519">
        <f>'16'!F74</f>
        <v>2489</v>
      </c>
      <c r="F74" s="658">
        <v>2495</v>
      </c>
      <c r="G74" s="473">
        <f t="shared" si="4"/>
        <v>6</v>
      </c>
      <c r="H74" s="460">
        <f>G74+'16'!H74</f>
        <v>216</v>
      </c>
      <c r="I74" s="480"/>
      <c r="J74" s="552">
        <f>H74/DAY(B2)</f>
        <v>12.705882352941176</v>
      </c>
      <c r="K74" s="431"/>
      <c r="L74" s="377"/>
      <c r="N74" s="721"/>
      <c r="O74" s="728"/>
      <c r="P74" s="382"/>
    </row>
    <row r="75" spans="1:16" ht="27.75">
      <c r="A75" s="1527" t="s">
        <v>193</v>
      </c>
      <c r="B75" s="1528"/>
      <c r="C75" s="1529"/>
      <c r="D75" s="523" t="s">
        <v>186</v>
      </c>
      <c r="E75" s="519">
        <f>'16'!F75</f>
        <v>11821</v>
      </c>
      <c r="F75" s="658">
        <v>11880</v>
      </c>
      <c r="G75" s="473">
        <f t="shared" si="4"/>
        <v>59</v>
      </c>
      <c r="H75" s="460">
        <f>G75+'16'!H75</f>
        <v>910</v>
      </c>
      <c r="I75" s="480"/>
      <c r="J75" s="552">
        <f>H75/DAY(B2)</f>
        <v>53.529411764705884</v>
      </c>
      <c r="K75" s="430"/>
      <c r="L75" s="377"/>
      <c r="N75" s="721"/>
      <c r="O75" s="728"/>
      <c r="P75" s="382"/>
    </row>
    <row r="76" spans="1:16" ht="27.75">
      <c r="A76" s="1527" t="s">
        <v>194</v>
      </c>
      <c r="B76" s="1528"/>
      <c r="C76" s="1529"/>
      <c r="D76" s="523" t="s">
        <v>186</v>
      </c>
      <c r="E76" s="519">
        <f>'16'!F76</f>
        <v>6578</v>
      </c>
      <c r="F76" s="658">
        <v>6635</v>
      </c>
      <c r="G76" s="473">
        <f t="shared" si="4"/>
        <v>57</v>
      </c>
      <c r="H76" s="460">
        <f>G76+'16'!H76</f>
        <v>918.04999999999927</v>
      </c>
      <c r="I76" s="505"/>
      <c r="J76" s="552">
        <f>H76/DAY(B2)</f>
        <v>54.002941176470543</v>
      </c>
      <c r="K76" s="430"/>
      <c r="L76" s="377"/>
      <c r="N76" s="721"/>
      <c r="O76" s="728"/>
      <c r="P76" s="382"/>
    </row>
    <row r="77" spans="1:16" ht="27.75">
      <c r="A77" s="1530" t="s">
        <v>195</v>
      </c>
      <c r="B77" s="1531"/>
      <c r="C77" s="1532"/>
      <c r="D77" s="523" t="s">
        <v>186</v>
      </c>
      <c r="E77" s="519">
        <f>'16'!F77</f>
        <v>702265</v>
      </c>
      <c r="F77" s="658">
        <v>702294</v>
      </c>
      <c r="G77" s="655">
        <f t="shared" si="4"/>
        <v>29</v>
      </c>
      <c r="H77" s="460">
        <f>G77+'16'!H77</f>
        <v>732</v>
      </c>
      <c r="I77" s="505"/>
      <c r="J77" s="552">
        <f>H77/DAY(B2)</f>
        <v>43.058823529411768</v>
      </c>
      <c r="K77" s="430"/>
      <c r="L77" s="377"/>
      <c r="N77" s="721"/>
      <c r="O77" s="728"/>
      <c r="P77" s="382"/>
    </row>
    <row r="78" spans="1:16" ht="27.75">
      <c r="A78" s="1229" t="s">
        <v>196</v>
      </c>
      <c r="B78" s="1222"/>
      <c r="C78" s="1222"/>
      <c r="D78" s="523" t="s">
        <v>186</v>
      </c>
      <c r="E78" s="519">
        <f>'16'!F78</f>
        <v>671385</v>
      </c>
      <c r="F78" s="659">
        <v>671474</v>
      </c>
      <c r="G78" s="473">
        <f t="shared" si="4"/>
        <v>89</v>
      </c>
      <c r="H78" s="460">
        <f>G78+'16'!H78</f>
        <v>1449</v>
      </c>
      <c r="I78" s="505"/>
      <c r="J78" s="552">
        <f>H78/DAY(B2)</f>
        <v>85.235294117647058</v>
      </c>
      <c r="K78" s="430"/>
      <c r="L78" s="377"/>
      <c r="N78" s="721"/>
      <c r="O78" s="728"/>
      <c r="P78" s="382"/>
    </row>
    <row r="79" spans="1:16" ht="27.75">
      <c r="A79" s="1527" t="s">
        <v>92</v>
      </c>
      <c r="B79" s="1528"/>
      <c r="C79" s="1529"/>
      <c r="D79" s="524" t="s">
        <v>186</v>
      </c>
      <c r="E79" s="519">
        <f>'16'!F79</f>
        <v>829050</v>
      </c>
      <c r="F79" s="659">
        <v>829167</v>
      </c>
      <c r="G79" s="473">
        <f t="shared" si="4"/>
        <v>117</v>
      </c>
      <c r="H79" s="460">
        <f>G79+'16'!H79</f>
        <v>1436</v>
      </c>
      <c r="I79" s="505"/>
      <c r="J79" s="552">
        <f>H79/DAY(B2)</f>
        <v>84.470588235294116</v>
      </c>
      <c r="K79" s="430"/>
      <c r="L79" s="377"/>
      <c r="N79" s="721"/>
      <c r="O79" s="728"/>
      <c r="P79" s="382"/>
    </row>
    <row r="80" spans="1:16" ht="27.75">
      <c r="A80" s="1527" t="s">
        <v>197</v>
      </c>
      <c r="B80" s="1528"/>
      <c r="C80" s="1529"/>
      <c r="D80" s="524" t="s">
        <v>186</v>
      </c>
      <c r="E80" s="519">
        <f>'16'!F80</f>
        <v>522420</v>
      </c>
      <c r="F80" s="658">
        <v>522731</v>
      </c>
      <c r="G80" s="473">
        <f t="shared" si="4"/>
        <v>311</v>
      </c>
      <c r="H80" s="460">
        <f>G80+'16'!H80</f>
        <v>3270</v>
      </c>
      <c r="I80" s="505"/>
      <c r="J80" s="552">
        <f>H80/DAY(B2)</f>
        <v>192.35294117647058</v>
      </c>
      <c r="K80" s="430"/>
      <c r="L80" s="377"/>
      <c r="N80" s="721"/>
      <c r="O80" s="728"/>
      <c r="P80" s="382"/>
    </row>
    <row r="81" spans="1:16" ht="27.75">
      <c r="A81" s="1527" t="s">
        <v>198</v>
      </c>
      <c r="B81" s="1528"/>
      <c r="C81" s="1529"/>
      <c r="D81" s="524" t="s">
        <v>186</v>
      </c>
      <c r="E81" s="519">
        <f>'16'!F81</f>
        <v>637676</v>
      </c>
      <c r="F81" s="658">
        <v>637752</v>
      </c>
      <c r="G81" s="473">
        <f t="shared" si="4"/>
        <v>76</v>
      </c>
      <c r="H81" s="460">
        <f>G81+'16'!H81</f>
        <v>1274</v>
      </c>
      <c r="I81" s="505"/>
      <c r="J81" s="552">
        <f>H81/DAY(B2)</f>
        <v>74.941176470588232</v>
      </c>
      <c r="K81" s="430"/>
      <c r="L81" s="377"/>
      <c r="N81" s="721"/>
      <c r="O81" s="728"/>
      <c r="P81" s="382"/>
    </row>
    <row r="82" spans="1:16" s="778" customFormat="1" ht="27.75">
      <c r="A82" s="1600" t="s">
        <v>93</v>
      </c>
      <c r="B82" s="1601"/>
      <c r="C82" s="1602"/>
      <c r="D82" s="626" t="s">
        <v>131</v>
      </c>
      <c r="E82" s="519">
        <f>'16'!F82</f>
        <v>107919</v>
      </c>
      <c r="F82" s="626">
        <v>107930</v>
      </c>
      <c r="G82" s="776">
        <f t="shared" si="4"/>
        <v>11</v>
      </c>
      <c r="H82" s="479">
        <f>G82+'16'!H82</f>
        <v>318</v>
      </c>
      <c r="I82" s="479"/>
      <c r="J82" s="777">
        <f>H82/DAY(B2)</f>
        <v>18.705882352941178</v>
      </c>
      <c r="K82" s="1219"/>
      <c r="L82" s="1220"/>
      <c r="N82" s="725"/>
      <c r="O82" s="729"/>
      <c r="P82" s="724"/>
    </row>
    <row r="83" spans="1:16" ht="27.75">
      <c r="A83" s="1527" t="s">
        <v>199</v>
      </c>
      <c r="B83" s="1528"/>
      <c r="C83" s="1529"/>
      <c r="D83" s="620" t="s">
        <v>131</v>
      </c>
      <c r="E83" s="519">
        <f>'16'!F83</f>
        <v>17904</v>
      </c>
      <c r="F83" s="511">
        <v>18079</v>
      </c>
      <c r="G83" s="473">
        <f t="shared" si="4"/>
        <v>175</v>
      </c>
      <c r="H83" s="460">
        <f>G83+'16'!H83</f>
        <v>3308</v>
      </c>
      <c r="I83" s="481"/>
      <c r="J83" s="552">
        <f>H83/DAY(B2)</f>
        <v>194.58823529411765</v>
      </c>
      <c r="K83" s="429"/>
      <c r="L83" s="377"/>
      <c r="N83" s="721"/>
      <c r="O83" s="728"/>
      <c r="P83" s="382"/>
    </row>
    <row r="84" spans="1:16">
      <c r="A84" s="1230" t="s">
        <v>200</v>
      </c>
      <c r="B84" s="571"/>
      <c r="C84" s="571"/>
      <c r="D84" s="478" t="s">
        <v>131</v>
      </c>
      <c r="E84" s="519">
        <f>'16'!F84</f>
        <v>491207</v>
      </c>
      <c r="F84" s="627">
        <v>491626</v>
      </c>
      <c r="G84" s="473">
        <f t="shared" si="4"/>
        <v>419</v>
      </c>
      <c r="H84" s="460">
        <f>G84+'16'!H84</f>
        <v>11493</v>
      </c>
      <c r="I84" s="481"/>
      <c r="J84" s="552">
        <f>H84/DAY(B2)</f>
        <v>676.05882352941171</v>
      </c>
      <c r="K84" s="380"/>
      <c r="L84" s="377"/>
      <c r="N84" s="721"/>
      <c r="O84" s="728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1364</v>
      </c>
      <c r="H85" s="460">
        <f>G85+'16'!H85</f>
        <v>29254</v>
      </c>
      <c r="I85" s="481"/>
      <c r="J85" s="552">
        <f>H85/DAY(B2)</f>
        <v>1720.8235294117646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182</v>
      </c>
      <c r="E86" s="627">
        <f>'16'!F86</f>
        <v>460442</v>
      </c>
      <c r="F86" s="1475">
        <v>460478</v>
      </c>
      <c r="G86" s="708">
        <f t="shared" ref="G86:G91" si="5">F86-E86</f>
        <v>36</v>
      </c>
      <c r="H86" s="708">
        <f t="shared" ref="H86:H88" si="6">G86</f>
        <v>36</v>
      </c>
      <c r="I86" s="655"/>
      <c r="J86" s="710">
        <f>H86/DAY(B2)</f>
        <v>2.1176470588235294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182</v>
      </c>
      <c r="E87" s="627">
        <f>'16'!F87</f>
        <v>81109</v>
      </c>
      <c r="F87" s="650">
        <v>81116</v>
      </c>
      <c r="G87" s="708">
        <f t="shared" si="5"/>
        <v>7</v>
      </c>
      <c r="H87" s="708">
        <f t="shared" si="6"/>
        <v>7</v>
      </c>
      <c r="I87" s="655"/>
      <c r="J87" s="710">
        <f>H87/DAY(B2)</f>
        <v>0.41176470588235292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182</v>
      </c>
      <c r="E88" s="627">
        <f>'16'!F88</f>
        <v>152454</v>
      </c>
      <c r="F88" s="650">
        <v>152520</v>
      </c>
      <c r="G88" s="708">
        <f t="shared" si="5"/>
        <v>66</v>
      </c>
      <c r="H88" s="708">
        <f t="shared" si="6"/>
        <v>66</v>
      </c>
      <c r="I88" s="655"/>
      <c r="J88" s="710">
        <f>H88/DAY(B2)</f>
        <v>3.8823529411764706</v>
      </c>
      <c r="K88" s="736"/>
      <c r="L88" s="737"/>
      <c r="O88" s="716"/>
    </row>
    <row r="89" spans="1:16" s="738" customFormat="1">
      <c r="A89" s="733" t="s">
        <v>203</v>
      </c>
      <c r="B89" s="734"/>
      <c r="C89" s="734"/>
      <c r="D89" s="735" t="s">
        <v>182</v>
      </c>
      <c r="E89" s="627">
        <f>'16'!F89</f>
        <v>64937</v>
      </c>
      <c r="F89" s="650">
        <v>64943</v>
      </c>
      <c r="G89" s="708">
        <f t="shared" si="5"/>
        <v>6</v>
      </c>
      <c r="H89" s="708">
        <f>G89</f>
        <v>6</v>
      </c>
      <c r="I89" s="655"/>
      <c r="J89" s="710">
        <f>H89/DAY(B2)</f>
        <v>0.35294117647058826</v>
      </c>
      <c r="K89" s="736"/>
      <c r="L89" s="737"/>
      <c r="N89" s="780"/>
      <c r="O89" s="382"/>
    </row>
    <row r="90" spans="1:16" s="738" customFormat="1">
      <c r="A90" s="733" t="s">
        <v>203</v>
      </c>
      <c r="B90" s="734"/>
      <c r="C90" s="734"/>
      <c r="D90" s="735" t="s">
        <v>182</v>
      </c>
      <c r="E90" s="627">
        <f>'16'!F90</f>
        <v>3272.5</v>
      </c>
      <c r="F90" s="650">
        <v>3272.5</v>
      </c>
      <c r="G90" s="708">
        <f t="shared" si="5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361</v>
      </c>
      <c r="B91" s="734"/>
      <c r="C91" s="734"/>
      <c r="D91" s="735"/>
      <c r="E91" s="627">
        <f>'16'!F91</f>
        <v>27954</v>
      </c>
      <c r="F91" s="650">
        <v>27957</v>
      </c>
      <c r="G91" s="708">
        <f t="shared" si="5"/>
        <v>3</v>
      </c>
      <c r="H91" s="708">
        <f>G91</f>
        <v>3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204</v>
      </c>
      <c r="B92" s="1232"/>
      <c r="C92" s="1232"/>
      <c r="D92" s="472"/>
      <c r="E92" s="472"/>
      <c r="F92" s="472" t="s">
        <v>267</v>
      </c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1" t="s">
        <v>205</v>
      </c>
      <c r="B93" s="1552"/>
      <c r="C93" s="1553"/>
      <c r="D93" s="523" t="s">
        <v>143</v>
      </c>
      <c r="E93" s="484">
        <f>'16'!F93</f>
        <v>245077</v>
      </c>
      <c r="F93" s="478">
        <v>245077</v>
      </c>
      <c r="G93" s="473">
        <f t="shared" ref="G93:G94" si="7">F93-E93</f>
        <v>0</v>
      </c>
      <c r="H93" s="460">
        <f>G93+'16'!H93</f>
        <v>553</v>
      </c>
      <c r="I93" s="480"/>
      <c r="J93" s="552">
        <f>H93/DAY(B2)</f>
        <v>32.529411764705884</v>
      </c>
      <c r="K93" s="429"/>
      <c r="L93" s="377"/>
      <c r="N93" s="721"/>
      <c r="O93" s="728"/>
      <c r="P93" s="382"/>
    </row>
    <row r="94" spans="1:16" ht="27.75">
      <c r="A94" s="1551" t="s">
        <v>206</v>
      </c>
      <c r="B94" s="1552"/>
      <c r="C94" s="1553"/>
      <c r="D94" s="523" t="s">
        <v>143</v>
      </c>
      <c r="E94" s="484">
        <f>'16'!F94</f>
        <v>184822</v>
      </c>
      <c r="F94" s="478">
        <v>184915</v>
      </c>
      <c r="G94" s="473">
        <f t="shared" si="7"/>
        <v>93</v>
      </c>
      <c r="H94" s="460">
        <f>G94+'16'!H94</f>
        <v>1384</v>
      </c>
      <c r="I94" s="480"/>
      <c r="J94" s="552">
        <f>H94/DAY(B2)</f>
        <v>81.411764705882348</v>
      </c>
      <c r="K94" s="380"/>
      <c r="L94" s="377"/>
      <c r="N94" s="721"/>
      <c r="O94" s="728"/>
      <c r="P94" s="382"/>
    </row>
    <row r="95" spans="1:16">
      <c r="A95" s="1579" t="s">
        <v>207</v>
      </c>
      <c r="B95" s="1580"/>
      <c r="C95" s="1581"/>
      <c r="D95" s="523"/>
      <c r="E95" s="484">
        <f>'16'!F95</f>
        <v>0</v>
      </c>
      <c r="F95" s="478"/>
      <c r="G95" s="473">
        <f>G93+G94</f>
        <v>93</v>
      </c>
      <c r="H95" s="460">
        <f>G95+'16'!H95</f>
        <v>1790</v>
      </c>
      <c r="I95" s="480"/>
      <c r="J95" s="552">
        <f>H95/DAY(B2)</f>
        <v>105.29411764705883</v>
      </c>
      <c r="K95" s="380"/>
      <c r="L95" s="377"/>
      <c r="N95" s="721"/>
      <c r="O95" s="728"/>
      <c r="P95" s="382"/>
    </row>
    <row r="96" spans="1:16" ht="27.75">
      <c r="A96" s="1551" t="s">
        <v>208</v>
      </c>
      <c r="B96" s="1552"/>
      <c r="C96" s="1553"/>
      <c r="D96" s="523" t="s">
        <v>143</v>
      </c>
      <c r="E96" s="484">
        <f>'16'!F96</f>
        <v>413594</v>
      </c>
      <c r="F96" s="478">
        <v>413639</v>
      </c>
      <c r="G96" s="473">
        <f t="shared" ref="G96:G101" si="8">F96-E96</f>
        <v>45</v>
      </c>
      <c r="H96" s="460">
        <f>G96+'16'!H96</f>
        <v>753</v>
      </c>
      <c r="I96" s="480"/>
      <c r="J96" s="552">
        <f>H96/DAY(B2)</f>
        <v>44.294117647058826</v>
      </c>
      <c r="K96" s="380"/>
      <c r="L96" s="377"/>
      <c r="N96" s="721"/>
      <c r="O96" s="728"/>
      <c r="P96" s="382"/>
    </row>
    <row r="97" spans="1:16" ht="27.75">
      <c r="A97" s="1226" t="s">
        <v>209</v>
      </c>
      <c r="B97" s="1227"/>
      <c r="C97" s="1227"/>
      <c r="D97" s="523" t="s">
        <v>143</v>
      </c>
      <c r="E97" s="484">
        <f>'16'!F97</f>
        <v>102497</v>
      </c>
      <c r="F97" s="478">
        <v>102504</v>
      </c>
      <c r="G97" s="473">
        <f t="shared" si="8"/>
        <v>7</v>
      </c>
      <c r="H97" s="460">
        <f>G97+'16'!H97</f>
        <v>161</v>
      </c>
      <c r="I97" s="480"/>
      <c r="J97" s="552">
        <f>H97/DAY(B2)</f>
        <v>9.4705882352941178</v>
      </c>
      <c r="K97" s="427"/>
      <c r="L97" s="377"/>
      <c r="N97" s="721"/>
      <c r="O97" s="728"/>
      <c r="P97" s="382"/>
    </row>
    <row r="98" spans="1:16" ht="27.75">
      <c r="A98" s="1226" t="s">
        <v>210</v>
      </c>
      <c r="B98" s="1227"/>
      <c r="C98" s="1227"/>
      <c r="D98" s="523" t="s">
        <v>143</v>
      </c>
      <c r="E98" s="484">
        <f>'16'!F98</f>
        <v>97662</v>
      </c>
      <c r="F98" s="478">
        <v>97668</v>
      </c>
      <c r="G98" s="473">
        <f t="shared" si="8"/>
        <v>6</v>
      </c>
      <c r="H98" s="460">
        <f>G98+'16'!H98</f>
        <v>241</v>
      </c>
      <c r="I98" s="480"/>
      <c r="J98" s="552">
        <f>H98/DAY(B2)</f>
        <v>14.176470588235293</v>
      </c>
      <c r="K98" s="432"/>
      <c r="L98" s="377"/>
      <c r="N98" s="721"/>
      <c r="O98" s="728"/>
      <c r="P98" s="382"/>
    </row>
    <row r="99" spans="1:16" ht="27.75">
      <c r="A99" s="1226" t="s">
        <v>211</v>
      </c>
      <c r="B99" s="1227"/>
      <c r="C99" s="1227"/>
      <c r="D99" s="523" t="s">
        <v>143</v>
      </c>
      <c r="E99" s="484">
        <f>'16'!F99</f>
        <v>149723</v>
      </c>
      <c r="F99" s="478">
        <v>149725</v>
      </c>
      <c r="G99" s="473">
        <f t="shared" si="8"/>
        <v>2</v>
      </c>
      <c r="H99" s="460">
        <f>G99+'16'!H99</f>
        <v>192</v>
      </c>
      <c r="I99" s="480"/>
      <c r="J99" s="552">
        <f>H99/DAY(B2)</f>
        <v>11.294117647058824</v>
      </c>
      <c r="K99" s="380"/>
      <c r="L99" s="377"/>
      <c r="N99" s="723"/>
      <c r="O99" s="728"/>
      <c r="P99" s="382"/>
    </row>
    <row r="100" spans="1:16" ht="27.75">
      <c r="A100" s="1226" t="s">
        <v>212</v>
      </c>
      <c r="B100" s="1227"/>
      <c r="C100" s="1227"/>
      <c r="D100" s="523" t="s">
        <v>143</v>
      </c>
      <c r="E100" s="484">
        <f>'16'!F100</f>
        <v>7267</v>
      </c>
      <c r="F100" s="478">
        <v>7287</v>
      </c>
      <c r="G100" s="473">
        <f t="shared" si="8"/>
        <v>20</v>
      </c>
      <c r="H100" s="460">
        <f>G100+'16'!H100</f>
        <v>102</v>
      </c>
      <c r="I100" s="480"/>
      <c r="J100" s="552">
        <f>H100/DAY(B2)</f>
        <v>6</v>
      </c>
      <c r="K100" s="380"/>
      <c r="L100" s="377"/>
      <c r="N100" s="721"/>
      <c r="O100" s="728"/>
      <c r="P100" s="382"/>
    </row>
    <row r="101" spans="1:16" ht="27.75">
      <c r="A101" s="1226" t="s">
        <v>213</v>
      </c>
      <c r="B101" s="1227"/>
      <c r="C101" s="1227"/>
      <c r="D101" s="523" t="s">
        <v>143</v>
      </c>
      <c r="E101" s="484">
        <f>'16'!F101</f>
        <v>5247</v>
      </c>
      <c r="F101" s="478">
        <v>5250</v>
      </c>
      <c r="G101" s="473">
        <f t="shared" si="8"/>
        <v>3</v>
      </c>
      <c r="H101" s="460">
        <f>G101+'16'!H101</f>
        <v>112</v>
      </c>
      <c r="I101" s="480"/>
      <c r="J101" s="552">
        <f>H101/DAY(B2)</f>
        <v>6.5882352941176467</v>
      </c>
      <c r="K101" s="380"/>
      <c r="L101" s="377"/>
      <c r="N101" s="721"/>
      <c r="O101" s="728"/>
      <c r="P101" s="382"/>
    </row>
    <row r="102" spans="1:16">
      <c r="A102" s="1579" t="s">
        <v>215</v>
      </c>
      <c r="B102" s="1580"/>
      <c r="C102" s="1581"/>
      <c r="D102" s="524"/>
      <c r="E102" s="484"/>
      <c r="F102" s="524"/>
      <c r="G102" s="525">
        <f>SUM(G96:G101)</f>
        <v>83</v>
      </c>
      <c r="H102" s="460">
        <f>G102+'16'!H102</f>
        <v>1561</v>
      </c>
      <c r="I102" s="526"/>
      <c r="J102" s="552">
        <f>H102/DAY(B2)</f>
        <v>91.82352941176471</v>
      </c>
      <c r="K102" s="380"/>
      <c r="L102" s="377"/>
      <c r="N102" s="721"/>
      <c r="O102" s="728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82" t="s">
        <v>217</v>
      </c>
      <c r="B104" s="1583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3" t="s">
        <v>218</v>
      </c>
      <c r="B105" s="1544"/>
      <c r="C105" s="1225"/>
      <c r="D105" s="622" t="s">
        <v>143</v>
      </c>
      <c r="E105" s="484">
        <f>'16'!F105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21"/>
      <c r="O105" s="728"/>
      <c r="P105" s="382"/>
    </row>
    <row r="106" spans="1:16" s="442" customFormat="1" ht="27.75">
      <c r="A106" s="1543" t="s">
        <v>77</v>
      </c>
      <c r="B106" s="1544"/>
      <c r="C106" s="1225"/>
      <c r="D106" s="622" t="s">
        <v>143</v>
      </c>
      <c r="E106" s="484">
        <f>'16'!F106</f>
        <v>35875</v>
      </c>
      <c r="F106" s="662">
        <v>35889</v>
      </c>
      <c r="G106" s="532">
        <f t="shared" ref="G106:G107" si="9">F106-E106</f>
        <v>14</v>
      </c>
      <c r="H106" s="533">
        <f>SUM(G106+'1'!G77)</f>
        <v>64</v>
      </c>
      <c r="I106" s="532"/>
      <c r="J106" s="558">
        <f>H106/DAY(B2)</f>
        <v>3.7647058823529411</v>
      </c>
      <c r="N106" s="721"/>
      <c r="O106" s="728"/>
      <c r="P106" s="382"/>
    </row>
    <row r="107" spans="1:16" s="442" customFormat="1" ht="27.75">
      <c r="A107" s="1543" t="s">
        <v>78</v>
      </c>
      <c r="B107" s="1584"/>
      <c r="C107" s="1544"/>
      <c r="D107" s="622" t="s">
        <v>143</v>
      </c>
      <c r="E107" s="484">
        <f>'16'!F107</f>
        <v>19663</v>
      </c>
      <c r="F107" s="662">
        <v>19669</v>
      </c>
      <c r="G107" s="532">
        <f t="shared" si="9"/>
        <v>6</v>
      </c>
      <c r="H107" s="533">
        <f>SUM(G107+'1'!G78)</f>
        <v>130</v>
      </c>
      <c r="I107" s="532"/>
      <c r="J107" s="558">
        <f>H107/DAY(B2)</f>
        <v>7.6470588235294121</v>
      </c>
      <c r="N107" s="721"/>
      <c r="O107" s="728"/>
      <c r="P107" s="382"/>
    </row>
    <row r="108" spans="1:16" s="442" customFormat="1" ht="27.75">
      <c r="A108" s="1545" t="s">
        <v>201</v>
      </c>
      <c r="B108" s="1546"/>
      <c r="C108" s="1225"/>
      <c r="D108" s="622"/>
      <c r="E108" s="484">
        <f>'16'!F108</f>
        <v>0</v>
      </c>
      <c r="F108" s="662"/>
      <c r="G108" s="532">
        <f>SUM(G105:G107)</f>
        <v>20</v>
      </c>
      <c r="H108" s="533">
        <f>SUM(G108+'1'!G79)</f>
        <v>209</v>
      </c>
      <c r="I108" s="532"/>
      <c r="J108" s="558">
        <f>H108/DAY(B2)</f>
        <v>12.294117647058824</v>
      </c>
      <c r="N108" s="721"/>
      <c r="O108" s="728"/>
      <c r="P108" s="382"/>
    </row>
    <row r="109" spans="1:16" s="442" customFormat="1" ht="27.75">
      <c r="A109" s="1549" t="s">
        <v>79</v>
      </c>
      <c r="B109" s="1550"/>
      <c r="C109" s="1225"/>
      <c r="D109" s="622" t="s">
        <v>143</v>
      </c>
      <c r="E109" s="484">
        <f>'16'!F109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3" t="s">
        <v>219</v>
      </c>
      <c r="B110" s="1544"/>
      <c r="C110" s="1225"/>
      <c r="D110" s="622" t="s">
        <v>143</v>
      </c>
      <c r="E110" s="484">
        <f>'16'!F110</f>
        <v>62019</v>
      </c>
      <c r="F110" s="662">
        <v>62039</v>
      </c>
      <c r="G110" s="532">
        <f>F110-E110</f>
        <v>20</v>
      </c>
      <c r="H110" s="533">
        <f>SUM(G110+'1'!G81)</f>
        <v>101</v>
      </c>
      <c r="I110" s="532"/>
      <c r="J110" s="558">
        <f>H110/DAY(B2)</f>
        <v>5.9411764705882355</v>
      </c>
      <c r="N110" s="721"/>
      <c r="O110" s="728"/>
      <c r="P110" s="382"/>
    </row>
    <row r="111" spans="1:16" s="442" customFormat="1" ht="27.75">
      <c r="A111" s="1543" t="s">
        <v>220</v>
      </c>
      <c r="B111" s="1544"/>
      <c r="C111" s="1225"/>
      <c r="D111" s="622" t="s">
        <v>143</v>
      </c>
      <c r="E111" s="484">
        <f>'16'!F111</f>
        <v>32401</v>
      </c>
      <c r="F111" s="662">
        <v>32401</v>
      </c>
      <c r="G111" s="532">
        <f t="shared" ref="G111:G112" si="10">F111-E111</f>
        <v>0</v>
      </c>
      <c r="H111" s="533">
        <f>SUM(G111+'1'!G82)</f>
        <v>12</v>
      </c>
      <c r="I111" s="532"/>
      <c r="J111" s="558">
        <f>H111/DAY(B2)</f>
        <v>0.70588235294117652</v>
      </c>
      <c r="N111" s="721"/>
      <c r="O111" s="728"/>
      <c r="P111" s="382"/>
    </row>
    <row r="112" spans="1:16" s="442" customFormat="1" ht="27.75">
      <c r="A112" s="1543" t="s">
        <v>221</v>
      </c>
      <c r="B112" s="1544"/>
      <c r="C112" s="1225"/>
      <c r="D112" s="622" t="s">
        <v>143</v>
      </c>
      <c r="E112" s="484">
        <f>'16'!F112</f>
        <v>4509</v>
      </c>
      <c r="F112" s="662">
        <v>4509</v>
      </c>
      <c r="G112" s="532">
        <f t="shared" si="10"/>
        <v>0</v>
      </c>
      <c r="H112" s="533">
        <f>SUM(G112+'1'!G83)</f>
        <v>255</v>
      </c>
      <c r="I112" s="532"/>
      <c r="J112" s="558">
        <f>H112/DAY(B2)</f>
        <v>15</v>
      </c>
      <c r="N112" s="721"/>
      <c r="O112" s="728"/>
      <c r="P112" s="382"/>
    </row>
    <row r="113" spans="1:16" s="442" customFormat="1" ht="27.75">
      <c r="A113" s="1545" t="s">
        <v>110</v>
      </c>
      <c r="B113" s="1546"/>
      <c r="C113" s="1225"/>
      <c r="D113" s="622"/>
      <c r="E113" s="484">
        <f>'16'!F113</f>
        <v>0</v>
      </c>
      <c r="F113" s="662"/>
      <c r="G113" s="532">
        <f>SUM(G110:G112)</f>
        <v>20</v>
      </c>
      <c r="H113" s="533">
        <f>SUM(G113+'1'!G84)</f>
        <v>735</v>
      </c>
      <c r="I113" s="532"/>
      <c r="J113" s="558">
        <f>H113/DAY(B2)</f>
        <v>43.235294117647058</v>
      </c>
      <c r="N113" s="721"/>
      <c r="O113" s="728"/>
      <c r="P113" s="382"/>
    </row>
    <row r="114" spans="1:16" s="442" customFormat="1" ht="27.75">
      <c r="A114" s="1549" t="s">
        <v>222</v>
      </c>
      <c r="B114" s="1550"/>
      <c r="C114" s="1225"/>
      <c r="D114" s="622"/>
      <c r="E114" s="484">
        <f>'16'!F114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3" t="s">
        <v>223</v>
      </c>
      <c r="B115" s="1544"/>
      <c r="C115" s="574"/>
      <c r="D115" s="622" t="s">
        <v>143</v>
      </c>
      <c r="E115" s="484">
        <f>'16'!F115</f>
        <v>11367</v>
      </c>
      <c r="F115" s="662">
        <v>11389</v>
      </c>
      <c r="G115" s="534">
        <f>F115-E115</f>
        <v>22</v>
      </c>
      <c r="H115" s="533">
        <f>SUM(G115+'1'!G92)</f>
        <v>22</v>
      </c>
      <c r="I115" s="532"/>
      <c r="J115" s="558">
        <f>H115/DAY(B2)</f>
        <v>1.2941176470588236</v>
      </c>
      <c r="N115" s="721"/>
      <c r="O115" s="728"/>
      <c r="P115" s="382"/>
    </row>
    <row r="116" spans="1:16" s="442" customFormat="1" ht="27.75">
      <c r="A116" s="1543" t="s">
        <v>224</v>
      </c>
      <c r="B116" s="1544"/>
      <c r="C116" s="574"/>
      <c r="D116" s="622" t="s">
        <v>143</v>
      </c>
      <c r="E116" s="484">
        <f>'16'!F116</f>
        <v>8206</v>
      </c>
      <c r="F116" s="662">
        <v>8214</v>
      </c>
      <c r="G116" s="534">
        <f t="shared" ref="G116:G117" si="11">F116-E116</f>
        <v>8</v>
      </c>
      <c r="H116" s="533">
        <f>SUM(G116+'1'!G93)</f>
        <v>60</v>
      </c>
      <c r="I116" s="532"/>
      <c r="J116" s="558">
        <f>H116/DAY(B2)</f>
        <v>3.5294117647058822</v>
      </c>
      <c r="N116" s="721"/>
      <c r="O116" s="728"/>
      <c r="P116" s="382"/>
    </row>
    <row r="117" spans="1:16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1"/>
        <v>0</v>
      </c>
      <c r="H117" s="533">
        <f>SUM(G117+'1'!G94)</f>
        <v>95</v>
      </c>
      <c r="I117" s="532"/>
      <c r="J117" s="558">
        <f>H117/DAY(B2)</f>
        <v>5.5882352941176467</v>
      </c>
      <c r="N117" s="721"/>
      <c r="O117" s="728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30</v>
      </c>
      <c r="H118" s="533">
        <f>SUM(G118+'1'!G96)</f>
        <v>102</v>
      </c>
      <c r="I118" s="534"/>
      <c r="J118" s="558">
        <f>H118/DAY(B2)</f>
        <v>6</v>
      </c>
      <c r="N118" s="721"/>
      <c r="O118" s="728"/>
      <c r="P118" s="382"/>
    </row>
    <row r="119" spans="1:16" s="446" customFormat="1" ht="27.75">
      <c r="A119" s="1539" t="s">
        <v>226</v>
      </c>
      <c r="B119" s="1540"/>
      <c r="C119" s="1223"/>
      <c r="D119" s="624" t="s">
        <v>143</v>
      </c>
      <c r="E119" s="536"/>
      <c r="F119" s="663">
        <f>SUM(G19+G93)</f>
        <v>56</v>
      </c>
      <c r="G119" s="536">
        <f>SUM(G19+G93)</f>
        <v>56</v>
      </c>
      <c r="H119" s="533">
        <f>SUM(G119+'1'!G97)</f>
        <v>68</v>
      </c>
      <c r="I119" s="535"/>
      <c r="J119" s="559">
        <f>H119/DAY(B2)</f>
        <v>4</v>
      </c>
      <c r="N119" s="721"/>
      <c r="O119" s="728"/>
      <c r="P119" s="382"/>
    </row>
    <row r="120" spans="1:16" s="446" customFormat="1" ht="27.75">
      <c r="A120" s="1539" t="s">
        <v>227</v>
      </c>
      <c r="B120" s="1540"/>
      <c r="C120" s="1223"/>
      <c r="D120" s="624" t="s">
        <v>143</v>
      </c>
      <c r="E120" s="536"/>
      <c r="F120" s="663">
        <f>SUM(G96,G97,G98,G100,G101)</f>
        <v>81</v>
      </c>
      <c r="G120" s="536">
        <f>SUM(G96,G97,G98,G100,G101)</f>
        <v>81</v>
      </c>
      <c r="H120" s="533">
        <f>SUM(G120+'1'!G99)</f>
        <v>86</v>
      </c>
      <c r="I120" s="535"/>
      <c r="J120" s="559">
        <f>H120/DAY(B2)</f>
        <v>5.0588235294117645</v>
      </c>
      <c r="N120" s="721"/>
      <c r="O120" s="728"/>
      <c r="P120" s="382"/>
    </row>
    <row r="121" spans="1:16" s="446" customFormat="1" ht="27.75">
      <c r="A121" s="1539" t="s">
        <v>228</v>
      </c>
      <c r="B121" s="1540"/>
      <c r="C121" s="1223"/>
      <c r="D121" s="624" t="s">
        <v>143</v>
      </c>
      <c r="E121" s="534"/>
      <c r="F121" s="662">
        <f>SUM(G113)</f>
        <v>20</v>
      </c>
      <c r="G121" s="534">
        <f>SUM(G113)</f>
        <v>20</v>
      </c>
      <c r="H121" s="533">
        <f>SUM(G121+'1'!G101)</f>
        <v>26</v>
      </c>
      <c r="I121" s="535"/>
      <c r="J121" s="559">
        <f>H121/DAY(B2)</f>
        <v>1.5294117647058822</v>
      </c>
      <c r="N121" s="721"/>
      <c r="O121" s="728"/>
      <c r="P121" s="382"/>
    </row>
    <row r="122" spans="1:16" s="442" customFormat="1" ht="27.75">
      <c r="A122" s="1541"/>
      <c r="B122" s="1542"/>
      <c r="C122" s="1224"/>
      <c r="D122" s="560"/>
      <c r="E122" s="560"/>
      <c r="F122" s="664" t="s">
        <v>214</v>
      </c>
      <c r="G122" s="560"/>
      <c r="H122" s="561"/>
      <c r="I122" s="560"/>
      <c r="J122" s="562"/>
      <c r="N122" s="721"/>
      <c r="O122" s="728"/>
      <c r="P122" s="382"/>
    </row>
    <row r="123" spans="1:16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26" t="s">
        <v>230</v>
      </c>
      <c r="B124" s="1227"/>
      <c r="C124" s="1227"/>
      <c r="D124" s="523" t="s">
        <v>140</v>
      </c>
      <c r="E124" s="478">
        <f>'16'!F124</f>
        <v>829338</v>
      </c>
      <c r="F124" s="478">
        <v>829552</v>
      </c>
      <c r="G124" s="473">
        <f t="shared" ref="G124:G128" si="12">F124-E124</f>
        <v>214</v>
      </c>
      <c r="H124" s="460">
        <f>G124+'16'!H124</f>
        <v>3463.5400000000373</v>
      </c>
      <c r="I124" s="526"/>
      <c r="J124" s="552">
        <f>H124/DAY(B2)</f>
        <v>203.73764705882573</v>
      </c>
      <c r="K124" s="380"/>
      <c r="L124" s="377"/>
      <c r="N124" s="721"/>
      <c r="O124" s="728"/>
      <c r="P124" s="382"/>
    </row>
    <row r="125" spans="1:16" ht="27.75">
      <c r="A125" s="1226" t="s">
        <v>231</v>
      </c>
      <c r="B125" s="1227"/>
      <c r="C125" s="1227"/>
      <c r="D125" s="523" t="s">
        <v>140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30" t="s">
        <v>232</v>
      </c>
      <c r="B126" s="1531"/>
      <c r="C126" s="1532"/>
      <c r="D126" s="523" t="s">
        <v>140</v>
      </c>
      <c r="E126" s="478">
        <f>'16'!F126</f>
        <v>145593</v>
      </c>
      <c r="F126" s="478">
        <v>145639</v>
      </c>
      <c r="G126" s="473">
        <f t="shared" si="12"/>
        <v>46</v>
      </c>
      <c r="H126" s="460">
        <f>G126+'16'!H126</f>
        <v>951.55999999999767</v>
      </c>
      <c r="I126" s="526"/>
      <c r="J126" s="552">
        <f>H126/DAY(B2)</f>
        <v>55.974117647058684</v>
      </c>
      <c r="K126" s="380"/>
      <c r="L126" s="377"/>
      <c r="N126" s="721"/>
      <c r="O126" s="728"/>
      <c r="P126" s="382"/>
    </row>
    <row r="127" spans="1:16" ht="27.75">
      <c r="A127" s="609" t="s">
        <v>233</v>
      </c>
      <c r="B127" s="1227"/>
      <c r="C127" s="1227"/>
      <c r="D127" s="523" t="s">
        <v>140</v>
      </c>
      <c r="E127" s="626">
        <f>'16'!F127</f>
        <v>31404</v>
      </c>
      <c r="F127" s="626">
        <v>31404</v>
      </c>
      <c r="G127" s="473">
        <f t="shared" si="12"/>
        <v>0</v>
      </c>
      <c r="H127" s="460">
        <f>G127+'16'!H127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234</v>
      </c>
      <c r="B128" s="1227"/>
      <c r="C128" s="1227"/>
      <c r="D128" s="523" t="s">
        <v>140</v>
      </c>
      <c r="E128" s="626">
        <f>'16'!F128</f>
        <v>8971</v>
      </c>
      <c r="F128" s="626">
        <v>8971</v>
      </c>
      <c r="G128" s="473">
        <f t="shared" si="12"/>
        <v>0</v>
      </c>
      <c r="H128" s="460">
        <f>G128+'16'!H128</f>
        <v>1.2999999999992724</v>
      </c>
      <c r="I128" s="480"/>
      <c r="J128" s="552">
        <f>H128/DAY(B2)</f>
        <v>7.6470588235251324E-2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235</v>
      </c>
      <c r="B129" s="1227"/>
      <c r="C129" s="1227"/>
      <c r="D129" s="523"/>
      <c r="E129" s="478"/>
      <c r="F129" s="478"/>
      <c r="G129" s="473">
        <f>G15-SUM(G124:G128)</f>
        <v>302</v>
      </c>
      <c r="H129" s="460">
        <f>G129+'16'!H129</f>
        <v>353</v>
      </c>
      <c r="I129" s="480"/>
      <c r="J129" s="552">
        <f>H129/DAY(B2)</f>
        <v>20.764705882352942</v>
      </c>
      <c r="K129" s="364"/>
      <c r="L129" s="292"/>
      <c r="N129" s="721"/>
      <c r="O129" s="728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26" t="s">
        <v>237</v>
      </c>
      <c r="B131" s="1227"/>
      <c r="C131" s="1227"/>
      <c r="D131" s="523" t="s">
        <v>238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26" t="s">
        <v>239</v>
      </c>
      <c r="B132" s="1227"/>
      <c r="C132" s="1227"/>
      <c r="D132" s="523" t="s">
        <v>238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26" t="s">
        <v>240</v>
      </c>
      <c r="B133" s="1227"/>
      <c r="C133" s="1227"/>
      <c r="D133" s="523" t="s">
        <v>238</v>
      </c>
      <c r="E133" s="541">
        <f>'16'!F133</f>
        <v>40031.519999999997</v>
      </c>
      <c r="F133" s="654">
        <v>40031.519999999997</v>
      </c>
      <c r="G133" s="473">
        <f t="shared" si="13"/>
        <v>0</v>
      </c>
      <c r="H133" s="460">
        <f>G133+'16'!H133</f>
        <v>285.0399999999936</v>
      </c>
      <c r="I133" s="480"/>
      <c r="J133" s="552">
        <f>H133/DAY(B2)</f>
        <v>16.767058823529034</v>
      </c>
      <c r="N133" s="721"/>
      <c r="O133" s="728"/>
      <c r="P133" s="382"/>
    </row>
    <row r="134" spans="1:16" ht="27.75">
      <c r="A134" s="1226" t="s">
        <v>241</v>
      </c>
      <c r="B134" s="1227"/>
      <c r="C134" s="1227"/>
      <c r="D134" s="523" t="s">
        <v>238</v>
      </c>
      <c r="E134" s="704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226" t="s">
        <v>242</v>
      </c>
      <c r="B135" s="1227"/>
      <c r="C135" s="1227"/>
      <c r="D135" s="523" t="s">
        <v>238</v>
      </c>
      <c r="E135" s="704">
        <f>'16'!F135</f>
        <v>41492.65</v>
      </c>
      <c r="F135" s="626">
        <v>41517.1</v>
      </c>
      <c r="G135" s="473">
        <f t="shared" si="13"/>
        <v>24.44999999999709</v>
      </c>
      <c r="H135" s="460">
        <f>G135+'16'!H135</f>
        <v>132.09999999999854</v>
      </c>
      <c r="I135" s="480"/>
      <c r="J135" s="552">
        <f>H135/DAY(B2)</f>
        <v>7.7705882352940323</v>
      </c>
      <c r="N135" s="721"/>
      <c r="O135" s="728"/>
      <c r="P135" s="382"/>
    </row>
    <row r="136" spans="1:16" ht="27.75">
      <c r="A136" s="1226" t="s">
        <v>243</v>
      </c>
      <c r="B136" s="1227"/>
      <c r="C136" s="1227"/>
      <c r="D136" s="523" t="s">
        <v>238</v>
      </c>
      <c r="E136" s="541">
        <f>'16'!F136</f>
        <v>32582.98</v>
      </c>
      <c r="F136" s="654">
        <v>32582.98</v>
      </c>
      <c r="G136" s="473">
        <f t="shared" si="13"/>
        <v>0</v>
      </c>
      <c r="H136" s="460">
        <f>G136+'16'!H136</f>
        <v>-2.0000000000436557E-2</v>
      </c>
      <c r="I136" s="480"/>
      <c r="J136" s="552">
        <f>H136/DAY(B2)</f>
        <v>-1.176470588260974E-3</v>
      </c>
      <c r="N136" s="721"/>
      <c r="O136" s="728"/>
      <c r="P136" s="382"/>
    </row>
    <row r="137" spans="1:16" ht="27.75">
      <c r="A137" s="1226" t="s">
        <v>244</v>
      </c>
      <c r="B137" s="1227"/>
      <c r="C137" s="1227"/>
      <c r="D137" s="523" t="s">
        <v>238</v>
      </c>
      <c r="E137" s="541">
        <f>'16'!F137</f>
        <v>22766.92</v>
      </c>
      <c r="F137" s="654">
        <v>22773.200000000001</v>
      </c>
      <c r="G137" s="473">
        <f t="shared" si="13"/>
        <v>6.2800000000024738</v>
      </c>
      <c r="H137" s="460">
        <f>G137+'16'!H137</f>
        <v>33.610000000000582</v>
      </c>
      <c r="I137" s="480">
        <f>G135+G136+G137</f>
        <v>30.729999999999563</v>
      </c>
      <c r="J137" s="552">
        <f>H137/DAY(B2)</f>
        <v>1.977058823529446</v>
      </c>
      <c r="N137" s="721"/>
      <c r="O137" s="728"/>
      <c r="P137" s="382"/>
    </row>
    <row r="138" spans="1:16" ht="27.75">
      <c r="A138" s="1226" t="s">
        <v>245</v>
      </c>
      <c r="B138" s="1227"/>
      <c r="C138" s="1227"/>
      <c r="D138" s="523" t="s">
        <v>238</v>
      </c>
      <c r="E138" s="541">
        <f>'16'!F138</f>
        <v>25051.72</v>
      </c>
      <c r="F138" s="654">
        <v>25051.72</v>
      </c>
      <c r="G138" s="473">
        <f t="shared" si="13"/>
        <v>0</v>
      </c>
      <c r="H138" s="460">
        <f>G138+'16'!H138</f>
        <v>0.13000000000101863</v>
      </c>
      <c r="I138" s="480"/>
      <c r="J138" s="552">
        <f>H138/DAY(B2)</f>
        <v>7.6470588235893313E-3</v>
      </c>
      <c r="N138" s="721"/>
      <c r="O138" s="728"/>
      <c r="P138" s="382"/>
    </row>
    <row r="139" spans="1:16" ht="27.75">
      <c r="A139" s="1226" t="s">
        <v>246</v>
      </c>
      <c r="B139" s="1227"/>
      <c r="C139" s="1227"/>
      <c r="D139" s="523" t="s">
        <v>238</v>
      </c>
      <c r="E139" s="541">
        <f>'16'!F139</f>
        <v>70361.47</v>
      </c>
      <c r="F139" s="654">
        <v>70361.47</v>
      </c>
      <c r="G139" s="473">
        <f t="shared" si="13"/>
        <v>0</v>
      </c>
      <c r="H139" s="460">
        <f>G139+'16'!H139</f>
        <v>45.660000000003492</v>
      </c>
      <c r="I139" s="480">
        <f>G138+G139</f>
        <v>0</v>
      </c>
      <c r="J139" s="552">
        <f>H139/DAY(B2)</f>
        <v>2.6858823529413818</v>
      </c>
      <c r="N139" s="721"/>
      <c r="O139" s="728"/>
      <c r="P139" s="382"/>
    </row>
    <row r="140" spans="1:16" ht="27.75">
      <c r="A140" s="1226" t="s">
        <v>247</v>
      </c>
      <c r="B140" s="1227"/>
      <c r="C140" s="1227"/>
      <c r="D140" s="523" t="s">
        <v>238</v>
      </c>
      <c r="E140" s="704">
        <f>'16'!F140</f>
        <v>1739.48</v>
      </c>
      <c r="F140" s="626">
        <v>1747.53</v>
      </c>
      <c r="G140" s="473">
        <f t="shared" si="13"/>
        <v>8.0499999999999545</v>
      </c>
      <c r="H140" s="460">
        <f>G140+'16'!H140</f>
        <v>130.67000000000007</v>
      </c>
      <c r="I140" s="542"/>
      <c r="J140" s="552">
        <f>H140/DAY(B2)</f>
        <v>7.6864705882352986</v>
      </c>
      <c r="N140" s="721"/>
      <c r="O140" s="728"/>
      <c r="P140" s="382"/>
    </row>
    <row r="141" spans="1:16" ht="27.75">
      <c r="A141" s="1226" t="s">
        <v>248</v>
      </c>
      <c r="B141" s="1227"/>
      <c r="C141" s="1227"/>
      <c r="D141" s="523" t="s">
        <v>238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21"/>
      <c r="O141" s="728"/>
      <c r="P141" s="382"/>
    </row>
    <row r="142" spans="1:16">
      <c r="A142" s="1557" t="s">
        <v>249</v>
      </c>
      <c r="B142" s="1558"/>
      <c r="C142" s="1232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v>3349</v>
      </c>
      <c r="H143" s="460">
        <f>G143+'16'!H143</f>
        <v>70663.33</v>
      </c>
      <c r="I143" s="480"/>
      <c r="J143" s="552">
        <f>H143/DAY(B2)</f>
        <v>4156.6664705882358</v>
      </c>
      <c r="K143" s="380"/>
      <c r="L143" s="377"/>
      <c r="N143" s="721"/>
      <c r="O143" s="728"/>
      <c r="P143" s="382"/>
    </row>
    <row r="144" spans="1:16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0.22518827326519633</v>
      </c>
      <c r="H144" s="460">
        <f>G144+'16'!H144</f>
        <v>4.5247800289355311</v>
      </c>
      <c r="I144" s="544"/>
      <c r="J144" s="552">
        <f>H144/DAY(B2)</f>
        <v>0.26616353111385477</v>
      </c>
      <c r="K144" s="380"/>
      <c r="L144" s="377"/>
      <c r="N144" s="721"/>
      <c r="O144" s="728"/>
      <c r="P144" s="382"/>
    </row>
    <row r="145" spans="1:16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4494</v>
      </c>
      <c r="H145" s="460">
        <f>G145+'16'!H145</f>
        <v>82327</v>
      </c>
      <c r="I145" s="480"/>
      <c r="J145" s="552">
        <f>H145/DAY(B2)</f>
        <v>4842.7647058823532</v>
      </c>
      <c r="K145" s="380"/>
      <c r="L145" s="377"/>
      <c r="N145" s="721"/>
      <c r="O145" s="728"/>
      <c r="P145" s="382"/>
    </row>
    <row r="146" spans="1:16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0.30217859064012909</v>
      </c>
      <c r="H146" s="460">
        <f>G146+'16'!H146</f>
        <v>5.279981423389783</v>
      </c>
      <c r="I146" s="544"/>
      <c r="J146" s="552">
        <f>H146/DAY(B2)</f>
        <v>0.31058714255234016</v>
      </c>
      <c r="K146" s="380"/>
      <c r="L146" s="377"/>
      <c r="N146" s="721"/>
      <c r="O146" s="728"/>
      <c r="P146" s="382"/>
    </row>
    <row r="147" spans="1:16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2646</v>
      </c>
      <c r="H147" s="460">
        <f>G147+'16'!H147</f>
        <v>39473</v>
      </c>
      <c r="I147" s="545"/>
      <c r="J147" s="552">
        <f>H147/DAY(B2)</f>
        <v>2321.9411764705883</v>
      </c>
      <c r="K147" s="380"/>
      <c r="L147" s="377"/>
      <c r="N147" s="721"/>
      <c r="O147" s="728"/>
      <c r="P147" s="382"/>
    </row>
    <row r="148" spans="1:16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0.17791823561054329</v>
      </c>
      <c r="H148" s="460">
        <f>G148+'16'!H148</f>
        <v>2.5311626396151934</v>
      </c>
      <c r="I148" s="545"/>
      <c r="J148" s="552">
        <f>H148/DAY(B2)</f>
        <v>0.14889191997736431</v>
      </c>
      <c r="N148" s="721"/>
      <c r="O148" s="728"/>
      <c r="P148" s="382"/>
    </row>
    <row r="149" spans="1:16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1050</v>
      </c>
      <c r="H149" s="460">
        <f>G149+'16'!H149</f>
        <v>20188</v>
      </c>
      <c r="I149" s="480"/>
      <c r="J149" s="552">
        <f>H149/DAY(B2)</f>
        <v>1187.5294117647059</v>
      </c>
      <c r="K149" s="381"/>
      <c r="N149" s="721"/>
      <c r="O149" s="728"/>
      <c r="P149" s="382"/>
    </row>
    <row r="150" spans="1:16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7.06024744486283E-2</v>
      </c>
      <c r="H150" s="460">
        <f>G150+'16'!H150</f>
        <v>1.2933506638576637</v>
      </c>
      <c r="I150" s="545"/>
      <c r="J150" s="552">
        <f>H150/DAY(B2)</f>
        <v>7.6079450815156685E-2</v>
      </c>
      <c r="N150" s="721"/>
      <c r="O150" s="728"/>
      <c r="P150" s="382"/>
    </row>
    <row r="151" spans="1:16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762</v>
      </c>
      <c r="H151" s="460">
        <f>G151+'16'!H151</f>
        <v>17928</v>
      </c>
      <c r="I151" s="545"/>
      <c r="J151" s="552">
        <f>H151/DAY(B2)</f>
        <v>1054.5882352941176</v>
      </c>
      <c r="N151" s="721"/>
      <c r="O151" s="728"/>
      <c r="P151" s="382"/>
    </row>
    <row r="152" spans="1:16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5.1237224314147393E-2</v>
      </c>
      <c r="H152" s="460">
        <f>G152+'16'!H152</f>
        <v>1.1408068871387758</v>
      </c>
      <c r="I152" s="480"/>
      <c r="J152" s="552">
        <f>H152/DAY(B2)</f>
        <v>6.7106287478751511E-2</v>
      </c>
      <c r="N152" s="721"/>
      <c r="O152" s="728"/>
      <c r="P152" s="382"/>
    </row>
    <row r="153" spans="1:16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1338.1300000000047</v>
      </c>
      <c r="H153" s="460">
        <f>G153+'16'!H153</f>
        <v>20916</v>
      </c>
      <c r="I153" s="480"/>
      <c r="J153" s="552">
        <f>H153/DAY(B2)</f>
        <v>1230.3529411764705</v>
      </c>
      <c r="N153" s="721"/>
      <c r="O153" s="728"/>
      <c r="P153" s="382"/>
    </row>
    <row r="154" spans="1:16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8.9976465841850775E-2</v>
      </c>
      <c r="H154" s="460">
        <f>G154+'16'!H154</f>
        <v>1.3421102809206908</v>
      </c>
      <c r="I154" s="568"/>
      <c r="J154" s="569">
        <f>H154/DAY(B2)</f>
        <v>7.8947663583570055E-2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262</v>
      </c>
      <c r="B161" s="798"/>
      <c r="C161" s="798"/>
      <c r="D161" s="620" t="s">
        <v>186</v>
      </c>
      <c r="E161" s="522">
        <f>'16'!F161</f>
        <v>37232</v>
      </c>
      <c r="F161" s="806">
        <v>37311</v>
      </c>
      <c r="G161" s="473">
        <f t="shared" ref="G161:G164" si="14">F161-E161</f>
        <v>79</v>
      </c>
      <c r="N161" s="721"/>
    </row>
    <row r="162" spans="1:14">
      <c r="A162" s="797" t="s">
        <v>263</v>
      </c>
      <c r="B162" s="798"/>
      <c r="C162" s="798"/>
      <c r="D162" s="620" t="s">
        <v>186</v>
      </c>
      <c r="E162" s="522">
        <f>'16'!F162</f>
        <v>89007</v>
      </c>
      <c r="F162" s="806">
        <v>89400</v>
      </c>
      <c r="G162" s="473">
        <f t="shared" si="14"/>
        <v>393</v>
      </c>
      <c r="N162" s="721"/>
    </row>
    <row r="163" spans="1:14">
      <c r="A163" s="797" t="s">
        <v>264</v>
      </c>
      <c r="B163" s="798"/>
      <c r="C163" s="798"/>
      <c r="D163" s="620" t="s">
        <v>186</v>
      </c>
      <c r="E163" s="522">
        <f>'16'!F163</f>
        <v>41864</v>
      </c>
      <c r="F163" s="786">
        <v>42078</v>
      </c>
      <c r="G163" s="473">
        <f t="shared" si="14"/>
        <v>214</v>
      </c>
      <c r="N163" s="721"/>
    </row>
    <row r="164" spans="1:14">
      <c r="A164" s="797" t="s">
        <v>265</v>
      </c>
      <c r="B164" s="798"/>
      <c r="C164" s="798"/>
      <c r="D164" s="620" t="s">
        <v>186</v>
      </c>
      <c r="E164" s="522">
        <f>'16'!F164</f>
        <v>6402</v>
      </c>
      <c r="F164" s="806">
        <v>6420</v>
      </c>
      <c r="G164" s="473">
        <f t="shared" si="14"/>
        <v>18</v>
      </c>
      <c r="N164" s="721"/>
    </row>
    <row r="165" spans="1:14">
      <c r="A165" s="799" t="s">
        <v>98</v>
      </c>
      <c r="B165" s="800"/>
      <c r="C165" s="800"/>
      <c r="D165" s="620" t="s">
        <v>186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21"/>
    </row>
    <row r="166" spans="1:14">
      <c r="A166" s="799" t="s">
        <v>187</v>
      </c>
      <c r="B166" s="800"/>
      <c r="C166" s="800"/>
      <c r="D166" s="620" t="s">
        <v>186</v>
      </c>
      <c r="E166" s="522">
        <f t="shared" ref="E166:E172" si="16">E63</f>
        <v>2419</v>
      </c>
      <c r="F166" s="514">
        <f t="shared" ref="F166:F172" si="17">F63</f>
        <v>2423</v>
      </c>
      <c r="G166" s="473">
        <f t="shared" si="15"/>
        <v>4</v>
      </c>
      <c r="N166" s="721"/>
    </row>
    <row r="167" spans="1:14" ht="27.75">
      <c r="A167" s="1596" t="s">
        <v>99</v>
      </c>
      <c r="B167" s="1596"/>
      <c r="C167" s="1596"/>
      <c r="D167" s="524" t="s">
        <v>186</v>
      </c>
      <c r="E167" s="522">
        <f t="shared" si="16"/>
        <v>156604</v>
      </c>
      <c r="F167" s="514">
        <f t="shared" si="17"/>
        <v>156870</v>
      </c>
      <c r="G167" s="473">
        <f t="shared" si="15"/>
        <v>266</v>
      </c>
      <c r="N167" s="721"/>
    </row>
    <row r="168" spans="1:14" ht="27.75">
      <c r="A168" s="1596" t="s">
        <v>100</v>
      </c>
      <c r="B168" s="1596"/>
      <c r="C168" s="1596"/>
      <c r="D168" s="524" t="s">
        <v>186</v>
      </c>
      <c r="E168" s="522">
        <f t="shared" si="16"/>
        <v>157667</v>
      </c>
      <c r="F168" s="514">
        <v>157951</v>
      </c>
      <c r="G168" s="473">
        <f t="shared" si="15"/>
        <v>284</v>
      </c>
      <c r="N168" s="721"/>
    </row>
    <row r="169" spans="1:14" ht="27.75">
      <c r="A169" s="1596" t="s">
        <v>101</v>
      </c>
      <c r="B169" s="1596"/>
      <c r="C169" s="1596"/>
      <c r="D169" s="524" t="s">
        <v>186</v>
      </c>
      <c r="E169" s="522">
        <f t="shared" si="16"/>
        <v>52707</v>
      </c>
      <c r="F169" s="514">
        <f t="shared" si="17"/>
        <v>52979</v>
      </c>
      <c r="G169" s="473">
        <f t="shared" si="15"/>
        <v>272</v>
      </c>
      <c r="N169" s="721"/>
    </row>
    <row r="170" spans="1:14" ht="27.75">
      <c r="A170" s="1596" t="s">
        <v>102</v>
      </c>
      <c r="B170" s="1596"/>
      <c r="C170" s="1596"/>
      <c r="D170" s="524" t="s">
        <v>186</v>
      </c>
      <c r="E170" s="522">
        <f t="shared" si="16"/>
        <v>246073</v>
      </c>
      <c r="F170" s="514">
        <f t="shared" si="17"/>
        <v>246395</v>
      </c>
      <c r="G170" s="473">
        <f t="shared" si="15"/>
        <v>322</v>
      </c>
      <c r="N170" s="721"/>
    </row>
    <row r="171" spans="1:14" ht="27.75">
      <c r="A171" s="1596" t="s">
        <v>103</v>
      </c>
      <c r="B171" s="1596"/>
      <c r="C171" s="1596"/>
      <c r="D171" s="524" t="s">
        <v>186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21"/>
    </row>
    <row r="172" spans="1:14" ht="27.75">
      <c r="A172" s="1596" t="s">
        <v>104</v>
      </c>
      <c r="B172" s="1596"/>
      <c r="C172" s="1596"/>
      <c r="D172" s="524" t="s">
        <v>186</v>
      </c>
      <c r="E172" s="522">
        <f t="shared" si="16"/>
        <v>80185</v>
      </c>
      <c r="F172" s="514">
        <f t="shared" si="17"/>
        <v>80272</v>
      </c>
      <c r="G172" s="473">
        <f t="shared" si="15"/>
        <v>87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1938.8199999999997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7.25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7.25" customHeight="1">
      <c r="N182" s="721"/>
    </row>
    <row r="183" spans="14:14" ht="18.75" customHeight="1">
      <c r="N183" s="721"/>
    </row>
    <row r="184" spans="14:14" ht="18.75" customHeight="1">
      <c r="N184" s="721"/>
    </row>
    <row r="185" spans="14:14" ht="17.25" customHeight="1">
      <c r="N185" s="721"/>
    </row>
    <row r="186" spans="14:14" ht="17.25" customHeight="1">
      <c r="N186" s="721"/>
    </row>
    <row r="187" spans="14:14" ht="17.25" customHeight="1">
      <c r="N187" s="721"/>
    </row>
    <row r="188" spans="14:14" ht="17.25" customHeight="1">
      <c r="N188" s="721"/>
    </row>
    <row r="189" spans="14:14" ht="17.25" customHeight="1">
      <c r="N189" s="721"/>
    </row>
    <row r="190" spans="14:14" ht="17.25" customHeight="1">
      <c r="N190" s="721"/>
    </row>
    <row r="191" spans="14:14" ht="17.2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4" zoomScale="55" zoomScaleNormal="68" zoomScaleSheetLayoutView="55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6" s="281" customFormat="1" ht="27">
      <c r="A2" s="575" t="s">
        <v>351</v>
      </c>
      <c r="B2" s="1035">
        <v>44334</v>
      </c>
      <c r="C2" s="1329" t="s">
        <v>69</v>
      </c>
      <c r="D2" s="611">
        <v>0.54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20"/>
      <c r="O2" s="727"/>
    </row>
    <row r="3" spans="1:16" s="281" customFormat="1" ht="27">
      <c r="A3" s="570"/>
      <c r="B3" s="614"/>
      <c r="C3" s="1329" t="s">
        <v>119</v>
      </c>
      <c r="D3" s="612">
        <v>29</v>
      </c>
      <c r="E3" s="1568" t="s">
        <v>120</v>
      </c>
      <c r="F3" s="1569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727"/>
    </row>
    <row r="4" spans="1:16" s="281" customFormat="1" ht="27">
      <c r="A4" s="576"/>
      <c r="B4" s="616"/>
      <c r="C4" s="1329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130</v>
      </c>
      <c r="B7" s="680"/>
      <c r="C7" s="680"/>
      <c r="D7" s="638" t="s">
        <v>131</v>
      </c>
      <c r="E7" s="633">
        <f>'17'!F7</f>
        <v>110754</v>
      </c>
      <c r="F7" s="455">
        <v>126096</v>
      </c>
      <c r="G7" s="681">
        <f>F7-E7</f>
        <v>15342</v>
      </c>
      <c r="H7" s="682">
        <f>G7+'17'!H7</f>
        <v>281119</v>
      </c>
      <c r="I7" s="683">
        <f>'1'!I7</f>
        <v>12000</v>
      </c>
      <c r="J7" s="684">
        <f>H7/DAY(B2)</f>
        <v>15617.722222222223</v>
      </c>
      <c r="K7" s="549"/>
      <c r="L7" s="377"/>
      <c r="N7" s="732"/>
      <c r="O7" s="728"/>
      <c r="P7" s="731"/>
    </row>
    <row r="8" spans="1:16" ht="27.75" thickBot="1">
      <c r="A8" s="685" t="s">
        <v>132</v>
      </c>
      <c r="B8" s="686"/>
      <c r="C8" s="687"/>
      <c r="D8" s="688" t="s">
        <v>25</v>
      </c>
      <c r="E8" s="633">
        <f>'17'!F8</f>
        <v>111639</v>
      </c>
      <c r="F8" s="475">
        <v>127135</v>
      </c>
      <c r="G8" s="692">
        <f>F8-E8</f>
        <v>15496</v>
      </c>
      <c r="H8" s="682">
        <f>G8+'17'!H8</f>
        <v>282894</v>
      </c>
      <c r="I8" s="689">
        <f>'1'!I8</f>
        <v>12000</v>
      </c>
      <c r="J8" s="684">
        <f>H8/DAY(B2)</f>
        <v>15716.333333333334</v>
      </c>
      <c r="K8" s="549"/>
      <c r="L8" s="425"/>
      <c r="M8" s="440"/>
      <c r="N8" s="721"/>
      <c r="O8" s="728"/>
      <c r="P8" s="382"/>
    </row>
    <row r="9" spans="1:16">
      <c r="A9" s="690" t="s">
        <v>133</v>
      </c>
      <c r="B9" s="691"/>
      <c r="C9" s="691"/>
      <c r="D9" s="638" t="s">
        <v>131</v>
      </c>
      <c r="E9" s="633">
        <f>'17'!F9</f>
        <v>1247690</v>
      </c>
      <c r="F9" s="478">
        <v>1262526</v>
      </c>
      <c r="G9" s="705">
        <f t="shared" ref="G9:G12" si="0">F9-E9</f>
        <v>14836</v>
      </c>
      <c r="H9" s="682">
        <f>G9+'17'!H9</f>
        <v>271812</v>
      </c>
      <c r="I9" s="693">
        <f>I7-J7</f>
        <v>-3617.7222222222226</v>
      </c>
      <c r="J9" s="684">
        <f>H9/DAY(B2)</f>
        <v>15100.666666666666</v>
      </c>
      <c r="K9" s="428"/>
      <c r="L9" s="377"/>
      <c r="N9" s="721"/>
      <c r="O9" s="728"/>
      <c r="P9" s="382"/>
    </row>
    <row r="10" spans="1:16">
      <c r="A10" s="679" t="s">
        <v>134</v>
      </c>
      <c r="B10" s="680"/>
      <c r="C10" s="680"/>
      <c r="D10" s="638" t="s">
        <v>131</v>
      </c>
      <c r="E10" s="633">
        <f>'17'!F10</f>
        <v>2322.58</v>
      </c>
      <c r="F10" s="478">
        <v>2322.58</v>
      </c>
      <c r="G10" s="692">
        <f t="shared" si="0"/>
        <v>0</v>
      </c>
      <c r="H10" s="682">
        <f>G10+'17'!H10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135</v>
      </c>
      <c r="B11" s="680"/>
      <c r="C11" s="680"/>
      <c r="D11" s="638" t="s">
        <v>131</v>
      </c>
      <c r="E11" s="633">
        <f>'17'!F11</f>
        <v>37000</v>
      </c>
      <c r="F11" s="455">
        <v>37000</v>
      </c>
      <c r="G11" s="692">
        <f t="shared" si="0"/>
        <v>0</v>
      </c>
      <c r="H11" s="682">
        <f>G11+'17'!H11</f>
        <v>0</v>
      </c>
      <c r="I11" s="694"/>
      <c r="J11" s="684">
        <f>H11/DAY(B2)</f>
        <v>0</v>
      </c>
      <c r="K11" s="428"/>
      <c r="L11" s="377"/>
      <c r="N11" s="721">
        <f>G8-866</f>
        <v>14630</v>
      </c>
      <c r="O11" s="728"/>
      <c r="P11" s="382"/>
    </row>
    <row r="12" spans="1:16">
      <c r="A12" s="679" t="s">
        <v>136</v>
      </c>
      <c r="B12" s="680"/>
      <c r="C12" s="680"/>
      <c r="D12" s="638" t="s">
        <v>131</v>
      </c>
      <c r="E12" s="633">
        <f>'17'!F12</f>
        <v>40010</v>
      </c>
      <c r="F12" s="478">
        <v>40010</v>
      </c>
      <c r="G12" s="692">
        <f t="shared" si="0"/>
        <v>0</v>
      </c>
      <c r="H12" s="682">
        <f>G12+'17'!H12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137</v>
      </c>
      <c r="B13" s="696"/>
      <c r="C13" s="696"/>
      <c r="D13" s="638"/>
      <c r="E13" s="633"/>
      <c r="F13" s="455"/>
      <c r="G13" s="697">
        <f>G9+G10+G11+G12</f>
        <v>14836</v>
      </c>
      <c r="H13" s="682">
        <f>G13+'17'!H13</f>
        <v>257291</v>
      </c>
      <c r="I13" s="698">
        <f>G7-G13</f>
        <v>506</v>
      </c>
      <c r="J13" s="684">
        <f>H13/DAY(B2)</f>
        <v>14293.944444444445</v>
      </c>
      <c r="K13" s="428"/>
      <c r="L13" s="377"/>
      <c r="N13" s="721"/>
      <c r="O13" s="728"/>
      <c r="P13" s="382"/>
    </row>
    <row r="14" spans="1:16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139</v>
      </c>
      <c r="B15" s="796"/>
      <c r="C15" s="796"/>
      <c r="D15" s="524" t="s">
        <v>140</v>
      </c>
      <c r="E15" s="485">
        <f>'17'!F15</f>
        <v>1677980</v>
      </c>
      <c r="F15" s="485">
        <v>1678380</v>
      </c>
      <c r="G15" s="667">
        <f>(F15-E15)</f>
        <v>400</v>
      </c>
      <c r="H15" s="486">
        <f>G15+'17'!H15</f>
        <v>7723</v>
      </c>
      <c r="I15" s="474">
        <f>'1'!I15</f>
        <v>800</v>
      </c>
      <c r="J15" s="553">
        <f>H15/DAY(B2)</f>
        <v>429.05555555555554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370.94444444444446</v>
      </c>
      <c r="J16" s="553"/>
      <c r="K16" s="428"/>
      <c r="L16" s="377"/>
      <c r="N16" s="721"/>
      <c r="O16" s="728"/>
      <c r="P16" s="382"/>
    </row>
    <row r="17" spans="1:16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1" t="s">
        <v>142</v>
      </c>
      <c r="B18" s="1592"/>
      <c r="C18" s="1593"/>
      <c r="D18" s="638" t="s">
        <v>143</v>
      </c>
      <c r="E18" s="635">
        <f>'17'!F18</f>
        <v>2</v>
      </c>
      <c r="F18" s="478">
        <v>0</v>
      </c>
      <c r="G18" s="697">
        <f>F18*10</f>
        <v>0</v>
      </c>
      <c r="H18" s="682">
        <f>G18+'17'!H18</f>
        <v>640</v>
      </c>
      <c r="I18" s="683">
        <f>'1'!I18</f>
        <v>65</v>
      </c>
      <c r="J18" s="684">
        <f>H18/DAY(B2)</f>
        <v>35.555555555555557</v>
      </c>
      <c r="K18" s="428"/>
      <c r="L18" s="377"/>
      <c r="N18" s="721"/>
      <c r="O18" s="728"/>
      <c r="P18" s="382"/>
    </row>
    <row r="19" spans="1:16" ht="27.75">
      <c r="A19" s="1591" t="s">
        <v>71</v>
      </c>
      <c r="B19" s="1592"/>
      <c r="C19" s="1593"/>
      <c r="D19" s="638" t="s">
        <v>143</v>
      </c>
      <c r="E19" s="635">
        <f>'17'!F19</f>
        <v>138744</v>
      </c>
      <c r="F19" s="478">
        <v>138849</v>
      </c>
      <c r="G19" s="692">
        <f t="shared" ref="G19" si="1">F19-E19</f>
        <v>105</v>
      </c>
      <c r="H19" s="682">
        <f>G19+'17'!H19</f>
        <v>1037</v>
      </c>
      <c r="I19" s="699"/>
      <c r="J19" s="684">
        <f>H19/DAY(B2)</f>
        <v>57.611111111111114</v>
      </c>
      <c r="K19" s="428"/>
      <c r="L19" s="377"/>
      <c r="N19" s="721"/>
      <c r="O19" s="728"/>
      <c r="P19" s="382"/>
    </row>
    <row r="20" spans="1:16">
      <c r="A20" s="695" t="s">
        <v>144</v>
      </c>
      <c r="B20" s="696"/>
      <c r="C20" s="696"/>
      <c r="D20" s="638"/>
      <c r="E20" s="638"/>
      <c r="F20" s="712"/>
      <c r="G20" s="700">
        <f>G18+G19</f>
        <v>105</v>
      </c>
      <c r="H20" s="682">
        <f>G20+'17'!H20</f>
        <v>1677</v>
      </c>
      <c r="I20" s="701">
        <f>I18-J20</f>
        <v>-28.166666666666671</v>
      </c>
      <c r="J20" s="684">
        <f>H20/DAY(B2)</f>
        <v>93.166666666666671</v>
      </c>
      <c r="K20" s="428"/>
      <c r="L20" s="377"/>
      <c r="N20" s="721"/>
      <c r="O20" s="728"/>
      <c r="P20" s="382"/>
    </row>
    <row r="21" spans="1:16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327" t="s">
        <v>146</v>
      </c>
      <c r="B22" s="589"/>
      <c r="C22" s="589"/>
      <c r="D22" s="523" t="s">
        <v>147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327" t="s">
        <v>148</v>
      </c>
      <c r="B23" s="589"/>
      <c r="C23" s="589"/>
      <c r="D23" s="523" t="s">
        <v>147</v>
      </c>
      <c r="E23" s="635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15496</v>
      </c>
      <c r="F27" s="501">
        <v>9</v>
      </c>
      <c r="G27" s="502">
        <f>E27*F27</f>
        <v>139464</v>
      </c>
      <c r="H27" s="460">
        <f>G27+'17'!H27</f>
        <v>2546046</v>
      </c>
      <c r="I27" s="503"/>
      <c r="J27" s="552">
        <f>H27/DAY(B2)</f>
        <v>141447</v>
      </c>
      <c r="K27" s="373"/>
      <c r="L27" s="443"/>
      <c r="N27" s="721"/>
      <c r="O27" s="72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2">
        <f>G15</f>
        <v>400</v>
      </c>
      <c r="F28" s="501">
        <v>51.45</v>
      </c>
      <c r="G28" s="502">
        <f>E28*F28</f>
        <v>20580</v>
      </c>
      <c r="H28" s="460">
        <f>G28+'17'!H28</f>
        <v>386865.82899999985</v>
      </c>
      <c r="I28" s="505"/>
      <c r="J28" s="552">
        <f>H28/DAY(B2)</f>
        <v>21492.546055555547</v>
      </c>
      <c r="K28" s="373"/>
      <c r="L28" s="443"/>
      <c r="N28" s="721"/>
      <c r="O28" s="72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2">
        <f>G19</f>
        <v>105</v>
      </c>
      <c r="F30" s="501">
        <v>134</v>
      </c>
      <c r="G30" s="502">
        <f>E30*F30</f>
        <v>14070</v>
      </c>
      <c r="H30" s="460">
        <f>G30+'17'!H30</f>
        <v>138958</v>
      </c>
      <c r="I30" s="505"/>
      <c r="J30" s="552">
        <f>H30/DAY(B2)</f>
        <v>7719.8888888888887</v>
      </c>
      <c r="K30" s="373"/>
      <c r="L30" s="443"/>
      <c r="N30" s="721"/>
      <c r="O30" s="72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2">
        <f>G18</f>
        <v>0</v>
      </c>
      <c r="F31" s="501">
        <v>80</v>
      </c>
      <c r="G31" s="502">
        <f>E31*F31</f>
        <v>0</v>
      </c>
      <c r="H31" s="460">
        <f>G31+'17'!H31</f>
        <v>51200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174114</v>
      </c>
      <c r="H32" s="460">
        <f>G32+'17'!H32</f>
        <v>3123069.8289999999</v>
      </c>
      <c r="I32" s="509"/>
      <c r="J32" s="552">
        <f>H32/DAY(B2)</f>
        <v>173503.87938888889</v>
      </c>
      <c r="K32" s="373"/>
      <c r="L32" s="443"/>
      <c r="N32" s="721"/>
      <c r="O32" s="728"/>
      <c r="P32" s="382"/>
    </row>
    <row r="33" spans="1:16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721"/>
      <c r="O33" s="728"/>
      <c r="P33" s="382"/>
    </row>
    <row r="34" spans="1:16">
      <c r="A34" s="598" t="s">
        <v>162</v>
      </c>
      <c r="B34" s="1332"/>
      <c r="C34" s="1332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'17'!F35</f>
        <v>920574</v>
      </c>
      <c r="F35" s="510">
        <v>922104</v>
      </c>
      <c r="G35" s="473">
        <f>F35-E35</f>
        <v>1530</v>
      </c>
      <c r="H35" s="460">
        <f>G35+'17'!H35</f>
        <v>35645</v>
      </c>
      <c r="I35" s="455"/>
      <c r="J35" s="552">
        <f>H35/DAY(B2)</f>
        <v>1980.2777777777778</v>
      </c>
      <c r="K35" s="428"/>
      <c r="L35" s="377"/>
      <c r="N35" s="721"/>
      <c r="O35" s="729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'17'!F36</f>
        <v>347065</v>
      </c>
      <c r="F36" s="510">
        <v>347065</v>
      </c>
      <c r="G36" s="473">
        <f t="shared" ref="G36:G46" si="3">F36-E36</f>
        <v>0</v>
      </c>
      <c r="H36" s="460">
        <f>G36+'17'!H36</f>
        <v>2457</v>
      </c>
      <c r="I36" s="455"/>
      <c r="J36" s="552">
        <f>H36/DAY(B2)</f>
        <v>136.5</v>
      </c>
      <c r="K36" s="428"/>
      <c r="L36" s="377"/>
      <c r="N36" s="722"/>
      <c r="O36" s="729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'17'!F37</f>
        <v>116141</v>
      </c>
      <c r="F37" s="510">
        <v>117395</v>
      </c>
      <c r="G37" s="473">
        <f>F37-E37</f>
        <v>1254</v>
      </c>
      <c r="H37" s="460">
        <f>G37+'17'!H37</f>
        <v>22170</v>
      </c>
      <c r="I37" s="455"/>
      <c r="J37" s="552">
        <f>H37/DAY(B2)</f>
        <v>1231.6666666666667</v>
      </c>
      <c r="K37" s="428"/>
      <c r="L37" s="377"/>
      <c r="N37" s="722"/>
      <c r="O37" s="729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'17'!F38</f>
        <v>139784</v>
      </c>
      <c r="F38" s="469">
        <v>140865</v>
      </c>
      <c r="G38" s="473">
        <f t="shared" si="3"/>
        <v>1081</v>
      </c>
      <c r="H38" s="460">
        <f>G38+'17'!H38</f>
        <v>21269</v>
      </c>
      <c r="I38" s="455"/>
      <c r="J38" s="552">
        <f>H38/DAY(B2)</f>
        <v>1181.6111111111111</v>
      </c>
      <c r="K38" s="428"/>
      <c r="L38" s="377"/>
      <c r="N38" s="721"/>
      <c r="O38" s="728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'17'!F39</f>
        <v>277493</v>
      </c>
      <c r="F39" s="510">
        <v>279594</v>
      </c>
      <c r="G39" s="473">
        <f>F39-E39</f>
        <v>2101</v>
      </c>
      <c r="H39" s="460">
        <f>G39+'17'!H39</f>
        <v>32941</v>
      </c>
      <c r="I39" s="455"/>
      <c r="J39" s="552">
        <f>H39/DAY(B2)</f>
        <v>1830.0555555555557</v>
      </c>
      <c r="K39" s="428"/>
      <c r="L39" s="377"/>
      <c r="N39" s="721"/>
      <c r="O39" s="729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'17'!F40</f>
        <v>430</v>
      </c>
      <c r="F40" s="510">
        <v>519</v>
      </c>
      <c r="G40" s="473">
        <f t="shared" si="3"/>
        <v>89</v>
      </c>
      <c r="H40" s="460">
        <f>G40+'17'!H40</f>
        <v>518.77</v>
      </c>
      <c r="I40" s="455"/>
      <c r="J40" s="552">
        <f>H40/DAY(B2)</f>
        <v>28.820555555555554</v>
      </c>
      <c r="K40" s="429"/>
      <c r="L40" s="377"/>
      <c r="N40" s="721"/>
      <c r="O40" s="728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'17'!F41</f>
        <v>239668</v>
      </c>
      <c r="F41" s="510">
        <v>239668</v>
      </c>
      <c r="G41" s="473">
        <f t="shared" si="3"/>
        <v>0</v>
      </c>
      <c r="H41" s="460">
        <f>G41+'17'!H41</f>
        <v>58140</v>
      </c>
      <c r="I41" s="455"/>
      <c r="J41" s="552">
        <f>H41/DAY(B2)</f>
        <v>3230</v>
      </c>
      <c r="K41" s="428"/>
      <c r="L41" s="377"/>
      <c r="N41" s="721"/>
      <c r="O41" s="730"/>
      <c r="P41" s="724"/>
    </row>
    <row r="42" spans="1:16">
      <c r="A42" s="578" t="s">
        <v>170</v>
      </c>
      <c r="B42" s="579"/>
      <c r="C42" s="579"/>
      <c r="D42" s="523" t="s">
        <v>131</v>
      </c>
      <c r="E42" s="510">
        <f>'17'!F42</f>
        <v>59200</v>
      </c>
      <c r="F42" s="510">
        <v>59200</v>
      </c>
      <c r="G42" s="473">
        <f t="shared" si="3"/>
        <v>0</v>
      </c>
      <c r="H42" s="460">
        <f>G42+'17'!H42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'17'!F43</f>
        <v>1010795</v>
      </c>
      <c r="F43" s="510">
        <v>1012910</v>
      </c>
      <c r="G43" s="473">
        <f t="shared" si="3"/>
        <v>2115</v>
      </c>
      <c r="H43" s="460">
        <f>G43+'17'!H43</f>
        <v>38952</v>
      </c>
      <c r="I43" s="455"/>
      <c r="J43" s="552">
        <f>H43/DAY(B2)</f>
        <v>2164</v>
      </c>
      <c r="K43" s="428"/>
      <c r="L43" s="377"/>
      <c r="N43" s="721"/>
      <c r="O43" s="729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21"/>
      <c r="O46" s="728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8169.95</v>
      </c>
      <c r="H47" s="460">
        <f>G47+'17'!H47</f>
        <v>212093.21000000002</v>
      </c>
      <c r="I47" s="455"/>
      <c r="J47" s="552">
        <f>H47/DAY(B2)</f>
        <v>11782.956111111112</v>
      </c>
      <c r="K47" s="428"/>
      <c r="L47" s="377"/>
      <c r="N47" s="721"/>
      <c r="O47" s="728"/>
      <c r="P47" s="382"/>
    </row>
    <row r="48" spans="1:16">
      <c r="A48" s="598" t="s">
        <v>176</v>
      </c>
      <c r="B48" s="1332"/>
      <c r="C48" s="1332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</v>
      </c>
      <c r="I49" s="455"/>
      <c r="J49" s="552">
        <f>H49/DAY(B2)</f>
        <v>0</v>
      </c>
      <c r="K49" s="428">
        <f>E49+247</f>
        <v>260979.13</v>
      </c>
      <c r="L49" s="377"/>
      <c r="N49" s="721"/>
      <c r="O49" s="728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'17'!F50</f>
        <v>490007</v>
      </c>
      <c r="F50" s="510">
        <v>490809</v>
      </c>
      <c r="G50" s="473">
        <f t="shared" si="4"/>
        <v>802</v>
      </c>
      <c r="H50" s="460">
        <f>G50+'17'!H50</f>
        <v>15334</v>
      </c>
      <c r="I50" s="455"/>
      <c r="J50" s="552">
        <f>H50/DAY(B2)</f>
        <v>851.88888888888891</v>
      </c>
      <c r="K50" s="428"/>
      <c r="L50" s="377"/>
      <c r="N50" s="721"/>
      <c r="O50" s="729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'17'!F52</f>
        <v>539606</v>
      </c>
      <c r="F52" s="510">
        <v>539606</v>
      </c>
      <c r="G52" s="473">
        <f t="shared" si="4"/>
        <v>0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21"/>
      <c r="O52" s="728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'17'!F53</f>
        <v>424944</v>
      </c>
      <c r="F53" s="510">
        <v>425468</v>
      </c>
      <c r="G53" s="473">
        <f t="shared" si="4"/>
        <v>524</v>
      </c>
      <c r="H53" s="460">
        <f>G53+'17'!H53</f>
        <v>8634</v>
      </c>
      <c r="I53" s="455"/>
      <c r="J53" s="552">
        <f>H53/DAY(B2)</f>
        <v>479.66666666666669</v>
      </c>
      <c r="K53" s="428"/>
      <c r="L53" s="377"/>
      <c r="N53" s="721"/>
      <c r="O53" s="728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'17'!F54</f>
        <v>12622</v>
      </c>
      <c r="F54" s="510">
        <v>12700</v>
      </c>
      <c r="G54" s="473">
        <f t="shared" si="4"/>
        <v>78</v>
      </c>
      <c r="H54" s="460">
        <f>G54+'17'!H54</f>
        <v>4938</v>
      </c>
      <c r="I54" s="455"/>
      <c r="J54" s="552">
        <f>H54/DAY(B2)</f>
        <v>274.33333333333331</v>
      </c>
      <c r="K54" s="428"/>
      <c r="L54" s="377"/>
      <c r="N54" s="721"/>
      <c r="O54" s="728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'17'!F55</f>
        <v>24040</v>
      </c>
      <c r="F55" s="656">
        <v>29124.54</v>
      </c>
      <c r="G55" s="655">
        <f t="shared" si="4"/>
        <v>5084.5400000000009</v>
      </c>
      <c r="H55" s="708">
        <f>G55+'17'!H55</f>
        <v>29124.54</v>
      </c>
      <c r="I55" s="709"/>
      <c r="J55" s="710">
        <f>H55/DAY(B2)</f>
        <v>1618.03</v>
      </c>
      <c r="K55" s="428"/>
      <c r="L55" s="377"/>
      <c r="N55" s="721"/>
      <c r="O55" s="728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'17'!F56</f>
        <v>589435.47</v>
      </c>
      <c r="F56" s="656">
        <v>589435.47</v>
      </c>
      <c r="G56" s="473">
        <f t="shared" si="4"/>
        <v>0</v>
      </c>
      <c r="H56" s="460">
        <f>G56+'17'!H56</f>
        <v>147.10999999998603</v>
      </c>
      <c r="I56" s="455"/>
      <c r="J56" s="552">
        <f>H56/DAY(B2)</f>
        <v>8.1727777777770019</v>
      </c>
      <c r="K56" s="427"/>
      <c r="L56" s="377"/>
      <c r="N56" s="721"/>
      <c r="O56" s="730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21"/>
      <c r="O57" s="728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'17'!F58</f>
        <v>48104</v>
      </c>
      <c r="F58" s="656">
        <v>48167</v>
      </c>
      <c r="G58" s="473">
        <f t="shared" si="4"/>
        <v>63</v>
      </c>
      <c r="H58" s="460">
        <f>G58+'17'!H58</f>
        <v>1450</v>
      </c>
      <c r="I58" s="455"/>
      <c r="J58" s="552">
        <f>H58/DAY(B2)</f>
        <v>80.555555555555557</v>
      </c>
      <c r="K58" s="428"/>
      <c r="L58" s="377"/>
      <c r="N58" s="721"/>
      <c r="O58" s="728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6551.5400000000009</v>
      </c>
      <c r="H59" s="460">
        <f>G59+'17'!H59</f>
        <v>59627.979999999989</v>
      </c>
      <c r="I59" s="455">
        <f>G7-G60</f>
        <v>620.5099999999984</v>
      </c>
      <c r="J59" s="552">
        <f>H59/DAY(B2)</f>
        <v>3312.6655555555549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14721.490000000002</v>
      </c>
      <c r="H60" s="460">
        <f>G60+'17'!H60</f>
        <v>273305.08</v>
      </c>
      <c r="I60" s="455">
        <f>G13-G60</f>
        <v>114.5099999999984</v>
      </c>
      <c r="J60" s="552">
        <f>H60/DAY(B2)</f>
        <v>15183.615555555556</v>
      </c>
      <c r="K60" s="428"/>
      <c r="L60" s="377"/>
      <c r="N60" s="721"/>
      <c r="O60" s="728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186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0.36199999999735155</v>
      </c>
      <c r="I62" s="515"/>
      <c r="J62" s="552">
        <f>H62/DAY(B2)</f>
        <v>2.0111111110963975E-2</v>
      </c>
      <c r="K62" s="428"/>
      <c r="L62" s="377"/>
      <c r="N62" s="721"/>
      <c r="O62" s="728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'17'!F63</f>
        <v>2423</v>
      </c>
      <c r="F63" s="514">
        <v>2427</v>
      </c>
      <c r="G63" s="473">
        <f t="shared" si="5"/>
        <v>4</v>
      </c>
      <c r="H63" s="460">
        <f>G63+'17'!H63</f>
        <v>68</v>
      </c>
      <c r="I63" s="515"/>
      <c r="J63" s="552">
        <f>H63/DAY(B2)</f>
        <v>3.7777777777777777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186</v>
      </c>
      <c r="E64" s="514">
        <f>'17'!F64</f>
        <v>156870</v>
      </c>
      <c r="F64" s="626">
        <v>157207</v>
      </c>
      <c r="G64" s="776">
        <f t="shared" si="5"/>
        <v>337</v>
      </c>
      <c r="H64" s="460">
        <f>G64+'17'!H64</f>
        <v>3908</v>
      </c>
      <c r="I64" s="480"/>
      <c r="J64" s="552">
        <f>H64/DAY(B2)</f>
        <v>217.11111111111111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186</v>
      </c>
      <c r="E65" s="514">
        <f>'17'!F65</f>
        <v>157951</v>
      </c>
      <c r="F65" s="654">
        <v>158219</v>
      </c>
      <c r="G65" s="473">
        <f t="shared" si="5"/>
        <v>268</v>
      </c>
      <c r="H65" s="460">
        <f>G65+'17'!H65</f>
        <v>3620</v>
      </c>
      <c r="I65" s="489"/>
      <c r="J65" s="552">
        <f>H65/DAY(B2)</f>
        <v>201.11111111111111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186</v>
      </c>
      <c r="E66" s="514">
        <f>'17'!F66</f>
        <v>52979</v>
      </c>
      <c r="F66" s="478">
        <v>53249</v>
      </c>
      <c r="G66" s="473">
        <f t="shared" si="5"/>
        <v>270</v>
      </c>
      <c r="H66" s="460">
        <f>G66+'17'!H66</f>
        <v>4678</v>
      </c>
      <c r="I66" s="480"/>
      <c r="J66" s="552">
        <f>H66/DAY(B2)</f>
        <v>259.88888888888891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186</v>
      </c>
      <c r="E67" s="514">
        <f>'17'!F67</f>
        <v>246395</v>
      </c>
      <c r="F67" s="478">
        <v>246695</v>
      </c>
      <c r="G67" s="473">
        <f t="shared" si="5"/>
        <v>300</v>
      </c>
      <c r="H67" s="460">
        <f>G67+'17'!H67</f>
        <v>3521</v>
      </c>
      <c r="I67" s="489"/>
      <c r="J67" s="552">
        <f>H67/DAY(B2)</f>
        <v>195.61111111111111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186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186</v>
      </c>
      <c r="E69" s="514">
        <f>'17'!F69</f>
        <v>80272</v>
      </c>
      <c r="F69" s="478">
        <v>80350</v>
      </c>
      <c r="G69" s="473">
        <f t="shared" si="5"/>
        <v>78</v>
      </c>
      <c r="H69" s="460">
        <f>G69+'17'!H69</f>
        <v>1356</v>
      </c>
      <c r="I69" s="516"/>
      <c r="J69" s="552">
        <f>H69/DAY(B2)</f>
        <v>75.333333333333329</v>
      </c>
      <c r="K69" s="431"/>
      <c r="L69" s="377"/>
      <c r="N69" s="721"/>
      <c r="O69" s="728"/>
      <c r="P69" s="382"/>
    </row>
    <row r="70" spans="1:16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721"/>
      <c r="O71" s="728"/>
      <c r="P71" s="382"/>
    </row>
    <row r="72" spans="1:16" ht="27.75">
      <c r="A72" s="1530" t="s">
        <v>190</v>
      </c>
      <c r="B72" s="1531"/>
      <c r="C72" s="1532"/>
      <c r="D72" s="523" t="s">
        <v>186</v>
      </c>
      <c r="E72" s="519">
        <f>'17'!F72</f>
        <v>855696</v>
      </c>
      <c r="F72" s="657">
        <v>855702</v>
      </c>
      <c r="G72" s="473">
        <f t="shared" ref="G72:G84" si="6">F72-E72</f>
        <v>6</v>
      </c>
      <c r="H72" s="460">
        <f>G72+'17'!H72</f>
        <v>230</v>
      </c>
      <c r="I72" s="480"/>
      <c r="J72" s="552">
        <f>H72/DAY(B2)</f>
        <v>12.777777777777779</v>
      </c>
      <c r="K72" s="431"/>
      <c r="L72" s="377"/>
      <c r="N72" s="721"/>
      <c r="O72" s="728"/>
      <c r="P72" s="382"/>
    </row>
    <row r="73" spans="1:16" ht="27.75">
      <c r="A73" s="1530" t="s">
        <v>191</v>
      </c>
      <c r="B73" s="1531"/>
      <c r="C73" s="1532"/>
      <c r="D73" s="523" t="s">
        <v>186</v>
      </c>
      <c r="E73" s="519">
        <f>'17'!F73</f>
        <v>885893</v>
      </c>
      <c r="F73" s="658">
        <v>885895</v>
      </c>
      <c r="G73" s="655">
        <f t="shared" si="6"/>
        <v>2</v>
      </c>
      <c r="H73" s="460">
        <f>G73+'17'!H73</f>
        <v>199</v>
      </c>
      <c r="I73" s="480"/>
      <c r="J73" s="552">
        <f>H73/DAY(B2)</f>
        <v>11.055555555555555</v>
      </c>
      <c r="K73" s="430"/>
      <c r="L73" s="377"/>
      <c r="N73" s="721"/>
      <c r="O73" s="728"/>
      <c r="P73" s="382"/>
    </row>
    <row r="74" spans="1:16" ht="27.75">
      <c r="A74" s="1530" t="s">
        <v>192</v>
      </c>
      <c r="B74" s="1531"/>
      <c r="C74" s="1532"/>
      <c r="D74" s="523" t="s">
        <v>186</v>
      </c>
      <c r="E74" s="519">
        <f>'17'!F74</f>
        <v>2495</v>
      </c>
      <c r="F74" s="658">
        <v>2499</v>
      </c>
      <c r="G74" s="473">
        <f t="shared" si="6"/>
        <v>4</v>
      </c>
      <c r="H74" s="460">
        <f>G74+'17'!H74</f>
        <v>220</v>
      </c>
      <c r="I74" s="480"/>
      <c r="J74" s="552">
        <f>H74/DAY(B2)</f>
        <v>12.222222222222221</v>
      </c>
      <c r="K74" s="431"/>
      <c r="L74" s="377"/>
      <c r="N74" s="721"/>
      <c r="O74" s="728"/>
      <c r="P74" s="382"/>
    </row>
    <row r="75" spans="1:16" ht="27.75">
      <c r="A75" s="1527" t="s">
        <v>193</v>
      </c>
      <c r="B75" s="1528"/>
      <c r="C75" s="1529"/>
      <c r="D75" s="523" t="s">
        <v>186</v>
      </c>
      <c r="E75" s="519">
        <f>'17'!F75</f>
        <v>11880</v>
      </c>
      <c r="F75" s="658">
        <v>11933</v>
      </c>
      <c r="G75" s="473">
        <f t="shared" si="6"/>
        <v>53</v>
      </c>
      <c r="H75" s="460">
        <f>G75+'17'!H75</f>
        <v>963</v>
      </c>
      <c r="I75" s="480"/>
      <c r="J75" s="552">
        <f>H75/DAY(B2)</f>
        <v>53.5</v>
      </c>
      <c r="K75" s="430"/>
      <c r="L75" s="377"/>
      <c r="N75" s="721"/>
      <c r="O75" s="728"/>
      <c r="P75" s="382"/>
    </row>
    <row r="76" spans="1:16" ht="27.75">
      <c r="A76" s="1527" t="s">
        <v>194</v>
      </c>
      <c r="B76" s="1528"/>
      <c r="C76" s="1529"/>
      <c r="D76" s="523" t="s">
        <v>186</v>
      </c>
      <c r="E76" s="519">
        <f>'17'!F76</f>
        <v>6635</v>
      </c>
      <c r="F76" s="658">
        <v>6691</v>
      </c>
      <c r="G76" s="473">
        <f t="shared" si="6"/>
        <v>56</v>
      </c>
      <c r="H76" s="460">
        <f>G76+'17'!H76</f>
        <v>974.04999999999927</v>
      </c>
      <c r="I76" s="505"/>
      <c r="J76" s="552">
        <f>H76/DAY(B2)</f>
        <v>54.113888888888852</v>
      </c>
      <c r="K76" s="430"/>
      <c r="L76" s="377"/>
      <c r="N76" s="721"/>
      <c r="O76" s="728"/>
      <c r="P76" s="382"/>
    </row>
    <row r="77" spans="1:16" ht="27.75">
      <c r="A77" s="1530" t="s">
        <v>195</v>
      </c>
      <c r="B77" s="1531"/>
      <c r="C77" s="1532"/>
      <c r="D77" s="523" t="s">
        <v>186</v>
      </c>
      <c r="E77" s="519">
        <f>'17'!F77</f>
        <v>702294</v>
      </c>
      <c r="F77" s="658">
        <v>702324</v>
      </c>
      <c r="G77" s="655">
        <f t="shared" si="6"/>
        <v>30</v>
      </c>
      <c r="H77" s="460">
        <f>G77+'17'!H77</f>
        <v>762</v>
      </c>
      <c r="I77" s="505"/>
      <c r="J77" s="552">
        <f>H77/DAY(B2)</f>
        <v>42.333333333333336</v>
      </c>
      <c r="K77" s="430"/>
      <c r="L77" s="377"/>
      <c r="N77" s="721"/>
      <c r="O77" s="728"/>
      <c r="P77" s="382"/>
    </row>
    <row r="78" spans="1:16" ht="27.75">
      <c r="A78" s="1330" t="s">
        <v>196</v>
      </c>
      <c r="B78" s="1323"/>
      <c r="C78" s="1323"/>
      <c r="D78" s="523" t="s">
        <v>186</v>
      </c>
      <c r="E78" s="519">
        <f>'17'!F78</f>
        <v>671474</v>
      </c>
      <c r="F78" s="659">
        <v>671549</v>
      </c>
      <c r="G78" s="473">
        <f t="shared" si="6"/>
        <v>75</v>
      </c>
      <c r="H78" s="460">
        <f>G78+'17'!H78</f>
        <v>1524</v>
      </c>
      <c r="I78" s="505"/>
      <c r="J78" s="552">
        <f>H78/DAY(B2)</f>
        <v>84.666666666666671</v>
      </c>
      <c r="K78" s="430"/>
      <c r="L78" s="377"/>
      <c r="N78" s="721"/>
      <c r="O78" s="728"/>
      <c r="P78" s="382"/>
    </row>
    <row r="79" spans="1:16" ht="27.75">
      <c r="A79" s="1527" t="s">
        <v>92</v>
      </c>
      <c r="B79" s="1528"/>
      <c r="C79" s="1529"/>
      <c r="D79" s="524" t="s">
        <v>186</v>
      </c>
      <c r="E79" s="519">
        <f>'17'!F79</f>
        <v>829167</v>
      </c>
      <c r="F79" s="659">
        <v>829295</v>
      </c>
      <c r="G79" s="473">
        <f t="shared" si="6"/>
        <v>128</v>
      </c>
      <c r="H79" s="460">
        <f>G79+'17'!H79</f>
        <v>1564</v>
      </c>
      <c r="I79" s="505"/>
      <c r="J79" s="552">
        <f>H79/DAY(B2)</f>
        <v>86.888888888888886</v>
      </c>
      <c r="K79" s="430"/>
      <c r="L79" s="377"/>
      <c r="N79" s="721"/>
      <c r="O79" s="728"/>
      <c r="P79" s="382"/>
    </row>
    <row r="80" spans="1:16" ht="27.75">
      <c r="A80" s="1527" t="s">
        <v>197</v>
      </c>
      <c r="B80" s="1528"/>
      <c r="C80" s="1529"/>
      <c r="D80" s="524" t="s">
        <v>186</v>
      </c>
      <c r="E80" s="519">
        <f>'17'!F80</f>
        <v>522731</v>
      </c>
      <c r="F80" s="658">
        <v>523031</v>
      </c>
      <c r="G80" s="473">
        <f t="shared" si="6"/>
        <v>300</v>
      </c>
      <c r="H80" s="460">
        <f>G80+'17'!H80</f>
        <v>3570</v>
      </c>
      <c r="I80" s="505"/>
      <c r="J80" s="552">
        <f>H80/DAY(B2)</f>
        <v>198.33333333333334</v>
      </c>
      <c r="K80" s="430"/>
      <c r="L80" s="377"/>
      <c r="N80" s="721"/>
      <c r="O80" s="728"/>
      <c r="P80" s="382"/>
    </row>
    <row r="81" spans="1:16" ht="27.75">
      <c r="A81" s="1527" t="s">
        <v>198</v>
      </c>
      <c r="B81" s="1528"/>
      <c r="C81" s="1529"/>
      <c r="D81" s="524" t="s">
        <v>186</v>
      </c>
      <c r="E81" s="519">
        <f>'17'!F81</f>
        <v>637752</v>
      </c>
      <c r="F81" s="658">
        <v>637832</v>
      </c>
      <c r="G81" s="473">
        <f t="shared" si="6"/>
        <v>80</v>
      </c>
      <c r="H81" s="460">
        <f>G81+'17'!H81</f>
        <v>1354</v>
      </c>
      <c r="I81" s="505"/>
      <c r="J81" s="552">
        <f>H81/DAY(B2)</f>
        <v>75.222222222222229</v>
      </c>
      <c r="K81" s="430"/>
      <c r="L81" s="377"/>
      <c r="N81" s="721"/>
      <c r="O81" s="728"/>
      <c r="P81" s="382"/>
    </row>
    <row r="82" spans="1:16" s="778" customFormat="1" ht="27.75">
      <c r="A82" s="1600" t="s">
        <v>93</v>
      </c>
      <c r="B82" s="1601"/>
      <c r="C82" s="1602"/>
      <c r="D82" s="626" t="s">
        <v>131</v>
      </c>
      <c r="E82" s="519">
        <f>'17'!F82</f>
        <v>107930</v>
      </c>
      <c r="F82" s="626">
        <v>107956</v>
      </c>
      <c r="G82" s="776">
        <f t="shared" si="6"/>
        <v>26</v>
      </c>
      <c r="H82" s="479">
        <f>G82+'17'!H82</f>
        <v>344</v>
      </c>
      <c r="I82" s="479"/>
      <c r="J82" s="777">
        <f>H82/DAY(B2)</f>
        <v>19.111111111111111</v>
      </c>
      <c r="K82" s="1219"/>
      <c r="L82" s="1220"/>
      <c r="N82" s="725"/>
      <c r="O82" s="729"/>
      <c r="P82" s="724"/>
    </row>
    <row r="83" spans="1:16" ht="27.75">
      <c r="A83" s="1527" t="s">
        <v>199</v>
      </c>
      <c r="B83" s="1528"/>
      <c r="C83" s="1529"/>
      <c r="D83" s="620" t="s">
        <v>131</v>
      </c>
      <c r="E83" s="519">
        <f>'17'!F83</f>
        <v>18079</v>
      </c>
      <c r="F83" s="511">
        <v>18319</v>
      </c>
      <c r="G83" s="473">
        <f t="shared" si="6"/>
        <v>240</v>
      </c>
      <c r="H83" s="460">
        <f>G83+'17'!H83</f>
        <v>3548</v>
      </c>
      <c r="I83" s="481"/>
      <c r="J83" s="552">
        <f>H83/DAY(B2)</f>
        <v>197.11111111111111</v>
      </c>
      <c r="K83" s="429"/>
      <c r="L83" s="377"/>
      <c r="N83" s="721"/>
      <c r="O83" s="728"/>
      <c r="P83" s="382"/>
    </row>
    <row r="84" spans="1:16">
      <c r="A84" s="1331" t="s">
        <v>200</v>
      </c>
      <c r="B84" s="571"/>
      <c r="C84" s="571"/>
      <c r="D84" s="478" t="s">
        <v>131</v>
      </c>
      <c r="E84" s="519">
        <f>'17'!F84</f>
        <v>491626</v>
      </c>
      <c r="F84" s="627">
        <v>491979</v>
      </c>
      <c r="G84" s="473">
        <f t="shared" si="6"/>
        <v>353</v>
      </c>
      <c r="H84" s="460">
        <f>G84+'17'!H84</f>
        <v>11846</v>
      </c>
      <c r="I84" s="481"/>
      <c r="J84" s="552">
        <f>H84/DAY(B2)</f>
        <v>658.11111111111109</v>
      </c>
      <c r="K84" s="380"/>
      <c r="L84" s="377"/>
      <c r="N84" s="721"/>
      <c r="O84" s="728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1353</v>
      </c>
      <c r="H85" s="460">
        <f>G85+'17'!H85</f>
        <v>30607</v>
      </c>
      <c r="I85" s="481"/>
      <c r="J85" s="552">
        <f>H85/DAY(B2)</f>
        <v>1700.3888888888889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182</v>
      </c>
      <c r="E86" s="627">
        <f>'17'!F86</f>
        <v>460478</v>
      </c>
      <c r="F86" s="650">
        <v>460509</v>
      </c>
      <c r="G86" s="708">
        <f t="shared" ref="G86:G91" si="7">F86-E86</f>
        <v>31</v>
      </c>
      <c r="H86" s="708">
        <f t="shared" ref="H86:H88" si="8">G86</f>
        <v>31</v>
      </c>
      <c r="I86" s="655"/>
      <c r="J86" s="710">
        <f>H86/DAY(B2)</f>
        <v>1.7222222222222223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182</v>
      </c>
      <c r="E87" s="627">
        <f>'17'!F87</f>
        <v>81116</v>
      </c>
      <c r="F87" s="650">
        <v>81130</v>
      </c>
      <c r="G87" s="708">
        <f t="shared" si="7"/>
        <v>14</v>
      </c>
      <c r="H87" s="708">
        <f t="shared" si="8"/>
        <v>14</v>
      </c>
      <c r="I87" s="655"/>
      <c r="J87" s="710">
        <f>H87/DAY(B2)</f>
        <v>0.77777777777777779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182</v>
      </c>
      <c r="E88" s="627">
        <f>'17'!F88</f>
        <v>152520</v>
      </c>
      <c r="F88" s="650">
        <v>152588</v>
      </c>
      <c r="G88" s="708">
        <f t="shared" si="7"/>
        <v>68</v>
      </c>
      <c r="H88" s="708">
        <f t="shared" si="8"/>
        <v>68</v>
      </c>
      <c r="I88" s="655"/>
      <c r="J88" s="710">
        <f>H88/DAY(B2)</f>
        <v>3.7777777777777777</v>
      </c>
      <c r="K88" s="736"/>
      <c r="L88" s="737"/>
      <c r="O88" s="716"/>
    </row>
    <row r="89" spans="1:16" s="738" customFormat="1">
      <c r="A89" s="733" t="s">
        <v>203</v>
      </c>
      <c r="B89" s="734"/>
      <c r="C89" s="734"/>
      <c r="D89" s="735" t="s">
        <v>182</v>
      </c>
      <c r="E89" s="627">
        <f>'17'!F89</f>
        <v>64943</v>
      </c>
      <c r="F89" s="650">
        <v>64950</v>
      </c>
      <c r="G89" s="708">
        <f t="shared" si="7"/>
        <v>7</v>
      </c>
      <c r="H89" s="708">
        <f>G89</f>
        <v>7</v>
      </c>
      <c r="I89" s="655"/>
      <c r="J89" s="710">
        <f>H89/DAY(B2)</f>
        <v>0.3888888888888889</v>
      </c>
      <c r="K89" s="736"/>
      <c r="L89" s="737"/>
      <c r="N89" s="780"/>
      <c r="O89" s="382"/>
    </row>
    <row r="90" spans="1:16" s="738" customFormat="1">
      <c r="A90" s="733" t="s">
        <v>203</v>
      </c>
      <c r="B90" s="734"/>
      <c r="C90" s="734"/>
      <c r="D90" s="735" t="s">
        <v>182</v>
      </c>
      <c r="E90" s="627">
        <f>'17'!F90</f>
        <v>3272.5</v>
      </c>
      <c r="F90" s="650">
        <v>3272.7</v>
      </c>
      <c r="G90" s="708">
        <f t="shared" si="7"/>
        <v>0.1999999999998181</v>
      </c>
      <c r="H90" s="708">
        <f>G90</f>
        <v>0.1999999999998181</v>
      </c>
      <c r="I90" s="655"/>
      <c r="J90" s="710">
        <f>H90/DAY(B2)</f>
        <v>1.1111111111101005E-2</v>
      </c>
      <c r="K90" s="736"/>
      <c r="L90" s="737"/>
      <c r="N90" s="780"/>
      <c r="O90" s="382"/>
    </row>
    <row r="91" spans="1:16" s="738" customFormat="1">
      <c r="A91" s="733" t="s">
        <v>361</v>
      </c>
      <c r="B91" s="734"/>
      <c r="C91" s="734"/>
      <c r="D91" s="735" t="s">
        <v>131</v>
      </c>
      <c r="E91" s="627">
        <f>'17'!F91</f>
        <v>27957</v>
      </c>
      <c r="F91" s="650">
        <v>27959</v>
      </c>
      <c r="G91" s="708">
        <f t="shared" si="7"/>
        <v>2</v>
      </c>
      <c r="H91" s="708">
        <f>G91</f>
        <v>2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204</v>
      </c>
      <c r="B92" s="1333"/>
      <c r="C92" s="1333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1" t="s">
        <v>205</v>
      </c>
      <c r="B93" s="1552"/>
      <c r="C93" s="1553"/>
      <c r="D93" s="523" t="s">
        <v>143</v>
      </c>
      <c r="E93" s="484">
        <f>'17'!F93</f>
        <v>245077</v>
      </c>
      <c r="F93" s="478">
        <v>245077</v>
      </c>
      <c r="G93" s="473">
        <f t="shared" ref="G93:G94" si="9">F93-E93</f>
        <v>0</v>
      </c>
      <c r="H93" s="460">
        <f>G93+'17'!H93</f>
        <v>553</v>
      </c>
      <c r="I93" s="480"/>
      <c r="J93" s="552">
        <f>H93/DAY(B2)</f>
        <v>30.722222222222221</v>
      </c>
      <c r="K93" s="429"/>
      <c r="L93" s="377"/>
      <c r="N93" s="721"/>
      <c r="O93" s="728"/>
      <c r="P93" s="382"/>
    </row>
    <row r="94" spans="1:16" ht="27.75">
      <c r="A94" s="1551" t="s">
        <v>206</v>
      </c>
      <c r="B94" s="1552"/>
      <c r="C94" s="1553"/>
      <c r="D94" s="523" t="s">
        <v>143</v>
      </c>
      <c r="E94" s="484">
        <f>'17'!F94</f>
        <v>184915</v>
      </c>
      <c r="F94" s="478">
        <v>185061</v>
      </c>
      <c r="G94" s="473">
        <f t="shared" si="9"/>
        <v>146</v>
      </c>
      <c r="H94" s="460">
        <f>G94+'17'!H94</f>
        <v>1530</v>
      </c>
      <c r="I94" s="480"/>
      <c r="J94" s="552">
        <f>H94/DAY(B2)</f>
        <v>85</v>
      </c>
      <c r="K94" s="380"/>
      <c r="L94" s="377"/>
      <c r="N94" s="721"/>
      <c r="O94" s="728"/>
      <c r="P94" s="382"/>
    </row>
    <row r="95" spans="1:16">
      <c r="A95" s="1579" t="s">
        <v>207</v>
      </c>
      <c r="B95" s="1580"/>
      <c r="C95" s="1581"/>
      <c r="D95" s="523"/>
      <c r="E95" s="484">
        <f>'17'!F95</f>
        <v>0</v>
      </c>
      <c r="F95" s="478"/>
      <c r="G95" s="473">
        <f>G93+G94</f>
        <v>146</v>
      </c>
      <c r="H95" s="460">
        <f>G95+'17'!H95</f>
        <v>1936</v>
      </c>
      <c r="I95" s="480"/>
      <c r="J95" s="552">
        <f>H95/DAY(B2)</f>
        <v>107.55555555555556</v>
      </c>
      <c r="K95" s="380"/>
      <c r="L95" s="377"/>
      <c r="N95" s="721"/>
      <c r="O95" s="728"/>
      <c r="P95" s="382"/>
    </row>
    <row r="96" spans="1:16" ht="27.75">
      <c r="A96" s="1551" t="s">
        <v>208</v>
      </c>
      <c r="B96" s="1552"/>
      <c r="C96" s="1553"/>
      <c r="D96" s="523" t="s">
        <v>143</v>
      </c>
      <c r="E96" s="484">
        <f>'17'!F96</f>
        <v>413639</v>
      </c>
      <c r="F96" s="478">
        <v>413668</v>
      </c>
      <c r="G96" s="473">
        <f t="shared" ref="G96:G101" si="10">F96-E96</f>
        <v>29</v>
      </c>
      <c r="H96" s="460">
        <f>G96+'17'!H96</f>
        <v>782</v>
      </c>
      <c r="I96" s="480"/>
      <c r="J96" s="552">
        <f>H96/DAY(B2)</f>
        <v>43.444444444444443</v>
      </c>
      <c r="K96" s="380"/>
      <c r="L96" s="377"/>
      <c r="N96" s="721"/>
      <c r="O96" s="728"/>
      <c r="P96" s="382"/>
    </row>
    <row r="97" spans="1:16" ht="27.75">
      <c r="A97" s="1327" t="s">
        <v>209</v>
      </c>
      <c r="B97" s="1328"/>
      <c r="C97" s="1328"/>
      <c r="D97" s="523" t="s">
        <v>143</v>
      </c>
      <c r="E97" s="484">
        <f>'17'!F97</f>
        <v>102504</v>
      </c>
      <c r="F97" s="478">
        <v>102516</v>
      </c>
      <c r="G97" s="473">
        <f t="shared" si="10"/>
        <v>12</v>
      </c>
      <c r="H97" s="460">
        <f>G97+'17'!H97</f>
        <v>173</v>
      </c>
      <c r="I97" s="480"/>
      <c r="J97" s="552">
        <f>H97/DAY(B2)</f>
        <v>9.6111111111111107</v>
      </c>
      <c r="K97" s="427"/>
      <c r="L97" s="377"/>
      <c r="N97" s="721"/>
      <c r="O97" s="728"/>
      <c r="P97" s="382"/>
    </row>
    <row r="98" spans="1:16" ht="27.75">
      <c r="A98" s="1327" t="s">
        <v>210</v>
      </c>
      <c r="B98" s="1328"/>
      <c r="C98" s="1328"/>
      <c r="D98" s="523" t="s">
        <v>143</v>
      </c>
      <c r="E98" s="484">
        <f>'17'!F98</f>
        <v>97668</v>
      </c>
      <c r="F98" s="478">
        <v>97676</v>
      </c>
      <c r="G98" s="473">
        <f t="shared" si="10"/>
        <v>8</v>
      </c>
      <c r="H98" s="460">
        <f>G98+'17'!H98</f>
        <v>249</v>
      </c>
      <c r="I98" s="480"/>
      <c r="J98" s="552">
        <f>H98/DAY(B2)</f>
        <v>13.833333333333334</v>
      </c>
      <c r="K98" s="432"/>
      <c r="L98" s="377"/>
      <c r="N98" s="721"/>
      <c r="O98" s="728"/>
      <c r="P98" s="382"/>
    </row>
    <row r="99" spans="1:16" ht="27.75">
      <c r="A99" s="1327" t="s">
        <v>211</v>
      </c>
      <c r="B99" s="1328"/>
      <c r="C99" s="1328"/>
      <c r="D99" s="523" t="s">
        <v>143</v>
      </c>
      <c r="E99" s="484">
        <f>'17'!F99</f>
        <v>149725</v>
      </c>
      <c r="F99" s="478">
        <v>149729</v>
      </c>
      <c r="G99" s="473">
        <f t="shared" si="10"/>
        <v>4</v>
      </c>
      <c r="H99" s="460">
        <f>G99+'17'!H99</f>
        <v>196</v>
      </c>
      <c r="I99" s="480"/>
      <c r="J99" s="552">
        <f>H99/DAY(B2)</f>
        <v>10.888888888888889</v>
      </c>
      <c r="K99" s="380"/>
      <c r="L99" s="377"/>
      <c r="N99" s="723"/>
      <c r="O99" s="728"/>
      <c r="P99" s="382"/>
    </row>
    <row r="100" spans="1:16" ht="27.75">
      <c r="A100" s="1327" t="s">
        <v>212</v>
      </c>
      <c r="B100" s="1328"/>
      <c r="C100" s="1328"/>
      <c r="D100" s="523" t="s">
        <v>143</v>
      </c>
      <c r="E100" s="484">
        <f>'17'!F100</f>
        <v>7287</v>
      </c>
      <c r="F100" s="478">
        <v>7293</v>
      </c>
      <c r="G100" s="473">
        <f t="shared" si="10"/>
        <v>6</v>
      </c>
      <c r="H100" s="460">
        <f>G100+'17'!H100</f>
        <v>108</v>
      </c>
      <c r="I100" s="480"/>
      <c r="J100" s="552">
        <f>H100/DAY(B2)</f>
        <v>6</v>
      </c>
      <c r="K100" s="380"/>
      <c r="L100" s="377"/>
      <c r="N100" s="721"/>
      <c r="O100" s="728"/>
      <c r="P100" s="382"/>
    </row>
    <row r="101" spans="1:16" ht="27.75">
      <c r="A101" s="1327" t="s">
        <v>213</v>
      </c>
      <c r="B101" s="1328"/>
      <c r="C101" s="1328"/>
      <c r="D101" s="523" t="s">
        <v>143</v>
      </c>
      <c r="E101" s="484">
        <f>'17'!F101</f>
        <v>5250</v>
      </c>
      <c r="F101" s="478">
        <v>5254</v>
      </c>
      <c r="G101" s="473">
        <f t="shared" si="10"/>
        <v>4</v>
      </c>
      <c r="H101" s="460">
        <f>G101+'17'!H101</f>
        <v>116</v>
      </c>
      <c r="I101" s="480"/>
      <c r="J101" s="552">
        <f>H101/DAY(B2)</f>
        <v>6.4444444444444446</v>
      </c>
      <c r="K101" s="380"/>
      <c r="L101" s="377"/>
      <c r="N101" s="721"/>
      <c r="O101" s="728"/>
      <c r="P101" s="382"/>
    </row>
    <row r="102" spans="1:16">
      <c r="A102" s="1579" t="s">
        <v>215</v>
      </c>
      <c r="B102" s="1580"/>
      <c r="C102" s="1581"/>
      <c r="D102" s="524"/>
      <c r="E102" s="484"/>
      <c r="F102" s="524"/>
      <c r="G102" s="525">
        <f>SUM(G96:G101)</f>
        <v>63</v>
      </c>
      <c r="H102" s="460">
        <f>G102+'17'!H102</f>
        <v>1624</v>
      </c>
      <c r="I102" s="526"/>
      <c r="J102" s="552">
        <f>H102/DAY(B2)</f>
        <v>90.222222222222229</v>
      </c>
      <c r="K102" s="380"/>
      <c r="L102" s="377"/>
      <c r="N102" s="721"/>
      <c r="O102" s="728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82" t="s">
        <v>217</v>
      </c>
      <c r="B104" s="1583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3" t="s">
        <v>218</v>
      </c>
      <c r="B105" s="1544"/>
      <c r="C105" s="1326"/>
      <c r="D105" s="622" t="s">
        <v>143</v>
      </c>
      <c r="E105" s="484">
        <f>'17'!F105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21"/>
      <c r="O105" s="728"/>
      <c r="P105" s="382"/>
    </row>
    <row r="106" spans="1:16" s="442" customFormat="1" ht="27.75">
      <c r="A106" s="1543" t="s">
        <v>77</v>
      </c>
      <c r="B106" s="1544"/>
      <c r="C106" s="1326"/>
      <c r="D106" s="622" t="s">
        <v>143</v>
      </c>
      <c r="E106" s="484">
        <f>'17'!F106</f>
        <v>35889</v>
      </c>
      <c r="F106" s="662">
        <v>35889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2.7777777777777777</v>
      </c>
      <c r="N106" s="721"/>
      <c r="O106" s="728"/>
      <c r="P106" s="382"/>
    </row>
    <row r="107" spans="1:16" s="442" customFormat="1" ht="27.75">
      <c r="A107" s="1543" t="s">
        <v>78</v>
      </c>
      <c r="B107" s="1584"/>
      <c r="C107" s="1544"/>
      <c r="D107" s="622" t="s">
        <v>143</v>
      </c>
      <c r="E107" s="484">
        <f>'17'!F107</f>
        <v>19669</v>
      </c>
      <c r="F107" s="662">
        <v>19671</v>
      </c>
      <c r="G107" s="532">
        <f t="shared" si="11"/>
        <v>2</v>
      </c>
      <c r="H107" s="533">
        <f>SUM(G107+'1'!G78)</f>
        <v>126</v>
      </c>
      <c r="I107" s="532"/>
      <c r="J107" s="558">
        <f>H107/DAY(B2)</f>
        <v>7</v>
      </c>
      <c r="N107" s="721"/>
      <c r="O107" s="728"/>
      <c r="P107" s="382"/>
    </row>
    <row r="108" spans="1:16" s="442" customFormat="1" ht="27.75">
      <c r="A108" s="1545" t="s">
        <v>201</v>
      </c>
      <c r="B108" s="1546"/>
      <c r="C108" s="1326"/>
      <c r="D108" s="622"/>
      <c r="E108" s="484">
        <f>'17'!F108</f>
        <v>0</v>
      </c>
      <c r="F108" s="662"/>
      <c r="G108" s="532">
        <f>SUM(G105:G107)</f>
        <v>2</v>
      </c>
      <c r="H108" s="533">
        <f>SUM(G108+'1'!G79)</f>
        <v>191</v>
      </c>
      <c r="I108" s="532"/>
      <c r="J108" s="558">
        <f>H108/DAY(B2)</f>
        <v>10.611111111111111</v>
      </c>
      <c r="N108" s="721"/>
      <c r="O108" s="728"/>
      <c r="P108" s="382"/>
    </row>
    <row r="109" spans="1:16" s="442" customFormat="1" ht="27.75">
      <c r="A109" s="1549" t="s">
        <v>79</v>
      </c>
      <c r="B109" s="1550"/>
      <c r="C109" s="1326"/>
      <c r="D109" s="622" t="s">
        <v>143</v>
      </c>
      <c r="E109" s="484">
        <f>'17'!F109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3" t="s">
        <v>219</v>
      </c>
      <c r="B110" s="1544"/>
      <c r="C110" s="1326"/>
      <c r="D110" s="622" t="s">
        <v>143</v>
      </c>
      <c r="E110" s="484">
        <f>'17'!F110</f>
        <v>62039</v>
      </c>
      <c r="F110" s="662">
        <v>62112</v>
      </c>
      <c r="G110" s="532">
        <f>F110-E110</f>
        <v>73</v>
      </c>
      <c r="H110" s="533">
        <f>SUM(G110+'1'!G81)</f>
        <v>154</v>
      </c>
      <c r="I110" s="532"/>
      <c r="J110" s="558">
        <f>H110/DAY(B2)</f>
        <v>8.5555555555555554</v>
      </c>
      <c r="N110" s="721"/>
      <c r="O110" s="728"/>
      <c r="P110" s="382"/>
    </row>
    <row r="111" spans="1:16" s="442" customFormat="1" ht="27.75">
      <c r="A111" s="1543" t="s">
        <v>220</v>
      </c>
      <c r="B111" s="1544"/>
      <c r="C111" s="1326"/>
      <c r="D111" s="622" t="s">
        <v>143</v>
      </c>
      <c r="E111" s="484">
        <f>'17'!F111</f>
        <v>32401</v>
      </c>
      <c r="F111" s="662">
        <v>32401</v>
      </c>
      <c r="G111" s="532">
        <f t="shared" ref="G111:G112" si="12">F111-E111</f>
        <v>0</v>
      </c>
      <c r="H111" s="533">
        <f>SUM(G111+'1'!G82)</f>
        <v>12</v>
      </c>
      <c r="I111" s="532"/>
      <c r="J111" s="558">
        <f>H111/DAY(B2)</f>
        <v>0.66666666666666663</v>
      </c>
      <c r="N111" s="721"/>
      <c r="O111" s="728"/>
      <c r="P111" s="382"/>
    </row>
    <row r="112" spans="1:16" s="442" customFormat="1" ht="27.75">
      <c r="A112" s="1543" t="s">
        <v>221</v>
      </c>
      <c r="B112" s="1544"/>
      <c r="C112" s="1326"/>
      <c r="D112" s="622" t="s">
        <v>143</v>
      </c>
      <c r="E112" s="484">
        <f>'17'!F112</f>
        <v>4509</v>
      </c>
      <c r="F112" s="662">
        <v>4513</v>
      </c>
      <c r="G112" s="532">
        <f t="shared" si="12"/>
        <v>4</v>
      </c>
      <c r="H112" s="533">
        <f>SUM(G112+'1'!G83)</f>
        <v>259</v>
      </c>
      <c r="I112" s="532"/>
      <c r="J112" s="558">
        <f>H112/DAY(B2)</f>
        <v>14.388888888888889</v>
      </c>
      <c r="N112" s="721"/>
      <c r="O112" s="728"/>
      <c r="P112" s="382"/>
    </row>
    <row r="113" spans="1:16" s="442" customFormat="1" ht="27.75">
      <c r="A113" s="1545" t="s">
        <v>110</v>
      </c>
      <c r="B113" s="1546"/>
      <c r="C113" s="1326"/>
      <c r="D113" s="622"/>
      <c r="E113" s="484">
        <f>'17'!F113</f>
        <v>0</v>
      </c>
      <c r="F113" s="662"/>
      <c r="G113" s="532">
        <f>SUM(G110:G112)</f>
        <v>77</v>
      </c>
      <c r="H113" s="533">
        <f>SUM(G113+'1'!G84)</f>
        <v>792</v>
      </c>
      <c r="I113" s="532"/>
      <c r="J113" s="558">
        <f>H113/DAY(B2)</f>
        <v>44</v>
      </c>
      <c r="N113" s="721"/>
      <c r="O113" s="728"/>
      <c r="P113" s="382"/>
    </row>
    <row r="114" spans="1:16" s="442" customFormat="1" ht="27.75">
      <c r="A114" s="1549" t="s">
        <v>222</v>
      </c>
      <c r="B114" s="1550"/>
      <c r="C114" s="1326"/>
      <c r="D114" s="622"/>
      <c r="E114" s="484">
        <f>'17'!F114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3" t="s">
        <v>223</v>
      </c>
      <c r="B115" s="1544"/>
      <c r="C115" s="574"/>
      <c r="D115" s="622" t="s">
        <v>143</v>
      </c>
      <c r="E115" s="484">
        <f>'17'!F115</f>
        <v>11389</v>
      </c>
      <c r="F115" s="662">
        <v>11399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0.55555555555555558</v>
      </c>
      <c r="N115" s="721"/>
      <c r="O115" s="728"/>
      <c r="P115" s="382"/>
    </row>
    <row r="116" spans="1:16" s="442" customFormat="1" ht="27.75">
      <c r="A116" s="1543" t="s">
        <v>224</v>
      </c>
      <c r="B116" s="1544"/>
      <c r="C116" s="574"/>
      <c r="D116" s="622" t="s">
        <v>143</v>
      </c>
      <c r="E116" s="484">
        <f>'17'!F116</f>
        <v>8214</v>
      </c>
      <c r="F116" s="662">
        <v>8214</v>
      </c>
      <c r="G116" s="534">
        <f t="shared" ref="G116:G117" si="13">F116-E116</f>
        <v>0</v>
      </c>
      <c r="H116" s="533">
        <f>SUM(G116+'1'!G93)</f>
        <v>52</v>
      </c>
      <c r="I116" s="532"/>
      <c r="J116" s="558">
        <f>H116/DAY(B2)</f>
        <v>2.8888888888888888</v>
      </c>
      <c r="N116" s="721"/>
      <c r="O116" s="728"/>
      <c r="P116" s="382"/>
    </row>
    <row r="117" spans="1:16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5.2777777777777777</v>
      </c>
      <c r="N117" s="721"/>
      <c r="O117" s="728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4.5555555555555554</v>
      </c>
      <c r="N118" s="721"/>
      <c r="O118" s="728"/>
      <c r="P118" s="382"/>
    </row>
    <row r="119" spans="1:16" s="446" customFormat="1" ht="27.75">
      <c r="A119" s="1539" t="s">
        <v>226</v>
      </c>
      <c r="B119" s="1540"/>
      <c r="C119" s="1324"/>
      <c r="D119" s="624" t="s">
        <v>143</v>
      </c>
      <c r="E119" s="536"/>
      <c r="F119" s="663">
        <f>SUM(G19+G93)</f>
        <v>105</v>
      </c>
      <c r="G119" s="536">
        <f>SUM(G19+G93)</f>
        <v>105</v>
      </c>
      <c r="H119" s="533">
        <f>SUM(G119+'1'!G97)</f>
        <v>117</v>
      </c>
      <c r="I119" s="535"/>
      <c r="J119" s="559">
        <f>H119/DAY(B2)</f>
        <v>6.5</v>
      </c>
      <c r="N119" s="721"/>
      <c r="O119" s="728"/>
      <c r="P119" s="382"/>
    </row>
    <row r="120" spans="1:16" s="446" customFormat="1" ht="27.75">
      <c r="A120" s="1539" t="s">
        <v>227</v>
      </c>
      <c r="B120" s="1540"/>
      <c r="C120" s="1324"/>
      <c r="D120" s="624" t="s">
        <v>143</v>
      </c>
      <c r="E120" s="536"/>
      <c r="F120" s="663">
        <f>SUM(G96,G97,G98,G100,G101)</f>
        <v>59</v>
      </c>
      <c r="G120" s="536">
        <f>SUM(G96,G97,G98,G100,G101)</f>
        <v>59</v>
      </c>
      <c r="H120" s="533">
        <f>SUM(G120+'1'!G99)</f>
        <v>64</v>
      </c>
      <c r="I120" s="535"/>
      <c r="J120" s="559">
        <f>H120/DAY(B2)</f>
        <v>3.5555555555555554</v>
      </c>
      <c r="N120" s="721"/>
      <c r="O120" s="728"/>
      <c r="P120" s="382"/>
    </row>
    <row r="121" spans="1:16" s="446" customFormat="1" ht="27.75">
      <c r="A121" s="1539" t="s">
        <v>228</v>
      </c>
      <c r="B121" s="1540"/>
      <c r="C121" s="1324"/>
      <c r="D121" s="624" t="s">
        <v>143</v>
      </c>
      <c r="E121" s="534"/>
      <c r="F121" s="662">
        <f>SUM(G113)</f>
        <v>77</v>
      </c>
      <c r="G121" s="534">
        <f>SUM(G113)</f>
        <v>77</v>
      </c>
      <c r="H121" s="533">
        <f>SUM(G121+'1'!G101)</f>
        <v>83</v>
      </c>
      <c r="I121" s="535"/>
      <c r="J121" s="559">
        <f>H121/DAY(B2)</f>
        <v>4.6111111111111107</v>
      </c>
      <c r="N121" s="721"/>
      <c r="O121" s="728"/>
      <c r="P121" s="382"/>
    </row>
    <row r="122" spans="1:16" s="442" customFormat="1" ht="27.75">
      <c r="A122" s="1541"/>
      <c r="B122" s="1542"/>
      <c r="C122" s="1325"/>
      <c r="D122" s="560"/>
      <c r="E122" s="560"/>
      <c r="F122" s="664" t="s">
        <v>214</v>
      </c>
      <c r="G122" s="560"/>
      <c r="H122" s="561"/>
      <c r="I122" s="560"/>
      <c r="J122" s="562"/>
      <c r="N122" s="721"/>
      <c r="O122" s="728"/>
      <c r="P122" s="382"/>
    </row>
    <row r="123" spans="1:16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327" t="s">
        <v>230</v>
      </c>
      <c r="B124" s="1328"/>
      <c r="C124" s="1328"/>
      <c r="D124" s="523" t="s">
        <v>140</v>
      </c>
      <c r="E124" s="478">
        <f>'17'!F124</f>
        <v>829552</v>
      </c>
      <c r="F124" s="478">
        <v>829747</v>
      </c>
      <c r="G124" s="473">
        <f t="shared" ref="G124:G128" si="14">F124-E124</f>
        <v>195</v>
      </c>
      <c r="H124" s="460">
        <f>G124+'17'!H124</f>
        <v>3658.5400000000373</v>
      </c>
      <c r="I124" s="526"/>
      <c r="J124" s="552">
        <f>H124/DAY(B2)</f>
        <v>203.2522222222243</v>
      </c>
      <c r="K124" s="380"/>
      <c r="L124" s="377"/>
      <c r="N124" s="721"/>
      <c r="O124" s="728"/>
      <c r="P124" s="382"/>
    </row>
    <row r="125" spans="1:16" ht="27.75">
      <c r="A125" s="1327" t="s">
        <v>231</v>
      </c>
      <c r="B125" s="1328"/>
      <c r="C125" s="1328"/>
      <c r="D125" s="523" t="s">
        <v>140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30" t="s">
        <v>232</v>
      </c>
      <c r="B126" s="1531"/>
      <c r="C126" s="1532"/>
      <c r="D126" s="523" t="s">
        <v>140</v>
      </c>
      <c r="E126" s="478">
        <f>'17'!F126</f>
        <v>145639</v>
      </c>
      <c r="F126" s="478">
        <v>145684</v>
      </c>
      <c r="G126" s="473">
        <f t="shared" si="14"/>
        <v>45</v>
      </c>
      <c r="H126" s="460">
        <f>G126+'17'!H126</f>
        <v>996.55999999999767</v>
      </c>
      <c r="I126" s="526"/>
      <c r="J126" s="552">
        <f>H126/DAY(B2)</f>
        <v>55.364444444444317</v>
      </c>
      <c r="K126" s="380"/>
      <c r="L126" s="377"/>
      <c r="N126" s="721"/>
      <c r="O126" s="728"/>
      <c r="P126" s="382"/>
    </row>
    <row r="127" spans="1:16" ht="27.75">
      <c r="A127" s="609" t="s">
        <v>233</v>
      </c>
      <c r="B127" s="1328"/>
      <c r="C127" s="1328"/>
      <c r="D127" s="523" t="s">
        <v>140</v>
      </c>
      <c r="E127" s="478">
        <f>'17'!F127</f>
        <v>31404</v>
      </c>
      <c r="F127" s="626">
        <v>31404</v>
      </c>
      <c r="G127" s="473">
        <f t="shared" si="14"/>
        <v>0</v>
      </c>
      <c r="H127" s="460">
        <f>G127+'17'!H127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234</v>
      </c>
      <c r="B128" s="1328"/>
      <c r="C128" s="1328"/>
      <c r="D128" s="523" t="s">
        <v>140</v>
      </c>
      <c r="E128" s="478">
        <f>'17'!F128</f>
        <v>8971</v>
      </c>
      <c r="F128" s="626">
        <v>8971</v>
      </c>
      <c r="G128" s="473">
        <f t="shared" si="14"/>
        <v>0</v>
      </c>
      <c r="H128" s="460">
        <f>G128+'17'!H128</f>
        <v>1.2999999999992724</v>
      </c>
      <c r="I128" s="480"/>
      <c r="J128" s="552">
        <f>H128/DAY(B2)</f>
        <v>7.2222222222181803E-2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235</v>
      </c>
      <c r="B129" s="1328"/>
      <c r="C129" s="1328"/>
      <c r="D129" s="523"/>
      <c r="E129" s="478"/>
      <c r="F129" s="478"/>
      <c r="G129" s="473">
        <f>G15-SUM(G124:G128)</f>
        <v>160</v>
      </c>
      <c r="H129" s="460">
        <f>G129+'17'!H129</f>
        <v>513</v>
      </c>
      <c r="I129" s="480"/>
      <c r="J129" s="552">
        <f>H129/DAY(B2)</f>
        <v>28.5</v>
      </c>
      <c r="K129" s="364"/>
      <c r="L129" s="292"/>
      <c r="N129" s="721"/>
      <c r="O129" s="728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327" t="s">
        <v>237</v>
      </c>
      <c r="B131" s="1328"/>
      <c r="C131" s="1328"/>
      <c r="D131" s="523" t="s">
        <v>238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327" t="s">
        <v>239</v>
      </c>
      <c r="B132" s="1328"/>
      <c r="C132" s="1328"/>
      <c r="D132" s="523" t="s">
        <v>238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327" t="s">
        <v>240</v>
      </c>
      <c r="B133" s="1328"/>
      <c r="C133" s="1328"/>
      <c r="D133" s="523" t="s">
        <v>238</v>
      </c>
      <c r="E133" s="484">
        <f>'17'!F133</f>
        <v>40031.519999999997</v>
      </c>
      <c r="F133" s="654">
        <v>40031.519999999997</v>
      </c>
      <c r="G133" s="473">
        <v>0</v>
      </c>
      <c r="H133" s="460">
        <f>G133+'17'!H133</f>
        <v>285.0399999999936</v>
      </c>
      <c r="I133" s="480"/>
      <c r="J133" s="552">
        <f>H133/DAY(B2)</f>
        <v>15.835555555555199</v>
      </c>
      <c r="N133" s="721"/>
      <c r="O133" s="728"/>
      <c r="P133" s="382"/>
    </row>
    <row r="134" spans="1:16" ht="27.75">
      <c r="A134" s="1327" t="s">
        <v>241</v>
      </c>
      <c r="B134" s="1328"/>
      <c r="C134" s="1328"/>
      <c r="D134" s="523" t="s">
        <v>238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327" t="s">
        <v>242</v>
      </c>
      <c r="B135" s="1328"/>
      <c r="C135" s="1328"/>
      <c r="D135" s="523" t="s">
        <v>238</v>
      </c>
      <c r="E135" s="484">
        <f>'17'!F135</f>
        <v>41517.1</v>
      </c>
      <c r="F135" s="626">
        <v>41541</v>
      </c>
      <c r="G135" s="473">
        <f t="shared" si="15"/>
        <v>23.900000000001455</v>
      </c>
      <c r="H135" s="460">
        <f>G135+'17'!H135</f>
        <v>156</v>
      </c>
      <c r="I135" s="480"/>
      <c r="J135" s="552">
        <f>H135/DAY(B2)</f>
        <v>8.6666666666666661</v>
      </c>
      <c r="N135" s="721"/>
      <c r="O135" s="728"/>
      <c r="P135" s="382"/>
    </row>
    <row r="136" spans="1:16" ht="27.75">
      <c r="A136" s="1327" t="s">
        <v>243</v>
      </c>
      <c r="B136" s="1328"/>
      <c r="C136" s="1328"/>
      <c r="D136" s="523" t="s">
        <v>238</v>
      </c>
      <c r="E136" s="484">
        <f>'17'!F136</f>
        <v>32582.98</v>
      </c>
      <c r="F136" s="654">
        <v>32582.98</v>
      </c>
      <c r="G136" s="473">
        <f t="shared" si="15"/>
        <v>0</v>
      </c>
      <c r="H136" s="460">
        <f>G136+'17'!H136</f>
        <v>-2.0000000000436557E-2</v>
      </c>
      <c r="I136" s="480"/>
      <c r="J136" s="552">
        <f>H136/DAY(B2)</f>
        <v>-1.1111111111353643E-3</v>
      </c>
      <c r="N136" s="721"/>
      <c r="O136" s="728"/>
      <c r="P136" s="382"/>
    </row>
    <row r="137" spans="1:16" ht="27.75">
      <c r="A137" s="1327" t="s">
        <v>244</v>
      </c>
      <c r="B137" s="1328"/>
      <c r="C137" s="1328"/>
      <c r="D137" s="523" t="s">
        <v>238</v>
      </c>
      <c r="E137" s="484">
        <f>'17'!F137</f>
        <v>22773.200000000001</v>
      </c>
      <c r="F137" s="654">
        <v>22773.200000000001</v>
      </c>
      <c r="G137" s="473">
        <f t="shared" si="15"/>
        <v>0</v>
      </c>
      <c r="H137" s="460">
        <f>G137+'17'!H137</f>
        <v>33.610000000000582</v>
      </c>
      <c r="I137" s="480">
        <f>G135+G136+G137</f>
        <v>23.900000000001455</v>
      </c>
      <c r="J137" s="552">
        <f>H137/DAY(B2)</f>
        <v>1.8672222222222545</v>
      </c>
      <c r="N137" s="721"/>
      <c r="O137" s="728"/>
      <c r="P137" s="382"/>
    </row>
    <row r="138" spans="1:16" ht="27.75">
      <c r="A138" s="1327" t="s">
        <v>245</v>
      </c>
      <c r="B138" s="1328"/>
      <c r="C138" s="1328"/>
      <c r="D138" s="523" t="s">
        <v>238</v>
      </c>
      <c r="E138" s="484">
        <f>'17'!F138</f>
        <v>25051.72</v>
      </c>
      <c r="F138" s="654">
        <v>25051.72</v>
      </c>
      <c r="G138" s="473">
        <f t="shared" si="15"/>
        <v>0</v>
      </c>
      <c r="H138" s="460">
        <f>G138+'17'!H138</f>
        <v>0.13000000000101863</v>
      </c>
      <c r="I138" s="480"/>
      <c r="J138" s="552">
        <f>H138/DAY(B2)</f>
        <v>7.2222222222788129E-3</v>
      </c>
      <c r="N138" s="721"/>
      <c r="O138" s="728"/>
      <c r="P138" s="382"/>
    </row>
    <row r="139" spans="1:16" ht="27.75">
      <c r="A139" s="1327" t="s">
        <v>246</v>
      </c>
      <c r="B139" s="1328"/>
      <c r="C139" s="1328"/>
      <c r="D139" s="523" t="s">
        <v>238</v>
      </c>
      <c r="E139" s="484">
        <f>'17'!F139</f>
        <v>70361.47</v>
      </c>
      <c r="F139" s="654">
        <v>70370</v>
      </c>
      <c r="G139" s="473">
        <f t="shared" si="15"/>
        <v>8.5299999999988358</v>
      </c>
      <c r="H139" s="460">
        <f>G139+'17'!H139</f>
        <v>54.190000000002328</v>
      </c>
      <c r="I139" s="480">
        <f>G138+G139</f>
        <v>8.5299999999988358</v>
      </c>
      <c r="J139" s="552">
        <f>H139/DAY(B2)</f>
        <v>3.0105555555556851</v>
      </c>
      <c r="N139" s="721"/>
      <c r="O139" s="728"/>
      <c r="P139" s="382"/>
    </row>
    <row r="140" spans="1:16" ht="27.75">
      <c r="A140" s="1327" t="s">
        <v>247</v>
      </c>
      <c r="B140" s="1328"/>
      <c r="C140" s="1328"/>
      <c r="D140" s="523" t="s">
        <v>238</v>
      </c>
      <c r="E140" s="484">
        <f>'17'!F140</f>
        <v>1747.53</v>
      </c>
      <c r="F140" s="626">
        <v>1755.27</v>
      </c>
      <c r="G140" s="473">
        <f t="shared" si="15"/>
        <v>7.7400000000000091</v>
      </c>
      <c r="H140" s="460">
        <f>G140+'17'!H140</f>
        <v>138.41000000000008</v>
      </c>
      <c r="I140" s="542"/>
      <c r="J140" s="552">
        <f>H140/DAY(B2)</f>
        <v>7.6894444444444492</v>
      </c>
      <c r="N140" s="721"/>
      <c r="O140" s="728"/>
      <c r="P140" s="382"/>
    </row>
    <row r="141" spans="1:16" ht="27.75">
      <c r="A141" s="1327" t="s">
        <v>248</v>
      </c>
      <c r="B141" s="1328"/>
      <c r="C141" s="1328"/>
      <c r="D141" s="523" t="s">
        <v>238</v>
      </c>
      <c r="E141" s="484">
        <f>'17'!F141</f>
        <v>4636.88</v>
      </c>
      <c r="F141" s="478">
        <v>4636.88</v>
      </c>
      <c r="G141" s="473">
        <f t="shared" si="15"/>
        <v>0</v>
      </c>
      <c r="H141" s="460">
        <f>G141+'17'!H141</f>
        <v>-0.11999999999989086</v>
      </c>
      <c r="I141" s="542"/>
      <c r="J141" s="552">
        <f>H141/DAY(B2)</f>
        <v>-6.6666666666606034E-3</v>
      </c>
      <c r="N141" s="721"/>
      <c r="O141" s="728"/>
      <c r="P141" s="382"/>
    </row>
    <row r="142" spans="1:16">
      <c r="A142" s="1557" t="s">
        <v>249</v>
      </c>
      <c r="B142" s="1558"/>
      <c r="C142" s="1333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3645</v>
      </c>
      <c r="H143" s="460">
        <f>G143+'17'!H143</f>
        <v>74308.33</v>
      </c>
      <c r="I143" s="480"/>
      <c r="J143" s="552">
        <f>H143/DAY(B2)</f>
        <v>4128.2405555555561</v>
      </c>
      <c r="K143" s="380"/>
      <c r="L143" s="377"/>
      <c r="N143" s="721"/>
      <c r="O143" s="728"/>
      <c r="P143" s="382"/>
    </row>
    <row r="144" spans="1:16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0.23758310520140791</v>
      </c>
      <c r="H144" s="460">
        <f>G144+'17'!H144</f>
        <v>4.7623631341369386</v>
      </c>
      <c r="I144" s="544"/>
      <c r="J144" s="552">
        <f>H144/DAY(B2)</f>
        <v>0.26457572967427434</v>
      </c>
      <c r="K144" s="380"/>
      <c r="L144" s="377"/>
      <c r="N144" s="721"/>
      <c r="O144" s="728"/>
      <c r="P144" s="382"/>
    </row>
    <row r="145" spans="1:16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5084.5400000000009</v>
      </c>
      <c r="H145" s="460">
        <f>G145+'17'!H145</f>
        <v>87411.540000000008</v>
      </c>
      <c r="I145" s="480"/>
      <c r="J145" s="552">
        <f>H145/DAY(B2)</f>
        <v>4856.1966666666667</v>
      </c>
      <c r="K145" s="380"/>
      <c r="L145" s="377"/>
      <c r="N145" s="721"/>
      <c r="O145" s="728"/>
      <c r="P145" s="382"/>
    </row>
    <row r="146" spans="1:16" ht="27.75">
      <c r="A146" s="1551" t="s">
        <v>253</v>
      </c>
      <c r="B146" s="1552"/>
      <c r="C146" s="1553"/>
      <c r="D146" s="523" t="s">
        <v>24</v>
      </c>
      <c r="E146" s="455"/>
      <c r="F146" s="455" t="s">
        <v>272</v>
      </c>
      <c r="G146" s="543">
        <f>G145/G7</f>
        <v>0.33141311432668497</v>
      </c>
      <c r="H146" s="460">
        <f>G146+'17'!H146</f>
        <v>5.6113945377164676</v>
      </c>
      <c r="I146" s="544"/>
      <c r="J146" s="552">
        <f>H146/DAY(B2)</f>
        <v>0.31174414098424819</v>
      </c>
      <c r="K146" s="380"/>
      <c r="L146" s="377"/>
      <c r="N146" s="721"/>
      <c r="O146" s="728"/>
      <c r="P146" s="382"/>
    </row>
    <row r="147" spans="1:16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2625</v>
      </c>
      <c r="H147" s="460">
        <f>G147+'17'!H147</f>
        <v>42098</v>
      </c>
      <c r="I147" s="545"/>
      <c r="J147" s="552">
        <f>H147/DAY(B2)</f>
        <v>2338.7777777777778</v>
      </c>
      <c r="K147" s="380"/>
      <c r="L147" s="377"/>
      <c r="N147" s="721"/>
      <c r="O147" s="728"/>
      <c r="P147" s="382"/>
    </row>
    <row r="148" spans="1:16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0.17109894407508799</v>
      </c>
      <c r="H148" s="460">
        <f>G148+'17'!H148</f>
        <v>2.7022615836902815</v>
      </c>
      <c r="I148" s="545"/>
      <c r="J148" s="552">
        <f>H148/DAY(B2)</f>
        <v>0.15012564353834898</v>
      </c>
      <c r="N148" s="721"/>
      <c r="O148" s="728"/>
      <c r="P148" s="382"/>
    </row>
    <row r="149" spans="1:16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1081</v>
      </c>
      <c r="H149" s="460">
        <f>G149+'17'!H149</f>
        <v>21269</v>
      </c>
      <c r="I149" s="480"/>
      <c r="J149" s="552">
        <f>H149/DAY(B2)</f>
        <v>1181.6111111111111</v>
      </c>
      <c r="K149" s="381"/>
      <c r="N149" s="721"/>
      <c r="O149" s="728"/>
      <c r="P149" s="382"/>
    </row>
    <row r="150" spans="1:16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7.0460174683874333E-2</v>
      </c>
      <c r="H150" s="460">
        <f>G150+'17'!H150</f>
        <v>1.363810838541538</v>
      </c>
      <c r="I150" s="545"/>
      <c r="J150" s="552">
        <f>H150/DAY(B2)</f>
        <v>7.5767268807863219E-2</v>
      </c>
      <c r="N150" s="721"/>
      <c r="O150" s="728"/>
      <c r="P150" s="382"/>
    </row>
    <row r="151" spans="1:16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802</v>
      </c>
      <c r="H151" s="460">
        <f>G151+'17'!H151</f>
        <v>18730</v>
      </c>
      <c r="I151" s="545"/>
      <c r="J151" s="552">
        <f>H151/DAY(B2)</f>
        <v>1040.5555555555557</v>
      </c>
      <c r="N151" s="721"/>
      <c r="O151" s="728"/>
      <c r="P151" s="382"/>
    </row>
    <row r="152" spans="1:16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5.2274801199322124E-2</v>
      </c>
      <c r="H152" s="460">
        <f>G152+'17'!H152</f>
        <v>1.1930816883380979</v>
      </c>
      <c r="I152" s="480"/>
      <c r="J152" s="552">
        <f>H152/DAY(B2)</f>
        <v>6.6282316018783219E-2</v>
      </c>
      <c r="N152" s="721"/>
      <c r="O152" s="728"/>
      <c r="P152" s="382"/>
    </row>
    <row r="153" spans="1:16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1254</v>
      </c>
      <c r="H153" s="460">
        <f>G153+'17'!H153</f>
        <v>22170</v>
      </c>
      <c r="I153" s="480"/>
      <c r="J153" s="552">
        <f>H153/DAY(B2)</f>
        <v>1231.6666666666667</v>
      </c>
      <c r="N153" s="721"/>
      <c r="O153" s="728"/>
      <c r="P153" s="382"/>
    </row>
    <row r="154" spans="1:16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8.1736409855299175E-2</v>
      </c>
      <c r="H154" s="460">
        <f>G154+'17'!H154</f>
        <v>1.4238466907759899</v>
      </c>
      <c r="I154" s="568"/>
      <c r="J154" s="569">
        <f>H154/DAY(B2)</f>
        <v>7.9102593931999435E-2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262</v>
      </c>
      <c r="B161" s="798"/>
      <c r="C161" s="798"/>
      <c r="D161" s="620" t="s">
        <v>186</v>
      </c>
      <c r="E161" s="522">
        <f>'17'!F161</f>
        <v>37311</v>
      </c>
      <c r="F161" s="806">
        <v>37386</v>
      </c>
      <c r="G161" s="473">
        <f t="shared" ref="G161:G166" si="16">F161-E161</f>
        <v>75</v>
      </c>
      <c r="N161" s="721"/>
    </row>
    <row r="162" spans="1:14">
      <c r="A162" s="797" t="s">
        <v>263</v>
      </c>
      <c r="B162" s="798"/>
      <c r="C162" s="798"/>
      <c r="D162" s="620" t="s">
        <v>186</v>
      </c>
      <c r="E162" s="522">
        <f>'17'!F162</f>
        <v>89400</v>
      </c>
      <c r="F162" s="806">
        <v>89789</v>
      </c>
      <c r="G162" s="473">
        <f t="shared" si="16"/>
        <v>389</v>
      </c>
      <c r="N162" s="721"/>
    </row>
    <row r="163" spans="1:14">
      <c r="A163" s="797" t="s">
        <v>264</v>
      </c>
      <c r="B163" s="798"/>
      <c r="C163" s="798"/>
      <c r="D163" s="620" t="s">
        <v>186</v>
      </c>
      <c r="E163" s="522">
        <f>'17'!F163</f>
        <v>42078</v>
      </c>
      <c r="F163" s="786">
        <v>42288</v>
      </c>
      <c r="G163" s="473">
        <f t="shared" si="16"/>
        <v>210</v>
      </c>
      <c r="N163" s="721"/>
    </row>
    <row r="164" spans="1:14">
      <c r="A164" s="797" t="s">
        <v>265</v>
      </c>
      <c r="B164" s="798"/>
      <c r="C164" s="798"/>
      <c r="D164" s="620" t="s">
        <v>186</v>
      </c>
      <c r="E164" s="522">
        <f>'17'!F164</f>
        <v>6420</v>
      </c>
      <c r="F164" s="806">
        <v>6441</v>
      </c>
      <c r="G164" s="473">
        <f t="shared" si="16"/>
        <v>21</v>
      </c>
      <c r="N164" s="721"/>
    </row>
    <row r="165" spans="1:14">
      <c r="A165" s="799" t="s">
        <v>98</v>
      </c>
      <c r="B165" s="800"/>
      <c r="C165" s="800"/>
      <c r="D165" s="620" t="s">
        <v>186</v>
      </c>
      <c r="E165" s="522">
        <f>'17'!F165</f>
        <v>20419</v>
      </c>
      <c r="F165" s="514">
        <v>20419</v>
      </c>
      <c r="G165" s="473">
        <f t="shared" si="16"/>
        <v>0</v>
      </c>
      <c r="N165" s="721"/>
    </row>
    <row r="166" spans="1:14">
      <c r="A166" s="799" t="s">
        <v>187</v>
      </c>
      <c r="B166" s="800"/>
      <c r="C166" s="800"/>
      <c r="D166" s="620" t="s">
        <v>186</v>
      </c>
      <c r="E166" s="522">
        <f>'17'!F166</f>
        <v>2423</v>
      </c>
      <c r="F166" s="514">
        <f>F63</f>
        <v>2427</v>
      </c>
      <c r="G166" s="473">
        <f t="shared" si="16"/>
        <v>4</v>
      </c>
      <c r="N166" s="721"/>
    </row>
    <row r="167" spans="1:14" ht="27.75">
      <c r="A167" s="1596" t="s">
        <v>99</v>
      </c>
      <c r="B167" s="1596"/>
      <c r="C167" s="1596"/>
      <c r="D167" s="524" t="s">
        <v>186</v>
      </c>
      <c r="E167" s="522">
        <f>'17'!F167</f>
        <v>156870</v>
      </c>
      <c r="F167" s="514">
        <f t="shared" ref="F167:F172" si="17">F64</f>
        <v>157207</v>
      </c>
      <c r="G167" s="473">
        <f>F64-E64</f>
        <v>337</v>
      </c>
      <c r="N167" s="721"/>
    </row>
    <row r="168" spans="1:14" ht="27.75">
      <c r="A168" s="1596" t="s">
        <v>100</v>
      </c>
      <c r="B168" s="1596"/>
      <c r="C168" s="1596"/>
      <c r="D168" s="524" t="s">
        <v>186</v>
      </c>
      <c r="E168" s="522">
        <f>'17'!F168</f>
        <v>157951</v>
      </c>
      <c r="F168" s="514">
        <f t="shared" si="17"/>
        <v>158219</v>
      </c>
      <c r="G168" s="473">
        <f t="shared" ref="G168:G172" si="18">F65-E65</f>
        <v>268</v>
      </c>
      <c r="N168" s="721"/>
    </row>
    <row r="169" spans="1:14" ht="27.75">
      <c r="A169" s="1596" t="s">
        <v>101</v>
      </c>
      <c r="B169" s="1596"/>
      <c r="C169" s="1596"/>
      <c r="D169" s="524" t="s">
        <v>186</v>
      </c>
      <c r="E169" s="522">
        <f>'17'!F169</f>
        <v>52979</v>
      </c>
      <c r="F169" s="514">
        <f t="shared" si="17"/>
        <v>53249</v>
      </c>
      <c r="G169" s="473">
        <f t="shared" si="18"/>
        <v>270</v>
      </c>
      <c r="N169" s="721"/>
    </row>
    <row r="170" spans="1:14" ht="27.75">
      <c r="A170" s="1596" t="s">
        <v>102</v>
      </c>
      <c r="B170" s="1596"/>
      <c r="C170" s="1596"/>
      <c r="D170" s="524" t="s">
        <v>186</v>
      </c>
      <c r="E170" s="522">
        <f>'17'!F170</f>
        <v>246395</v>
      </c>
      <c r="F170" s="514">
        <f t="shared" si="17"/>
        <v>246695</v>
      </c>
      <c r="G170" s="473">
        <f t="shared" si="18"/>
        <v>300</v>
      </c>
      <c r="N170" s="721"/>
    </row>
    <row r="171" spans="1:14" ht="27.75">
      <c r="A171" s="1596" t="s">
        <v>103</v>
      </c>
      <c r="B171" s="1596"/>
      <c r="C171" s="1596"/>
      <c r="D171" s="524" t="s">
        <v>186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21"/>
    </row>
    <row r="172" spans="1:14" ht="27.75">
      <c r="A172" s="1596" t="s">
        <v>104</v>
      </c>
      <c r="B172" s="1596"/>
      <c r="C172" s="1596"/>
      <c r="D172" s="524" t="s">
        <v>186</v>
      </c>
      <c r="E172" s="522">
        <f>'17'!F172</f>
        <v>80272</v>
      </c>
      <c r="F172" s="514">
        <f t="shared" si="17"/>
        <v>80350</v>
      </c>
      <c r="G172" s="473">
        <f t="shared" si="18"/>
        <v>78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1952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>
      <c r="N177" s="721"/>
    </row>
    <row r="178" spans="14:14" ht="18.7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>
      <c r="N198" s="721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4" zoomScale="55" zoomScaleNormal="40" zoomScaleSheetLayoutView="55" zoomScalePageLayoutView="60" workbookViewId="0">
      <selection activeCell="H8" sqref="H8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354</v>
      </c>
      <c r="B2" s="1035">
        <v>44335</v>
      </c>
      <c r="C2" s="1145" t="s">
        <v>69</v>
      </c>
      <c r="D2" s="611">
        <v>0.1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5" t="s">
        <v>119</v>
      </c>
      <c r="D3" s="612">
        <v>27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'18'!F7</f>
        <v>126096</v>
      </c>
      <c r="F7" s="455">
        <v>140515</v>
      </c>
      <c r="G7" s="473">
        <f>F7-E7</f>
        <v>14419</v>
      </c>
      <c r="H7" s="460">
        <f>G7+'18'!H7</f>
        <v>295538</v>
      </c>
      <c r="I7" s="474">
        <f>'1'!I7</f>
        <v>12000</v>
      </c>
      <c r="J7" s="552">
        <f>H7/DAY(B2)</f>
        <v>15554.631578947368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'18'!F8</f>
        <v>127135</v>
      </c>
      <c r="F8" s="475">
        <v>141684</v>
      </c>
      <c r="G8" s="476">
        <f>F8-E8</f>
        <v>14549</v>
      </c>
      <c r="H8" s="460">
        <f>G8+'18'!H8</f>
        <v>297443</v>
      </c>
      <c r="I8" s="477">
        <f>'1'!I8</f>
        <v>12000</v>
      </c>
      <c r="J8" s="552">
        <f>H8/DAY(B2)</f>
        <v>15654.894736842105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'18'!F9</f>
        <v>1262526</v>
      </c>
      <c r="F9" s="478">
        <v>1276465</v>
      </c>
      <c r="G9" s="473">
        <f t="shared" ref="G9:G12" si="0">F9-E9</f>
        <v>13939</v>
      </c>
      <c r="H9" s="460">
        <f>G9+'18'!H9</f>
        <v>285751</v>
      </c>
      <c r="I9" s="479">
        <f>I8-J8</f>
        <v>-3654.894736842105</v>
      </c>
      <c r="J9" s="552">
        <f>H9/DAY(B2)</f>
        <v>15039.526315789473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'18'!F10</f>
        <v>2322.58</v>
      </c>
      <c r="F10" s="478">
        <v>2322.58</v>
      </c>
      <c r="G10" s="473">
        <v>0</v>
      </c>
      <c r="H10" s="460">
        <f>G10+'18'!H10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13939</v>
      </c>
      <c r="H13" s="460">
        <f>G13+'18'!H13</f>
        <v>271230</v>
      </c>
      <c r="I13" s="482">
        <f>G7-G13</f>
        <v>480</v>
      </c>
      <c r="J13" s="552">
        <f>H13/DAY(B2)</f>
        <v>14275.263157894737</v>
      </c>
      <c r="K13" s="428"/>
      <c r="L13" s="377"/>
      <c r="N13" s="382"/>
      <c r="O13" s="382"/>
    </row>
    <row r="14" spans="1:15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3" t="s">
        <v>139</v>
      </c>
      <c r="B15" s="589"/>
      <c r="C15" s="589"/>
      <c r="D15" s="523" t="s">
        <v>140</v>
      </c>
      <c r="E15" s="484">
        <f>'18'!F15</f>
        <v>1678380</v>
      </c>
      <c r="F15" s="484">
        <v>1678628</v>
      </c>
      <c r="G15" s="782">
        <f>(F15-E15)</f>
        <v>248</v>
      </c>
      <c r="H15" s="460">
        <f>G15+'18'!H15</f>
        <v>7971</v>
      </c>
      <c r="I15" s="474">
        <v>800</v>
      </c>
      <c r="J15" s="552">
        <f>H15/DAY(B2)</f>
        <v>419.5263157894737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380.4736842105263</v>
      </c>
      <c r="J16" s="553"/>
      <c r="K16" s="428"/>
      <c r="L16" s="377"/>
      <c r="N16" s="382"/>
      <c r="O16" s="382"/>
    </row>
    <row r="17" spans="1:15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1" t="s">
        <v>142</v>
      </c>
      <c r="B18" s="1552"/>
      <c r="C18" s="1553"/>
      <c r="D18" s="523" t="s">
        <v>143</v>
      </c>
      <c r="E18" s="484">
        <f>'18'!F18</f>
        <v>0</v>
      </c>
      <c r="F18" s="484">
        <v>0</v>
      </c>
      <c r="G18" s="481">
        <f>F18*10</f>
        <v>0</v>
      </c>
      <c r="H18" s="460">
        <f>G18+'18'!H18</f>
        <v>640</v>
      </c>
      <c r="I18" s="474">
        <f>'1'!I18</f>
        <v>65</v>
      </c>
      <c r="J18" s="552">
        <f>H18/DAY(B2)</f>
        <v>33.684210526315788</v>
      </c>
      <c r="K18" s="428"/>
      <c r="L18" s="377"/>
      <c r="N18" s="382"/>
      <c r="O18" s="382"/>
    </row>
    <row r="19" spans="1:15" ht="27.75">
      <c r="A19" s="1551" t="s">
        <v>71</v>
      </c>
      <c r="B19" s="1552"/>
      <c r="C19" s="1553"/>
      <c r="D19" s="523" t="s">
        <v>143</v>
      </c>
      <c r="E19" s="484">
        <f>'18'!F19</f>
        <v>138849</v>
      </c>
      <c r="F19" s="484">
        <v>138909</v>
      </c>
      <c r="G19" s="473">
        <f t="shared" ref="G19" si="1">F19-E19</f>
        <v>60</v>
      </c>
      <c r="H19" s="460">
        <f>G19+'18'!H19</f>
        <v>1097</v>
      </c>
      <c r="I19" s="489"/>
      <c r="J19" s="552">
        <f>H19/DAY(B2)</f>
        <v>57.736842105263158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60</v>
      </c>
      <c r="H20" s="460">
        <f>G20+'18'!H20</f>
        <v>1737</v>
      </c>
      <c r="I20" s="492">
        <f>I18-J20</f>
        <v>-26.421052631578945</v>
      </c>
      <c r="J20" s="552">
        <f>H20/DAY(B2)</f>
        <v>91.421052631578945</v>
      </c>
      <c r="K20" s="428"/>
      <c r="L20" s="377"/>
      <c r="N20" s="382"/>
      <c r="O20" s="382"/>
    </row>
    <row r="21" spans="1:15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146</v>
      </c>
      <c r="B22" s="589"/>
      <c r="C22" s="589"/>
      <c r="D22" s="523" t="s">
        <v>147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148</v>
      </c>
      <c r="B23" s="589"/>
      <c r="C23" s="589"/>
      <c r="D23" s="523" t="s">
        <v>147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14549</v>
      </c>
      <c r="F27" s="501">
        <v>9</v>
      </c>
      <c r="G27" s="502">
        <f>E27*F27</f>
        <v>130941</v>
      </c>
      <c r="H27" s="460">
        <f>G27+'18'!H27</f>
        <v>2676987</v>
      </c>
      <c r="I27" s="503"/>
      <c r="J27" s="552">
        <f>H27/DAY(B2)</f>
        <v>140894.05263157896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248</v>
      </c>
      <c r="F28" s="501">
        <v>51.45</v>
      </c>
      <c r="G28" s="502">
        <f>E28*F28</f>
        <v>12759.6</v>
      </c>
      <c r="H28" s="460">
        <f>G28+'18'!H28</f>
        <v>399625.42899999983</v>
      </c>
      <c r="I28" s="505"/>
      <c r="J28" s="552">
        <f>H28/DAY(B2)</f>
        <v>21032.917315789466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60</v>
      </c>
      <c r="F30" s="501">
        <v>134</v>
      </c>
      <c r="G30" s="502">
        <f>E30*F30</f>
        <v>8040</v>
      </c>
      <c r="H30" s="460">
        <f>G30+'18'!H30</f>
        <v>146998</v>
      </c>
      <c r="I30" s="505"/>
      <c r="J30" s="552">
        <f>H30/DAY(B2)</f>
        <v>7736.7368421052633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0</v>
      </c>
      <c r="F31" s="501">
        <v>80</v>
      </c>
      <c r="G31" s="502">
        <f>E31*F31</f>
        <v>0</v>
      </c>
      <c r="H31" s="460">
        <f>G31+'18'!H31</f>
        <v>51200</v>
      </c>
      <c r="I31" s="505"/>
      <c r="J31" s="552">
        <f>H31/DAY(B2)</f>
        <v>2694.7368421052633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151740.6</v>
      </c>
      <c r="H32" s="460">
        <f>G32+'18'!H32</f>
        <v>3274810.429</v>
      </c>
      <c r="I32" s="509"/>
      <c r="J32" s="552">
        <f>H32/DAY(B2)</f>
        <v>172358.44363157894</v>
      </c>
      <c r="K32" s="373"/>
      <c r="L32" s="443"/>
      <c r="N32" s="444"/>
      <c r="O32" s="382"/>
    </row>
    <row r="33" spans="1:15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  <c r="O33" s="382"/>
    </row>
    <row r="34" spans="1:15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'18'!F35</f>
        <v>922104</v>
      </c>
      <c r="F35" s="510">
        <v>923755</v>
      </c>
      <c r="G35" s="473">
        <f t="shared" ref="G35:G46" si="3">F35-E35</f>
        <v>1651</v>
      </c>
      <c r="H35" s="460">
        <f>G35+'18'!H35</f>
        <v>37296</v>
      </c>
      <c r="I35" s="455"/>
      <c r="J35" s="552">
        <f>H35/DAY(B2)</f>
        <v>1962.9473684210527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'18'!F36</f>
        <v>347065</v>
      </c>
      <c r="F36" s="510">
        <v>347065</v>
      </c>
      <c r="G36" s="473">
        <f t="shared" si="3"/>
        <v>0</v>
      </c>
      <c r="H36" s="460">
        <f>G36+'18'!H36</f>
        <v>2457</v>
      </c>
      <c r="I36" s="455"/>
      <c r="J36" s="552">
        <f>H36/DAY(B2)</f>
        <v>129.31578947368422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'18'!F37</f>
        <v>117395</v>
      </c>
      <c r="F37" s="510">
        <v>118595</v>
      </c>
      <c r="G37" s="473">
        <f t="shared" si="3"/>
        <v>1200</v>
      </c>
      <c r="H37" s="460">
        <f>G37+'18'!H37</f>
        <v>23370</v>
      </c>
      <c r="I37" s="455"/>
      <c r="J37" s="552">
        <f>H37/DAY(B2)</f>
        <v>1230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'18'!F38</f>
        <v>140865</v>
      </c>
      <c r="F38" s="469">
        <v>141864</v>
      </c>
      <c r="G38" s="473">
        <f t="shared" si="3"/>
        <v>999</v>
      </c>
      <c r="H38" s="460">
        <f>G38+'18'!H38</f>
        <v>22268</v>
      </c>
      <c r="I38" s="455"/>
      <c r="J38" s="552">
        <f>H38/DAY(B2)</f>
        <v>1172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'18'!F39</f>
        <v>279594</v>
      </c>
      <c r="F39" s="510">
        <v>281607</v>
      </c>
      <c r="G39" s="473">
        <f t="shared" si="3"/>
        <v>2013</v>
      </c>
      <c r="H39" s="460">
        <f>G39+'18'!H39</f>
        <v>34954</v>
      </c>
      <c r="I39" s="455"/>
      <c r="J39" s="552">
        <f>H39/DAY(B2)</f>
        <v>1839.6842105263158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'18'!F40</f>
        <v>519</v>
      </c>
      <c r="F40" s="510">
        <v>587</v>
      </c>
      <c r="G40" s="473">
        <f t="shared" si="3"/>
        <v>68</v>
      </c>
      <c r="H40" s="460">
        <f>G40+'18'!H40</f>
        <v>586.77</v>
      </c>
      <c r="I40" s="455"/>
      <c r="J40" s="552">
        <f>H40/DAY(B2)</f>
        <v>30.882631578947368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'18'!F41</f>
        <v>239668</v>
      </c>
      <c r="F41" s="510">
        <v>239668</v>
      </c>
      <c r="G41" s="473">
        <f t="shared" si="3"/>
        <v>0</v>
      </c>
      <c r="H41" s="460">
        <f>G41+'18'!H41</f>
        <v>58140</v>
      </c>
      <c r="I41" s="455"/>
      <c r="J41" s="552">
        <f>H41/DAY(B2)</f>
        <v>3060</v>
      </c>
      <c r="K41" s="428"/>
      <c r="L41" s="377"/>
      <c r="N41" s="382"/>
      <c r="O41" s="724"/>
    </row>
    <row r="42" spans="1:15">
      <c r="A42" s="578" t="s">
        <v>170</v>
      </c>
      <c r="B42" s="579"/>
      <c r="C42" s="579"/>
      <c r="D42" s="523" t="s">
        <v>131</v>
      </c>
      <c r="E42" s="510">
        <f>'18'!F42</f>
        <v>59200</v>
      </c>
      <c r="F42" s="510">
        <v>59200</v>
      </c>
      <c r="G42" s="473">
        <f>F42-E42</f>
        <v>0</v>
      </c>
      <c r="H42" s="460">
        <f>G42+'18'!H42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'18'!F43</f>
        <v>1012910</v>
      </c>
      <c r="F43" s="510">
        <v>1014999</v>
      </c>
      <c r="G43" s="473">
        <f t="shared" si="3"/>
        <v>2089</v>
      </c>
      <c r="H43" s="460">
        <f>G43+'18'!H43</f>
        <v>41041</v>
      </c>
      <c r="I43" s="455"/>
      <c r="J43" s="552">
        <f>H43/DAY(B2)</f>
        <v>2160.0526315789475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8020</v>
      </c>
      <c r="H47" s="460">
        <f>G47+'18'!H47</f>
        <v>220113.21000000002</v>
      </c>
      <c r="I47" s="455"/>
      <c r="J47" s="552">
        <f>H47/DAY(B2)</f>
        <v>11584.905789473685</v>
      </c>
      <c r="K47" s="428"/>
      <c r="L47" s="377"/>
      <c r="N47" s="382"/>
      <c r="O47" s="382"/>
    </row>
    <row r="48" spans="1:15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'18'!F49</f>
        <v>260732.13</v>
      </c>
      <c r="F49" s="510">
        <v>260732</v>
      </c>
      <c r="G49" s="473">
        <f t="shared" ref="G49:G58" si="4">F49-E49</f>
        <v>-0.13000000000465661</v>
      </c>
      <c r="H49" s="460">
        <f>G49+'18'!H49</f>
        <v>-0.13000000000465661</v>
      </c>
      <c r="I49" s="455"/>
      <c r="J49" s="552">
        <f>H49/DAY(B2)</f>
        <v>-6.8421052634029794E-3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'18'!F50</f>
        <v>490809</v>
      </c>
      <c r="F50" s="510">
        <v>491602</v>
      </c>
      <c r="G50" s="473">
        <f t="shared" si="4"/>
        <v>793</v>
      </c>
      <c r="H50" s="460">
        <f>G50+'18'!H50</f>
        <v>16127</v>
      </c>
      <c r="I50" s="455"/>
      <c r="J50" s="552">
        <f>H50/DAY(B2)</f>
        <v>848.78947368421052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'18'!F51</f>
        <v>144640</v>
      </c>
      <c r="F51" s="510">
        <v>144640</v>
      </c>
      <c r="G51" s="473">
        <f t="shared" si="4"/>
        <v>0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'18'!F52</f>
        <v>539606</v>
      </c>
      <c r="F52" s="510">
        <v>539606</v>
      </c>
      <c r="G52" s="473">
        <f t="shared" si="4"/>
        <v>0</v>
      </c>
      <c r="H52" s="460">
        <f>G52+'18'!H52</f>
        <v>-6.9999999948777258E-2</v>
      </c>
      <c r="I52" s="455"/>
      <c r="J52" s="552">
        <f>H52/DAY(B2)</f>
        <v>-3.6842105236198556E-3</v>
      </c>
      <c r="K52" s="428"/>
      <c r="L52" s="377"/>
      <c r="N52" s="382"/>
      <c r="O52" s="724"/>
    </row>
    <row r="53" spans="1:15">
      <c r="A53" s="578" t="s">
        <v>167</v>
      </c>
      <c r="B53" s="601"/>
      <c r="C53" s="601"/>
      <c r="D53" s="523" t="s">
        <v>131</v>
      </c>
      <c r="E53" s="510">
        <v>425444</v>
      </c>
      <c r="F53" s="510">
        <v>426010</v>
      </c>
      <c r="G53" s="473">
        <f t="shared" si="4"/>
        <v>566</v>
      </c>
      <c r="H53" s="460">
        <f>G53+'18'!H53</f>
        <v>9200</v>
      </c>
      <c r="I53" s="455"/>
      <c r="J53" s="552">
        <f>H53/DAY(B2)</f>
        <v>484.21052631578948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'18'!F54</f>
        <v>12700</v>
      </c>
      <c r="F54" s="510">
        <v>12782</v>
      </c>
      <c r="G54" s="473">
        <f t="shared" si="4"/>
        <v>82</v>
      </c>
      <c r="H54" s="460">
        <f>G54+'18'!H54</f>
        <v>5020</v>
      </c>
      <c r="I54" s="455"/>
      <c r="J54" s="552">
        <f>H54/DAY(B2)</f>
        <v>264.21052631578948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'18'!F55</f>
        <v>29124.54</v>
      </c>
      <c r="F55" s="510">
        <v>33528</v>
      </c>
      <c r="G55" s="473">
        <f t="shared" si="4"/>
        <v>4403.4599999999991</v>
      </c>
      <c r="H55" s="460">
        <f>G55+'18'!H55</f>
        <v>33528</v>
      </c>
      <c r="I55" s="455"/>
      <c r="J55" s="552">
        <f>H55/DAY(B2)</f>
        <v>1764.6315789473683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'18'!F56</f>
        <v>589435.47</v>
      </c>
      <c r="F56" s="510">
        <v>589484</v>
      </c>
      <c r="G56" s="473">
        <f t="shared" si="4"/>
        <v>48.53000000002794</v>
      </c>
      <c r="H56" s="460">
        <f>G56+'18'!H56</f>
        <v>195.64000000001397</v>
      </c>
      <c r="I56" s="455"/>
      <c r="J56" s="552">
        <f>H56/DAY(B2)</f>
        <v>10.296842105263893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'18'!F58</f>
        <v>48167</v>
      </c>
      <c r="F58" s="510">
        <v>48168</v>
      </c>
      <c r="G58" s="473">
        <f t="shared" si="4"/>
        <v>1</v>
      </c>
      <c r="H58" s="460">
        <f>G58+'18'!H58</f>
        <v>1451</v>
      </c>
      <c r="I58" s="455"/>
      <c r="J58" s="552">
        <f>H58/DAY(B2)</f>
        <v>76.368421052631575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5893.5300000000225</v>
      </c>
      <c r="H59" s="460">
        <f>G59+'18'!H59</f>
        <v>65521.510000000009</v>
      </c>
      <c r="I59" s="455">
        <f>G7-G60</f>
        <v>505.46999999997752</v>
      </c>
      <c r="J59" s="552">
        <f>H59/DAY(B2)</f>
        <v>3448.50052631579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13913.530000000022</v>
      </c>
      <c r="H60" s="460">
        <f>G60+'18'!H60</f>
        <v>287218.61000000004</v>
      </c>
      <c r="I60" s="455">
        <f>G13-G60</f>
        <v>25.469999999977517</v>
      </c>
      <c r="J60" s="552">
        <f>H60/DAY(B2)</f>
        <v>15116.768947368424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186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0.38199999999778811</v>
      </c>
      <c r="I62" s="515"/>
      <c r="J62" s="552">
        <f>H62/DAY(B2)</f>
        <v>2.010526315777832E-2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'18'!F63</f>
        <v>2427</v>
      </c>
      <c r="F63" s="514">
        <v>2431</v>
      </c>
      <c r="G63" s="473">
        <f t="shared" si="5"/>
        <v>4</v>
      </c>
      <c r="H63" s="460">
        <f>G63+'18'!H63</f>
        <v>72</v>
      </c>
      <c r="I63" s="515"/>
      <c r="J63" s="552">
        <f>H63/DAY(B2)</f>
        <v>3.7894736842105261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186</v>
      </c>
      <c r="E64" s="484">
        <f>'18'!F64</f>
        <v>157207</v>
      </c>
      <c r="F64" s="484">
        <v>157530</v>
      </c>
      <c r="G64" s="473">
        <f t="shared" si="5"/>
        <v>323</v>
      </c>
      <c r="H64" s="460">
        <f>G64+'18'!H64</f>
        <v>4231</v>
      </c>
      <c r="I64" s="480"/>
      <c r="J64" s="552">
        <f>H64/DAY(B2)</f>
        <v>222.68421052631578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186</v>
      </c>
      <c r="E65" s="484">
        <f>'18'!F65</f>
        <v>158219</v>
      </c>
      <c r="F65" s="484">
        <v>158429</v>
      </c>
      <c r="G65" s="473">
        <f t="shared" si="5"/>
        <v>210</v>
      </c>
      <c r="H65" s="460">
        <f>G65+'18'!H65</f>
        <v>3830</v>
      </c>
      <c r="I65" s="489"/>
      <c r="J65" s="552">
        <f>H65/DAY(B2)</f>
        <v>201.57894736842104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186</v>
      </c>
      <c r="E66" s="484">
        <f>'18'!F66</f>
        <v>53249</v>
      </c>
      <c r="F66" s="484">
        <v>53483</v>
      </c>
      <c r="G66" s="473">
        <f t="shared" si="5"/>
        <v>234</v>
      </c>
      <c r="H66" s="460">
        <f>G66+'18'!H66</f>
        <v>4912</v>
      </c>
      <c r="I66" s="480"/>
      <c r="J66" s="552">
        <f>H66/DAY(B2)</f>
        <v>258.5263157894737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186</v>
      </c>
      <c r="E67" s="484">
        <f>'18'!F67</f>
        <v>246695</v>
      </c>
      <c r="F67" s="484">
        <v>246931</v>
      </c>
      <c r="G67" s="473">
        <f t="shared" si="5"/>
        <v>236</v>
      </c>
      <c r="H67" s="460">
        <f>G67+'18'!H67</f>
        <v>3757</v>
      </c>
      <c r="I67" s="489"/>
      <c r="J67" s="552">
        <f>H67/DAY(B2)</f>
        <v>197.73684210526315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186</v>
      </c>
      <c r="E68" s="484">
        <f>'18'!F68</f>
        <v>85321</v>
      </c>
      <c r="F68" s="484">
        <v>85321</v>
      </c>
      <c r="G68" s="473">
        <f t="shared" si="5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186</v>
      </c>
      <c r="E69" s="484">
        <f>'18'!F69</f>
        <v>80350</v>
      </c>
      <c r="F69" s="484">
        <v>80454</v>
      </c>
      <c r="G69" s="473">
        <f t="shared" si="5"/>
        <v>104</v>
      </c>
      <c r="H69" s="460">
        <f>G69+'18'!H69</f>
        <v>1460</v>
      </c>
      <c r="I69" s="516"/>
      <c r="J69" s="552">
        <f>H69/DAY(B2)</f>
        <v>76.84210526315789</v>
      </c>
      <c r="K69" s="431"/>
      <c r="L69" s="377"/>
      <c r="N69" s="382"/>
      <c r="O69" s="382"/>
    </row>
    <row r="70" spans="1:15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  <c r="O71" s="382"/>
    </row>
    <row r="72" spans="1:15" ht="27.75">
      <c r="A72" s="1530" t="s">
        <v>190</v>
      </c>
      <c r="B72" s="1531"/>
      <c r="C72" s="1532"/>
      <c r="D72" s="523" t="s">
        <v>186</v>
      </c>
      <c r="E72" s="519">
        <f>'18'!F72</f>
        <v>855702</v>
      </c>
      <c r="F72" s="519">
        <v>855712</v>
      </c>
      <c r="G72" s="473">
        <f t="shared" ref="G72:G84" si="6">F72-E72</f>
        <v>10</v>
      </c>
      <c r="H72" s="460">
        <f>G72+'18'!H72</f>
        <v>240</v>
      </c>
      <c r="I72" s="480"/>
      <c r="J72" s="552">
        <f>H72/DAY(B2)</f>
        <v>12.631578947368421</v>
      </c>
      <c r="K72" s="431"/>
      <c r="L72" s="377"/>
      <c r="N72" s="382"/>
      <c r="O72" s="382"/>
    </row>
    <row r="73" spans="1:15" ht="27.75">
      <c r="A73" s="1530" t="s">
        <v>191</v>
      </c>
      <c r="B73" s="1531"/>
      <c r="C73" s="1532"/>
      <c r="D73" s="523" t="s">
        <v>186</v>
      </c>
      <c r="E73" s="520">
        <f>'18'!F73</f>
        <v>885895</v>
      </c>
      <c r="F73" s="520">
        <v>885896</v>
      </c>
      <c r="G73" s="473">
        <f t="shared" si="6"/>
        <v>1</v>
      </c>
      <c r="H73" s="460">
        <f>G73+'18'!H73</f>
        <v>200</v>
      </c>
      <c r="I73" s="480"/>
      <c r="J73" s="552">
        <f>H73/DAY(B2)</f>
        <v>10.526315789473685</v>
      </c>
      <c r="K73" s="430"/>
      <c r="L73" s="377"/>
      <c r="N73" s="382"/>
      <c r="O73" s="382"/>
    </row>
    <row r="74" spans="1:15" ht="27.75">
      <c r="A74" s="1606" t="s">
        <v>192</v>
      </c>
      <c r="B74" s="1607"/>
      <c r="C74" s="1608"/>
      <c r="D74" s="523" t="s">
        <v>186</v>
      </c>
      <c r="E74" s="521">
        <f>'18'!F74</f>
        <v>2499</v>
      </c>
      <c r="F74" s="521">
        <v>2504</v>
      </c>
      <c r="G74" s="473">
        <f t="shared" si="6"/>
        <v>5</v>
      </c>
      <c r="H74" s="460">
        <f>G74+'18'!H74</f>
        <v>225</v>
      </c>
      <c r="I74" s="480"/>
      <c r="J74" s="552">
        <f>H74/DAY(B2)</f>
        <v>11.842105263157896</v>
      </c>
      <c r="K74" s="431"/>
      <c r="L74" s="377"/>
      <c r="N74" s="382"/>
      <c r="O74" s="382"/>
    </row>
    <row r="75" spans="1:15" ht="27.75">
      <c r="A75" s="1527" t="s">
        <v>193</v>
      </c>
      <c r="B75" s="1528"/>
      <c r="C75" s="1529"/>
      <c r="D75" s="523" t="s">
        <v>186</v>
      </c>
      <c r="E75" s="521">
        <f>'18'!F75</f>
        <v>11933</v>
      </c>
      <c r="F75" s="521">
        <v>11989</v>
      </c>
      <c r="G75" s="473">
        <f t="shared" si="6"/>
        <v>56</v>
      </c>
      <c r="H75" s="460">
        <f>G75+'18'!H75</f>
        <v>1019</v>
      </c>
      <c r="I75" s="480"/>
      <c r="J75" s="552">
        <f>H75/DAY(B2)</f>
        <v>53.631578947368418</v>
      </c>
      <c r="K75" s="430"/>
      <c r="L75" s="377"/>
      <c r="N75" s="382"/>
      <c r="O75" s="382"/>
    </row>
    <row r="76" spans="1:15" ht="27.75">
      <c r="A76" s="1527" t="s">
        <v>194</v>
      </c>
      <c r="B76" s="1528"/>
      <c r="C76" s="1529"/>
      <c r="D76" s="523" t="s">
        <v>186</v>
      </c>
      <c r="E76" s="520">
        <f>'18'!F76</f>
        <v>6691</v>
      </c>
      <c r="F76" s="520">
        <v>6749</v>
      </c>
      <c r="G76" s="473">
        <f t="shared" si="6"/>
        <v>58</v>
      </c>
      <c r="H76" s="460">
        <f>G76+'18'!H76</f>
        <v>1032.0499999999993</v>
      </c>
      <c r="I76" s="505"/>
      <c r="J76" s="552">
        <f>H76/DAY(B2)</f>
        <v>54.318421052631543</v>
      </c>
      <c r="K76" s="430"/>
      <c r="L76" s="377"/>
      <c r="N76" s="382"/>
      <c r="O76" s="382"/>
    </row>
    <row r="77" spans="1:15" ht="27.75">
      <c r="A77" s="1530" t="s">
        <v>195</v>
      </c>
      <c r="B77" s="1531"/>
      <c r="C77" s="1532"/>
      <c r="D77" s="523" t="s">
        <v>186</v>
      </c>
      <c r="E77" s="521">
        <f>'18'!F77</f>
        <v>702324</v>
      </c>
      <c r="F77" s="521">
        <v>702353</v>
      </c>
      <c r="G77" s="473">
        <f t="shared" si="6"/>
        <v>29</v>
      </c>
      <c r="H77" s="460">
        <f>G77+'18'!H77</f>
        <v>791</v>
      </c>
      <c r="I77" s="505"/>
      <c r="J77" s="552">
        <f>H77/DAY(B2)</f>
        <v>41.631578947368418</v>
      </c>
      <c r="K77" s="430"/>
      <c r="L77" s="377"/>
      <c r="N77" s="382"/>
      <c r="O77" s="382"/>
    </row>
    <row r="78" spans="1:15" ht="27.75">
      <c r="A78" s="1146" t="s">
        <v>196</v>
      </c>
      <c r="B78" s="1119"/>
      <c r="C78" s="1119"/>
      <c r="D78" s="523" t="s">
        <v>186</v>
      </c>
      <c r="E78" s="521">
        <f>'18'!F78</f>
        <v>671549</v>
      </c>
      <c r="F78" s="521">
        <v>671631</v>
      </c>
      <c r="G78" s="473">
        <f t="shared" si="6"/>
        <v>82</v>
      </c>
      <c r="H78" s="460">
        <f>G78+'18'!H78</f>
        <v>1606</v>
      </c>
      <c r="I78" s="505"/>
      <c r="J78" s="552">
        <f>H78/DAY(B2)</f>
        <v>84.526315789473685</v>
      </c>
      <c r="K78" s="430"/>
      <c r="L78" s="377"/>
      <c r="N78" s="382"/>
      <c r="O78" s="382"/>
    </row>
    <row r="79" spans="1:15" ht="27.75">
      <c r="A79" s="1527" t="s">
        <v>92</v>
      </c>
      <c r="B79" s="1528"/>
      <c r="C79" s="1529"/>
      <c r="D79" s="524" t="s">
        <v>186</v>
      </c>
      <c r="E79" s="521">
        <f>'18'!F79</f>
        <v>829295</v>
      </c>
      <c r="F79" s="521">
        <v>829418</v>
      </c>
      <c r="G79" s="473">
        <f t="shared" si="6"/>
        <v>123</v>
      </c>
      <c r="H79" s="460">
        <f>G79+'18'!H79</f>
        <v>1687</v>
      </c>
      <c r="I79" s="505"/>
      <c r="J79" s="552">
        <f>H79/DAY(B2)</f>
        <v>88.78947368421052</v>
      </c>
      <c r="K79" s="430"/>
      <c r="L79" s="377"/>
      <c r="N79" s="382"/>
      <c r="O79" s="382"/>
    </row>
    <row r="80" spans="1:15" ht="27.75">
      <c r="A80" s="1527" t="s">
        <v>197</v>
      </c>
      <c r="B80" s="1528"/>
      <c r="C80" s="1529"/>
      <c r="D80" s="524" t="s">
        <v>186</v>
      </c>
      <c r="E80" s="520">
        <f>'18'!F80</f>
        <v>523031</v>
      </c>
      <c r="F80" s="520">
        <v>523324</v>
      </c>
      <c r="G80" s="473">
        <f t="shared" si="6"/>
        <v>293</v>
      </c>
      <c r="H80" s="460">
        <f>G80+'18'!H80</f>
        <v>3863</v>
      </c>
      <c r="I80" s="505"/>
      <c r="J80" s="552">
        <f>H80/DAY(B2)</f>
        <v>203.31578947368422</v>
      </c>
      <c r="K80" s="430"/>
      <c r="L80" s="377"/>
      <c r="N80" s="382"/>
      <c r="O80" s="382"/>
    </row>
    <row r="81" spans="1:15" ht="27.75">
      <c r="A81" s="1527" t="s">
        <v>198</v>
      </c>
      <c r="B81" s="1528"/>
      <c r="C81" s="1529"/>
      <c r="D81" s="524" t="s">
        <v>186</v>
      </c>
      <c r="E81" s="520">
        <f>'18'!F81</f>
        <v>637832</v>
      </c>
      <c r="F81" s="520">
        <v>637909</v>
      </c>
      <c r="G81" s="473">
        <f t="shared" si="6"/>
        <v>77</v>
      </c>
      <c r="H81" s="460">
        <f>G81+'18'!H81</f>
        <v>1431</v>
      </c>
      <c r="I81" s="505"/>
      <c r="J81" s="552">
        <f>H81/DAY(B2)</f>
        <v>75.315789473684205</v>
      </c>
      <c r="K81" s="430"/>
      <c r="L81" s="377"/>
      <c r="N81" s="382"/>
      <c r="O81" s="382"/>
    </row>
    <row r="82" spans="1:15" ht="27.75">
      <c r="A82" s="1527" t="s">
        <v>93</v>
      </c>
      <c r="B82" s="1528"/>
      <c r="C82" s="1529"/>
      <c r="D82" s="485" t="s">
        <v>131</v>
      </c>
      <c r="E82" s="522">
        <f>'18'!F82</f>
        <v>107956</v>
      </c>
      <c r="F82" s="522">
        <v>107967</v>
      </c>
      <c r="G82" s="473">
        <f t="shared" si="6"/>
        <v>11</v>
      </c>
      <c r="H82" s="460">
        <f>G82+'18'!H82</f>
        <v>355</v>
      </c>
      <c r="I82" s="486"/>
      <c r="J82" s="552">
        <f>H82/DAY(B2)</f>
        <v>18.684210526315791</v>
      </c>
      <c r="K82" s="430"/>
      <c r="L82" s="377"/>
      <c r="N82" s="382"/>
      <c r="O82" s="382"/>
    </row>
    <row r="83" spans="1:15" ht="27.75">
      <c r="A83" s="1527" t="s">
        <v>199</v>
      </c>
      <c r="B83" s="1528"/>
      <c r="C83" s="1529"/>
      <c r="D83" s="620" t="s">
        <v>131</v>
      </c>
      <c r="E83" s="511">
        <f>'18'!F83</f>
        <v>18319</v>
      </c>
      <c r="F83" s="511">
        <v>18472</v>
      </c>
      <c r="G83" s="473">
        <f t="shared" si="6"/>
        <v>153</v>
      </c>
      <c r="H83" s="460">
        <f>G83+'18'!H83</f>
        <v>3701</v>
      </c>
      <c r="I83" s="481"/>
      <c r="J83" s="552">
        <f>H83/DAY(B2)</f>
        <v>194.78947368421052</v>
      </c>
      <c r="K83" s="429"/>
      <c r="L83" s="377"/>
      <c r="N83" s="382"/>
      <c r="O83" s="724"/>
    </row>
    <row r="84" spans="1:15">
      <c r="A84" s="1147" t="s">
        <v>200</v>
      </c>
      <c r="B84" s="571"/>
      <c r="C84" s="571"/>
      <c r="D84" s="478" t="s">
        <v>131</v>
      </c>
      <c r="E84" s="627">
        <f>'18'!F84</f>
        <v>491979</v>
      </c>
      <c r="F84" s="627">
        <v>492334</v>
      </c>
      <c r="G84" s="473">
        <f t="shared" si="6"/>
        <v>355</v>
      </c>
      <c r="H84" s="460">
        <f>G84+'18'!H84</f>
        <v>12201</v>
      </c>
      <c r="I84" s="481"/>
      <c r="J84" s="552">
        <f>H84/DAY(B2)</f>
        <v>642.15789473684208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1253</v>
      </c>
      <c r="H85" s="460">
        <f>G85+'18'!H85</f>
        <v>31860</v>
      </c>
      <c r="I85" s="481"/>
      <c r="J85" s="552">
        <f>H85/DAY(B2)</f>
        <v>1676.8421052631579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182</v>
      </c>
      <c r="E86" s="650">
        <f>'18'!F86</f>
        <v>460509</v>
      </c>
      <c r="F86" s="650">
        <v>460532</v>
      </c>
      <c r="G86" s="708">
        <f t="shared" ref="G86:G91" si="7">F86-E86</f>
        <v>23</v>
      </c>
      <c r="H86" s="460">
        <f>G86+'18'!H86</f>
        <v>54</v>
      </c>
      <c r="I86" s="655"/>
      <c r="J86" s="710">
        <f>H86/DAY(B2)</f>
        <v>2.8421052631578947</v>
      </c>
      <c r="K86" s="736">
        <v>424609</v>
      </c>
      <c r="L86" s="737">
        <f>K86-F86</f>
        <v>-35923</v>
      </c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182</v>
      </c>
      <c r="E87" s="650">
        <f>'18'!F87</f>
        <v>81130</v>
      </c>
      <c r="F87" s="650">
        <v>81151</v>
      </c>
      <c r="G87" s="708">
        <f t="shared" si="7"/>
        <v>21</v>
      </c>
      <c r="H87" s="460">
        <f>G87+'18'!H87</f>
        <v>35</v>
      </c>
      <c r="I87" s="655"/>
      <c r="J87" s="710">
        <f>H87/DAY(B2)</f>
        <v>1.8421052631578947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182</v>
      </c>
      <c r="E88" s="650">
        <f>'18'!F88</f>
        <v>152588</v>
      </c>
      <c r="F88" s="650">
        <v>152612</v>
      </c>
      <c r="G88" s="708">
        <f t="shared" si="7"/>
        <v>24</v>
      </c>
      <c r="H88" s="460">
        <f>G88+'18'!H88</f>
        <v>92</v>
      </c>
      <c r="I88" s="655"/>
      <c r="J88" s="710">
        <f>H88/DAY(B2)</f>
        <v>4.8421052631578947</v>
      </c>
      <c r="K88" s="736"/>
      <c r="L88" s="737"/>
      <c r="N88" s="780"/>
      <c r="O88" s="382"/>
    </row>
    <row r="89" spans="1:15" s="738" customFormat="1">
      <c r="A89" s="733" t="s">
        <v>203</v>
      </c>
      <c r="B89" s="734"/>
      <c r="C89" s="734"/>
      <c r="D89" s="735" t="s">
        <v>182</v>
      </c>
      <c r="E89" s="650">
        <f>'18'!F89</f>
        <v>64950</v>
      </c>
      <c r="F89" s="650">
        <v>64956</v>
      </c>
      <c r="G89" s="708">
        <f t="shared" si="7"/>
        <v>6</v>
      </c>
      <c r="H89" s="460">
        <f>G89+'18'!H89</f>
        <v>13</v>
      </c>
      <c r="I89" s="655"/>
      <c r="J89" s="710">
        <f>H89/DAY(B2)</f>
        <v>0.68421052631578949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50">
        <f>'18'!F90</f>
        <v>3272.7</v>
      </c>
      <c r="F90" s="650">
        <v>3272.7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50">
        <f>'18'!F91</f>
        <v>27959</v>
      </c>
      <c r="F91" s="650">
        <v>27966</v>
      </c>
      <c r="G91" s="708">
        <f t="shared" si="7"/>
        <v>7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79"/>
      <c r="O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v>244977</v>
      </c>
      <c r="F93" s="484">
        <v>244977</v>
      </c>
      <c r="G93" s="473">
        <f t="shared" ref="G93:G94" si="8">F93-E93</f>
        <v>0</v>
      </c>
      <c r="H93" s="460">
        <f>G93+'18'!H93</f>
        <v>553</v>
      </c>
      <c r="I93" s="480"/>
      <c r="J93" s="552">
        <f>H93/DAY(B2)</f>
        <v>29.105263157894736</v>
      </c>
      <c r="K93" s="429"/>
      <c r="L93" s="377"/>
      <c r="N93" s="382"/>
      <c r="O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f>'18'!F94</f>
        <v>185061</v>
      </c>
      <c r="F94" s="484">
        <v>185136</v>
      </c>
      <c r="G94" s="473">
        <f t="shared" si="8"/>
        <v>75</v>
      </c>
      <c r="H94" s="460">
        <f>G94+'18'!H94</f>
        <v>1605</v>
      </c>
      <c r="I94" s="480"/>
      <c r="J94" s="552">
        <f>H94/DAY(B2)</f>
        <v>84.473684210526315</v>
      </c>
      <c r="K94" s="380"/>
      <c r="L94" s="377"/>
      <c r="N94" s="382"/>
      <c r="O94" s="382"/>
    </row>
    <row r="95" spans="1:15">
      <c r="A95" s="1579" t="s">
        <v>207</v>
      </c>
      <c r="B95" s="1580"/>
      <c r="C95" s="1581"/>
      <c r="D95" s="523"/>
      <c r="E95" s="484">
        <f>'18'!F95</f>
        <v>0</v>
      </c>
      <c r="F95" s="484"/>
      <c r="G95" s="473">
        <f>G93+G94</f>
        <v>75</v>
      </c>
      <c r="H95" s="460">
        <f>G95+'18'!H95</f>
        <v>2011</v>
      </c>
      <c r="I95" s="480"/>
      <c r="J95" s="552">
        <f>H95/DAY(B2)</f>
        <v>105.84210526315789</v>
      </c>
      <c r="K95" s="380"/>
      <c r="L95" s="377"/>
      <c r="N95" s="382"/>
      <c r="O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f>'18'!F96</f>
        <v>413668</v>
      </c>
      <c r="F96" s="484">
        <v>413691</v>
      </c>
      <c r="G96" s="473">
        <f t="shared" ref="G96:G101" si="9">F96-E96</f>
        <v>23</v>
      </c>
      <c r="H96" s="460">
        <f>G96+'18'!H96</f>
        <v>805</v>
      </c>
      <c r="I96" s="480"/>
      <c r="J96" s="552">
        <f>H96/DAY(B2)</f>
        <v>42.368421052631582</v>
      </c>
      <c r="K96" s="380"/>
      <c r="L96" s="377"/>
      <c r="N96" s="382"/>
      <c r="O96" s="382"/>
    </row>
    <row r="97" spans="1:15" ht="27.75">
      <c r="A97" s="1143" t="s">
        <v>209</v>
      </c>
      <c r="B97" s="1144"/>
      <c r="C97" s="1144"/>
      <c r="D97" s="523" t="s">
        <v>143</v>
      </c>
      <c r="E97" s="484">
        <f>'18'!F97</f>
        <v>102516</v>
      </c>
      <c r="F97" s="484">
        <v>102523</v>
      </c>
      <c r="G97" s="473">
        <f t="shared" si="9"/>
        <v>7</v>
      </c>
      <c r="H97" s="460">
        <f>G97+'18'!H97</f>
        <v>180</v>
      </c>
      <c r="I97" s="480"/>
      <c r="J97" s="552">
        <f>H97/DAY(B2)</f>
        <v>9.473684210526315</v>
      </c>
      <c r="K97" s="427"/>
      <c r="L97" s="377"/>
      <c r="N97" s="382"/>
      <c r="O97" s="382"/>
    </row>
    <row r="98" spans="1:15" ht="27.75">
      <c r="A98" s="1143" t="s">
        <v>210</v>
      </c>
      <c r="B98" s="1144"/>
      <c r="C98" s="1144"/>
      <c r="D98" s="523" t="s">
        <v>143</v>
      </c>
      <c r="E98" s="484">
        <f>'18'!F98</f>
        <v>97676</v>
      </c>
      <c r="F98" s="484">
        <v>97688</v>
      </c>
      <c r="G98" s="473">
        <f t="shared" si="9"/>
        <v>12</v>
      </c>
      <c r="H98" s="460">
        <f>G98+'18'!H98</f>
        <v>261</v>
      </c>
      <c r="I98" s="480"/>
      <c r="J98" s="552">
        <f>H98/DAY(B2)</f>
        <v>13.736842105263158</v>
      </c>
      <c r="K98" s="432"/>
      <c r="L98" s="377"/>
      <c r="N98" s="382"/>
      <c r="O98" s="382"/>
    </row>
    <row r="99" spans="1:15" ht="27.75">
      <c r="A99" s="1143" t="s">
        <v>211</v>
      </c>
      <c r="B99" s="1144"/>
      <c r="C99" s="1144"/>
      <c r="D99" s="523" t="s">
        <v>143</v>
      </c>
      <c r="E99" s="484">
        <f>'18'!F99</f>
        <v>149729</v>
      </c>
      <c r="F99" s="484">
        <v>149740</v>
      </c>
      <c r="G99" s="473">
        <f t="shared" si="9"/>
        <v>11</v>
      </c>
      <c r="H99" s="460">
        <f>G99+'18'!H99</f>
        <v>207</v>
      </c>
      <c r="I99" s="480"/>
      <c r="J99" s="552">
        <f>H99/DAY(B2)</f>
        <v>10.894736842105264</v>
      </c>
      <c r="K99" s="380"/>
      <c r="L99" s="377"/>
      <c r="N99" s="382"/>
      <c r="O99" s="382"/>
    </row>
    <row r="100" spans="1:15" ht="27.75">
      <c r="A100" s="1143" t="s">
        <v>212</v>
      </c>
      <c r="B100" s="1144"/>
      <c r="C100" s="1144"/>
      <c r="D100" s="523" t="s">
        <v>143</v>
      </c>
      <c r="E100" s="484">
        <f>'18'!F100</f>
        <v>7293</v>
      </c>
      <c r="F100" s="484">
        <v>7299</v>
      </c>
      <c r="G100" s="473">
        <f t="shared" si="9"/>
        <v>6</v>
      </c>
      <c r="H100" s="460">
        <f>G100+'18'!H100</f>
        <v>114</v>
      </c>
      <c r="I100" s="480"/>
      <c r="J100" s="552">
        <f>H100/DAY(B2)</f>
        <v>6</v>
      </c>
      <c r="K100" s="380"/>
      <c r="L100" s="377"/>
      <c r="N100" s="382"/>
      <c r="O100" s="382"/>
    </row>
    <row r="101" spans="1:15" ht="27.75">
      <c r="A101" s="1143" t="s">
        <v>213</v>
      </c>
      <c r="B101" s="1144"/>
      <c r="C101" s="1144"/>
      <c r="D101" s="523" t="s">
        <v>143</v>
      </c>
      <c r="E101" s="484">
        <f>'18'!F101</f>
        <v>5254</v>
      </c>
      <c r="F101" s="484">
        <v>5257</v>
      </c>
      <c r="G101" s="473">
        <f t="shared" si="9"/>
        <v>3</v>
      </c>
      <c r="H101" s="460">
        <f>G101+'18'!H101</f>
        <v>119</v>
      </c>
      <c r="I101" s="480"/>
      <c r="J101" s="552">
        <f>H101/DAY(B2)</f>
        <v>6.2631578947368425</v>
      </c>
      <c r="K101" s="380"/>
      <c r="L101" s="377"/>
      <c r="N101" s="382"/>
      <c r="O101" s="382"/>
    </row>
    <row r="102" spans="1:15">
      <c r="A102" s="1579" t="s">
        <v>215</v>
      </c>
      <c r="B102" s="1580"/>
      <c r="C102" s="1581"/>
      <c r="D102" s="524"/>
      <c r="E102" s="524"/>
      <c r="F102" s="524"/>
      <c r="G102" s="525">
        <f>SUM(G96:G101)</f>
        <v>62</v>
      </c>
      <c r="H102" s="460">
        <f>G102+'18'!H102</f>
        <v>1686</v>
      </c>
      <c r="I102" s="526"/>
      <c r="J102" s="552">
        <f>H102/DAY(B2)</f>
        <v>88.736842105263165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82" t="s">
        <v>217</v>
      </c>
      <c r="B104" s="1583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3" t="s">
        <v>218</v>
      </c>
      <c r="B105" s="1544"/>
      <c r="C105" s="1141"/>
      <c r="D105" s="622" t="s">
        <v>143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57</v>
      </c>
      <c r="I105" s="532"/>
      <c r="J105" s="558">
        <f>H105/DAY(B2)</f>
        <v>3</v>
      </c>
      <c r="N105" s="444"/>
      <c r="O105" s="382"/>
    </row>
    <row r="106" spans="1:15" s="442" customFormat="1" ht="27.75">
      <c r="A106" s="1543" t="s">
        <v>77</v>
      </c>
      <c r="B106" s="1544"/>
      <c r="C106" s="1141"/>
      <c r="D106" s="622" t="s">
        <v>143</v>
      </c>
      <c r="E106" s="534">
        <f>'18'!F106</f>
        <v>35889</v>
      </c>
      <c r="F106" s="534">
        <v>35889</v>
      </c>
      <c r="G106" s="532">
        <f t="shared" ref="G106" si="10">F106-E106</f>
        <v>0</v>
      </c>
      <c r="H106" s="460">
        <f>G106+'18'!H106</f>
        <v>50</v>
      </c>
      <c r="I106" s="532"/>
      <c r="J106" s="558">
        <f>H106/DAY(B2)</f>
        <v>2.6315789473684212</v>
      </c>
      <c r="N106" s="444"/>
      <c r="O106" s="382"/>
    </row>
    <row r="107" spans="1:15" s="442" customFormat="1" ht="27.75">
      <c r="A107" s="1543" t="s">
        <v>78</v>
      </c>
      <c r="B107" s="1584"/>
      <c r="C107" s="1544"/>
      <c r="D107" s="622" t="s">
        <v>143</v>
      </c>
      <c r="E107" s="532">
        <f>'18'!F107</f>
        <v>19671</v>
      </c>
      <c r="F107" s="532">
        <v>19671</v>
      </c>
      <c r="G107" s="532">
        <f>F107-E107</f>
        <v>0</v>
      </c>
      <c r="H107" s="460">
        <f>G107+'18'!H107</f>
        <v>126</v>
      </c>
      <c r="I107" s="532"/>
      <c r="J107" s="558">
        <f>H107/DAY(B2)</f>
        <v>6.6315789473684212</v>
      </c>
      <c r="N107" s="444"/>
      <c r="O107" s="382"/>
    </row>
    <row r="108" spans="1:15" s="442" customFormat="1" ht="27.75">
      <c r="A108" s="1545" t="s">
        <v>201</v>
      </c>
      <c r="B108" s="1546"/>
      <c r="C108" s="1141"/>
      <c r="D108" s="622"/>
      <c r="E108" s="532">
        <f>'18'!F108</f>
        <v>0</v>
      </c>
      <c r="F108" s="532"/>
      <c r="G108" s="532">
        <f>SUM(G105:G107)</f>
        <v>0</v>
      </c>
      <c r="H108" s="460">
        <f>G108+'18'!H108</f>
        <v>191</v>
      </c>
      <c r="I108" s="532"/>
      <c r="J108" s="558">
        <f>H108/DAY(B2)</f>
        <v>10.052631578947368</v>
      </c>
      <c r="N108" s="444"/>
      <c r="O108" s="382"/>
    </row>
    <row r="109" spans="1:15" s="442" customFormat="1" ht="27.75">
      <c r="A109" s="1549" t="s">
        <v>79</v>
      </c>
      <c r="B109" s="1550"/>
      <c r="C109" s="1141"/>
      <c r="D109" s="622" t="s">
        <v>143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43" t="s">
        <v>219</v>
      </c>
      <c r="B110" s="1544"/>
      <c r="C110" s="1141"/>
      <c r="D110" s="622" t="s">
        <v>143</v>
      </c>
      <c r="E110" s="532">
        <f>'18'!F110</f>
        <v>62112</v>
      </c>
      <c r="F110" s="532">
        <v>62152</v>
      </c>
      <c r="G110" s="532">
        <f>F110-E110</f>
        <v>40</v>
      </c>
      <c r="H110" s="460">
        <f>G110+'18'!H110</f>
        <v>194</v>
      </c>
      <c r="I110" s="532"/>
      <c r="J110" s="558">
        <f>H110/DAY(B2)</f>
        <v>10.210526315789474</v>
      </c>
      <c r="N110" s="444"/>
      <c r="O110" s="382"/>
    </row>
    <row r="111" spans="1:15" s="442" customFormat="1" ht="27.75">
      <c r="A111" s="1543" t="s">
        <v>220</v>
      </c>
      <c r="B111" s="1544"/>
      <c r="C111" s="1141"/>
      <c r="D111" s="622" t="s">
        <v>143</v>
      </c>
      <c r="E111" s="532">
        <f>'18'!F111</f>
        <v>32401</v>
      </c>
      <c r="F111" s="532">
        <v>32412</v>
      </c>
      <c r="G111" s="532">
        <f t="shared" ref="G111:G112" si="11">F111-E111</f>
        <v>11</v>
      </c>
      <c r="H111" s="460">
        <f>G111+'18'!H111</f>
        <v>23</v>
      </c>
      <c r="I111" s="532"/>
      <c r="J111" s="558">
        <f>H111/DAY(B2)</f>
        <v>1.2105263157894737</v>
      </c>
      <c r="N111" s="444"/>
      <c r="O111" s="382"/>
    </row>
    <row r="112" spans="1:15" s="442" customFormat="1" ht="27.75">
      <c r="A112" s="1543" t="s">
        <v>221</v>
      </c>
      <c r="B112" s="1544"/>
      <c r="C112" s="1141"/>
      <c r="D112" s="622" t="s">
        <v>143</v>
      </c>
      <c r="E112" s="532">
        <f>'18'!F112</f>
        <v>4513</v>
      </c>
      <c r="F112" s="532">
        <v>4513</v>
      </c>
      <c r="G112" s="532">
        <f t="shared" si="11"/>
        <v>0</v>
      </c>
      <c r="H112" s="460">
        <f>G112+'18'!H112</f>
        <v>259</v>
      </c>
      <c r="I112" s="532"/>
      <c r="J112" s="558">
        <f>H112/DAY(B2)</f>
        <v>13.631578947368421</v>
      </c>
      <c r="N112" s="444"/>
      <c r="O112" s="382"/>
    </row>
    <row r="113" spans="1:15" s="442" customFormat="1" ht="27.75">
      <c r="A113" s="1547" t="s">
        <v>110</v>
      </c>
      <c r="B113" s="1548"/>
      <c r="C113" s="1141"/>
      <c r="D113" s="622"/>
      <c r="E113" s="532">
        <f>'18'!F113</f>
        <v>0</v>
      </c>
      <c r="F113" s="532"/>
      <c r="G113" s="532">
        <f>SUM(G110:G112)</f>
        <v>51</v>
      </c>
      <c r="H113" s="460">
        <f>G113+'18'!H113</f>
        <v>843</v>
      </c>
      <c r="I113" s="532"/>
      <c r="J113" s="558">
        <f>H113/DAY(B2)</f>
        <v>44.368421052631582</v>
      </c>
      <c r="N113" s="444"/>
      <c r="O113" s="382"/>
    </row>
    <row r="114" spans="1:15" s="442" customFormat="1" ht="27.75">
      <c r="A114" s="1549" t="s">
        <v>222</v>
      </c>
      <c r="B114" s="1550"/>
      <c r="C114" s="1141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3" t="s">
        <v>223</v>
      </c>
      <c r="B115" s="1544"/>
      <c r="C115" s="574"/>
      <c r="D115" s="622" t="s">
        <v>143</v>
      </c>
      <c r="E115" s="534">
        <f>'18'!F115</f>
        <v>11399</v>
      </c>
      <c r="F115" s="534">
        <v>11406</v>
      </c>
      <c r="G115" s="534">
        <f>F115-E115</f>
        <v>7</v>
      </c>
      <c r="H115" s="460">
        <f>G115+'18'!H115</f>
        <v>17</v>
      </c>
      <c r="I115" s="532"/>
      <c r="J115" s="558">
        <f>H115/DAY(B2)</f>
        <v>0.89473684210526316</v>
      </c>
      <c r="N115" s="444"/>
      <c r="O115" s="382"/>
    </row>
    <row r="116" spans="1:15" s="442" customFormat="1" ht="27.75">
      <c r="A116" s="1543" t="s">
        <v>224</v>
      </c>
      <c r="B116" s="1544"/>
      <c r="C116" s="574"/>
      <c r="D116" s="622" t="s">
        <v>143</v>
      </c>
      <c r="E116" s="534">
        <f>'18'!F116</f>
        <v>8214</v>
      </c>
      <c r="F116" s="534">
        <v>8216</v>
      </c>
      <c r="G116" s="534">
        <f t="shared" ref="G116:G117" si="12">F116-E116</f>
        <v>2</v>
      </c>
      <c r="H116" s="460">
        <f>G116+'18'!H116</f>
        <v>54</v>
      </c>
      <c r="I116" s="532"/>
      <c r="J116" s="558">
        <f>H116/DAY(B2)</f>
        <v>2.8421052631578947</v>
      </c>
      <c r="N116" s="444"/>
      <c r="O116" s="382"/>
    </row>
    <row r="117" spans="1:15" s="442" customFormat="1" ht="27.75">
      <c r="A117" s="1543" t="s">
        <v>225</v>
      </c>
      <c r="B117" s="1544"/>
      <c r="C117" s="574"/>
      <c r="D117" s="622" t="s">
        <v>143</v>
      </c>
      <c r="E117" s="534"/>
      <c r="F117" s="534"/>
      <c r="G117" s="534">
        <f t="shared" si="12"/>
        <v>0</v>
      </c>
      <c r="H117" s="460">
        <f>G117+'18'!H117</f>
        <v>95</v>
      </c>
      <c r="I117" s="532"/>
      <c r="J117" s="558">
        <f>H117/DAY(B2)</f>
        <v>5</v>
      </c>
      <c r="N117" s="444"/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534">
        <f>SUM(G115:G117)</f>
        <v>9</v>
      </c>
      <c r="H118" s="460">
        <f>G118+'18'!H118</f>
        <v>91</v>
      </c>
      <c r="I118" s="534"/>
      <c r="J118" s="558">
        <f>H118/DAY(B2)</f>
        <v>4.7894736842105265</v>
      </c>
      <c r="N118" s="447"/>
      <c r="O118" s="382"/>
    </row>
    <row r="119" spans="1:15" s="446" customFormat="1" ht="27.75">
      <c r="A119" s="1539" t="s">
        <v>226</v>
      </c>
      <c r="B119" s="1540"/>
      <c r="C119" s="1140"/>
      <c r="D119" s="624" t="s">
        <v>143</v>
      </c>
      <c r="E119" s="536"/>
      <c r="F119" s="536">
        <f>SUM(G19+G93)</f>
        <v>60</v>
      </c>
      <c r="G119" s="536">
        <f>SUM(G19+G93)</f>
        <v>60</v>
      </c>
      <c r="H119" s="460">
        <f>G119+'18'!H119</f>
        <v>177</v>
      </c>
      <c r="I119" s="535"/>
      <c r="J119" s="559">
        <f>H119/DAY(B2)</f>
        <v>9.3157894736842106</v>
      </c>
      <c r="N119" s="781"/>
      <c r="O119" s="382"/>
    </row>
    <row r="120" spans="1:15" s="446" customFormat="1" ht="27.75">
      <c r="A120" s="1539" t="s">
        <v>227</v>
      </c>
      <c r="B120" s="1540"/>
      <c r="C120" s="1140"/>
      <c r="D120" s="624" t="s">
        <v>143</v>
      </c>
      <c r="E120" s="536"/>
      <c r="F120" s="536">
        <f>SUM(G96,G97,G98,G100,G101)</f>
        <v>51</v>
      </c>
      <c r="G120" s="536">
        <f>SUM(G96,G97,G98,G100,G101)</f>
        <v>51</v>
      </c>
      <c r="H120" s="460">
        <f>G120+'18'!H120</f>
        <v>115</v>
      </c>
      <c r="I120" s="535"/>
      <c r="J120" s="559">
        <f>H120/DAY(B2)</f>
        <v>6.0526315789473681</v>
      </c>
      <c r="N120" s="781"/>
      <c r="O120" s="382"/>
    </row>
    <row r="121" spans="1:15" s="446" customFormat="1" ht="27.75">
      <c r="A121" s="1539" t="s">
        <v>228</v>
      </c>
      <c r="B121" s="1540"/>
      <c r="C121" s="1140"/>
      <c r="D121" s="624" t="s">
        <v>143</v>
      </c>
      <c r="E121" s="534"/>
      <c r="F121" s="534">
        <f>SUM(G113)</f>
        <v>51</v>
      </c>
      <c r="G121" s="534">
        <f>SUM(G113)</f>
        <v>51</v>
      </c>
      <c r="H121" s="460">
        <f>G121+'18'!H121</f>
        <v>134</v>
      </c>
      <c r="I121" s="535"/>
      <c r="J121" s="559">
        <f>H121/DAY(B2)</f>
        <v>7.0526315789473681</v>
      </c>
      <c r="N121" s="781"/>
      <c r="O121" s="382"/>
    </row>
    <row r="122" spans="1:15" s="442" customFormat="1" ht="27.75">
      <c r="A122" s="1541"/>
      <c r="B122" s="1542"/>
      <c r="C122" s="1141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3" t="s">
        <v>230</v>
      </c>
      <c r="B124" s="1144"/>
      <c r="C124" s="1144"/>
      <c r="D124" s="523" t="s">
        <v>140</v>
      </c>
      <c r="E124" s="478">
        <f>'18'!F124</f>
        <v>829747</v>
      </c>
      <c r="F124" s="478">
        <v>829920</v>
      </c>
      <c r="G124" s="473">
        <f t="shared" ref="G124:G128" si="13">F124-E124</f>
        <v>173</v>
      </c>
      <c r="H124" s="460">
        <f>G124+'18'!H124</f>
        <v>3831.5400000000373</v>
      </c>
      <c r="I124" s="526"/>
      <c r="J124" s="552">
        <f>H124/DAY(B2)</f>
        <v>201.66000000000196</v>
      </c>
      <c r="K124" s="380"/>
      <c r="L124" s="377"/>
      <c r="N124" s="382"/>
      <c r="O124" s="382"/>
    </row>
    <row r="125" spans="1:15" ht="27.75">
      <c r="A125" s="1143" t="s">
        <v>231</v>
      </c>
      <c r="B125" s="1144"/>
      <c r="C125" s="1144"/>
      <c r="D125" s="523" t="s">
        <v>140</v>
      </c>
      <c r="E125" s="626">
        <f>'18'!F125</f>
        <v>73583.399999999994</v>
      </c>
      <c r="F125" s="626">
        <v>73583.399999999994</v>
      </c>
      <c r="G125" s="473">
        <f t="shared" si="13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0" t="s">
        <v>232</v>
      </c>
      <c r="B126" s="1531"/>
      <c r="C126" s="1532"/>
      <c r="D126" s="523" t="s">
        <v>140</v>
      </c>
      <c r="E126" s="478">
        <f>'18'!F126</f>
        <v>145684</v>
      </c>
      <c r="F126" s="478">
        <v>145726</v>
      </c>
      <c r="G126" s="473">
        <f t="shared" si="13"/>
        <v>42</v>
      </c>
      <c r="H126" s="460">
        <f>G126+'18'!H126</f>
        <v>1038.5599999999977</v>
      </c>
      <c r="I126" s="526"/>
      <c r="J126" s="552">
        <f>H126/DAY(B2)</f>
        <v>54.661052631578826</v>
      </c>
      <c r="K126" s="380"/>
      <c r="L126" s="377"/>
      <c r="N126" s="382"/>
      <c r="O126" s="382"/>
    </row>
    <row r="127" spans="1:15" ht="27.75">
      <c r="A127" s="609" t="s">
        <v>233</v>
      </c>
      <c r="B127" s="1144"/>
      <c r="C127" s="1144"/>
      <c r="D127" s="523" t="s">
        <v>140</v>
      </c>
      <c r="E127" s="626">
        <f>'18'!F127</f>
        <v>31404</v>
      </c>
      <c r="F127" s="626">
        <v>31404</v>
      </c>
      <c r="G127" s="473">
        <f t="shared" si="13"/>
        <v>0</v>
      </c>
      <c r="H127" s="460">
        <f>G127+'18'!H127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234</v>
      </c>
      <c r="B128" s="1144"/>
      <c r="C128" s="1144"/>
      <c r="D128" s="523" t="s">
        <v>140</v>
      </c>
      <c r="E128" s="626">
        <f>'18'!F128</f>
        <v>8971</v>
      </c>
      <c r="F128" s="626">
        <v>8971</v>
      </c>
      <c r="G128" s="473">
        <f t="shared" si="13"/>
        <v>0</v>
      </c>
      <c r="H128" s="460">
        <f>G128+'18'!H128</f>
        <v>1.2999999999992724</v>
      </c>
      <c r="I128" s="480"/>
      <c r="J128" s="552">
        <f>H128/DAY(B2)</f>
        <v>6.8421052631540649E-2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4"/>
      <c r="C129" s="1144"/>
      <c r="D129" s="523"/>
      <c r="E129" s="478"/>
      <c r="F129" s="478"/>
      <c r="G129" s="473">
        <f>G15-SUM(G124:G128)</f>
        <v>33</v>
      </c>
      <c r="H129" s="460">
        <f>G129+'18'!H129</f>
        <v>546</v>
      </c>
      <c r="I129" s="480"/>
      <c r="J129" s="552">
        <f>H129/DAY(B2)</f>
        <v>28.736842105263158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3" t="s">
        <v>237</v>
      </c>
      <c r="B131" s="1144"/>
      <c r="C131" s="1144"/>
      <c r="D131" s="523" t="s">
        <v>238</v>
      </c>
      <c r="E131" s="484">
        <f>'18'!F131</f>
        <v>0</v>
      </c>
      <c r="F131" s="484">
        <v>0</v>
      </c>
      <c r="G131" s="473">
        <f t="shared" ref="G131:G141" si="14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3" t="s">
        <v>239</v>
      </c>
      <c r="B132" s="1144"/>
      <c r="C132" s="1144"/>
      <c r="D132" s="523" t="s">
        <v>238</v>
      </c>
      <c r="E132" s="484">
        <f>'18'!F132</f>
        <v>0</v>
      </c>
      <c r="F132" s="484">
        <v>0</v>
      </c>
      <c r="G132" s="473">
        <f t="shared" si="14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3" t="s">
        <v>240</v>
      </c>
      <c r="B133" s="1144"/>
      <c r="C133" s="1144"/>
      <c r="D133" s="523" t="s">
        <v>238</v>
      </c>
      <c r="E133" s="541">
        <f>'18'!F133</f>
        <v>40031.519999999997</v>
      </c>
      <c r="F133" s="541">
        <v>40031.519999999997</v>
      </c>
      <c r="G133" s="473">
        <f t="shared" si="14"/>
        <v>0</v>
      </c>
      <c r="H133" s="460">
        <f>G133+'18'!H133</f>
        <v>285.0399999999936</v>
      </c>
      <c r="I133" s="480"/>
      <c r="J133" s="552">
        <f>H133/DAY(B2)</f>
        <v>15.002105263157558</v>
      </c>
      <c r="N133" s="382"/>
      <c r="O133" s="382"/>
    </row>
    <row r="134" spans="1:15" s="441" customFormat="1" ht="27.75">
      <c r="A134" s="1073" t="s">
        <v>241</v>
      </c>
      <c r="B134" s="1074"/>
      <c r="C134" s="1074"/>
      <c r="D134" s="627" t="s">
        <v>238</v>
      </c>
      <c r="E134" s="541">
        <f>'18'!F134</f>
        <v>300</v>
      </c>
      <c r="F134" s="541">
        <v>300</v>
      </c>
      <c r="G134" s="655">
        <f t="shared" si="14"/>
        <v>0</v>
      </c>
      <c r="H134" s="708">
        <f>G134+'18'!H134</f>
        <v>0</v>
      </c>
      <c r="I134" s="1075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3" t="s">
        <v>242</v>
      </c>
      <c r="B135" s="1144"/>
      <c r="C135" s="1144"/>
      <c r="D135" s="523" t="s">
        <v>238</v>
      </c>
      <c r="E135" s="541">
        <f>'18'!F135</f>
        <v>41541</v>
      </c>
      <c r="F135" s="541">
        <v>41565</v>
      </c>
      <c r="G135" s="473">
        <f t="shared" si="14"/>
        <v>24</v>
      </c>
      <c r="H135" s="460">
        <f>G135+'18'!H135</f>
        <v>180</v>
      </c>
      <c r="I135" s="480"/>
      <c r="J135" s="552">
        <f>H135/DAY(B2)</f>
        <v>9.473684210526315</v>
      </c>
      <c r="N135" s="382"/>
      <c r="O135" s="382"/>
    </row>
    <row r="136" spans="1:15" ht="27.75">
      <c r="A136" s="1143" t="s">
        <v>243</v>
      </c>
      <c r="B136" s="1144"/>
      <c r="C136" s="1144"/>
      <c r="D136" s="523" t="s">
        <v>238</v>
      </c>
      <c r="E136" s="541">
        <f>'18'!F136</f>
        <v>32582.98</v>
      </c>
      <c r="F136" s="541">
        <v>32582.92</v>
      </c>
      <c r="G136" s="473">
        <f t="shared" si="14"/>
        <v>-6.0000000001309672E-2</v>
      </c>
      <c r="H136" s="460">
        <f>G136+'18'!H136</f>
        <v>-8.000000000174623E-2</v>
      </c>
      <c r="I136" s="480"/>
      <c r="J136" s="552">
        <f>H136/DAY(B2)</f>
        <v>-4.2105263158813801E-3</v>
      </c>
      <c r="N136" s="382"/>
      <c r="O136" s="382"/>
    </row>
    <row r="137" spans="1:15" ht="27.75">
      <c r="A137" s="1143" t="s">
        <v>244</v>
      </c>
      <c r="B137" s="1144"/>
      <c r="C137" s="1144"/>
      <c r="D137" s="523" t="s">
        <v>238</v>
      </c>
      <c r="E137" s="541">
        <f>'18'!F137</f>
        <v>22773.200000000001</v>
      </c>
      <c r="F137" s="541">
        <v>22773.200000000001</v>
      </c>
      <c r="G137" s="473">
        <f t="shared" si="14"/>
        <v>0</v>
      </c>
      <c r="H137" s="460">
        <f>G137+'18'!H137</f>
        <v>33.610000000000582</v>
      </c>
      <c r="I137" s="480">
        <f>G135+G136+G137</f>
        <v>23.93999999999869</v>
      </c>
      <c r="J137" s="552">
        <f>H137/DAY(B2)</f>
        <v>1.7689473684210832</v>
      </c>
      <c r="N137" s="382"/>
      <c r="O137" s="382"/>
    </row>
    <row r="138" spans="1:15" ht="27.75">
      <c r="A138" s="1143" t="s">
        <v>245</v>
      </c>
      <c r="B138" s="1144"/>
      <c r="C138" s="1144"/>
      <c r="D138" s="523" t="s">
        <v>238</v>
      </c>
      <c r="E138" s="541">
        <f>'18'!F138</f>
        <v>25051.72</v>
      </c>
      <c r="F138" s="541">
        <v>25051.72</v>
      </c>
      <c r="G138" s="473">
        <f t="shared" si="14"/>
        <v>0</v>
      </c>
      <c r="H138" s="460">
        <f>G138+'18'!H138</f>
        <v>0.13000000000101863</v>
      </c>
      <c r="I138" s="480"/>
      <c r="J138" s="552">
        <f>H138/DAY(B2)</f>
        <v>6.8421052632115066E-3</v>
      </c>
      <c r="N138" s="382"/>
      <c r="O138" s="382"/>
    </row>
    <row r="139" spans="1:15" ht="27.75">
      <c r="A139" s="1143" t="s">
        <v>246</v>
      </c>
      <c r="B139" s="1144"/>
      <c r="C139" s="1144"/>
      <c r="D139" s="523" t="s">
        <v>238</v>
      </c>
      <c r="E139" s="541">
        <f>'18'!F139</f>
        <v>70370</v>
      </c>
      <c r="F139" s="541">
        <v>70370.02</v>
      </c>
      <c r="G139" s="473">
        <f t="shared" si="14"/>
        <v>2.0000000004074536E-2</v>
      </c>
      <c r="H139" s="460">
        <f>G139+'18'!H139</f>
        <v>54.210000000006403</v>
      </c>
      <c r="I139" s="480">
        <f>G138+G139</f>
        <v>2.0000000004074536E-2</v>
      </c>
      <c r="J139" s="552">
        <f>H139/DAY(B2)</f>
        <v>2.853157894737179</v>
      </c>
      <c r="N139" s="382"/>
      <c r="O139" s="382"/>
    </row>
    <row r="140" spans="1:15" ht="27.75">
      <c r="A140" s="1143" t="s">
        <v>247</v>
      </c>
      <c r="B140" s="1144"/>
      <c r="C140" s="1144"/>
      <c r="D140" s="523" t="s">
        <v>238</v>
      </c>
      <c r="E140" s="484">
        <f>'18'!F140</f>
        <v>1755.27</v>
      </c>
      <c r="F140" s="484">
        <v>1762.57</v>
      </c>
      <c r="G140" s="473">
        <f t="shared" si="14"/>
        <v>7.2999999999999545</v>
      </c>
      <c r="H140" s="460">
        <f>G140+'18'!H140</f>
        <v>145.71000000000004</v>
      </c>
      <c r="I140" s="542"/>
      <c r="J140" s="552">
        <f>H140/DAY(B2)</f>
        <v>7.6689473684210547</v>
      </c>
      <c r="N140" s="382"/>
      <c r="O140" s="382"/>
    </row>
    <row r="141" spans="1:15" ht="27.75">
      <c r="A141" s="1143" t="s">
        <v>248</v>
      </c>
      <c r="B141" s="1144"/>
      <c r="C141" s="1144"/>
      <c r="D141" s="523" t="s">
        <v>238</v>
      </c>
      <c r="E141" s="484">
        <f>'18'!F141</f>
        <v>4636.88</v>
      </c>
      <c r="F141" s="484">
        <v>4636.88</v>
      </c>
      <c r="G141" s="473">
        <f t="shared" si="14"/>
        <v>0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57" t="s">
        <v>249</v>
      </c>
      <c r="B142" s="1558"/>
      <c r="C142" s="1149"/>
      <c r="D142" s="472"/>
      <c r="E142" s="472"/>
      <c r="F142" s="472" t="s">
        <v>272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3739.5399999999954</v>
      </c>
      <c r="H143" s="460">
        <f>G143+'18'!H143</f>
        <v>78047.87</v>
      </c>
      <c r="I143" s="480"/>
      <c r="J143" s="552">
        <f>H143/DAY(B2)</f>
        <v>4107.7826315789471</v>
      </c>
      <c r="K143" s="380"/>
      <c r="L143" s="377"/>
      <c r="N143" s="382"/>
      <c r="O143" s="382"/>
    </row>
    <row r="144" spans="1:15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0.25934808239128893</v>
      </c>
      <c r="H144" s="460">
        <f>G144+'18'!H144</f>
        <v>5.0217112165282272</v>
      </c>
      <c r="I144" s="544"/>
      <c r="J144" s="552">
        <f>H144/DAY(B2)</f>
        <v>0.26430059034359088</v>
      </c>
      <c r="K144" s="380"/>
      <c r="L144" s="377"/>
      <c r="N144" s="382"/>
      <c r="O144" s="382"/>
    </row>
    <row r="145" spans="1:15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4451.9900000000271</v>
      </c>
      <c r="H145" s="460">
        <f>G145+'18'!H145</f>
        <v>91863.530000000028</v>
      </c>
      <c r="I145" s="480"/>
      <c r="J145" s="552">
        <f>H145/DAY(B2)</f>
        <v>4834.9226315789492</v>
      </c>
      <c r="K145" s="380"/>
      <c r="L145" s="377"/>
      <c r="N145" s="382"/>
      <c r="O145" s="382"/>
    </row>
    <row r="146" spans="1:15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0.3087585824259676</v>
      </c>
      <c r="H146" s="460">
        <f>G146+'18'!H146</f>
        <v>5.9201531201424356</v>
      </c>
      <c r="I146" s="544"/>
      <c r="J146" s="552">
        <f>H146/DAY(B2)</f>
        <v>0.31158700632328606</v>
      </c>
      <c r="K146" s="380"/>
      <c r="L146" s="377"/>
      <c r="N146" s="382"/>
      <c r="O146" s="382"/>
    </row>
    <row r="147" spans="1:15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2579</v>
      </c>
      <c r="H147" s="460">
        <f>G147+'18'!H147</f>
        <v>44677</v>
      </c>
      <c r="I147" s="545"/>
      <c r="J147" s="552">
        <f>H147/DAY(B2)</f>
        <v>2351.4210526315787</v>
      </c>
      <c r="K147" s="380"/>
      <c r="L147" s="377"/>
      <c r="N147" s="382"/>
      <c r="O147" s="382"/>
    </row>
    <row r="148" spans="1:15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0.17886122477286914</v>
      </c>
      <c r="H148" s="460">
        <f>G148+'18'!H148</f>
        <v>2.8811228084631506</v>
      </c>
      <c r="I148" s="545"/>
      <c r="J148" s="552">
        <f>H148/DAY(B2)</f>
        <v>0.15163804255069213</v>
      </c>
      <c r="N148" s="382"/>
      <c r="O148" s="382"/>
    </row>
    <row r="149" spans="1:15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999</v>
      </c>
      <c r="H149" s="460">
        <f>G149+'18'!H149</f>
        <v>22268</v>
      </c>
      <c r="I149" s="480"/>
      <c r="J149" s="552">
        <f>H149/DAY(B2)</f>
        <v>1172</v>
      </c>
      <c r="K149" s="381"/>
      <c r="N149" s="382"/>
      <c r="O149" s="382"/>
    </row>
    <row r="150" spans="1:15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6.9283584159789163E-2</v>
      </c>
      <c r="H150" s="460">
        <f>G150+'18'!H150</f>
        <v>1.4330944227013271</v>
      </c>
      <c r="I150" s="545"/>
      <c r="J150" s="552">
        <f>H150/DAY(B2)</f>
        <v>7.5426022247438274E-2</v>
      </c>
      <c r="N150" s="382"/>
      <c r="O150" s="382"/>
    </row>
    <row r="151" spans="1:15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793</v>
      </c>
      <c r="H151" s="460">
        <f>G151+'18'!H151</f>
        <v>19523</v>
      </c>
      <c r="I151" s="545"/>
      <c r="J151" s="552">
        <f>H151/DAY(B2)</f>
        <v>1027.5263157894738</v>
      </c>
      <c r="N151" s="382"/>
      <c r="O151" s="382"/>
    </row>
    <row r="152" spans="1:15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5.499687911783064E-2</v>
      </c>
      <c r="H152" s="460">
        <f>G152+'18'!H152</f>
        <v>1.2480785674559285</v>
      </c>
      <c r="I152" s="480"/>
      <c r="J152" s="552">
        <f>H152/DAY(B2)</f>
        <v>6.5688345655575187E-2</v>
      </c>
      <c r="N152" s="382"/>
      <c r="O152" s="382"/>
    </row>
    <row r="153" spans="1:15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1200</v>
      </c>
      <c r="H153" s="460">
        <f>G153+'18'!H153</f>
        <v>23370</v>
      </c>
      <c r="I153" s="480"/>
      <c r="J153" s="552">
        <f>H153/DAY(B2)</f>
        <v>1230</v>
      </c>
      <c r="N153" s="382"/>
      <c r="O153" s="382"/>
    </row>
    <row r="154" spans="1:15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8.3223524516263261E-2</v>
      </c>
      <c r="H154" s="460">
        <f>G154+'18'!H154</f>
        <v>1.5070702152922533</v>
      </c>
      <c r="I154" s="568"/>
      <c r="J154" s="569">
        <f>H154/DAY(B2)</f>
        <v>7.9319485015381747E-2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7" t="s">
        <v>262</v>
      </c>
      <c r="B161" s="788"/>
      <c r="C161" s="788"/>
      <c r="D161" s="511" t="s">
        <v>186</v>
      </c>
      <c r="E161" s="661">
        <f>'18'!F161</f>
        <v>37386</v>
      </c>
      <c r="F161" s="661">
        <v>37462</v>
      </c>
      <c r="G161" s="473">
        <f t="shared" ref="G161:G164" si="15">F161-E161</f>
        <v>76</v>
      </c>
    </row>
    <row r="162" spans="1:7">
      <c r="A162" s="787" t="s">
        <v>263</v>
      </c>
      <c r="B162" s="788"/>
      <c r="C162" s="788"/>
      <c r="D162" s="511" t="s">
        <v>186</v>
      </c>
      <c r="E162" s="661">
        <f>'18'!F162</f>
        <v>89789</v>
      </c>
      <c r="F162" s="661">
        <v>90173</v>
      </c>
      <c r="G162" s="473">
        <f t="shared" si="15"/>
        <v>384</v>
      </c>
    </row>
    <row r="163" spans="1:7">
      <c r="A163" s="787" t="s">
        <v>264</v>
      </c>
      <c r="B163" s="788"/>
      <c r="C163" s="788"/>
      <c r="D163" s="511" t="s">
        <v>186</v>
      </c>
      <c r="E163" s="661">
        <f>'18'!F163</f>
        <v>42288</v>
      </c>
      <c r="F163" s="661">
        <v>42495</v>
      </c>
      <c r="G163" s="473">
        <f t="shared" si="15"/>
        <v>207</v>
      </c>
    </row>
    <row r="164" spans="1:7">
      <c r="A164" s="787" t="s">
        <v>265</v>
      </c>
      <c r="B164" s="788"/>
      <c r="C164" s="788"/>
      <c r="D164" s="511" t="s">
        <v>186</v>
      </c>
      <c r="E164" s="661">
        <f>'18'!F164</f>
        <v>6441</v>
      </c>
      <c r="F164" s="661">
        <v>6460</v>
      </c>
      <c r="G164" s="473">
        <f t="shared" si="15"/>
        <v>19</v>
      </c>
    </row>
    <row r="165" spans="1:7">
      <c r="A165" s="789" t="s">
        <v>98</v>
      </c>
      <c r="B165" s="604"/>
      <c r="C165" s="604"/>
      <c r="D165" s="511" t="s">
        <v>186</v>
      </c>
      <c r="E165" s="661">
        <f>'18'!F165</f>
        <v>20419</v>
      </c>
      <c r="F165" s="514">
        <v>20419</v>
      </c>
      <c r="G165" s="473">
        <f t="shared" ref="G165:G166" si="16">F165-E165</f>
        <v>0</v>
      </c>
    </row>
    <row r="166" spans="1:7">
      <c r="A166" s="789" t="s">
        <v>187</v>
      </c>
      <c r="B166" s="604"/>
      <c r="C166" s="604"/>
      <c r="D166" s="511" t="s">
        <v>186</v>
      </c>
      <c r="E166" s="661">
        <f>'18'!F166</f>
        <v>2427</v>
      </c>
      <c r="F166" s="514">
        <v>2431</v>
      </c>
      <c r="G166" s="473">
        <f t="shared" si="16"/>
        <v>4</v>
      </c>
    </row>
    <row r="167" spans="1:7" ht="27.75">
      <c r="A167" s="1526" t="s">
        <v>99</v>
      </c>
      <c r="B167" s="1526"/>
      <c r="C167" s="1526"/>
      <c r="D167" s="523" t="s">
        <v>186</v>
      </c>
      <c r="E167" s="661">
        <f>'18'!F167</f>
        <v>157207</v>
      </c>
      <c r="F167" s="514">
        <v>106166</v>
      </c>
      <c r="G167" s="473">
        <f>F64-E64</f>
        <v>323</v>
      </c>
    </row>
    <row r="168" spans="1:7" ht="27.75">
      <c r="A168" s="1526" t="s">
        <v>100</v>
      </c>
      <c r="B168" s="1526"/>
      <c r="C168" s="1526"/>
      <c r="D168" s="523" t="s">
        <v>186</v>
      </c>
      <c r="E168" s="661">
        <f>'18'!F168</f>
        <v>158219</v>
      </c>
      <c r="F168" s="514">
        <v>116811.03</v>
      </c>
      <c r="G168" s="473">
        <f t="shared" ref="G168:G172" si="17">F65-E65</f>
        <v>210</v>
      </c>
    </row>
    <row r="169" spans="1:7" ht="27.75">
      <c r="A169" s="1526" t="s">
        <v>101</v>
      </c>
      <c r="B169" s="1526"/>
      <c r="C169" s="1526"/>
      <c r="D169" s="523" t="s">
        <v>186</v>
      </c>
      <c r="E169" s="661">
        <f>'18'!F169</f>
        <v>53249</v>
      </c>
      <c r="F169" s="514">
        <v>9380.09</v>
      </c>
      <c r="G169" s="473">
        <f t="shared" si="17"/>
        <v>234</v>
      </c>
    </row>
    <row r="170" spans="1:7" ht="27.75">
      <c r="A170" s="1526" t="s">
        <v>102</v>
      </c>
      <c r="B170" s="1526"/>
      <c r="C170" s="1526"/>
      <c r="D170" s="523" t="s">
        <v>186</v>
      </c>
      <c r="E170" s="661">
        <f>'18'!F170</f>
        <v>246695</v>
      </c>
      <c r="F170" s="514">
        <v>180787.83</v>
      </c>
      <c r="G170" s="473">
        <f t="shared" si="17"/>
        <v>236</v>
      </c>
    </row>
    <row r="171" spans="1:7" ht="27.75">
      <c r="A171" s="1526" t="s">
        <v>103</v>
      </c>
      <c r="B171" s="1526"/>
      <c r="C171" s="1526"/>
      <c r="D171" s="523" t="s">
        <v>186</v>
      </c>
      <c r="E171" s="661">
        <f>'18'!F171</f>
        <v>85321</v>
      </c>
      <c r="F171" s="514">
        <v>59451.31</v>
      </c>
      <c r="G171" s="473">
        <f t="shared" si="17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661">
        <f>'18'!F172</f>
        <v>80350</v>
      </c>
      <c r="F172" s="514">
        <v>52064.98</v>
      </c>
      <c r="G172" s="473">
        <f t="shared" si="17"/>
        <v>104</v>
      </c>
    </row>
    <row r="173" spans="1:7">
      <c r="G173" s="537">
        <f>SUM(G161:G172)</f>
        <v>1797</v>
      </c>
    </row>
    <row r="174" spans="1:7" ht="27.75">
      <c r="A174" s="1526" t="s">
        <v>355</v>
      </c>
      <c r="B174" s="1526"/>
      <c r="C174" s="1526"/>
      <c r="D174" s="523" t="s">
        <v>186</v>
      </c>
      <c r="E174" s="661"/>
      <c r="F174" s="514"/>
      <c r="G174" s="473">
        <f t="shared" ref="G174" si="18">F174-E174</f>
        <v>0</v>
      </c>
    </row>
    <row r="177" ht="18.7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zoomScale="55" zoomScaleSheetLayoutView="55" zoomScalePageLayoutView="78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356</v>
      </c>
      <c r="B2" s="1035">
        <v>44336</v>
      </c>
      <c r="C2" s="1145" t="s">
        <v>69</v>
      </c>
      <c r="D2" s="611">
        <v>0.24</v>
      </c>
      <c r="E2" s="461"/>
      <c r="F2" s="461"/>
      <c r="G2" s="1334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5" t="s">
        <v>119</v>
      </c>
      <c r="D3" s="612">
        <v>27</v>
      </c>
      <c r="E3" s="1568" t="s">
        <v>120</v>
      </c>
      <c r="F3" s="1569"/>
      <c r="G3" s="133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5" t="s">
        <v>121</v>
      </c>
      <c r="D4" s="611">
        <v>0.84</v>
      </c>
      <c r="E4" s="464"/>
      <c r="F4" s="464"/>
      <c r="G4" s="1335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6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2" t="s">
        <v>129</v>
      </c>
      <c r="B6" s="1563"/>
      <c r="C6" s="1564"/>
      <c r="D6" s="471"/>
      <c r="E6" s="471"/>
      <c r="F6" s="471"/>
      <c r="G6" s="1337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'19'!F7</f>
        <v>140515</v>
      </c>
      <c r="F7" s="455">
        <v>155638</v>
      </c>
      <c r="G7" s="1338">
        <f>F7-E7</f>
        <v>15123</v>
      </c>
      <c r="H7" s="460">
        <f>G7+'19'!H7</f>
        <v>310661</v>
      </c>
      <c r="I7" s="474">
        <f>'1'!I7</f>
        <v>12000</v>
      </c>
      <c r="J7" s="552">
        <f>H7/DAY(B2)</f>
        <v>15533.05</v>
      </c>
      <c r="K7" s="549">
        <v>11998</v>
      </c>
      <c r="L7" s="377">
        <f>G7-K7</f>
        <v>3125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'19'!F8</f>
        <v>141684</v>
      </c>
      <c r="F8" s="475">
        <v>156915</v>
      </c>
      <c r="G8" s="1339">
        <f>F8-E8</f>
        <v>15231</v>
      </c>
      <c r="H8" s="460">
        <f>G8+'19'!H8</f>
        <v>312674</v>
      </c>
      <c r="I8" s="477">
        <f>'1'!I8</f>
        <v>12000</v>
      </c>
      <c r="J8" s="552">
        <f>H8/DAY(B2)</f>
        <v>15633.7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'19'!F9</f>
        <v>1276465</v>
      </c>
      <c r="F9" s="478">
        <v>1291086</v>
      </c>
      <c r="G9" s="1338">
        <f t="shared" ref="G9:G12" si="0">F9-E9</f>
        <v>14621</v>
      </c>
      <c r="H9" s="460">
        <f>G9+'19'!H9</f>
        <v>300372</v>
      </c>
      <c r="I9" s="479">
        <f>I8-J8</f>
        <v>-3633.7000000000007</v>
      </c>
      <c r="J9" s="552">
        <f>H9/DAY(B2)</f>
        <v>15018.6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'19'!F10</f>
        <v>2322.58</v>
      </c>
      <c r="F10" s="478">
        <v>2322.58</v>
      </c>
      <c r="G10" s="1338">
        <f t="shared" si="0"/>
        <v>0</v>
      </c>
      <c r="H10" s="460">
        <f>G10+'19'!H10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1338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1338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40">
        <f>G9+G10+G11+G12</f>
        <v>14621</v>
      </c>
      <c r="H13" s="460">
        <f>G13+'19'!H13</f>
        <v>285851</v>
      </c>
      <c r="I13" s="482">
        <f>G7-G13</f>
        <v>502</v>
      </c>
      <c r="J13" s="552">
        <f>H13/DAY(B2)</f>
        <v>14292.55</v>
      </c>
      <c r="K13" s="428"/>
      <c r="L13" s="377"/>
      <c r="N13" s="382"/>
      <c r="O13" s="382"/>
    </row>
    <row r="14" spans="1:15">
      <c r="A14" s="1565" t="s">
        <v>138</v>
      </c>
      <c r="B14" s="1566"/>
      <c r="C14" s="1567"/>
      <c r="D14" s="472"/>
      <c r="E14" s="472"/>
      <c r="F14" s="472"/>
      <c r="G14" s="1341"/>
      <c r="H14" s="472"/>
      <c r="I14" s="472"/>
      <c r="J14" s="551"/>
      <c r="K14" s="429"/>
      <c r="L14" s="377"/>
      <c r="N14" s="382"/>
      <c r="O14" s="382"/>
    </row>
    <row r="15" spans="1:15">
      <c r="A15" s="1143" t="s">
        <v>139</v>
      </c>
      <c r="B15" s="589"/>
      <c r="C15" s="589"/>
      <c r="D15" s="523" t="s">
        <v>140</v>
      </c>
      <c r="E15" s="484">
        <f>'19'!F15</f>
        <v>1678628</v>
      </c>
      <c r="F15" s="484">
        <v>1678916</v>
      </c>
      <c r="G15" s="1342">
        <f>(F15-E15)</f>
        <v>288</v>
      </c>
      <c r="H15" s="460">
        <f>G15+'19'!H15</f>
        <v>8259</v>
      </c>
      <c r="I15" s="474">
        <v>800</v>
      </c>
      <c r="J15" s="552">
        <f>H15/DAY(B2)</f>
        <v>412.95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38"/>
      <c r="H16" s="486"/>
      <c r="I16" s="487">
        <f>I15-J15</f>
        <v>387.05</v>
      </c>
      <c r="J16" s="553"/>
      <c r="K16" s="428"/>
      <c r="L16" s="377"/>
      <c r="N16" s="382"/>
      <c r="O16" s="382"/>
    </row>
    <row r="17" spans="1:15">
      <c r="A17" s="1565" t="s">
        <v>141</v>
      </c>
      <c r="B17" s="1566"/>
      <c r="C17" s="1567"/>
      <c r="D17" s="472"/>
      <c r="E17" s="472"/>
      <c r="F17" s="472"/>
      <c r="G17" s="1341"/>
      <c r="H17" s="472"/>
      <c r="I17" s="472"/>
      <c r="J17" s="551"/>
      <c r="K17" s="428"/>
      <c r="L17" s="377"/>
      <c r="N17" s="382"/>
      <c r="O17" s="382"/>
    </row>
    <row r="18" spans="1:15" ht="27.75">
      <c r="A18" s="1551" t="s">
        <v>142</v>
      </c>
      <c r="B18" s="1552"/>
      <c r="C18" s="1553"/>
      <c r="D18" s="523" t="s">
        <v>143</v>
      </c>
      <c r="E18" s="484">
        <f>'19'!F18</f>
        <v>0</v>
      </c>
      <c r="F18" s="484">
        <v>0</v>
      </c>
      <c r="G18" s="1340">
        <f>F18*10</f>
        <v>0</v>
      </c>
      <c r="H18" s="460">
        <f>G18+'19'!H18</f>
        <v>640</v>
      </c>
      <c r="I18" s="474">
        <f>'1'!I18</f>
        <v>65</v>
      </c>
      <c r="J18" s="552">
        <f>H18/DAY(B2)</f>
        <v>32</v>
      </c>
      <c r="K18" s="428"/>
      <c r="L18" s="377"/>
      <c r="N18" s="382"/>
      <c r="O18" s="382"/>
    </row>
    <row r="19" spans="1:15" ht="27.75">
      <c r="A19" s="1551" t="s">
        <v>71</v>
      </c>
      <c r="B19" s="1552"/>
      <c r="C19" s="1553"/>
      <c r="D19" s="523" t="s">
        <v>143</v>
      </c>
      <c r="E19" s="484">
        <f>'19'!F19</f>
        <v>138909</v>
      </c>
      <c r="F19" s="484">
        <v>138966</v>
      </c>
      <c r="G19" s="1338">
        <f t="shared" ref="G19" si="1">F19-E19</f>
        <v>57</v>
      </c>
      <c r="H19" s="460">
        <f>G19+'19'!H19</f>
        <v>1154</v>
      </c>
      <c r="I19" s="489"/>
      <c r="J19" s="552">
        <f>H19/DAY(B2)</f>
        <v>57.7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43">
        <f>G18+G19</f>
        <v>57</v>
      </c>
      <c r="H20" s="460">
        <f>G20+'19'!H20</f>
        <v>1794</v>
      </c>
      <c r="I20" s="492">
        <f>I18-J20</f>
        <v>-24.700000000000003</v>
      </c>
      <c r="J20" s="552">
        <f>H20/DAY(B2)</f>
        <v>89.7</v>
      </c>
      <c r="K20" s="428"/>
      <c r="L20" s="377"/>
      <c r="N20" s="382"/>
      <c r="O20" s="382"/>
    </row>
    <row r="21" spans="1:15">
      <c r="A21" s="1565" t="s">
        <v>145</v>
      </c>
      <c r="B21" s="1566"/>
      <c r="C21" s="1567"/>
      <c r="D21" s="472"/>
      <c r="E21" s="472"/>
      <c r="F21" s="472"/>
      <c r="G21" s="1341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146</v>
      </c>
      <c r="B22" s="589"/>
      <c r="C22" s="589"/>
      <c r="D22" s="523" t="s">
        <v>147</v>
      </c>
      <c r="E22" s="484">
        <f>'19'!F22</f>
        <v>2970</v>
      </c>
      <c r="F22" s="484">
        <v>2970</v>
      </c>
      <c r="G22" s="1340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148</v>
      </c>
      <c r="B23" s="589"/>
      <c r="C23" s="589"/>
      <c r="D23" s="523" t="s">
        <v>147</v>
      </c>
      <c r="E23" s="484">
        <f>'19'!F23</f>
        <v>2000</v>
      </c>
      <c r="F23" s="484">
        <v>2000</v>
      </c>
      <c r="G23" s="1340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332">
        <v>4970</v>
      </c>
      <c r="F24" s="332">
        <v>4970</v>
      </c>
      <c r="G24" s="1340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0" t="s">
        <v>150</v>
      </c>
      <c r="B25" s="1571"/>
      <c r="C25" s="1572"/>
      <c r="D25" s="471"/>
      <c r="E25" s="471"/>
      <c r="F25" s="471"/>
      <c r="G25" s="134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4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15231</v>
      </c>
      <c r="F27" s="501">
        <v>9</v>
      </c>
      <c r="G27" s="1346">
        <f>E27*F27</f>
        <v>137079</v>
      </c>
      <c r="H27" s="460">
        <f>G27+'19'!H27</f>
        <v>2814066</v>
      </c>
      <c r="I27" s="503"/>
      <c r="J27" s="552">
        <f>H27/DAY(B2)</f>
        <v>140703.29999999999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288</v>
      </c>
      <c r="F28" s="501">
        <v>51.45</v>
      </c>
      <c r="G28" s="1346">
        <f>E28*F28</f>
        <v>14817.6</v>
      </c>
      <c r="H28" s="460">
        <f>G28+'19'!H28</f>
        <v>414443.02899999981</v>
      </c>
      <c r="I28" s="505"/>
      <c r="J28" s="552">
        <f>H28/DAY(B2)</f>
        <v>20722.15144999999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6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57</v>
      </c>
      <c r="F30" s="501">
        <v>134</v>
      </c>
      <c r="G30" s="1346">
        <f>E30*F30</f>
        <v>7638</v>
      </c>
      <c r="H30" s="460">
        <f>G30+'19'!H30</f>
        <v>154636</v>
      </c>
      <c r="I30" s="505"/>
      <c r="J30" s="552">
        <f>H30/DAY(B2)</f>
        <v>7731.8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0</v>
      </c>
      <c r="F31" s="501">
        <v>80</v>
      </c>
      <c r="G31" s="1346">
        <f>E31*F31</f>
        <v>0</v>
      </c>
      <c r="H31" s="460">
        <f>G31+'19'!H31</f>
        <v>51200</v>
      </c>
      <c r="I31" s="505"/>
      <c r="J31" s="552">
        <f>H31/DAY(B2)</f>
        <v>2560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7">
        <f>G27+G28+G29+G30+G31</f>
        <v>159534.6</v>
      </c>
      <c r="H32" s="460">
        <f>G32+'19'!H32</f>
        <v>3434345.0290000001</v>
      </c>
      <c r="I32" s="509"/>
      <c r="J32" s="552">
        <f>H32/DAY(B2)</f>
        <v>171717.25145000001</v>
      </c>
      <c r="K32" s="373"/>
      <c r="L32" s="443"/>
      <c r="N32" s="444"/>
      <c r="O32" s="382"/>
    </row>
    <row r="33" spans="1:15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  <c r="O33" s="382"/>
    </row>
    <row r="34" spans="1:15">
      <c r="A34" s="598" t="s">
        <v>162</v>
      </c>
      <c r="B34" s="1148"/>
      <c r="C34" s="1148"/>
      <c r="D34" s="472"/>
      <c r="E34" s="471"/>
      <c r="F34" s="471"/>
      <c r="G34" s="1348"/>
      <c r="H34" s="472"/>
      <c r="I34" s="472"/>
      <c r="J34" s="551" t="s">
        <v>311</v>
      </c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'19'!F35</f>
        <v>923755</v>
      </c>
      <c r="F35" s="510">
        <v>925573</v>
      </c>
      <c r="G35" s="1338">
        <f t="shared" ref="G35:G46" si="2">F35-E35</f>
        <v>1818</v>
      </c>
      <c r="H35" s="460">
        <f>G35+'19'!H35</f>
        <v>39114</v>
      </c>
      <c r="I35" s="455"/>
      <c r="J35" s="552">
        <f>H35/DAY(B2)</f>
        <v>1955.7</v>
      </c>
      <c r="K35" s="428">
        <v>1457.2799999999697</v>
      </c>
      <c r="L35" s="377">
        <f>G35-K35</f>
        <v>360.72000000003027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'19'!F36</f>
        <v>347065</v>
      </c>
      <c r="F36" s="510">
        <v>347065</v>
      </c>
      <c r="G36" s="1338">
        <f t="shared" si="2"/>
        <v>0</v>
      </c>
      <c r="H36" s="460">
        <f>G36+'19'!H36</f>
        <v>2457</v>
      </c>
      <c r="I36" s="455"/>
      <c r="J36" s="552">
        <f>H36/DAY(B2)</f>
        <v>122.85</v>
      </c>
      <c r="K36" s="428">
        <v>483.92999999999302</v>
      </c>
      <c r="L36" s="377">
        <f t="shared" ref="L36:L60" si="3">G36-K36</f>
        <v>-483.92999999999302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'19'!F37</f>
        <v>118595</v>
      </c>
      <c r="F37" s="510">
        <v>119850</v>
      </c>
      <c r="G37" s="1338">
        <f>F37-E37</f>
        <v>1255</v>
      </c>
      <c r="H37" s="460">
        <f>G37+'19'!H37</f>
        <v>24625</v>
      </c>
      <c r="I37" s="455"/>
      <c r="J37" s="552">
        <f>H37/DAY(B2)</f>
        <v>1231.25</v>
      </c>
      <c r="K37" s="428">
        <v>1173.9200000000128</v>
      </c>
      <c r="L37" s="377">
        <f>G37-K37</f>
        <v>81.079999999987194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510">
        <f>'19'!F38</f>
        <v>141864</v>
      </c>
      <c r="F38" s="469">
        <v>142842</v>
      </c>
      <c r="G38" s="1338">
        <f t="shared" si="2"/>
        <v>978</v>
      </c>
      <c r="H38" s="460">
        <f>G38+'19'!H38</f>
        <v>23246</v>
      </c>
      <c r="I38" s="455"/>
      <c r="J38" s="552">
        <f>H38/DAY(B2)</f>
        <v>1162.3</v>
      </c>
      <c r="K38" s="428">
        <v>0</v>
      </c>
      <c r="L38" s="377">
        <f t="shared" si="3"/>
        <v>978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'19'!F39</f>
        <v>281607</v>
      </c>
      <c r="F39" s="510">
        <v>283568</v>
      </c>
      <c r="G39" s="1338">
        <f t="shared" si="2"/>
        <v>1961</v>
      </c>
      <c r="H39" s="460">
        <f>G39+'19'!H39</f>
        <v>36915</v>
      </c>
      <c r="I39" s="455"/>
      <c r="J39" s="552">
        <f>H39/DAY(B2)</f>
        <v>1845.75</v>
      </c>
      <c r="K39" s="428">
        <v>1987.0400000000373</v>
      </c>
      <c r="L39" s="377">
        <f t="shared" si="3"/>
        <v>-26.040000000037253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'19'!F40</f>
        <v>587</v>
      </c>
      <c r="F40" s="510">
        <v>587</v>
      </c>
      <c r="G40" s="1338">
        <f t="shared" si="2"/>
        <v>0</v>
      </c>
      <c r="H40" s="460">
        <f>G40+'19'!H40</f>
        <v>586.77</v>
      </c>
      <c r="I40" s="455"/>
      <c r="J40" s="552">
        <f>H40/DAY(B2)</f>
        <v>29.3385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'19'!F41</f>
        <v>239668</v>
      </c>
      <c r="F41" s="510">
        <v>239668</v>
      </c>
      <c r="G41" s="1338">
        <f t="shared" si="2"/>
        <v>0</v>
      </c>
      <c r="H41" s="460">
        <f>G41+'19'!H41</f>
        <v>58140</v>
      </c>
      <c r="I41" s="455"/>
      <c r="J41" s="552">
        <f>H41/DAY(B2)</f>
        <v>2907</v>
      </c>
      <c r="K41" s="428">
        <v>0</v>
      </c>
      <c r="L41" s="377">
        <f t="shared" si="3"/>
        <v>0</v>
      </c>
      <c r="N41" s="382"/>
      <c r="O41" s="724"/>
    </row>
    <row r="42" spans="1:15">
      <c r="A42" s="578" t="s">
        <v>170</v>
      </c>
      <c r="B42" s="579"/>
      <c r="C42" s="579"/>
      <c r="D42" s="523" t="s">
        <v>131</v>
      </c>
      <c r="E42" s="510">
        <f>'19'!F42</f>
        <v>59200</v>
      </c>
      <c r="F42" s="510">
        <v>59200</v>
      </c>
      <c r="G42" s="1338">
        <f t="shared" si="2"/>
        <v>0</v>
      </c>
      <c r="H42" s="460">
        <f>G42+'19'!H42</f>
        <v>0</v>
      </c>
      <c r="I42" s="455"/>
      <c r="J42" s="552">
        <f>H42/DAY(B2)</f>
        <v>0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'19'!F43</f>
        <v>1014999</v>
      </c>
      <c r="F43" s="510">
        <v>1017117</v>
      </c>
      <c r="G43" s="1338">
        <f t="shared" si="2"/>
        <v>2118</v>
      </c>
      <c r="H43" s="460">
        <f>G43+'19'!H43</f>
        <v>43159</v>
      </c>
      <c r="I43" s="455"/>
      <c r="J43" s="552">
        <f>H43/DAY(B2)</f>
        <v>2157.9499999999998</v>
      </c>
      <c r="K43" s="428">
        <v>1559.2000000000116</v>
      </c>
      <c r="L43" s="377">
        <f t="shared" si="3"/>
        <v>558.79999999998836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'19'!F44</f>
        <v>0</v>
      </c>
      <c r="F44" s="510">
        <v>0</v>
      </c>
      <c r="G44" s="1338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'19'!F45</f>
        <v>0</v>
      </c>
      <c r="F45" s="510">
        <v>0</v>
      </c>
      <c r="G45" s="1338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'19'!F46</f>
        <v>0</v>
      </c>
      <c r="F46" s="510">
        <v>0</v>
      </c>
      <c r="G46" s="1338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40">
        <f>G35+G36+G37+G38+G39+G40+G41+G42+G43+G44+G45+G46</f>
        <v>8130</v>
      </c>
      <c r="H47" s="460">
        <f>G47+'19'!H47</f>
        <v>228243.21000000002</v>
      </c>
      <c r="I47" s="455"/>
      <c r="J47" s="552">
        <f>H47/DAY(B2)</f>
        <v>11412.160500000002</v>
      </c>
      <c r="K47" s="428">
        <v>9907.8200000000252</v>
      </c>
      <c r="L47" s="377">
        <f t="shared" si="3"/>
        <v>-1777.8200000000252</v>
      </c>
      <c r="N47" s="382"/>
      <c r="O47" s="382"/>
    </row>
    <row r="48" spans="1:15">
      <c r="A48" s="598" t="s">
        <v>176</v>
      </c>
      <c r="B48" s="1148"/>
      <c r="C48" s="1148"/>
      <c r="D48" s="472"/>
      <c r="E48" s="471"/>
      <c r="F48" s="471"/>
      <c r="G48" s="1348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'19'!F49</f>
        <v>260732</v>
      </c>
      <c r="F49" s="510">
        <v>260732</v>
      </c>
      <c r="G49" s="1338">
        <f t="shared" ref="G49:G58" si="4">F49-E49</f>
        <v>0</v>
      </c>
      <c r="H49" s="460">
        <f>G49+'19'!H49</f>
        <v>-0.13000000000465661</v>
      </c>
      <c r="I49" s="455"/>
      <c r="J49" s="552">
        <f>H49/DAY(B2)</f>
        <v>-6.5000000002328308E-3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'19'!F50</f>
        <v>491602</v>
      </c>
      <c r="F50" s="510">
        <v>492472</v>
      </c>
      <c r="G50" s="1338">
        <f t="shared" si="4"/>
        <v>870</v>
      </c>
      <c r="H50" s="460">
        <f>G50+'19'!H50</f>
        <v>16997</v>
      </c>
      <c r="I50" s="455"/>
      <c r="J50" s="552">
        <f>H50/DAY(B2)</f>
        <v>849.85</v>
      </c>
      <c r="K50" s="428">
        <v>631.67000000001281</v>
      </c>
      <c r="L50" s="377">
        <f t="shared" si="3"/>
        <v>238.32999999998719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'19'!F51</f>
        <v>144640</v>
      </c>
      <c r="F51" s="510">
        <v>144640</v>
      </c>
      <c r="G51" s="1338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'19'!F52</f>
        <v>539606</v>
      </c>
      <c r="F52" s="510">
        <v>539606</v>
      </c>
      <c r="G52" s="1338">
        <f t="shared" si="4"/>
        <v>0</v>
      </c>
      <c r="H52" s="460">
        <f>G52+'19'!H52</f>
        <v>-6.9999999948777258E-2</v>
      </c>
      <c r="I52" s="455"/>
      <c r="J52" s="552">
        <f>H52/DAY(B2)</f>
        <v>-3.499999997438863E-3</v>
      </c>
      <c r="K52" s="428">
        <v>1057.5200000000186</v>
      </c>
      <c r="L52" s="377">
        <f t="shared" si="3"/>
        <v>-1057.5200000000186</v>
      </c>
      <c r="N52" s="382"/>
      <c r="O52" s="724"/>
    </row>
    <row r="53" spans="1:15">
      <c r="A53" s="578" t="s">
        <v>167</v>
      </c>
      <c r="B53" s="601"/>
      <c r="C53" s="601"/>
      <c r="D53" s="523" t="s">
        <v>131</v>
      </c>
      <c r="E53" s="510">
        <f>'19'!F53</f>
        <v>426010</v>
      </c>
      <c r="F53" s="510">
        <v>426566</v>
      </c>
      <c r="G53" s="1338">
        <f t="shared" si="4"/>
        <v>556</v>
      </c>
      <c r="H53" s="460">
        <f>G53+'19'!H53</f>
        <v>9756</v>
      </c>
      <c r="I53" s="455"/>
      <c r="J53" s="552">
        <f>H53/DAY(B2)</f>
        <v>487.8</v>
      </c>
      <c r="K53" s="428">
        <v>106.48999999999978</v>
      </c>
      <c r="L53" s="377">
        <f t="shared" si="3"/>
        <v>449.51000000000022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'19'!F54</f>
        <v>12782</v>
      </c>
      <c r="F54" s="510">
        <v>12865</v>
      </c>
      <c r="G54" s="1338">
        <f t="shared" si="4"/>
        <v>83</v>
      </c>
      <c r="H54" s="460">
        <f>G54+'19'!H54</f>
        <v>5103</v>
      </c>
      <c r="I54" s="455"/>
      <c r="J54" s="552">
        <f>H54/DAY(B2)</f>
        <v>255.15</v>
      </c>
      <c r="K54" s="428">
        <v>0</v>
      </c>
      <c r="L54" s="377">
        <f t="shared" si="3"/>
        <v>83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'19'!F55</f>
        <v>33528</v>
      </c>
      <c r="F55" s="510">
        <v>38262</v>
      </c>
      <c r="G55" s="1338">
        <f t="shared" si="4"/>
        <v>4734</v>
      </c>
      <c r="H55" s="460">
        <f>G55+'19'!H55</f>
        <v>38262</v>
      </c>
      <c r="I55" s="455"/>
      <c r="J55" s="552">
        <f>H55/DAY(B2)</f>
        <v>1913.1</v>
      </c>
      <c r="K55" s="428">
        <v>0</v>
      </c>
      <c r="L55" s="377">
        <f t="shared" si="3"/>
        <v>4734</v>
      </c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'19'!F56</f>
        <v>589484</v>
      </c>
      <c r="F56" s="510">
        <v>589494</v>
      </c>
      <c r="G56" s="1338">
        <f t="shared" si="4"/>
        <v>10</v>
      </c>
      <c r="H56" s="460">
        <f>G56+'19'!H56</f>
        <v>205.64000000001397</v>
      </c>
      <c r="I56" s="455"/>
      <c r="J56" s="552">
        <f>H56/DAY(B2)</f>
        <v>10.282000000000698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'19'!F57</f>
        <v>7711</v>
      </c>
      <c r="F57" s="510">
        <v>7711</v>
      </c>
      <c r="G57" s="1338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'19'!F58</f>
        <v>48168</v>
      </c>
      <c r="F58" s="510">
        <v>48183</v>
      </c>
      <c r="G58" s="1338">
        <f t="shared" si="4"/>
        <v>15</v>
      </c>
      <c r="H58" s="460">
        <f>G58+'19'!H58</f>
        <v>1466</v>
      </c>
      <c r="I58" s="455"/>
      <c r="J58" s="552">
        <f>H58/DAY(B2)</f>
        <v>73.3</v>
      </c>
      <c r="K58" s="428">
        <v>0</v>
      </c>
      <c r="L58" s="377">
        <f t="shared" si="3"/>
        <v>15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40">
        <f>G49+G50+G51+G52+G53+G54+G55+G56+G57+G58</f>
        <v>6268</v>
      </c>
      <c r="H59" s="460">
        <f>G59+'19'!H59</f>
        <v>71789.510000000009</v>
      </c>
      <c r="I59" s="455">
        <f>G7-G60</f>
        <v>725</v>
      </c>
      <c r="J59" s="552">
        <f>H59/DAY(B2)</f>
        <v>3589.4755000000005</v>
      </c>
      <c r="K59" s="428">
        <v>1795.6800000000312</v>
      </c>
      <c r="L59" s="377">
        <f t="shared" si="3"/>
        <v>4472.3199999999688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40">
        <f>G47+G59</f>
        <v>14398</v>
      </c>
      <c r="H60" s="460">
        <f>G60+'19'!H60</f>
        <v>301616.61000000004</v>
      </c>
      <c r="I60" s="455">
        <f>G13-G60</f>
        <v>223</v>
      </c>
      <c r="J60" s="552">
        <f>H60/DAY(B2)</f>
        <v>15080.830500000002</v>
      </c>
      <c r="K60" s="428">
        <v>11703.500000000056</v>
      </c>
      <c r="L60" s="377">
        <f t="shared" si="3"/>
        <v>2694.4999999999436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9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186</v>
      </c>
      <c r="E62" s="514">
        <f>'19'!F62</f>
        <v>20419.2</v>
      </c>
      <c r="F62" s="514">
        <v>20419.2</v>
      </c>
      <c r="G62" s="1338">
        <f t="shared" ref="G62:G69" si="5">F62-E62</f>
        <v>0</v>
      </c>
      <c r="H62" s="460">
        <f>G62+'19'!H62</f>
        <v>0.38199999999778811</v>
      </c>
      <c r="I62" s="515"/>
      <c r="J62" s="552">
        <f>H62/DAY(B2)</f>
        <v>1.9099999999889407E-2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'19'!F63</f>
        <v>2431</v>
      </c>
      <c r="F63" s="514">
        <v>2435</v>
      </c>
      <c r="G63" s="1338">
        <f t="shared" si="5"/>
        <v>4</v>
      </c>
      <c r="H63" s="460">
        <f>G63+'19'!H63</f>
        <v>76</v>
      </c>
      <c r="I63" s="515"/>
      <c r="J63" s="552">
        <f>H63/DAY(B2)</f>
        <v>3.8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186</v>
      </c>
      <c r="E64" s="484">
        <f>'19'!F64</f>
        <v>157530</v>
      </c>
      <c r="F64" s="484">
        <v>157797</v>
      </c>
      <c r="G64" s="1338">
        <f t="shared" si="5"/>
        <v>267</v>
      </c>
      <c r="H64" s="460">
        <f>G64+'19'!H64</f>
        <v>4498</v>
      </c>
      <c r="I64" s="480"/>
      <c r="J64" s="552">
        <f>H64/DAY(B2)</f>
        <v>224.9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186</v>
      </c>
      <c r="E65" s="484">
        <f>'19'!F65</f>
        <v>158429</v>
      </c>
      <c r="F65" s="484">
        <v>158634</v>
      </c>
      <c r="G65" s="1338">
        <f t="shared" si="5"/>
        <v>205</v>
      </c>
      <c r="H65" s="460">
        <f>G65+'19'!H65</f>
        <v>4035</v>
      </c>
      <c r="I65" s="489"/>
      <c r="J65" s="552">
        <f>H65/DAY(B2)</f>
        <v>201.75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186</v>
      </c>
      <c r="E66" s="484">
        <f>'19'!F66</f>
        <v>53483</v>
      </c>
      <c r="F66" s="484">
        <v>53739</v>
      </c>
      <c r="G66" s="1338">
        <f t="shared" si="5"/>
        <v>256</v>
      </c>
      <c r="H66" s="460">
        <f>G66+'19'!H66</f>
        <v>5168</v>
      </c>
      <c r="I66" s="480"/>
      <c r="J66" s="552">
        <f>H66/DAY(B2)</f>
        <v>258.39999999999998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186</v>
      </c>
      <c r="E67" s="484">
        <f>'19'!F67</f>
        <v>246931</v>
      </c>
      <c r="F67" s="484">
        <v>247210</v>
      </c>
      <c r="G67" s="1338">
        <f t="shared" si="5"/>
        <v>279</v>
      </c>
      <c r="H67" s="460">
        <f>G67+'19'!H67</f>
        <v>4036</v>
      </c>
      <c r="I67" s="489"/>
      <c r="J67" s="552">
        <f>H67/DAY(B2)</f>
        <v>201.8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186</v>
      </c>
      <c r="E68" s="484">
        <f>'19'!F68</f>
        <v>85321</v>
      </c>
      <c r="F68" s="484">
        <v>85321</v>
      </c>
      <c r="G68" s="1338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186</v>
      </c>
      <c r="E69" s="484">
        <f>'19'!F69</f>
        <v>80454</v>
      </c>
      <c r="F69" s="484">
        <v>80521</v>
      </c>
      <c r="G69" s="1338">
        <f t="shared" si="5"/>
        <v>67</v>
      </c>
      <c r="H69" s="460">
        <f>G69+'19'!H69</f>
        <v>1527</v>
      </c>
      <c r="I69" s="516"/>
      <c r="J69" s="552">
        <f>H69/DAY(B2)</f>
        <v>76.349999999999994</v>
      </c>
      <c r="K69" s="431"/>
      <c r="L69" s="377"/>
      <c r="N69" s="382"/>
      <c r="O69" s="382"/>
    </row>
    <row r="70" spans="1:15" ht="27.75">
      <c r="A70" s="1536" t="s">
        <v>188</v>
      </c>
      <c r="B70" s="1537"/>
      <c r="C70" s="1538"/>
      <c r="D70" s="523" t="s">
        <v>186</v>
      </c>
      <c r="E70" s="518"/>
      <c r="F70" s="518"/>
      <c r="G70" s="1350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  <c r="O71" s="382"/>
    </row>
    <row r="72" spans="1:15" ht="27.75">
      <c r="A72" s="1530" t="s">
        <v>190</v>
      </c>
      <c r="B72" s="1531"/>
      <c r="C72" s="1532"/>
      <c r="D72" s="523" t="s">
        <v>186</v>
      </c>
      <c r="E72" s="519">
        <f>'19'!F72</f>
        <v>855712</v>
      </c>
      <c r="F72" s="519">
        <v>855721</v>
      </c>
      <c r="G72" s="1338">
        <f t="shared" ref="G72:G84" si="6">F72-E72</f>
        <v>9</v>
      </c>
      <c r="H72" s="460">
        <f>G72+'19'!H72</f>
        <v>249</v>
      </c>
      <c r="I72" s="480"/>
      <c r="J72" s="552">
        <f>H72/DAY(B2)</f>
        <v>12.45</v>
      </c>
      <c r="K72" s="431"/>
      <c r="L72" s="377"/>
      <c r="N72" s="382"/>
      <c r="O72" s="382"/>
    </row>
    <row r="73" spans="1:15" ht="27.75">
      <c r="A73" s="1530" t="s">
        <v>191</v>
      </c>
      <c r="B73" s="1531"/>
      <c r="C73" s="1532"/>
      <c r="D73" s="523" t="s">
        <v>186</v>
      </c>
      <c r="E73" s="519">
        <f>'19'!F73</f>
        <v>885896</v>
      </c>
      <c r="F73" s="520">
        <v>885896</v>
      </c>
      <c r="G73" s="1338">
        <f t="shared" si="6"/>
        <v>0</v>
      </c>
      <c r="H73" s="460">
        <f>G73+'19'!H73</f>
        <v>200</v>
      </c>
      <c r="I73" s="480"/>
      <c r="J73" s="552">
        <f>H73/DAY(B2)</f>
        <v>10</v>
      </c>
      <c r="K73" s="430"/>
      <c r="L73" s="377"/>
      <c r="N73" s="382"/>
      <c r="O73" s="382"/>
    </row>
    <row r="74" spans="1:15" ht="27.75">
      <c r="A74" s="1606" t="s">
        <v>192</v>
      </c>
      <c r="B74" s="1607"/>
      <c r="C74" s="1608"/>
      <c r="D74" s="523" t="s">
        <v>186</v>
      </c>
      <c r="E74" s="519">
        <f>'19'!F74</f>
        <v>2504</v>
      </c>
      <c r="F74" s="521">
        <v>2512</v>
      </c>
      <c r="G74" s="1338">
        <f t="shared" si="6"/>
        <v>8</v>
      </c>
      <c r="H74" s="460">
        <f>G74+'19'!H74</f>
        <v>233</v>
      </c>
      <c r="I74" s="480"/>
      <c r="J74" s="552">
        <f>H74/DAY(B2)</f>
        <v>11.65</v>
      </c>
      <c r="K74" s="431"/>
      <c r="L74" s="377"/>
      <c r="N74" s="382"/>
      <c r="O74" s="382"/>
    </row>
    <row r="75" spans="1:15" ht="27.75">
      <c r="A75" s="1527" t="s">
        <v>193</v>
      </c>
      <c r="B75" s="1528"/>
      <c r="C75" s="1529"/>
      <c r="D75" s="523" t="s">
        <v>186</v>
      </c>
      <c r="E75" s="519">
        <f>'19'!F75</f>
        <v>11989</v>
      </c>
      <c r="F75" s="521">
        <v>12041</v>
      </c>
      <c r="G75" s="1338">
        <f t="shared" si="6"/>
        <v>52</v>
      </c>
      <c r="H75" s="460">
        <f>G75+'19'!H75</f>
        <v>1071</v>
      </c>
      <c r="I75" s="480"/>
      <c r="J75" s="552">
        <f>H75/DAY(B2)</f>
        <v>53.55</v>
      </c>
      <c r="K75" s="430"/>
      <c r="L75" s="377"/>
      <c r="N75" s="382"/>
      <c r="O75" s="382"/>
    </row>
    <row r="76" spans="1:15" ht="27.75">
      <c r="A76" s="1527" t="s">
        <v>194</v>
      </c>
      <c r="B76" s="1528"/>
      <c r="C76" s="1529"/>
      <c r="D76" s="523" t="s">
        <v>186</v>
      </c>
      <c r="E76" s="519">
        <f>'19'!F76</f>
        <v>6749</v>
      </c>
      <c r="F76" s="657">
        <v>6806</v>
      </c>
      <c r="G76" s="1338">
        <f>F76-E76</f>
        <v>57</v>
      </c>
      <c r="H76" s="460">
        <f>G76+'19'!H76</f>
        <v>1089.0499999999993</v>
      </c>
      <c r="I76" s="505"/>
      <c r="J76" s="552">
        <f>H76/DAY(B2)</f>
        <v>54.452499999999965</v>
      </c>
      <c r="K76" s="430"/>
      <c r="L76" s="377"/>
      <c r="N76" s="382"/>
      <c r="O76" s="382"/>
    </row>
    <row r="77" spans="1:15" ht="27.75">
      <c r="A77" s="1530" t="s">
        <v>195</v>
      </c>
      <c r="B77" s="1531"/>
      <c r="C77" s="1532"/>
      <c r="D77" s="523" t="s">
        <v>186</v>
      </c>
      <c r="E77" s="519">
        <f>'19'!F77</f>
        <v>702353</v>
      </c>
      <c r="F77" s="521">
        <v>702386</v>
      </c>
      <c r="G77" s="1338">
        <f t="shared" si="6"/>
        <v>33</v>
      </c>
      <c r="H77" s="460">
        <f>G77+'19'!H77</f>
        <v>824</v>
      </c>
      <c r="I77" s="505"/>
      <c r="J77" s="552">
        <f>H77/DAY(B2)</f>
        <v>41.2</v>
      </c>
      <c r="K77" s="430"/>
      <c r="L77" s="377"/>
      <c r="N77" s="382"/>
      <c r="O77" s="382"/>
    </row>
    <row r="78" spans="1:15" ht="27.75">
      <c r="A78" s="1146" t="s">
        <v>196</v>
      </c>
      <c r="B78" s="1119"/>
      <c r="C78" s="1119"/>
      <c r="D78" s="523" t="s">
        <v>186</v>
      </c>
      <c r="E78" s="521">
        <f>'19'!F78</f>
        <v>671631</v>
      </c>
      <c r="F78" s="521">
        <v>671681</v>
      </c>
      <c r="G78" s="1338">
        <f t="shared" si="6"/>
        <v>50</v>
      </c>
      <c r="H78" s="460">
        <f>G78+'19'!H78</f>
        <v>1656</v>
      </c>
      <c r="I78" s="505"/>
      <c r="J78" s="552">
        <f>H78/DAY(B2)</f>
        <v>82.8</v>
      </c>
      <c r="K78" s="430"/>
      <c r="L78" s="377"/>
      <c r="N78" s="382"/>
      <c r="O78" s="382"/>
    </row>
    <row r="79" spans="1:15" ht="27.75">
      <c r="A79" s="1527" t="s">
        <v>92</v>
      </c>
      <c r="B79" s="1528"/>
      <c r="C79" s="1529"/>
      <c r="D79" s="524" t="s">
        <v>186</v>
      </c>
      <c r="E79" s="521">
        <f>'19'!F79</f>
        <v>829418</v>
      </c>
      <c r="F79" s="521">
        <v>829535</v>
      </c>
      <c r="G79" s="1338">
        <f t="shared" si="6"/>
        <v>117</v>
      </c>
      <c r="H79" s="460">
        <f>G79+'19'!H79</f>
        <v>1804</v>
      </c>
      <c r="I79" s="505"/>
      <c r="J79" s="552">
        <f>H79/DAY(B2)</f>
        <v>90.2</v>
      </c>
      <c r="K79" s="430"/>
      <c r="L79" s="377"/>
      <c r="N79" s="382"/>
      <c r="O79" s="382"/>
    </row>
    <row r="80" spans="1:15" ht="27.75">
      <c r="A80" s="1527" t="s">
        <v>197</v>
      </c>
      <c r="B80" s="1528"/>
      <c r="C80" s="1529"/>
      <c r="D80" s="524" t="s">
        <v>186</v>
      </c>
      <c r="E80" s="520">
        <f>'19'!F80</f>
        <v>523324</v>
      </c>
      <c r="F80" s="520">
        <v>523681</v>
      </c>
      <c r="G80" s="1338">
        <f t="shared" si="6"/>
        <v>357</v>
      </c>
      <c r="H80" s="460">
        <f>G80+'19'!H80</f>
        <v>4220</v>
      </c>
      <c r="I80" s="505"/>
      <c r="J80" s="552">
        <f>H80/DAY(B2)</f>
        <v>211</v>
      </c>
      <c r="K80" s="430"/>
      <c r="L80" s="377"/>
      <c r="N80" s="382"/>
      <c r="O80" s="382"/>
    </row>
    <row r="81" spans="1:15" ht="27.75">
      <c r="A81" s="1527" t="s">
        <v>198</v>
      </c>
      <c r="B81" s="1528"/>
      <c r="C81" s="1529"/>
      <c r="D81" s="524" t="s">
        <v>186</v>
      </c>
      <c r="E81" s="520">
        <f>'19'!F81</f>
        <v>637909</v>
      </c>
      <c r="F81" s="520">
        <v>637985</v>
      </c>
      <c r="G81" s="1338">
        <f t="shared" si="6"/>
        <v>76</v>
      </c>
      <c r="H81" s="460">
        <f>G81+'19'!H81</f>
        <v>1507</v>
      </c>
      <c r="I81" s="505"/>
      <c r="J81" s="552">
        <f>H81/DAY(B2)</f>
        <v>75.349999999999994</v>
      </c>
      <c r="K81" s="430"/>
      <c r="L81" s="377"/>
      <c r="N81" s="382"/>
      <c r="O81" s="382"/>
    </row>
    <row r="82" spans="1:15" ht="27.75">
      <c r="A82" s="1527" t="s">
        <v>93</v>
      </c>
      <c r="B82" s="1528"/>
      <c r="C82" s="1529"/>
      <c r="D82" s="485" t="s">
        <v>131</v>
      </c>
      <c r="E82" s="522">
        <f>'19'!F82</f>
        <v>107967</v>
      </c>
      <c r="F82" s="522">
        <v>107977</v>
      </c>
      <c r="G82" s="1338">
        <f t="shared" si="6"/>
        <v>10</v>
      </c>
      <c r="H82" s="460">
        <f>G82+'19'!H82</f>
        <v>365</v>
      </c>
      <c r="I82" s="486"/>
      <c r="J82" s="552">
        <f>H82/DAY(B2)</f>
        <v>18.25</v>
      </c>
      <c r="K82" s="430"/>
      <c r="L82" s="377"/>
      <c r="N82" s="382"/>
      <c r="O82" s="382"/>
    </row>
    <row r="83" spans="1:15" ht="27.75">
      <c r="A83" s="1527" t="s">
        <v>199</v>
      </c>
      <c r="B83" s="1528"/>
      <c r="C83" s="1529"/>
      <c r="D83" s="620" t="s">
        <v>131</v>
      </c>
      <c r="E83" s="511">
        <v>18472</v>
      </c>
      <c r="F83" s="511">
        <v>18566</v>
      </c>
      <c r="G83" s="1338">
        <f t="shared" si="6"/>
        <v>94</v>
      </c>
      <c r="H83" s="460">
        <f>G83+'19'!H83</f>
        <v>3795</v>
      </c>
      <c r="I83" s="481"/>
      <c r="J83" s="552">
        <f>H83/DAY(B2)</f>
        <v>189.75</v>
      </c>
      <c r="K83" s="429"/>
      <c r="L83" s="377"/>
      <c r="N83" s="382"/>
      <c r="O83" s="724"/>
    </row>
    <row r="84" spans="1:15">
      <c r="A84" s="1147" t="s">
        <v>200</v>
      </c>
      <c r="B84" s="571"/>
      <c r="C84" s="571"/>
      <c r="D84" s="478" t="s">
        <v>131</v>
      </c>
      <c r="E84" s="627">
        <f>'19'!F84</f>
        <v>492334</v>
      </c>
      <c r="F84" s="627">
        <v>492699</v>
      </c>
      <c r="G84" s="1338">
        <f t="shared" si="6"/>
        <v>365</v>
      </c>
      <c r="H84" s="460">
        <f>G84+'19'!H84</f>
        <v>12566</v>
      </c>
      <c r="I84" s="481"/>
      <c r="J84" s="552">
        <f>H84/DAY(B2)</f>
        <v>628.29999999999995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51">
        <f xml:space="preserve"> SUM(G72:G84)</f>
        <v>1228</v>
      </c>
      <c r="H85" s="460">
        <f>G85+'19'!H85</f>
        <v>33088</v>
      </c>
      <c r="I85" s="481"/>
      <c r="J85" s="552">
        <f>H85/DAY(B2)</f>
        <v>1654.4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182</v>
      </c>
      <c r="E86" s="650">
        <f>'19'!F86</f>
        <v>460532</v>
      </c>
      <c r="F86" s="650">
        <v>460556</v>
      </c>
      <c r="G86" s="1352">
        <f>F86-E86</f>
        <v>24</v>
      </c>
      <c r="H86" s="460">
        <f>G86+'19'!H86</f>
        <v>78</v>
      </c>
      <c r="I86" s="655"/>
      <c r="J86" s="710">
        <f>H86/DAY(B2)</f>
        <v>3.9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182</v>
      </c>
      <c r="E87" s="650">
        <f>'19'!F87</f>
        <v>81151</v>
      </c>
      <c r="F87" s="650">
        <v>81178</v>
      </c>
      <c r="G87" s="1352">
        <f t="shared" ref="G87:G91" si="7">F87-E87</f>
        <v>27</v>
      </c>
      <c r="H87" s="460">
        <f>G87+'19'!H87</f>
        <v>62</v>
      </c>
      <c r="I87" s="655"/>
      <c r="J87" s="710">
        <f>H87/DAY(B2)</f>
        <v>3.1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182</v>
      </c>
      <c r="E88" s="650">
        <f>'19'!F88</f>
        <v>152612</v>
      </c>
      <c r="F88" s="650">
        <v>152635</v>
      </c>
      <c r="G88" s="1352">
        <f t="shared" si="7"/>
        <v>23</v>
      </c>
      <c r="H88" s="460">
        <f>G88+'19'!H88</f>
        <v>115</v>
      </c>
      <c r="I88" s="655"/>
      <c r="J88" s="710">
        <f>H88/DAY(B2)</f>
        <v>5.75</v>
      </c>
      <c r="K88" s="736"/>
      <c r="L88" s="737"/>
      <c r="N88" s="780"/>
      <c r="O88" s="382"/>
    </row>
    <row r="89" spans="1:15" s="738" customFormat="1">
      <c r="A89" s="733" t="s">
        <v>203</v>
      </c>
      <c r="B89" s="734"/>
      <c r="C89" s="734"/>
      <c r="D89" s="735" t="s">
        <v>182</v>
      </c>
      <c r="E89" s="650">
        <f>'19'!F89</f>
        <v>64956</v>
      </c>
      <c r="F89" s="650">
        <v>64961</v>
      </c>
      <c r="G89" s="1352">
        <f t="shared" si="7"/>
        <v>5</v>
      </c>
      <c r="H89" s="460">
        <f>G89+'19'!H89</f>
        <v>18</v>
      </c>
      <c r="I89" s="655"/>
      <c r="J89" s="710">
        <f>H89/DAY(B2)</f>
        <v>0.9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50">
        <f>'19'!F90</f>
        <v>3272.7</v>
      </c>
      <c r="F90" s="650">
        <v>3272.7</v>
      </c>
      <c r="G90" s="1352">
        <f t="shared" si="7"/>
        <v>0</v>
      </c>
      <c r="H90" s="460">
        <f>G90+'19'!H90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50">
        <f>'19'!F91</f>
        <v>27966</v>
      </c>
      <c r="F91" s="650">
        <v>27972</v>
      </c>
      <c r="G91" s="708">
        <f t="shared" si="7"/>
        <v>6</v>
      </c>
      <c r="H91" s="460">
        <f>G91+'19'!H91</f>
        <v>6</v>
      </c>
      <c r="I91" s="655"/>
      <c r="J91" s="710">
        <f>H91/DAY(B2)</f>
        <v>0.3</v>
      </c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472"/>
      <c r="F92" s="472"/>
      <c r="G92" s="1341"/>
      <c r="H92" s="472"/>
      <c r="I92" s="472"/>
      <c r="J92" s="551"/>
      <c r="K92" s="380"/>
      <c r="L92" s="378"/>
      <c r="N92" s="779"/>
      <c r="O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f>'19'!F93</f>
        <v>244977</v>
      </c>
      <c r="F93" s="484">
        <v>244999</v>
      </c>
      <c r="G93" s="1338">
        <f t="shared" ref="G93:G94" si="8">F93-E93</f>
        <v>22</v>
      </c>
      <c r="H93" s="460">
        <f>G93+'19'!H93</f>
        <v>575</v>
      </c>
      <c r="I93" s="480"/>
      <c r="J93" s="552">
        <f>H93/DAY(B2)</f>
        <v>28.75</v>
      </c>
      <c r="K93" s="429"/>
      <c r="L93" s="377"/>
      <c r="N93" s="382"/>
      <c r="O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f>'19'!F94</f>
        <v>185136</v>
      </c>
      <c r="F94" s="484">
        <v>185170</v>
      </c>
      <c r="G94" s="1338">
        <f t="shared" si="8"/>
        <v>34</v>
      </c>
      <c r="H94" s="460">
        <f>G94+'19'!H94</f>
        <v>1639</v>
      </c>
      <c r="I94" s="480"/>
      <c r="J94" s="552">
        <f>H94/DAY(B2)</f>
        <v>81.95</v>
      </c>
      <c r="K94" s="380"/>
      <c r="L94" s="377"/>
      <c r="N94" s="382"/>
      <c r="O94" s="382"/>
    </row>
    <row r="95" spans="1:15">
      <c r="A95" s="1579" t="s">
        <v>207</v>
      </c>
      <c r="B95" s="1580"/>
      <c r="C95" s="1581"/>
      <c r="D95" s="523"/>
      <c r="E95" s="484">
        <f>'19'!F95</f>
        <v>0</v>
      </c>
      <c r="F95" s="484"/>
      <c r="G95" s="1338">
        <f>G93+G94</f>
        <v>56</v>
      </c>
      <c r="H95" s="460">
        <f>G95+'19'!H95</f>
        <v>2067</v>
      </c>
      <c r="I95" s="480"/>
      <c r="J95" s="552">
        <f>H95/DAY(B2)</f>
        <v>103.35</v>
      </c>
      <c r="K95" s="380"/>
      <c r="L95" s="377"/>
      <c r="N95" s="382"/>
      <c r="O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f>'19'!F96</f>
        <v>413691</v>
      </c>
      <c r="F96" s="484">
        <v>413718</v>
      </c>
      <c r="G96" s="1338">
        <f t="shared" ref="G96:G101" si="9">F96-E96</f>
        <v>27</v>
      </c>
      <c r="H96" s="460">
        <f>G96+'19'!H96</f>
        <v>832</v>
      </c>
      <c r="I96" s="480"/>
      <c r="J96" s="552">
        <f>H96/DAY(B2)</f>
        <v>41.6</v>
      </c>
      <c r="K96" s="380"/>
      <c r="L96" s="377"/>
      <c r="N96" s="382"/>
      <c r="O96" s="382"/>
    </row>
    <row r="97" spans="1:15" ht="27.75">
      <c r="A97" s="1143" t="s">
        <v>209</v>
      </c>
      <c r="B97" s="1144"/>
      <c r="C97" s="1144"/>
      <c r="D97" s="523" t="s">
        <v>143</v>
      </c>
      <c r="E97" s="484">
        <f>'19'!F97</f>
        <v>102523</v>
      </c>
      <c r="F97" s="484">
        <v>102534</v>
      </c>
      <c r="G97" s="1338">
        <f t="shared" si="9"/>
        <v>11</v>
      </c>
      <c r="H97" s="460">
        <f>G97+'19'!H97</f>
        <v>191</v>
      </c>
      <c r="I97" s="480"/>
      <c r="J97" s="552">
        <f>H97/DAY(B2)</f>
        <v>9.5500000000000007</v>
      </c>
      <c r="K97" s="427"/>
      <c r="L97" s="377"/>
      <c r="N97" s="382"/>
      <c r="O97" s="382"/>
    </row>
    <row r="98" spans="1:15" ht="27.75">
      <c r="A98" s="1143" t="s">
        <v>210</v>
      </c>
      <c r="B98" s="1144"/>
      <c r="C98" s="1144"/>
      <c r="D98" s="523" t="s">
        <v>143</v>
      </c>
      <c r="E98" s="484">
        <f>'19'!F98</f>
        <v>97688</v>
      </c>
      <c r="F98" s="484">
        <v>97704</v>
      </c>
      <c r="G98" s="1338">
        <f t="shared" si="9"/>
        <v>16</v>
      </c>
      <c r="H98" s="460">
        <f>G98+'19'!H98</f>
        <v>277</v>
      </c>
      <c r="I98" s="480"/>
      <c r="J98" s="552">
        <f>H98/DAY(B2)</f>
        <v>13.85</v>
      </c>
      <c r="K98" s="432"/>
      <c r="L98" s="377"/>
      <c r="N98" s="382"/>
      <c r="O98" s="382"/>
    </row>
    <row r="99" spans="1:15" ht="27.75">
      <c r="A99" s="1143" t="s">
        <v>211</v>
      </c>
      <c r="B99" s="1144"/>
      <c r="C99" s="1144"/>
      <c r="D99" s="523" t="s">
        <v>143</v>
      </c>
      <c r="E99" s="484">
        <f>'19'!F99</f>
        <v>149740</v>
      </c>
      <c r="F99" s="484">
        <v>149750</v>
      </c>
      <c r="G99" s="1338">
        <f t="shared" si="9"/>
        <v>10</v>
      </c>
      <c r="H99" s="460">
        <f>G99+'19'!H99</f>
        <v>217</v>
      </c>
      <c r="I99" s="480"/>
      <c r="J99" s="552">
        <f>H99/DAY(B2)</f>
        <v>10.85</v>
      </c>
      <c r="K99" s="380"/>
      <c r="L99" s="377"/>
      <c r="N99" s="382"/>
      <c r="O99" s="382"/>
    </row>
    <row r="100" spans="1:15" ht="27.75">
      <c r="A100" s="1143" t="s">
        <v>212</v>
      </c>
      <c r="B100" s="1144"/>
      <c r="C100" s="1144"/>
      <c r="D100" s="523" t="s">
        <v>143</v>
      </c>
      <c r="E100" s="484">
        <f>'19'!F100</f>
        <v>7299</v>
      </c>
      <c r="F100" s="484">
        <v>7308</v>
      </c>
      <c r="G100" s="1338">
        <f t="shared" si="9"/>
        <v>9</v>
      </c>
      <c r="H100" s="460">
        <f>G100+'19'!H100</f>
        <v>123</v>
      </c>
      <c r="I100" s="480"/>
      <c r="J100" s="552">
        <f>H100/DAY(B2)</f>
        <v>6.15</v>
      </c>
      <c r="K100" s="380"/>
      <c r="L100" s="377"/>
      <c r="N100" s="382"/>
      <c r="O100" s="382"/>
    </row>
    <row r="101" spans="1:15" ht="27.75">
      <c r="A101" s="1143" t="s">
        <v>213</v>
      </c>
      <c r="B101" s="1144"/>
      <c r="C101" s="1144"/>
      <c r="D101" s="523" t="s">
        <v>143</v>
      </c>
      <c r="E101" s="484">
        <f>'19'!F101</f>
        <v>5257</v>
      </c>
      <c r="F101" s="484">
        <v>5262</v>
      </c>
      <c r="G101" s="1338">
        <f t="shared" si="9"/>
        <v>5</v>
      </c>
      <c r="H101" s="460">
        <f>G101+'19'!H101</f>
        <v>124</v>
      </c>
      <c r="I101" s="480"/>
      <c r="J101" s="552">
        <f>H101/DAY(B2)</f>
        <v>6.2</v>
      </c>
      <c r="K101" s="380"/>
      <c r="L101" s="377"/>
      <c r="N101" s="382"/>
      <c r="O101" s="382"/>
    </row>
    <row r="102" spans="1:15">
      <c r="A102" s="1579" t="s">
        <v>215</v>
      </c>
      <c r="B102" s="1580"/>
      <c r="C102" s="1581"/>
      <c r="D102" s="524"/>
      <c r="E102" s="524"/>
      <c r="F102" s="524"/>
      <c r="G102" s="1353">
        <f>SUM(G96:G101)</f>
        <v>78</v>
      </c>
      <c r="H102" s="460">
        <f>G102+'19'!H102</f>
        <v>1764</v>
      </c>
      <c r="I102" s="526"/>
      <c r="J102" s="552">
        <f>H102/DAY(B2)</f>
        <v>88.2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54"/>
      <c r="H103" s="530"/>
      <c r="I103" s="531"/>
      <c r="J103" s="557"/>
      <c r="N103" s="444"/>
      <c r="O103" s="382"/>
    </row>
    <row r="104" spans="1:15" s="442" customFormat="1" ht="27.75">
      <c r="A104" s="1582" t="s">
        <v>217</v>
      </c>
      <c r="B104" s="1583"/>
      <c r="C104" s="573"/>
      <c r="D104" s="622"/>
      <c r="E104" s="532"/>
      <c r="F104" s="532"/>
      <c r="G104" s="1355"/>
      <c r="H104" s="533"/>
      <c r="I104" s="532"/>
      <c r="J104" s="558"/>
      <c r="N104" s="444"/>
      <c r="O104" s="382"/>
    </row>
    <row r="105" spans="1:15" s="442" customFormat="1" ht="27.75">
      <c r="A105" s="1543" t="s">
        <v>218</v>
      </c>
      <c r="B105" s="1544"/>
      <c r="C105" s="1141"/>
      <c r="D105" s="622" t="s">
        <v>143</v>
      </c>
      <c r="E105" s="532">
        <f>'19'!F105</f>
        <v>7473</v>
      </c>
      <c r="F105" s="532">
        <v>7473</v>
      </c>
      <c r="G105" s="1355">
        <f>F105-E105</f>
        <v>0</v>
      </c>
      <c r="H105" s="460">
        <f>G105+'19'!H105</f>
        <v>57</v>
      </c>
      <c r="I105" s="532"/>
      <c r="J105" s="558">
        <f>H105/DAY(B2)</f>
        <v>2.85</v>
      </c>
      <c r="N105" s="444"/>
      <c r="O105" s="382"/>
    </row>
    <row r="106" spans="1:15" s="442" customFormat="1" ht="27.75">
      <c r="A106" s="1543" t="s">
        <v>77</v>
      </c>
      <c r="B106" s="1544"/>
      <c r="C106" s="1141"/>
      <c r="D106" s="622" t="s">
        <v>143</v>
      </c>
      <c r="E106" s="534">
        <f>'19'!F106</f>
        <v>35889</v>
      </c>
      <c r="F106" s="534">
        <v>35889</v>
      </c>
      <c r="G106" s="1355">
        <f t="shared" ref="G106:G107" si="10">F106-E106</f>
        <v>0</v>
      </c>
      <c r="H106" s="460">
        <f>G106+'19'!H106</f>
        <v>50</v>
      </c>
      <c r="I106" s="532"/>
      <c r="J106" s="558">
        <f>H106/DAY(B2)</f>
        <v>2.5</v>
      </c>
      <c r="N106" s="444"/>
      <c r="O106" s="382"/>
    </row>
    <row r="107" spans="1:15" s="442" customFormat="1" ht="27.75">
      <c r="A107" s="1543" t="s">
        <v>78</v>
      </c>
      <c r="B107" s="1584"/>
      <c r="C107" s="1544"/>
      <c r="D107" s="622" t="s">
        <v>143</v>
      </c>
      <c r="E107" s="532">
        <f>'19'!F107</f>
        <v>19671</v>
      </c>
      <c r="F107" s="532">
        <v>19671</v>
      </c>
      <c r="G107" s="1355">
        <f t="shared" si="10"/>
        <v>0</v>
      </c>
      <c r="H107" s="460">
        <f>G107+'19'!H107</f>
        <v>126</v>
      </c>
      <c r="I107" s="532"/>
      <c r="J107" s="558">
        <f>H107/DAY(B2)</f>
        <v>6.3</v>
      </c>
      <c r="N107" s="444"/>
      <c r="O107" s="382"/>
    </row>
    <row r="108" spans="1:15" s="442" customFormat="1" ht="27.75">
      <c r="A108" s="1545" t="s">
        <v>201</v>
      </c>
      <c r="B108" s="1546"/>
      <c r="C108" s="1141"/>
      <c r="D108" s="622"/>
      <c r="E108" s="532">
        <f>'19'!F108</f>
        <v>0</v>
      </c>
      <c r="F108" s="532"/>
      <c r="G108" s="1355">
        <f>SUM(G105:G107)</f>
        <v>0</v>
      </c>
      <c r="H108" s="460">
        <f>G108+'19'!H108</f>
        <v>191</v>
      </c>
      <c r="I108" s="532"/>
      <c r="J108" s="558">
        <f>H108/DAY(B2)</f>
        <v>9.5500000000000007</v>
      </c>
      <c r="N108" s="444"/>
      <c r="O108" s="382"/>
    </row>
    <row r="109" spans="1:15" s="442" customFormat="1" ht="27.75">
      <c r="A109" s="1549" t="s">
        <v>79</v>
      </c>
      <c r="B109" s="1550"/>
      <c r="C109" s="1141"/>
      <c r="D109" s="622" t="s">
        <v>143</v>
      </c>
      <c r="E109" s="532">
        <f>'19'!F109</f>
        <v>0</v>
      </c>
      <c r="F109" s="532"/>
      <c r="G109" s="1355"/>
      <c r="H109" s="460"/>
      <c r="I109" s="532"/>
      <c r="J109" s="558"/>
      <c r="N109" s="444"/>
      <c r="O109" s="382"/>
    </row>
    <row r="110" spans="1:15" s="442" customFormat="1" ht="27.75">
      <c r="A110" s="1543" t="s">
        <v>219</v>
      </c>
      <c r="B110" s="1544"/>
      <c r="C110" s="1141"/>
      <c r="D110" s="622" t="s">
        <v>143</v>
      </c>
      <c r="E110" s="532">
        <f>'19'!F110</f>
        <v>62152</v>
      </c>
      <c r="F110" s="532">
        <v>62191</v>
      </c>
      <c r="G110" s="1355">
        <f>F110-E110</f>
        <v>39</v>
      </c>
      <c r="H110" s="460">
        <f>G110+'19'!H110</f>
        <v>233</v>
      </c>
      <c r="I110" s="532"/>
      <c r="J110" s="558">
        <f>H110/DAY(B2)</f>
        <v>11.65</v>
      </c>
      <c r="N110" s="444"/>
      <c r="O110" s="382"/>
    </row>
    <row r="111" spans="1:15" s="442" customFormat="1" ht="27.75">
      <c r="A111" s="1543" t="s">
        <v>220</v>
      </c>
      <c r="B111" s="1544"/>
      <c r="C111" s="1141"/>
      <c r="D111" s="622" t="s">
        <v>143</v>
      </c>
      <c r="E111" s="532">
        <f>'19'!F111</f>
        <v>32412</v>
      </c>
      <c r="F111" s="532">
        <v>32430</v>
      </c>
      <c r="G111" s="1355">
        <f t="shared" ref="G111:G112" si="11">F111-E111</f>
        <v>18</v>
      </c>
      <c r="H111" s="460">
        <f>G111+'19'!H111</f>
        <v>41</v>
      </c>
      <c r="I111" s="532"/>
      <c r="J111" s="558">
        <f>H111/DAY(B2)</f>
        <v>2.0499999999999998</v>
      </c>
      <c r="N111" s="444"/>
      <c r="O111" s="382"/>
    </row>
    <row r="112" spans="1:15" s="442" customFormat="1" ht="27.75">
      <c r="A112" s="1543" t="s">
        <v>221</v>
      </c>
      <c r="B112" s="1544"/>
      <c r="C112" s="1141"/>
      <c r="D112" s="622" t="s">
        <v>143</v>
      </c>
      <c r="E112" s="532">
        <f>'19'!F112</f>
        <v>4513</v>
      </c>
      <c r="F112" s="532">
        <v>4513</v>
      </c>
      <c r="G112" s="1355">
        <f t="shared" si="11"/>
        <v>0</v>
      </c>
      <c r="H112" s="460">
        <f>G112+'19'!H112</f>
        <v>259</v>
      </c>
      <c r="I112" s="532"/>
      <c r="J112" s="558">
        <f>H112/DAY(B2)</f>
        <v>12.95</v>
      </c>
      <c r="N112" s="444"/>
      <c r="O112" s="382"/>
    </row>
    <row r="113" spans="1:15" s="442" customFormat="1" ht="27.75">
      <c r="A113" s="1547" t="s">
        <v>110</v>
      </c>
      <c r="B113" s="1548"/>
      <c r="C113" s="1141"/>
      <c r="D113" s="622"/>
      <c r="E113" s="532">
        <f>'19'!F113</f>
        <v>0</v>
      </c>
      <c r="F113" s="532"/>
      <c r="G113" s="1355">
        <f>SUM(G110:G112)</f>
        <v>57</v>
      </c>
      <c r="H113" s="460">
        <f>G113+'19'!H113</f>
        <v>900</v>
      </c>
      <c r="I113" s="532"/>
      <c r="J113" s="558">
        <f>H113/DAY(B2)</f>
        <v>45</v>
      </c>
      <c r="N113" s="444"/>
      <c r="O113" s="382"/>
    </row>
    <row r="114" spans="1:15" s="442" customFormat="1" ht="27.75">
      <c r="A114" s="1549" t="s">
        <v>222</v>
      </c>
      <c r="B114" s="1550"/>
      <c r="C114" s="1141"/>
      <c r="D114" s="622"/>
      <c r="E114" s="532">
        <f>'19'!F114</f>
        <v>0</v>
      </c>
      <c r="F114" s="532"/>
      <c r="G114" s="135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3" t="s">
        <v>223</v>
      </c>
      <c r="B115" s="1544"/>
      <c r="C115" s="574"/>
      <c r="D115" s="622" t="s">
        <v>143</v>
      </c>
      <c r="E115" s="534">
        <f>'19'!F115</f>
        <v>11406</v>
      </c>
      <c r="F115" s="534">
        <v>11420</v>
      </c>
      <c r="G115" s="1356">
        <f>F115-E115</f>
        <v>14</v>
      </c>
      <c r="H115" s="460">
        <f>G115+'19'!H115</f>
        <v>31</v>
      </c>
      <c r="I115" s="532"/>
      <c r="J115" s="558">
        <f>H115/DAY(B2)</f>
        <v>1.55</v>
      </c>
      <c r="N115" s="444"/>
      <c r="O115" s="382"/>
    </row>
    <row r="116" spans="1:15" s="442" customFormat="1" ht="27.75">
      <c r="A116" s="1543" t="s">
        <v>224</v>
      </c>
      <c r="B116" s="1544"/>
      <c r="C116" s="574"/>
      <c r="D116" s="622" t="s">
        <v>143</v>
      </c>
      <c r="E116" s="534">
        <f>'19'!F116</f>
        <v>8216</v>
      </c>
      <c r="F116" s="534">
        <v>8219</v>
      </c>
      <c r="G116" s="1356">
        <f t="shared" ref="G116:G117" si="12">F116-E116</f>
        <v>3</v>
      </c>
      <c r="H116" s="460">
        <f>G116+'19'!H116</f>
        <v>57</v>
      </c>
      <c r="I116" s="532"/>
      <c r="J116" s="558">
        <f>H116/DAY(B2)</f>
        <v>2.85</v>
      </c>
      <c r="N116" s="444"/>
      <c r="O116" s="382"/>
    </row>
    <row r="117" spans="1:15" s="442" customFormat="1" ht="27.75">
      <c r="A117" s="1543" t="s">
        <v>225</v>
      </c>
      <c r="B117" s="1544"/>
      <c r="C117" s="574"/>
      <c r="D117" s="622" t="s">
        <v>143</v>
      </c>
      <c r="E117" s="534"/>
      <c r="F117" s="534"/>
      <c r="G117" s="1356">
        <f t="shared" si="12"/>
        <v>0</v>
      </c>
      <c r="H117" s="460">
        <f>G117+'19'!H117</f>
        <v>95</v>
      </c>
      <c r="I117" s="532"/>
      <c r="J117" s="558">
        <f>H117/DAY(B2)</f>
        <v>4.75</v>
      </c>
      <c r="N117" s="444"/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1356">
        <f>SUM(G115:G117)</f>
        <v>17</v>
      </c>
      <c r="H118" s="460">
        <f>G118+'19'!H118</f>
        <v>108</v>
      </c>
      <c r="I118" s="534"/>
      <c r="J118" s="558">
        <f>H118/DAY(B2)</f>
        <v>5.4</v>
      </c>
      <c r="N118" s="447"/>
      <c r="O118" s="382"/>
    </row>
    <row r="119" spans="1:15" s="446" customFormat="1" ht="27.75">
      <c r="A119" s="1539" t="s">
        <v>226</v>
      </c>
      <c r="B119" s="1540"/>
      <c r="C119" s="1140"/>
      <c r="D119" s="624" t="s">
        <v>143</v>
      </c>
      <c r="E119" s="536"/>
      <c r="F119" s="536">
        <f>SUM(G19+G93)</f>
        <v>79</v>
      </c>
      <c r="G119" s="1356">
        <f>SUM(G19+G93)</f>
        <v>79</v>
      </c>
      <c r="H119" s="460">
        <f>G119+'19'!H119</f>
        <v>256</v>
      </c>
      <c r="I119" s="535"/>
      <c r="J119" s="559">
        <f>H119/DAY(B2)</f>
        <v>12.8</v>
      </c>
      <c r="N119" s="781"/>
      <c r="O119" s="382"/>
    </row>
    <row r="120" spans="1:15" s="446" customFormat="1" ht="27.75">
      <c r="A120" s="1539" t="s">
        <v>227</v>
      </c>
      <c r="B120" s="1540"/>
      <c r="C120" s="1140"/>
      <c r="D120" s="624" t="s">
        <v>143</v>
      </c>
      <c r="E120" s="536"/>
      <c r="F120" s="536">
        <f>SUM(G96,G97,G98,G100,G101)</f>
        <v>68</v>
      </c>
      <c r="G120" s="1356">
        <f>SUM(G96,G97,G98,G100,G101)</f>
        <v>68</v>
      </c>
      <c r="H120" s="460">
        <f>G120+'19'!H120</f>
        <v>183</v>
      </c>
      <c r="I120" s="535"/>
      <c r="J120" s="559">
        <f>H120/DAY(B2)</f>
        <v>9.15</v>
      </c>
      <c r="N120" s="781"/>
      <c r="O120" s="382"/>
    </row>
    <row r="121" spans="1:15" s="446" customFormat="1" ht="27.75">
      <c r="A121" s="1539" t="s">
        <v>228</v>
      </c>
      <c r="B121" s="1540"/>
      <c r="C121" s="1140"/>
      <c r="D121" s="624" t="s">
        <v>143</v>
      </c>
      <c r="E121" s="534"/>
      <c r="F121" s="534">
        <f>SUM(G113)</f>
        <v>57</v>
      </c>
      <c r="G121" s="1356">
        <f>SUM(G113)</f>
        <v>57</v>
      </c>
      <c r="H121" s="460">
        <f>G121+'19'!H121</f>
        <v>191</v>
      </c>
      <c r="I121" s="535"/>
      <c r="J121" s="559">
        <f>H121/DAY(B2)</f>
        <v>9.5500000000000007</v>
      </c>
      <c r="N121" s="781"/>
      <c r="O121" s="382"/>
    </row>
    <row r="122" spans="1:15" s="442" customFormat="1" ht="27.75">
      <c r="A122" s="1541"/>
      <c r="B122" s="1542"/>
      <c r="C122" s="1141"/>
      <c r="D122" s="560"/>
      <c r="E122" s="560"/>
      <c r="F122" s="560" t="s">
        <v>214</v>
      </c>
      <c r="G122" s="1357"/>
      <c r="H122" s="561"/>
      <c r="I122" s="560"/>
      <c r="J122" s="562"/>
      <c r="N122" s="444"/>
      <c r="O122" s="382"/>
    </row>
    <row r="123" spans="1:15">
      <c r="A123" s="1576" t="s">
        <v>229</v>
      </c>
      <c r="B123" s="1577"/>
      <c r="C123" s="1578"/>
      <c r="D123" s="472"/>
      <c r="E123" s="472"/>
      <c r="F123" s="472"/>
      <c r="G123" s="1341"/>
      <c r="H123" s="483"/>
      <c r="I123" s="483"/>
      <c r="J123" s="563"/>
      <c r="K123" s="380"/>
      <c r="L123" s="377"/>
      <c r="N123" s="382"/>
      <c r="O123" s="382"/>
    </row>
    <row r="124" spans="1:15" ht="27.75">
      <c r="A124" s="1143" t="s">
        <v>230</v>
      </c>
      <c r="B124" s="1144"/>
      <c r="C124" s="1144"/>
      <c r="D124" s="523" t="s">
        <v>140</v>
      </c>
      <c r="E124" s="478">
        <f>'19'!F124</f>
        <v>829920</v>
      </c>
      <c r="F124" s="478">
        <v>830124</v>
      </c>
      <c r="G124" s="1338">
        <f t="shared" ref="G124:G128" si="13">F124-E124</f>
        <v>204</v>
      </c>
      <c r="H124" s="460">
        <f>G124+'19'!H124</f>
        <v>4035.5400000000373</v>
      </c>
      <c r="I124" s="526"/>
      <c r="J124" s="552">
        <f>H124/DAY(B2)</f>
        <v>201.77700000000186</v>
      </c>
      <c r="K124" s="380"/>
      <c r="L124" s="377"/>
      <c r="N124" s="382"/>
      <c r="O124" s="382"/>
    </row>
    <row r="125" spans="1:15" ht="27.75">
      <c r="A125" s="1143" t="s">
        <v>231</v>
      </c>
      <c r="B125" s="1144"/>
      <c r="C125" s="1144"/>
      <c r="D125" s="523" t="s">
        <v>140</v>
      </c>
      <c r="E125" s="626">
        <f>'19'!F125</f>
        <v>73583.399999999994</v>
      </c>
      <c r="F125" s="626">
        <v>73583.399999999994</v>
      </c>
      <c r="G125" s="1338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0" t="s">
        <v>232</v>
      </c>
      <c r="B126" s="1531"/>
      <c r="C126" s="1532"/>
      <c r="D126" s="523" t="s">
        <v>140</v>
      </c>
      <c r="E126" s="478">
        <f>'19'!F126</f>
        <v>145726</v>
      </c>
      <c r="F126" s="478">
        <v>145774</v>
      </c>
      <c r="G126" s="1338">
        <f t="shared" si="13"/>
        <v>48</v>
      </c>
      <c r="H126" s="460">
        <f>G126+'19'!H126</f>
        <v>1086.5599999999977</v>
      </c>
      <c r="I126" s="526"/>
      <c r="J126" s="552">
        <f>H126/DAY(B2)</f>
        <v>54.327999999999882</v>
      </c>
      <c r="K126" s="380"/>
      <c r="L126" s="377"/>
      <c r="N126" s="382"/>
      <c r="O126" s="382"/>
    </row>
    <row r="127" spans="1:15" ht="27.75">
      <c r="A127" s="609" t="s">
        <v>233</v>
      </c>
      <c r="B127" s="1144"/>
      <c r="C127" s="1144"/>
      <c r="D127" s="523" t="s">
        <v>140</v>
      </c>
      <c r="E127" s="626">
        <f>'19'!F127</f>
        <v>31404</v>
      </c>
      <c r="F127" s="626">
        <v>31404</v>
      </c>
      <c r="G127" s="1338">
        <f t="shared" si="13"/>
        <v>0</v>
      </c>
      <c r="H127" s="460">
        <f>G127+'19'!H127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234</v>
      </c>
      <c r="B128" s="1144"/>
      <c r="C128" s="1144"/>
      <c r="D128" s="523" t="s">
        <v>140</v>
      </c>
      <c r="E128" s="626">
        <f>'19'!F128</f>
        <v>8971</v>
      </c>
      <c r="F128" s="626">
        <v>8971</v>
      </c>
      <c r="G128" s="1338">
        <f t="shared" si="13"/>
        <v>0</v>
      </c>
      <c r="H128" s="460">
        <f>G128+'19'!H128</f>
        <v>1.2999999999992724</v>
      </c>
      <c r="I128" s="480"/>
      <c r="J128" s="552">
        <f>H128/DAY(B2)</f>
        <v>6.4999999999963615E-2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4"/>
      <c r="C129" s="1144"/>
      <c r="D129" s="523"/>
      <c r="E129" s="478"/>
      <c r="F129" s="478"/>
      <c r="G129" s="1338">
        <f>G15-SUM(G124:G128)</f>
        <v>36</v>
      </c>
      <c r="H129" s="460">
        <f>G129+'19'!H129</f>
        <v>582</v>
      </c>
      <c r="I129" s="480"/>
      <c r="J129" s="552">
        <f>H129/DAY(B2)</f>
        <v>29.1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8"/>
      <c r="H130" s="540"/>
      <c r="I130" s="540"/>
      <c r="J130" s="564"/>
      <c r="N130" s="382"/>
      <c r="O130" s="382"/>
    </row>
    <row r="131" spans="1:15" ht="27.75">
      <c r="A131" s="1143" t="s">
        <v>237</v>
      </c>
      <c r="B131" s="1144"/>
      <c r="C131" s="1144"/>
      <c r="D131" s="523" t="s">
        <v>238</v>
      </c>
      <c r="E131" s="484">
        <f>'19'!F131</f>
        <v>0</v>
      </c>
      <c r="F131" s="484">
        <v>0</v>
      </c>
      <c r="G131" s="1338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3" t="s">
        <v>239</v>
      </c>
      <c r="B132" s="1144"/>
      <c r="C132" s="1144"/>
      <c r="D132" s="523" t="s">
        <v>238</v>
      </c>
      <c r="E132" s="484">
        <f>'19'!F132</f>
        <v>0</v>
      </c>
      <c r="F132" s="484">
        <v>0</v>
      </c>
      <c r="G132" s="1338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3" t="s">
        <v>240</v>
      </c>
      <c r="B133" s="1144"/>
      <c r="C133" s="1144"/>
      <c r="D133" s="523" t="s">
        <v>238</v>
      </c>
      <c r="E133" s="484">
        <f>'19'!F133</f>
        <v>40031.519999999997</v>
      </c>
      <c r="F133" s="636">
        <v>40031.519999999997</v>
      </c>
      <c r="G133" s="1477">
        <f t="shared" si="14"/>
        <v>0</v>
      </c>
      <c r="H133" s="460">
        <f>G133+'19'!H133</f>
        <v>285.0399999999936</v>
      </c>
      <c r="I133" s="480"/>
      <c r="J133" s="552">
        <f>H133/DAY(B2)</f>
        <v>14.251999999999679</v>
      </c>
      <c r="N133" s="382">
        <f>G133-24</f>
        <v>-24</v>
      </c>
      <c r="O133" s="382"/>
    </row>
    <row r="134" spans="1:15" s="441" customFormat="1" ht="27.75">
      <c r="A134" s="1073" t="s">
        <v>241</v>
      </c>
      <c r="B134" s="1074"/>
      <c r="C134" s="1074"/>
      <c r="D134" s="627" t="s">
        <v>238</v>
      </c>
      <c r="E134" s="484">
        <f>'19'!F134</f>
        <v>300</v>
      </c>
      <c r="F134" s="636">
        <v>300</v>
      </c>
      <c r="G134" s="1478">
        <f t="shared" si="14"/>
        <v>0</v>
      </c>
      <c r="H134" s="708">
        <f>G134+'19'!H134</f>
        <v>0</v>
      </c>
      <c r="I134" s="1075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3" t="s">
        <v>242</v>
      </c>
      <c r="B135" s="1144"/>
      <c r="C135" s="1144"/>
      <c r="D135" s="523" t="s">
        <v>238</v>
      </c>
      <c r="E135" s="484">
        <f>'19'!F135</f>
        <v>41565</v>
      </c>
      <c r="F135" s="636">
        <v>41589</v>
      </c>
      <c r="G135" s="1477">
        <f t="shared" si="14"/>
        <v>24</v>
      </c>
      <c r="H135" s="460">
        <f>G135+'19'!H135</f>
        <v>204</v>
      </c>
      <c r="I135" s="480"/>
      <c r="J135" s="552">
        <f>H135/DAY(B2)</f>
        <v>10.199999999999999</v>
      </c>
      <c r="N135" s="382"/>
      <c r="O135" s="382"/>
    </row>
    <row r="136" spans="1:15" ht="27.75">
      <c r="A136" s="1143" t="s">
        <v>243</v>
      </c>
      <c r="B136" s="1144"/>
      <c r="C136" s="1144"/>
      <c r="D136" s="523" t="s">
        <v>238</v>
      </c>
      <c r="E136" s="484">
        <f>'19'!F136</f>
        <v>32582.92</v>
      </c>
      <c r="F136" s="541">
        <v>32582.92</v>
      </c>
      <c r="G136" s="1338">
        <f t="shared" si="14"/>
        <v>0</v>
      </c>
      <c r="H136" s="460">
        <f>G136+'19'!H136</f>
        <v>-8.000000000174623E-2</v>
      </c>
      <c r="I136" s="480"/>
      <c r="J136" s="552">
        <f>H136/DAY(B2)</f>
        <v>-4.0000000000873113E-3</v>
      </c>
      <c r="N136" s="382"/>
      <c r="O136" s="382"/>
    </row>
    <row r="137" spans="1:15" ht="27.75">
      <c r="A137" s="1143" t="s">
        <v>244</v>
      </c>
      <c r="B137" s="1144"/>
      <c r="C137" s="1144"/>
      <c r="D137" s="523" t="s">
        <v>238</v>
      </c>
      <c r="E137" s="484">
        <f>'19'!F137</f>
        <v>22773.200000000001</v>
      </c>
      <c r="F137" s="541">
        <v>22773.200000000001</v>
      </c>
      <c r="G137" s="1338">
        <f t="shared" si="14"/>
        <v>0</v>
      </c>
      <c r="H137" s="460">
        <f>G137+'19'!H137</f>
        <v>33.610000000000582</v>
      </c>
      <c r="I137" s="480">
        <f>G135+G136+G137</f>
        <v>24</v>
      </c>
      <c r="J137" s="552">
        <f>H137/DAY(B2)</f>
        <v>1.6805000000000292</v>
      </c>
      <c r="N137" s="382"/>
      <c r="O137" s="382"/>
    </row>
    <row r="138" spans="1:15" ht="27.75">
      <c r="A138" s="1143" t="s">
        <v>245</v>
      </c>
      <c r="B138" s="1144"/>
      <c r="C138" s="1144"/>
      <c r="D138" s="523" t="s">
        <v>238</v>
      </c>
      <c r="E138" s="484">
        <f>'19'!F138</f>
        <v>25051.72</v>
      </c>
      <c r="F138" s="541">
        <v>25051.72</v>
      </c>
      <c r="G138" s="1338">
        <f t="shared" si="14"/>
        <v>0</v>
      </c>
      <c r="H138" s="460">
        <f>G138+'19'!H138</f>
        <v>0.13000000000101863</v>
      </c>
      <c r="I138" s="480"/>
      <c r="J138" s="552">
        <f>H138/DAY(B2)</f>
        <v>6.5000000000509321E-3</v>
      </c>
      <c r="N138" s="382"/>
      <c r="O138" s="382"/>
    </row>
    <row r="139" spans="1:15" ht="27.75">
      <c r="A139" s="1143" t="s">
        <v>246</v>
      </c>
      <c r="B139" s="1144"/>
      <c r="C139" s="1144"/>
      <c r="D139" s="523" t="s">
        <v>238</v>
      </c>
      <c r="E139" s="484">
        <f>'19'!F139</f>
        <v>70370.02</v>
      </c>
      <c r="F139" s="541">
        <v>70370.02</v>
      </c>
      <c r="G139" s="1338">
        <f t="shared" si="14"/>
        <v>0</v>
      </c>
      <c r="H139" s="460">
        <f>G139+'19'!H139</f>
        <v>54.210000000006403</v>
      </c>
      <c r="I139" s="480">
        <f>G138+G139</f>
        <v>0</v>
      </c>
      <c r="J139" s="552">
        <f>H139/DAY(B2)</f>
        <v>2.7105000000003203</v>
      </c>
      <c r="N139" s="382"/>
      <c r="O139" s="382"/>
    </row>
    <row r="140" spans="1:15" ht="27.75">
      <c r="A140" s="1143" t="s">
        <v>247</v>
      </c>
      <c r="B140" s="1144"/>
      <c r="C140" s="1144"/>
      <c r="D140" s="523" t="s">
        <v>238</v>
      </c>
      <c r="E140" s="484">
        <f>'19'!F140</f>
        <v>1762.57</v>
      </c>
      <c r="F140" s="484">
        <v>1770.76</v>
      </c>
      <c r="G140" s="1338">
        <f t="shared" si="14"/>
        <v>8.1900000000000546</v>
      </c>
      <c r="H140" s="460">
        <f>G140+'19'!H140</f>
        <v>153.90000000000009</v>
      </c>
      <c r="I140" s="542"/>
      <c r="J140" s="552">
        <f>H140/DAY(B2)</f>
        <v>7.6950000000000047</v>
      </c>
      <c r="N140" s="382"/>
      <c r="O140" s="382"/>
    </row>
    <row r="141" spans="1:15" ht="27.75">
      <c r="A141" s="1143" t="s">
        <v>248</v>
      </c>
      <c r="B141" s="1144"/>
      <c r="C141" s="1144"/>
      <c r="D141" s="523" t="s">
        <v>238</v>
      </c>
      <c r="E141" s="484">
        <f>'19'!F141</f>
        <v>4636.88</v>
      </c>
      <c r="F141" s="484">
        <v>4636.88</v>
      </c>
      <c r="G141" s="1338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57" t="s">
        <v>249</v>
      </c>
      <c r="B142" s="1558"/>
      <c r="C142" s="1149"/>
      <c r="D142" s="472"/>
      <c r="E142" s="472"/>
      <c r="F142" s="472"/>
      <c r="G142" s="1341"/>
      <c r="H142" s="483"/>
      <c r="I142" s="483"/>
      <c r="J142" s="563"/>
      <c r="K142" s="380"/>
      <c r="L142" s="377"/>
      <c r="N142" s="382"/>
      <c r="O142" s="382"/>
    </row>
    <row r="143" spans="1:15" ht="27.75">
      <c r="A143" s="1551" t="s">
        <v>250</v>
      </c>
      <c r="B143" s="1552"/>
      <c r="C143" s="1553"/>
      <c r="D143" s="523" t="s">
        <v>131</v>
      </c>
      <c r="E143" s="523"/>
      <c r="F143" s="523"/>
      <c r="G143" s="1351">
        <f>G35+G43+G49+G57</f>
        <v>3936</v>
      </c>
      <c r="H143" s="460">
        <f>G143+'19'!H143</f>
        <v>81983.87</v>
      </c>
      <c r="I143" s="480"/>
      <c r="J143" s="552">
        <f>H143/DAY(B2)</f>
        <v>4099.1934999999994</v>
      </c>
      <c r="K143" s="380"/>
      <c r="L143" s="377"/>
      <c r="N143" s="382"/>
      <c r="O143" s="382"/>
    </row>
    <row r="144" spans="1:15" ht="27.75">
      <c r="A144" s="1551" t="s">
        <v>251</v>
      </c>
      <c r="B144" s="1552"/>
      <c r="C144" s="1553"/>
      <c r="D144" s="523" t="s">
        <v>24</v>
      </c>
      <c r="E144" s="511"/>
      <c r="F144" s="511"/>
      <c r="G144" s="1360">
        <f>G143/G7</f>
        <v>0.26026582027375522</v>
      </c>
      <c r="H144" s="460">
        <f>G144+'19'!H144</f>
        <v>5.2819770368019823</v>
      </c>
      <c r="I144" s="544"/>
      <c r="J144" s="552">
        <f>H144/DAY(B2)</f>
        <v>0.26409885184009912</v>
      </c>
      <c r="K144" s="380"/>
      <c r="L144" s="377"/>
      <c r="N144" s="382"/>
      <c r="O144" s="382"/>
    </row>
    <row r="145" spans="1:15" ht="27.75">
      <c r="A145" s="1551" t="s">
        <v>252</v>
      </c>
      <c r="B145" s="1552"/>
      <c r="C145" s="1553"/>
      <c r="D145" s="523" t="s">
        <v>131</v>
      </c>
      <c r="E145" s="455"/>
      <c r="F145" s="455"/>
      <c r="G145" s="1351">
        <f>G41+G42+G55+G56</f>
        <v>4744</v>
      </c>
      <c r="H145" s="460">
        <f>G145+'19'!H145</f>
        <v>96607.530000000028</v>
      </c>
      <c r="I145" s="480"/>
      <c r="J145" s="552">
        <f>H145/DAY(B2)</f>
        <v>4830.3765000000012</v>
      </c>
      <c r="K145" s="380"/>
      <c r="L145" s="377"/>
      <c r="N145" s="382"/>
      <c r="O145" s="382"/>
    </row>
    <row r="146" spans="1:15" ht="27.75">
      <c r="A146" s="1551" t="s">
        <v>253</v>
      </c>
      <c r="B146" s="1552"/>
      <c r="C146" s="1553"/>
      <c r="D146" s="523" t="s">
        <v>24</v>
      </c>
      <c r="E146" s="455"/>
      <c r="F146" s="455"/>
      <c r="G146" s="1360">
        <f>G145/G7</f>
        <v>0.3136943728096277</v>
      </c>
      <c r="H146" s="460">
        <f>G146+'19'!H146</f>
        <v>6.2338474929520631</v>
      </c>
      <c r="I146" s="544"/>
      <c r="J146" s="552">
        <f>H146/DAY(B2)</f>
        <v>0.31169237464760313</v>
      </c>
      <c r="K146" s="380"/>
      <c r="L146" s="377"/>
      <c r="N146" s="382"/>
      <c r="O146" s="382"/>
    </row>
    <row r="147" spans="1:15" ht="27.75">
      <c r="A147" s="1551" t="s">
        <v>254</v>
      </c>
      <c r="B147" s="1552"/>
      <c r="C147" s="1553"/>
      <c r="D147" s="523" t="s">
        <v>131</v>
      </c>
      <c r="E147" s="455"/>
      <c r="F147" s="455"/>
      <c r="G147" s="1351">
        <f>G39+G53</f>
        <v>2517</v>
      </c>
      <c r="H147" s="460">
        <f>G147+'19'!H147</f>
        <v>47194</v>
      </c>
      <c r="I147" s="545"/>
      <c r="J147" s="552">
        <f>H147/DAY(B2)</f>
        <v>2359.6999999999998</v>
      </c>
      <c r="K147" s="380"/>
      <c r="L147" s="377"/>
      <c r="N147" s="382"/>
      <c r="O147" s="382"/>
    </row>
    <row r="148" spans="1:15" ht="27.75">
      <c r="A148" s="1551" t="s">
        <v>255</v>
      </c>
      <c r="B148" s="1552"/>
      <c r="C148" s="1553"/>
      <c r="D148" s="523" t="s">
        <v>24</v>
      </c>
      <c r="E148" s="455"/>
      <c r="F148" s="455"/>
      <c r="G148" s="1360">
        <f>G147/G7</f>
        <v>0.16643523110493949</v>
      </c>
      <c r="H148" s="460">
        <f>G148+'19'!H148</f>
        <v>3.0475580395680901</v>
      </c>
      <c r="I148" s="545"/>
      <c r="J148" s="552">
        <f>H148/DAY(B2)</f>
        <v>0.15237790197840451</v>
      </c>
      <c r="N148" s="382"/>
      <c r="O148" s="382"/>
    </row>
    <row r="149" spans="1:15" ht="27.75">
      <c r="A149" s="1551" t="s">
        <v>256</v>
      </c>
      <c r="B149" s="1552"/>
      <c r="C149" s="1553"/>
      <c r="D149" s="523" t="s">
        <v>182</v>
      </c>
      <c r="E149" s="455"/>
      <c r="F149" s="455"/>
      <c r="G149" s="1351">
        <f>G38+G52</f>
        <v>978</v>
      </c>
      <c r="H149" s="460">
        <f>G149+'19'!H149</f>
        <v>23246</v>
      </c>
      <c r="I149" s="480"/>
      <c r="J149" s="552">
        <f>H149/DAY(B2)</f>
        <v>1162.3</v>
      </c>
      <c r="K149" s="381"/>
      <c r="N149" s="382"/>
      <c r="O149" s="382"/>
    </row>
    <row r="150" spans="1:15" ht="27.75">
      <c r="A150" s="1551" t="s">
        <v>257</v>
      </c>
      <c r="B150" s="1552"/>
      <c r="C150" s="1553"/>
      <c r="D150" s="523" t="s">
        <v>24</v>
      </c>
      <c r="E150" s="455"/>
      <c r="F150" s="455"/>
      <c r="G150" s="1360">
        <f>G149/G7</f>
        <v>6.4669708391192224E-2</v>
      </c>
      <c r="H150" s="460">
        <f>G150+'19'!H150</f>
        <v>1.4977641310925194</v>
      </c>
      <c r="I150" s="545"/>
      <c r="J150" s="552">
        <f>H150/DAY(B2)</f>
        <v>7.4888206554625969E-2</v>
      </c>
      <c r="N150" s="382"/>
      <c r="O150" s="382"/>
    </row>
    <row r="151" spans="1:15" ht="27.75">
      <c r="A151" s="1551" t="s">
        <v>258</v>
      </c>
      <c r="B151" s="1552"/>
      <c r="C151" s="1553"/>
      <c r="D151" s="523" t="s">
        <v>182</v>
      </c>
      <c r="E151" s="455"/>
      <c r="F151" s="455"/>
      <c r="G151" s="1351">
        <f>G36+G50</f>
        <v>870</v>
      </c>
      <c r="H151" s="460">
        <f>G151+'19'!H151</f>
        <v>20393</v>
      </c>
      <c r="I151" s="545"/>
      <c r="J151" s="552">
        <f>H151/DAY(B2)</f>
        <v>1019.65</v>
      </c>
      <c r="N151" s="382"/>
      <c r="O151" s="382"/>
    </row>
    <row r="152" spans="1:15" ht="27.75">
      <c r="A152" s="1551" t="s">
        <v>259</v>
      </c>
      <c r="B152" s="1552"/>
      <c r="C152" s="1553"/>
      <c r="D152" s="523" t="s">
        <v>24</v>
      </c>
      <c r="E152" s="455"/>
      <c r="F152" s="455"/>
      <c r="G152" s="1360">
        <f>G151/G7</f>
        <v>5.7528268200753817E-2</v>
      </c>
      <c r="H152" s="460">
        <f>G152+'19'!H152</f>
        <v>1.3056068356566823</v>
      </c>
      <c r="I152" s="480"/>
      <c r="J152" s="552">
        <f>H152/DAY(B2)</f>
        <v>6.5280341782834123E-2</v>
      </c>
      <c r="N152" s="382"/>
      <c r="O152" s="382"/>
    </row>
    <row r="153" spans="1:15" ht="27.75">
      <c r="A153" s="1551" t="s">
        <v>260</v>
      </c>
      <c r="B153" s="1552"/>
      <c r="C153" s="1553"/>
      <c r="D153" s="523" t="s">
        <v>182</v>
      </c>
      <c r="E153" s="455"/>
      <c r="F153" s="455"/>
      <c r="G153" s="1351">
        <f>G37+G51</f>
        <v>1255</v>
      </c>
      <c r="H153" s="460">
        <f>G153+'19'!H153</f>
        <v>24625</v>
      </c>
      <c r="I153" s="480"/>
      <c r="J153" s="552">
        <f>H153/DAY(B2)</f>
        <v>1231.25</v>
      </c>
      <c r="L153" s="376" t="s">
        <v>273</v>
      </c>
      <c r="M153" s="376">
        <v>0.5</v>
      </c>
      <c r="N153" s="382">
        <v>50</v>
      </c>
      <c r="O153" s="382"/>
    </row>
    <row r="154" spans="1:15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1361">
        <f>G153/G7</f>
        <v>8.2986179990742578E-2</v>
      </c>
      <c r="H154" s="460">
        <f>G154+'19'!H154</f>
        <v>1.5900563952829958</v>
      </c>
      <c r="I154" s="568"/>
      <c r="J154" s="569">
        <f>H154/DAY(B2)</f>
        <v>7.9502819764149787E-2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2"/>
      <c r="H155" s="547"/>
      <c r="I155" s="546"/>
      <c r="J155" s="548"/>
      <c r="O155" s="382"/>
    </row>
    <row r="161" spans="1:12">
      <c r="A161" s="787" t="s">
        <v>262</v>
      </c>
      <c r="B161" s="788"/>
      <c r="C161" s="788"/>
      <c r="D161" s="511" t="s">
        <v>186</v>
      </c>
      <c r="E161" s="661">
        <f>'19'!F161</f>
        <v>37462</v>
      </c>
      <c r="F161" s="661">
        <v>37539</v>
      </c>
      <c r="G161" s="1338">
        <f t="shared" ref="G161:G164" si="15">F161-E161</f>
        <v>77</v>
      </c>
      <c r="K161" s="376">
        <v>70.399999999999636</v>
      </c>
      <c r="L161" s="376">
        <f t="shared" ref="L161:L172" si="16">G161-K161</f>
        <v>6.6000000000003638</v>
      </c>
    </row>
    <row r="162" spans="1:12">
      <c r="A162" s="787" t="s">
        <v>263</v>
      </c>
      <c r="B162" s="788"/>
      <c r="C162" s="788"/>
      <c r="D162" s="511" t="s">
        <v>186</v>
      </c>
      <c r="E162" s="661">
        <f>'19'!F162</f>
        <v>90173</v>
      </c>
      <c r="F162" s="661">
        <v>90557</v>
      </c>
      <c r="G162" s="1338">
        <f t="shared" si="15"/>
        <v>384</v>
      </c>
      <c r="K162" s="376">
        <v>124.25999999999999</v>
      </c>
      <c r="L162" s="376">
        <f t="shared" si="16"/>
        <v>259.74</v>
      </c>
    </row>
    <row r="163" spans="1:12">
      <c r="A163" s="787" t="s">
        <v>264</v>
      </c>
      <c r="B163" s="788"/>
      <c r="C163" s="788"/>
      <c r="D163" s="511" t="s">
        <v>186</v>
      </c>
      <c r="E163" s="661">
        <f>'19'!F163</f>
        <v>42495</v>
      </c>
      <c r="F163" s="661">
        <v>42697</v>
      </c>
      <c r="G163" s="1338">
        <f t="shared" si="15"/>
        <v>202</v>
      </c>
      <c r="K163" s="376">
        <v>138.98000000000002</v>
      </c>
      <c r="L163" s="376">
        <f t="shared" si="16"/>
        <v>63.019999999999982</v>
      </c>
    </row>
    <row r="164" spans="1:12">
      <c r="A164" s="787" t="s">
        <v>265</v>
      </c>
      <c r="B164" s="788"/>
      <c r="C164" s="788"/>
      <c r="D164" s="511" t="s">
        <v>186</v>
      </c>
      <c r="E164" s="661">
        <f>'19'!F164</f>
        <v>6460</v>
      </c>
      <c r="F164" s="661">
        <v>6474</v>
      </c>
      <c r="G164" s="1338">
        <f t="shared" si="15"/>
        <v>14</v>
      </c>
      <c r="K164" s="376">
        <v>45.830000000000041</v>
      </c>
      <c r="L164" s="376">
        <f t="shared" si="16"/>
        <v>-31.830000000000041</v>
      </c>
    </row>
    <row r="165" spans="1:12">
      <c r="A165" s="789" t="s">
        <v>98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8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9" t="s">
        <v>187</v>
      </c>
      <c r="B166" s="604"/>
      <c r="C166" s="604"/>
      <c r="D166" s="511" t="s">
        <v>186</v>
      </c>
      <c r="E166" s="514">
        <f t="shared" ref="E166:E172" si="18">E63</f>
        <v>2431</v>
      </c>
      <c r="F166" s="514">
        <f t="shared" ref="F166:F172" si="19">F63</f>
        <v>2435</v>
      </c>
      <c r="G166" s="1338">
        <f t="shared" si="17"/>
        <v>4</v>
      </c>
      <c r="K166" s="376">
        <v>0</v>
      </c>
      <c r="L166" s="376">
        <f t="shared" si="16"/>
        <v>4</v>
      </c>
    </row>
    <row r="167" spans="1:12" ht="27.75">
      <c r="A167" s="1526" t="s">
        <v>99</v>
      </c>
      <c r="B167" s="1526"/>
      <c r="C167" s="1526"/>
      <c r="D167" s="523" t="s">
        <v>186</v>
      </c>
      <c r="E167" s="514">
        <f t="shared" si="18"/>
        <v>157530</v>
      </c>
      <c r="F167" s="514">
        <f t="shared" si="19"/>
        <v>157797</v>
      </c>
      <c r="G167" s="1338">
        <f t="shared" si="17"/>
        <v>267</v>
      </c>
      <c r="K167" s="376">
        <v>193.55000000000291</v>
      </c>
      <c r="L167" s="376">
        <f t="shared" si="16"/>
        <v>73.44999999999709</v>
      </c>
    </row>
    <row r="168" spans="1:12" ht="27.75">
      <c r="A168" s="1526" t="s">
        <v>100</v>
      </c>
      <c r="B168" s="1526"/>
      <c r="C168" s="1526"/>
      <c r="D168" s="523" t="s">
        <v>186</v>
      </c>
      <c r="E168" s="514">
        <f t="shared" si="18"/>
        <v>158429</v>
      </c>
      <c r="F168" s="514">
        <f t="shared" si="19"/>
        <v>158634</v>
      </c>
      <c r="G168" s="1338">
        <f t="shared" si="17"/>
        <v>205</v>
      </c>
      <c r="K168" s="376">
        <v>168.39999999999418</v>
      </c>
      <c r="L168" s="376">
        <f t="shared" si="16"/>
        <v>36.600000000005821</v>
      </c>
    </row>
    <row r="169" spans="1:12" ht="27.75">
      <c r="A169" s="1526" t="s">
        <v>101</v>
      </c>
      <c r="B169" s="1526"/>
      <c r="C169" s="1526"/>
      <c r="D169" s="523" t="s">
        <v>186</v>
      </c>
      <c r="E169" s="514">
        <f t="shared" si="18"/>
        <v>53483</v>
      </c>
      <c r="F169" s="514">
        <f t="shared" si="19"/>
        <v>53739</v>
      </c>
      <c r="G169" s="1338">
        <f t="shared" si="17"/>
        <v>256</v>
      </c>
      <c r="K169" s="376">
        <v>221.18999999999505</v>
      </c>
      <c r="L169" s="376">
        <f t="shared" si="16"/>
        <v>34.810000000004948</v>
      </c>
    </row>
    <row r="170" spans="1:12" ht="27.75">
      <c r="A170" s="1526" t="s">
        <v>102</v>
      </c>
      <c r="B170" s="1526"/>
      <c r="C170" s="1526"/>
      <c r="D170" s="523" t="s">
        <v>186</v>
      </c>
      <c r="E170" s="514">
        <f t="shared" si="18"/>
        <v>246931</v>
      </c>
      <c r="F170" s="514">
        <f t="shared" si="19"/>
        <v>247210</v>
      </c>
      <c r="G170" s="1338">
        <f t="shared" si="17"/>
        <v>279</v>
      </c>
      <c r="K170" s="376">
        <v>337.19000000000233</v>
      </c>
      <c r="L170" s="376">
        <f t="shared" si="16"/>
        <v>-58.190000000002328</v>
      </c>
    </row>
    <row r="171" spans="1:12" ht="27.75">
      <c r="A171" s="1526" t="s">
        <v>103</v>
      </c>
      <c r="B171" s="1526"/>
      <c r="C171" s="1526"/>
      <c r="D171" s="523" t="s">
        <v>186</v>
      </c>
      <c r="E171" s="514">
        <f t="shared" si="18"/>
        <v>85321</v>
      </c>
      <c r="F171" s="514">
        <f t="shared" si="19"/>
        <v>85321</v>
      </c>
      <c r="G171" s="1338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26" t="s">
        <v>104</v>
      </c>
      <c r="B172" s="1526"/>
      <c r="C172" s="1526"/>
      <c r="D172" s="523" t="s">
        <v>186</v>
      </c>
      <c r="E172" s="514">
        <f t="shared" si="18"/>
        <v>80454</v>
      </c>
      <c r="F172" s="514">
        <f t="shared" si="19"/>
        <v>80521</v>
      </c>
      <c r="G172" s="1338">
        <f t="shared" si="17"/>
        <v>67</v>
      </c>
      <c r="K172" s="376">
        <v>11.799999999999272</v>
      </c>
      <c r="L172" s="376">
        <f t="shared" si="16"/>
        <v>55.200000000000728</v>
      </c>
    </row>
    <row r="173" spans="1:12" ht="24.75" customHeight="1">
      <c r="G173" s="1476">
        <f>SUM(G161:G172)</f>
        <v>1755</v>
      </c>
      <c r="L173" s="376">
        <f>SUM(L161:L172)</f>
        <v>328.49000000000672</v>
      </c>
    </row>
    <row r="174" spans="1:12" ht="24.75" customHeight="1">
      <c r="A174" s="1526" t="s">
        <v>355</v>
      </c>
      <c r="B174" s="1526"/>
      <c r="C174" s="1526"/>
      <c r="D174" s="523" t="s">
        <v>186</v>
      </c>
      <c r="E174" s="514"/>
      <c r="F174" s="514"/>
      <c r="G174" s="473">
        <f t="shared" ref="G174" si="20">F174-E174</f>
        <v>0</v>
      </c>
    </row>
    <row r="175" spans="1:12" ht="24.75" customHeight="1"/>
    <row r="176" spans="1:12" ht="24.75" customHeight="1"/>
    <row r="177" ht="24.75" customHeight="1"/>
    <row r="302" spans="6:6">
      <c r="F302" s="537" t="s">
        <v>267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5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4" zoomScale="55" zoomScaleNormal="60" zoomScaleSheetLayoutView="55" zoomScalePageLayoutView="20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9" t="s">
        <v>214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357</v>
      </c>
      <c r="B2" s="1035">
        <v>44337</v>
      </c>
      <c r="C2" s="1145" t="s">
        <v>69</v>
      </c>
      <c r="D2" s="611">
        <v>0.24</v>
      </c>
      <c r="E2" s="461"/>
      <c r="F2" s="461"/>
      <c r="G2" s="1334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5" t="s">
        <v>119</v>
      </c>
      <c r="D3" s="612">
        <v>28</v>
      </c>
      <c r="E3" s="1568" t="s">
        <v>120</v>
      </c>
      <c r="F3" s="1569"/>
      <c r="G3" s="133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5" t="s">
        <v>121</v>
      </c>
      <c r="D4" s="611">
        <v>0.84</v>
      </c>
      <c r="E4" s="464"/>
      <c r="F4" s="464"/>
      <c r="G4" s="1335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6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2" t="s">
        <v>129</v>
      </c>
      <c r="B6" s="1563"/>
      <c r="C6" s="1564"/>
      <c r="D6" s="471"/>
      <c r="E6" s="471"/>
      <c r="F6" s="471"/>
      <c r="G6" s="1337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'20'!F7</f>
        <v>155638</v>
      </c>
      <c r="F7" s="455">
        <v>171650</v>
      </c>
      <c r="G7" s="1338">
        <f>F7-E7</f>
        <v>16012</v>
      </c>
      <c r="H7" s="460">
        <f>G7+'20'!H7</f>
        <v>326673</v>
      </c>
      <c r="I7" s="474">
        <f>'1'!I7</f>
        <v>12000</v>
      </c>
      <c r="J7" s="552">
        <f>H7/DAY(B2)</f>
        <v>15555.857142857143</v>
      </c>
      <c r="K7" s="549">
        <v>12199</v>
      </c>
      <c r="L7" s="377">
        <f>G7-K7</f>
        <v>3813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'20'!F8</f>
        <v>156915</v>
      </c>
      <c r="F8" s="475">
        <v>173011</v>
      </c>
      <c r="G8" s="1339">
        <f>F8-E8</f>
        <v>16096</v>
      </c>
      <c r="H8" s="460">
        <f>G8+'20'!H8</f>
        <v>328770</v>
      </c>
      <c r="I8" s="477">
        <f>'1'!I8</f>
        <v>12000</v>
      </c>
      <c r="J8" s="552">
        <f>H8/DAY(B2)</f>
        <v>15655.714285714286</v>
      </c>
      <c r="K8" s="549">
        <v>12262</v>
      </c>
      <c r="L8" s="425">
        <f>G8-K8</f>
        <v>3834</v>
      </c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'20'!F9</f>
        <v>1291086</v>
      </c>
      <c r="F9" s="478">
        <v>1306521</v>
      </c>
      <c r="G9" s="1338">
        <f t="shared" ref="G9:G12" si="0">F9-E9</f>
        <v>15435</v>
      </c>
      <c r="H9" s="460">
        <f>G9+'20'!H9</f>
        <v>315807</v>
      </c>
      <c r="I9" s="479">
        <f>I8-J8</f>
        <v>-3655.7142857142862</v>
      </c>
      <c r="J9" s="552">
        <f>H9/DAY(B2)</f>
        <v>15038.428571428571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'20'!F10</f>
        <v>2322.58</v>
      </c>
      <c r="F10" s="478">
        <v>2322.58</v>
      </c>
      <c r="G10" s="1338">
        <f t="shared" si="0"/>
        <v>0</v>
      </c>
      <c r="H10" s="460">
        <f>G10+'20'!H10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1338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1338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40">
        <f>G9+G10+G11+G12</f>
        <v>15435</v>
      </c>
      <c r="H13" s="460">
        <f>G13+'20'!H13</f>
        <v>301286</v>
      </c>
      <c r="I13" s="482">
        <f>G7-G13</f>
        <v>577</v>
      </c>
      <c r="J13" s="552">
        <f>H13/DAY(B2)</f>
        <v>14346.952380952382</v>
      </c>
      <c r="K13" s="428"/>
      <c r="L13" s="377"/>
      <c r="N13" s="382"/>
      <c r="O13" s="382"/>
    </row>
    <row r="14" spans="1:15">
      <c r="A14" s="1565" t="s">
        <v>138</v>
      </c>
      <c r="B14" s="1566"/>
      <c r="C14" s="1567"/>
      <c r="D14" s="472"/>
      <c r="E14" s="472"/>
      <c r="F14" s="472"/>
      <c r="G14" s="1341"/>
      <c r="H14" s="472"/>
      <c r="I14" s="472"/>
      <c r="J14" s="551"/>
      <c r="K14" s="429"/>
      <c r="L14" s="377"/>
      <c r="N14" s="382"/>
      <c r="O14" s="382"/>
    </row>
    <row r="15" spans="1:15">
      <c r="A15" s="1143" t="s">
        <v>139</v>
      </c>
      <c r="B15" s="589"/>
      <c r="C15" s="589"/>
      <c r="D15" s="523" t="s">
        <v>140</v>
      </c>
      <c r="E15" s="484">
        <f>'20'!F15</f>
        <v>1678916</v>
      </c>
      <c r="F15" s="484">
        <v>1679450</v>
      </c>
      <c r="G15" s="1342">
        <f>(F15-E15)</f>
        <v>534</v>
      </c>
      <c r="H15" s="460">
        <f>G15+'20'!H15</f>
        <v>8793</v>
      </c>
      <c r="I15" s="474">
        <v>800</v>
      </c>
      <c r="J15" s="552">
        <f>H15/DAY(B2)</f>
        <v>418.71428571428572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38"/>
      <c r="H16" s="486"/>
      <c r="I16" s="487">
        <f>I15-J15</f>
        <v>381.28571428571428</v>
      </c>
      <c r="J16" s="553"/>
      <c r="K16" s="428"/>
      <c r="L16" s="377"/>
      <c r="N16" s="382"/>
      <c r="O16" s="382"/>
    </row>
    <row r="17" spans="1:15">
      <c r="A17" s="1565" t="s">
        <v>141</v>
      </c>
      <c r="B17" s="1566"/>
      <c r="C17" s="1567"/>
      <c r="D17" s="472"/>
      <c r="E17" s="472"/>
      <c r="F17" s="472"/>
      <c r="G17" s="1341"/>
      <c r="H17" s="472"/>
      <c r="I17" s="472"/>
      <c r="J17" s="551"/>
      <c r="K17" s="428"/>
      <c r="L17" s="377"/>
      <c r="N17" s="382"/>
      <c r="O17" s="382"/>
    </row>
    <row r="18" spans="1:15" ht="27.75">
      <c r="A18" s="1551" t="s">
        <v>142</v>
      </c>
      <c r="B18" s="1552"/>
      <c r="C18" s="1553"/>
      <c r="D18" s="523" t="s">
        <v>143</v>
      </c>
      <c r="E18" s="484">
        <f>'20'!F18</f>
        <v>0</v>
      </c>
      <c r="F18" s="484">
        <v>4</v>
      </c>
      <c r="G18" s="1340">
        <f>F18*10</f>
        <v>40</v>
      </c>
      <c r="H18" s="460">
        <f>G18+'20'!H18</f>
        <v>680</v>
      </c>
      <c r="I18" s="474">
        <f>'1'!I18</f>
        <v>65</v>
      </c>
      <c r="J18" s="552">
        <f>H18/DAY(B2)</f>
        <v>32.38095238095238</v>
      </c>
      <c r="K18" s="428"/>
      <c r="L18" s="377"/>
      <c r="N18" s="382"/>
      <c r="O18" s="382"/>
    </row>
    <row r="19" spans="1:15" ht="27.75">
      <c r="A19" s="1551" t="s">
        <v>71</v>
      </c>
      <c r="B19" s="1552"/>
      <c r="C19" s="1553"/>
      <c r="D19" s="523" t="s">
        <v>143</v>
      </c>
      <c r="E19" s="484">
        <f>'20'!F19</f>
        <v>138966</v>
      </c>
      <c r="F19" s="484">
        <v>139022</v>
      </c>
      <c r="G19" s="1338">
        <f t="shared" ref="G19" si="1">F19-E19</f>
        <v>56</v>
      </c>
      <c r="H19" s="460">
        <f>G19+'20'!H19</f>
        <v>1210</v>
      </c>
      <c r="I19" s="489"/>
      <c r="J19" s="552">
        <f>H19/DAY(B2)</f>
        <v>57.61904761904762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43">
        <f>G18+G19</f>
        <v>96</v>
      </c>
      <c r="H20" s="460">
        <f>G20+'20'!H20</f>
        <v>1890</v>
      </c>
      <c r="I20" s="492">
        <f>I18-J20</f>
        <v>-25</v>
      </c>
      <c r="J20" s="552">
        <f>H20/DAY(B2)</f>
        <v>90</v>
      </c>
      <c r="K20" s="428"/>
      <c r="L20" s="377"/>
      <c r="N20" s="382"/>
      <c r="O20" s="382"/>
    </row>
    <row r="21" spans="1:15">
      <c r="A21" s="1565" t="s">
        <v>145</v>
      </c>
      <c r="B21" s="1566"/>
      <c r="C21" s="1567"/>
      <c r="D21" s="472"/>
      <c r="E21" s="472"/>
      <c r="F21" s="472"/>
      <c r="G21" s="1341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146</v>
      </c>
      <c r="B22" s="589"/>
      <c r="C22" s="589"/>
      <c r="D22" s="523" t="s">
        <v>147</v>
      </c>
      <c r="E22" s="484">
        <f>'20'!F22</f>
        <v>2970</v>
      </c>
      <c r="F22" s="484">
        <v>2970</v>
      </c>
      <c r="G22" s="1340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148</v>
      </c>
      <c r="B23" s="589"/>
      <c r="C23" s="589"/>
      <c r="D23" s="523" t="s">
        <v>147</v>
      </c>
      <c r="E23" s="484">
        <f>'20'!F23</f>
        <v>2000</v>
      </c>
      <c r="F23" s="484">
        <v>2000</v>
      </c>
      <c r="G23" s="1340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'20'!F24</f>
        <v>4970</v>
      </c>
      <c r="F24" s="493">
        <v>4970</v>
      </c>
      <c r="G24" s="1340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0" t="s">
        <v>150</v>
      </c>
      <c r="B25" s="1571"/>
      <c r="C25" s="1572"/>
      <c r="D25" s="471"/>
      <c r="E25" s="471"/>
      <c r="F25" s="471"/>
      <c r="G25" s="134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4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16096</v>
      </c>
      <c r="F27" s="501">
        <v>9</v>
      </c>
      <c r="G27" s="1346">
        <f>E27*F27</f>
        <v>144864</v>
      </c>
      <c r="H27" s="460">
        <f>G27+'20'!H27</f>
        <v>2958930</v>
      </c>
      <c r="I27" s="503"/>
      <c r="J27" s="552">
        <f>H27/DAY(B2)</f>
        <v>140901.42857142858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534</v>
      </c>
      <c r="F28" s="501">
        <v>51.45</v>
      </c>
      <c r="G28" s="1346">
        <f t="shared" ref="G28:G30" si="3">E28*F28</f>
        <v>27474.300000000003</v>
      </c>
      <c r="H28" s="460">
        <f>G28+'20'!H28</f>
        <v>441917.32899999979</v>
      </c>
      <c r="I28" s="505"/>
      <c r="J28" s="552">
        <f>H28/DAY(B2)</f>
        <v>21043.682333333323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6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56</v>
      </c>
      <c r="F30" s="501">
        <v>134</v>
      </c>
      <c r="G30" s="1346">
        <f t="shared" si="3"/>
        <v>7504</v>
      </c>
      <c r="H30" s="460">
        <f>G30+'20'!H30</f>
        <v>162140</v>
      </c>
      <c r="I30" s="505"/>
      <c r="J30" s="552">
        <f>H30/DAY(B2)</f>
        <v>7720.9523809523807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40</v>
      </c>
      <c r="F31" s="501">
        <v>80</v>
      </c>
      <c r="G31" s="1346">
        <f>E31*F31</f>
        <v>3200</v>
      </c>
      <c r="H31" s="460">
        <f>G31+'20'!H31</f>
        <v>54400</v>
      </c>
      <c r="I31" s="505"/>
      <c r="J31" s="552">
        <f>H31/DAY(B2)</f>
        <v>2590.4761904761904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7">
        <f>G27+G28+G29+G30+G31</f>
        <v>183042.3</v>
      </c>
      <c r="H32" s="460">
        <f>G32+'20'!H32</f>
        <v>3617387.3289999999</v>
      </c>
      <c r="I32" s="509"/>
      <c r="J32" s="552">
        <f>H32/DAY(B2)</f>
        <v>172256.53947619046</v>
      </c>
      <c r="K32" s="373"/>
      <c r="L32" s="443"/>
      <c r="N32" s="444"/>
      <c r="O32" s="382"/>
    </row>
    <row r="33" spans="1:15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  <c r="O33" s="382"/>
    </row>
    <row r="34" spans="1:15">
      <c r="A34" s="598" t="s">
        <v>162</v>
      </c>
      <c r="B34" s="1148"/>
      <c r="C34" s="1148"/>
      <c r="D34" s="472"/>
      <c r="E34" s="471"/>
      <c r="F34" s="471"/>
      <c r="G34" s="1348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'20'!F35</f>
        <v>925573</v>
      </c>
      <c r="F35" s="510">
        <v>927416</v>
      </c>
      <c r="G35" s="1338">
        <f t="shared" ref="G35:G46" si="4">F35-E35</f>
        <v>1843</v>
      </c>
      <c r="H35" s="460">
        <f>G35+'20'!H35</f>
        <v>40957</v>
      </c>
      <c r="I35" s="455"/>
      <c r="J35" s="552">
        <f>H35/DAY(B2)</f>
        <v>1950.3333333333333</v>
      </c>
      <c r="K35" s="428">
        <v>1520.2800000000279</v>
      </c>
      <c r="L35" s="377">
        <f t="shared" ref="L35:L60" si="5">G35-K35</f>
        <v>322.71999999997206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'20'!F36</f>
        <v>347065</v>
      </c>
      <c r="F36" s="510">
        <v>347065</v>
      </c>
      <c r="G36" s="1338">
        <f t="shared" si="4"/>
        <v>0</v>
      </c>
      <c r="H36" s="460">
        <f>G36+'20'!H36</f>
        <v>2457</v>
      </c>
      <c r="I36" s="455"/>
      <c r="J36" s="552">
        <f>H36/DAY(B2)</f>
        <v>117</v>
      </c>
      <c r="K36" s="428">
        <v>485.22000000000116</v>
      </c>
      <c r="L36" s="377">
        <f t="shared" si="5"/>
        <v>-485.22000000000116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'20'!F37</f>
        <v>119850</v>
      </c>
      <c r="F37" s="510">
        <v>121183</v>
      </c>
      <c r="G37" s="1338">
        <f t="shared" si="4"/>
        <v>1333</v>
      </c>
      <c r="H37" s="460">
        <f>G37+'20'!H37</f>
        <v>25958</v>
      </c>
      <c r="I37" s="455"/>
      <c r="J37" s="552">
        <f>H37/DAY(B2)</f>
        <v>1236.0952380952381</v>
      </c>
      <c r="K37" s="428">
        <v>1194.8999999999942</v>
      </c>
      <c r="L37" s="377">
        <f t="shared" si="5"/>
        <v>138.10000000000582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'20'!F38</f>
        <v>142842</v>
      </c>
      <c r="F38" s="469">
        <v>143992</v>
      </c>
      <c r="G38" s="1338">
        <f t="shared" si="4"/>
        <v>1150</v>
      </c>
      <c r="H38" s="460">
        <f>G38+'20'!H38</f>
        <v>24396</v>
      </c>
      <c r="I38" s="455"/>
      <c r="J38" s="552">
        <f>H38/DAY(B2)</f>
        <v>1161.7142857142858</v>
      </c>
      <c r="K38" s="428">
        <v>0</v>
      </c>
      <c r="L38" s="377">
        <f t="shared" si="5"/>
        <v>1150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'20'!F39</f>
        <v>283568</v>
      </c>
      <c r="F39" s="510">
        <v>285105</v>
      </c>
      <c r="G39" s="1338">
        <f t="shared" si="4"/>
        <v>1537</v>
      </c>
      <c r="H39" s="460">
        <f>G39+'20'!H39</f>
        <v>38452</v>
      </c>
      <c r="I39" s="455"/>
      <c r="J39" s="552">
        <f>H39/DAY(B2)</f>
        <v>1831.047619047619</v>
      </c>
      <c r="K39" s="428">
        <v>2147.359999999986</v>
      </c>
      <c r="L39" s="377">
        <f t="shared" si="5"/>
        <v>-610.35999999998603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'20'!F40</f>
        <v>587</v>
      </c>
      <c r="F40" s="510">
        <v>587</v>
      </c>
      <c r="G40" s="1338">
        <f t="shared" si="4"/>
        <v>0</v>
      </c>
      <c r="H40" s="460">
        <f>G40+'20'!H40</f>
        <v>586.77</v>
      </c>
      <c r="I40" s="455"/>
      <c r="J40" s="552">
        <f>H40/DAY(B2)</f>
        <v>27.94142857142857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'20'!F41</f>
        <v>239668</v>
      </c>
      <c r="F41" s="510">
        <v>239668</v>
      </c>
      <c r="G41" s="1338">
        <f t="shared" si="4"/>
        <v>0</v>
      </c>
      <c r="H41" s="460">
        <f>G41+'20'!H41</f>
        <v>58140</v>
      </c>
      <c r="I41" s="455"/>
      <c r="J41" s="552">
        <f>H41/DAY(B2)</f>
        <v>2768.5714285714284</v>
      </c>
      <c r="K41" s="428">
        <v>0</v>
      </c>
      <c r="L41" s="377">
        <f t="shared" si="5"/>
        <v>0</v>
      </c>
      <c r="N41" s="382"/>
      <c r="O41" s="724"/>
    </row>
    <row r="42" spans="1:15">
      <c r="A42" s="578" t="s">
        <v>170</v>
      </c>
      <c r="B42" s="579"/>
      <c r="C42" s="579"/>
      <c r="D42" s="523" t="s">
        <v>131</v>
      </c>
      <c r="E42" s="510">
        <f>'20'!F42</f>
        <v>59200</v>
      </c>
      <c r="F42" s="510">
        <v>59200</v>
      </c>
      <c r="G42" s="1338">
        <f t="shared" si="4"/>
        <v>0</v>
      </c>
      <c r="H42" s="460">
        <f>G42+'20'!H42</f>
        <v>0</v>
      </c>
      <c r="I42" s="455"/>
      <c r="J42" s="552">
        <f>H42/DAY(B2)</f>
        <v>0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'20'!F43</f>
        <v>1017117</v>
      </c>
      <c r="F43" s="510">
        <v>1019250</v>
      </c>
      <c r="G43" s="1338">
        <f t="shared" si="4"/>
        <v>2133</v>
      </c>
      <c r="H43" s="460">
        <f>G43+'20'!H43</f>
        <v>45292</v>
      </c>
      <c r="I43" s="455"/>
      <c r="J43" s="552">
        <f>H43/DAY(B2)</f>
        <v>2156.7619047619046</v>
      </c>
      <c r="K43" s="428">
        <v>1595.679999999993</v>
      </c>
      <c r="L43" s="377">
        <f t="shared" si="5"/>
        <v>537.32000000000698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'20'!F44</f>
        <v>0</v>
      </c>
      <c r="F44" s="510">
        <v>0</v>
      </c>
      <c r="G44" s="1338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'20'!F45</f>
        <v>0</v>
      </c>
      <c r="F45" s="510">
        <v>0</v>
      </c>
      <c r="G45" s="1338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'20'!F46</f>
        <v>0</v>
      </c>
      <c r="F46" s="510">
        <v>0</v>
      </c>
      <c r="G46" s="1338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40">
        <f>G35+G36+G37+G38+G39+G40+G41+G42+G43+G44+G45+G46</f>
        <v>7996</v>
      </c>
      <c r="H47" s="460">
        <f>G47+'20'!H47</f>
        <v>236239.21000000002</v>
      </c>
      <c r="I47" s="455"/>
      <c r="J47" s="552">
        <f>H47/DAY(B2)</f>
        <v>11249.486190476191</v>
      </c>
      <c r="K47" s="428">
        <v>10172.060000000001</v>
      </c>
      <c r="L47" s="377">
        <f t="shared" si="5"/>
        <v>-2176.0600000000013</v>
      </c>
      <c r="N47" s="382"/>
      <c r="O47" s="382"/>
    </row>
    <row r="48" spans="1:15">
      <c r="A48" s="598" t="s">
        <v>176</v>
      </c>
      <c r="B48" s="1148"/>
      <c r="C48" s="1148"/>
      <c r="D48" s="472"/>
      <c r="E48" s="471"/>
      <c r="F48" s="471"/>
      <c r="G48" s="1348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'20'!F49</f>
        <v>260732</v>
      </c>
      <c r="F49" s="510">
        <v>260732.13</v>
      </c>
      <c r="G49" s="1338">
        <f t="shared" ref="G49:G58" si="6">F49-E49</f>
        <v>0.13000000000465661</v>
      </c>
      <c r="H49" s="460">
        <f>G49+'20'!H49</f>
        <v>0</v>
      </c>
      <c r="I49" s="455"/>
      <c r="J49" s="552">
        <f>H49/DAY(B2)</f>
        <v>0</v>
      </c>
      <c r="K49" s="428">
        <v>0</v>
      </c>
      <c r="L49" s="377">
        <f t="shared" si="5"/>
        <v>0.13000000000465661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'20'!F50</f>
        <v>492472</v>
      </c>
      <c r="F50" s="510">
        <v>493272</v>
      </c>
      <c r="G50" s="1338">
        <f>F50-E50</f>
        <v>800</v>
      </c>
      <c r="H50" s="460">
        <f>G50+'20'!H50</f>
        <v>17797</v>
      </c>
      <c r="I50" s="455"/>
      <c r="J50" s="552">
        <f>H50/DAY(B2)</f>
        <v>847.47619047619048</v>
      </c>
      <c r="K50" s="428">
        <v>700.86999999999534</v>
      </c>
      <c r="L50" s="377">
        <f t="shared" si="5"/>
        <v>99.130000000004657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'20'!F51</f>
        <v>144640</v>
      </c>
      <c r="F51" s="510">
        <v>144640</v>
      </c>
      <c r="G51" s="1338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'20'!F52</f>
        <v>539606</v>
      </c>
      <c r="F52" s="510">
        <v>539606.06999999995</v>
      </c>
      <c r="G52" s="1338">
        <f t="shared" si="6"/>
        <v>6.9999999948777258E-2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-985.9100000000326</v>
      </c>
      <c r="N52" s="382"/>
      <c r="O52" s="724"/>
    </row>
    <row r="53" spans="1:15">
      <c r="A53" s="578" t="s">
        <v>167</v>
      </c>
      <c r="B53" s="601"/>
      <c r="C53" s="601"/>
      <c r="D53" s="523" t="s">
        <v>131</v>
      </c>
      <c r="E53" s="510">
        <f>'20'!F53</f>
        <v>426566</v>
      </c>
      <c r="F53" s="510">
        <v>427132</v>
      </c>
      <c r="G53" s="1338">
        <f t="shared" si="6"/>
        <v>566</v>
      </c>
      <c r="H53" s="460">
        <f>G53+'20'!H53</f>
        <v>10322</v>
      </c>
      <c r="I53" s="455"/>
      <c r="J53" s="552">
        <f>H53/DAY(B2)</f>
        <v>491.52380952380952</v>
      </c>
      <c r="K53" s="428">
        <v>107.60000000000036</v>
      </c>
      <c r="L53" s="377">
        <f t="shared" si="5"/>
        <v>458.39999999999964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'20'!F54</f>
        <v>12865</v>
      </c>
      <c r="F54" s="510">
        <v>12947</v>
      </c>
      <c r="G54" s="1338">
        <f t="shared" si="6"/>
        <v>82</v>
      </c>
      <c r="H54" s="460">
        <f>G54+'20'!H54</f>
        <v>5185</v>
      </c>
      <c r="I54" s="455"/>
      <c r="J54" s="552">
        <f>H54/DAY(B2)</f>
        <v>246.9047619047619</v>
      </c>
      <c r="K54" s="428">
        <v>0</v>
      </c>
      <c r="L54" s="377">
        <f t="shared" si="5"/>
        <v>82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'20'!F55</f>
        <v>38262</v>
      </c>
      <c r="F55" s="510">
        <v>43396</v>
      </c>
      <c r="G55" s="1338">
        <f t="shared" si="6"/>
        <v>5134</v>
      </c>
      <c r="H55" s="460">
        <f>G55+'20'!H55</f>
        <v>43396</v>
      </c>
      <c r="I55" s="455"/>
      <c r="J55" s="552">
        <f>H55/DAY(B2)</f>
        <v>2066.4761904761904</v>
      </c>
      <c r="K55" s="428">
        <v>0</v>
      </c>
      <c r="L55" s="377">
        <f t="shared" si="5"/>
        <v>5134</v>
      </c>
      <c r="N55" s="382"/>
      <c r="O55" s="382"/>
    </row>
    <row r="56" spans="1:15" s="441" customFormat="1">
      <c r="A56" s="1106" t="s">
        <v>181</v>
      </c>
      <c r="B56" s="1107"/>
      <c r="C56" s="1107"/>
      <c r="D56" s="627" t="s">
        <v>182</v>
      </c>
      <c r="E56" s="656">
        <f>'20'!F56</f>
        <v>589494</v>
      </c>
      <c r="F56" s="656">
        <v>589504</v>
      </c>
      <c r="G56" s="1359">
        <f t="shared" si="6"/>
        <v>10</v>
      </c>
      <c r="H56" s="708">
        <f>G56+'20'!H56</f>
        <v>215.64000000001397</v>
      </c>
      <c r="I56" s="709"/>
      <c r="J56" s="710">
        <f>H56/DAY(B2)</f>
        <v>10.268571428572093</v>
      </c>
      <c r="K56" s="1364">
        <v>0</v>
      </c>
      <c r="L56" s="1109">
        <f t="shared" si="5"/>
        <v>10</v>
      </c>
      <c r="N56" s="716"/>
      <c r="O56" s="716"/>
    </row>
    <row r="57" spans="1:15">
      <c r="A57" s="578" t="s">
        <v>171</v>
      </c>
      <c r="B57" s="601"/>
      <c r="C57" s="601"/>
      <c r="D57" s="523" t="s">
        <v>131</v>
      </c>
      <c r="E57" s="510">
        <f>'20'!F57</f>
        <v>7711</v>
      </c>
      <c r="F57" s="510">
        <v>7711</v>
      </c>
      <c r="G57" s="1338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'20'!F58</f>
        <v>48183</v>
      </c>
      <c r="F58" s="510">
        <v>48316</v>
      </c>
      <c r="G58" s="1338">
        <f t="shared" si="6"/>
        <v>133</v>
      </c>
      <c r="H58" s="460">
        <f>G58+'20'!H58</f>
        <v>1599</v>
      </c>
      <c r="I58" s="455"/>
      <c r="J58" s="552">
        <f>H58/DAY(B2)</f>
        <v>76.142857142857139</v>
      </c>
      <c r="K58" s="428">
        <v>0</v>
      </c>
      <c r="L58" s="377">
        <f t="shared" si="5"/>
        <v>133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40">
        <f>G49+G50+G51+G52+G53+G54+G55+G56+G57+G58</f>
        <v>6725.1999999999534</v>
      </c>
      <c r="H59" s="460">
        <f>G59+'20'!H59</f>
        <v>78514.709999999963</v>
      </c>
      <c r="I59" s="455">
        <f>G7-G60</f>
        <v>1290.8000000000466</v>
      </c>
      <c r="J59" s="552">
        <f>H59/DAY(B2)</f>
        <v>3738.7957142857126</v>
      </c>
      <c r="K59" s="428">
        <v>1794.4499999999771</v>
      </c>
      <c r="L59" s="377">
        <f t="shared" si="5"/>
        <v>4930.7499999999764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40">
        <f>G47+G59</f>
        <v>14721.199999999953</v>
      </c>
      <c r="H60" s="460">
        <f>G60+'20'!H60</f>
        <v>316337.81</v>
      </c>
      <c r="I60" s="455">
        <f>G13-G60</f>
        <v>713.80000000004657</v>
      </c>
      <c r="J60" s="552">
        <f>H60/DAY(B2)</f>
        <v>15063.705238095237</v>
      </c>
      <c r="K60" s="428">
        <v>11966.509999999978</v>
      </c>
      <c r="L60" s="377">
        <f t="shared" si="5"/>
        <v>2754.689999999975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9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186</v>
      </c>
      <c r="E62" s="514">
        <f>'20'!F62</f>
        <v>20419.2</v>
      </c>
      <c r="F62" s="514">
        <v>20419.2</v>
      </c>
      <c r="G62" s="1338">
        <f t="shared" ref="G62:G69" si="7">F62-E62</f>
        <v>0</v>
      </c>
      <c r="H62" s="460">
        <f>G62+'20'!H62</f>
        <v>0.38199999999778811</v>
      </c>
      <c r="I62" s="515"/>
      <c r="J62" s="552">
        <f>H62/DAY(B2)</f>
        <v>1.8190476190370862E-2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'20'!F63</f>
        <v>2435</v>
      </c>
      <c r="F63" s="514">
        <v>2438</v>
      </c>
      <c r="G63" s="1338">
        <f t="shared" si="7"/>
        <v>3</v>
      </c>
      <c r="H63" s="460">
        <f>G63+'20'!H63</f>
        <v>79</v>
      </c>
      <c r="I63" s="515"/>
      <c r="J63" s="552">
        <f>H63/DAY(B2)</f>
        <v>3.7619047619047619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186</v>
      </c>
      <c r="E64" s="484">
        <f>'20'!F64</f>
        <v>157797</v>
      </c>
      <c r="F64" s="484">
        <v>157972</v>
      </c>
      <c r="G64" s="1338">
        <f t="shared" si="7"/>
        <v>175</v>
      </c>
      <c r="H64" s="460">
        <f>G64+'20'!H64</f>
        <v>4673</v>
      </c>
      <c r="I64" s="480"/>
      <c r="J64" s="552">
        <f>H64/DAY(B2)</f>
        <v>222.52380952380952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186</v>
      </c>
      <c r="E65" s="484">
        <f>'20'!F65</f>
        <v>158634</v>
      </c>
      <c r="F65" s="484">
        <v>158840</v>
      </c>
      <c r="G65" s="1338">
        <f t="shared" si="7"/>
        <v>206</v>
      </c>
      <c r="H65" s="460">
        <f>G65+'20'!H65</f>
        <v>4241</v>
      </c>
      <c r="I65" s="489"/>
      <c r="J65" s="552">
        <f>H65/DAY(B2)</f>
        <v>201.95238095238096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186</v>
      </c>
      <c r="E66" s="484">
        <f>'20'!F66</f>
        <v>53739</v>
      </c>
      <c r="F66" s="484">
        <v>54000</v>
      </c>
      <c r="G66" s="1338">
        <f t="shared" si="7"/>
        <v>261</v>
      </c>
      <c r="H66" s="460">
        <f>G66+'20'!H66</f>
        <v>5429</v>
      </c>
      <c r="I66" s="480"/>
      <c r="J66" s="552">
        <f>H66/DAY(B2)</f>
        <v>258.52380952380952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186</v>
      </c>
      <c r="E67" s="484">
        <f>'20'!F67</f>
        <v>247210</v>
      </c>
      <c r="F67" s="484">
        <v>247691</v>
      </c>
      <c r="G67" s="1338">
        <f t="shared" si="7"/>
        <v>481</v>
      </c>
      <c r="H67" s="460">
        <f>G67+'20'!H67</f>
        <v>4517</v>
      </c>
      <c r="I67" s="489"/>
      <c r="J67" s="552">
        <f>H67/DAY(B2)</f>
        <v>215.0952380952381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186</v>
      </c>
      <c r="E68" s="484">
        <f>'20'!F68</f>
        <v>85321</v>
      </c>
      <c r="F68" s="484">
        <v>85321</v>
      </c>
      <c r="G68" s="1338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186</v>
      </c>
      <c r="E69" s="484">
        <f>'20'!F69</f>
        <v>80521</v>
      </c>
      <c r="F69" s="484">
        <v>80597</v>
      </c>
      <c r="G69" s="1338">
        <f t="shared" si="7"/>
        <v>76</v>
      </c>
      <c r="H69" s="460">
        <f>G69+'20'!H69</f>
        <v>1603</v>
      </c>
      <c r="I69" s="516"/>
      <c r="J69" s="552">
        <f>H69/DAY(B2)</f>
        <v>76.333333333333329</v>
      </c>
      <c r="K69" s="431"/>
      <c r="L69" s="377"/>
      <c r="N69" s="382"/>
      <c r="O69" s="382"/>
    </row>
    <row r="70" spans="1:15" ht="27.75">
      <c r="A70" s="1536" t="s">
        <v>188</v>
      </c>
      <c r="B70" s="1537"/>
      <c r="C70" s="1538"/>
      <c r="D70" s="523" t="s">
        <v>186</v>
      </c>
      <c r="E70" s="518"/>
      <c r="F70" s="518"/>
      <c r="G70" s="1350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  <c r="O71" s="382"/>
    </row>
    <row r="72" spans="1:15" ht="27.75">
      <c r="A72" s="1530" t="s">
        <v>190</v>
      </c>
      <c r="B72" s="1531"/>
      <c r="C72" s="1532"/>
      <c r="D72" s="523" t="s">
        <v>186</v>
      </c>
      <c r="E72" s="519">
        <f>'20'!F72</f>
        <v>855721</v>
      </c>
      <c r="F72" s="519">
        <v>855731</v>
      </c>
      <c r="G72" s="1338">
        <f t="shared" ref="G72:G84" si="8">F72-E72</f>
        <v>10</v>
      </c>
      <c r="H72" s="460">
        <f>G72+'20'!H72</f>
        <v>259</v>
      </c>
      <c r="I72" s="480"/>
      <c r="J72" s="552">
        <f>H72/DAY(B2)</f>
        <v>12.333333333333334</v>
      </c>
      <c r="K72" s="431"/>
      <c r="L72" s="377"/>
      <c r="N72" s="382"/>
      <c r="O72" s="382"/>
    </row>
    <row r="73" spans="1:15" ht="27.75">
      <c r="A73" s="1530" t="s">
        <v>191</v>
      </c>
      <c r="B73" s="1531"/>
      <c r="C73" s="1532"/>
      <c r="D73" s="523" t="s">
        <v>186</v>
      </c>
      <c r="E73" s="520">
        <f>'20'!F73</f>
        <v>885896</v>
      </c>
      <c r="F73" s="520">
        <v>885898</v>
      </c>
      <c r="G73" s="1338">
        <f t="shared" si="8"/>
        <v>2</v>
      </c>
      <c r="H73" s="460">
        <f>G73+'20'!H73</f>
        <v>202</v>
      </c>
      <c r="I73" s="480"/>
      <c r="J73" s="552">
        <f>H73/DAY(B2)</f>
        <v>9.6190476190476186</v>
      </c>
      <c r="K73" s="430"/>
      <c r="L73" s="377"/>
      <c r="N73" s="382"/>
      <c r="O73" s="382"/>
    </row>
    <row r="74" spans="1:15" ht="27.75">
      <c r="A74" s="1606" t="s">
        <v>192</v>
      </c>
      <c r="B74" s="1607"/>
      <c r="C74" s="1608"/>
      <c r="D74" s="523" t="s">
        <v>186</v>
      </c>
      <c r="E74" s="521">
        <f>'20'!F74</f>
        <v>2512</v>
      </c>
      <c r="F74" s="521">
        <v>2518</v>
      </c>
      <c r="G74" s="1338">
        <f t="shared" si="8"/>
        <v>6</v>
      </c>
      <c r="H74" s="460">
        <f>G74+'20'!H74</f>
        <v>239</v>
      </c>
      <c r="I74" s="480"/>
      <c r="J74" s="552">
        <f>H74/DAY(B2)</f>
        <v>11.380952380952381</v>
      </c>
      <c r="K74" s="431"/>
      <c r="L74" s="377"/>
      <c r="N74" s="382"/>
      <c r="O74" s="382"/>
    </row>
    <row r="75" spans="1:15" ht="27.75">
      <c r="A75" s="1527" t="s">
        <v>193</v>
      </c>
      <c r="B75" s="1528"/>
      <c r="C75" s="1529"/>
      <c r="D75" s="523" t="s">
        <v>186</v>
      </c>
      <c r="E75" s="521">
        <f>'20'!F75</f>
        <v>12041</v>
      </c>
      <c r="F75" s="521">
        <v>12094</v>
      </c>
      <c r="G75" s="1338">
        <f t="shared" si="8"/>
        <v>53</v>
      </c>
      <c r="H75" s="460">
        <f>G75+'20'!H75</f>
        <v>1124</v>
      </c>
      <c r="I75" s="480"/>
      <c r="J75" s="552">
        <f>H75/DAY(B2)</f>
        <v>53.523809523809526</v>
      </c>
      <c r="K75" s="430"/>
      <c r="L75" s="377"/>
      <c r="N75" s="382"/>
      <c r="O75" s="382"/>
    </row>
    <row r="76" spans="1:15" ht="27.75">
      <c r="A76" s="1527" t="s">
        <v>194</v>
      </c>
      <c r="B76" s="1528"/>
      <c r="C76" s="1529"/>
      <c r="D76" s="523" t="s">
        <v>186</v>
      </c>
      <c r="E76" s="520">
        <f>'20'!F76</f>
        <v>6806</v>
      </c>
      <c r="F76" s="648">
        <v>6861</v>
      </c>
      <c r="G76" s="1338">
        <f t="shared" si="8"/>
        <v>55</v>
      </c>
      <c r="H76" s="460">
        <f>G76+'20'!H76</f>
        <v>1144.0499999999993</v>
      </c>
      <c r="I76" s="505"/>
      <c r="J76" s="552">
        <f>H76/DAY(B2)</f>
        <v>54.478571428571392</v>
      </c>
      <c r="K76" s="430"/>
      <c r="L76" s="377"/>
      <c r="N76" s="382"/>
      <c r="O76" s="382"/>
    </row>
    <row r="77" spans="1:15" ht="27.75">
      <c r="A77" s="1530" t="s">
        <v>195</v>
      </c>
      <c r="B77" s="1531"/>
      <c r="C77" s="1532"/>
      <c r="D77" s="523" t="s">
        <v>186</v>
      </c>
      <c r="E77" s="521">
        <f>'20'!F77</f>
        <v>702386</v>
      </c>
      <c r="F77" s="521">
        <v>702420</v>
      </c>
      <c r="G77" s="1338">
        <f t="shared" si="8"/>
        <v>34</v>
      </c>
      <c r="H77" s="460">
        <f>G77+'20'!H77</f>
        <v>858</v>
      </c>
      <c r="I77" s="505"/>
      <c r="J77" s="552">
        <f>H77/DAY(B2)</f>
        <v>40.857142857142854</v>
      </c>
      <c r="K77" s="430"/>
      <c r="L77" s="377"/>
      <c r="N77" s="382"/>
      <c r="O77" s="382"/>
    </row>
    <row r="78" spans="1:15" ht="27.75">
      <c r="A78" s="1146" t="s">
        <v>196</v>
      </c>
      <c r="B78" s="1119"/>
      <c r="C78" s="1119"/>
      <c r="D78" s="523" t="s">
        <v>186</v>
      </c>
      <c r="E78" s="521">
        <f>'20'!F78</f>
        <v>671681</v>
      </c>
      <c r="F78" s="521">
        <v>671865</v>
      </c>
      <c r="G78" s="1338">
        <f t="shared" si="8"/>
        <v>184</v>
      </c>
      <c r="H78" s="460">
        <f>G78+'20'!H78</f>
        <v>1840</v>
      </c>
      <c r="I78" s="505"/>
      <c r="J78" s="552">
        <f>H78/DAY(B2)</f>
        <v>87.61904761904762</v>
      </c>
      <c r="K78" s="430"/>
      <c r="L78" s="377"/>
      <c r="N78" s="382"/>
      <c r="O78" s="382"/>
    </row>
    <row r="79" spans="1:15" ht="27.75">
      <c r="A79" s="1527" t="s">
        <v>92</v>
      </c>
      <c r="B79" s="1528"/>
      <c r="C79" s="1529"/>
      <c r="D79" s="524" t="s">
        <v>186</v>
      </c>
      <c r="E79" s="521">
        <f>'20'!F79</f>
        <v>829535</v>
      </c>
      <c r="F79" s="521">
        <v>829671</v>
      </c>
      <c r="G79" s="1338">
        <f t="shared" si="8"/>
        <v>136</v>
      </c>
      <c r="H79" s="460">
        <f>G79+'20'!H79</f>
        <v>1940</v>
      </c>
      <c r="I79" s="505"/>
      <c r="J79" s="552">
        <f>H79/DAY(B2)</f>
        <v>92.38095238095238</v>
      </c>
      <c r="K79" s="430"/>
      <c r="L79" s="377"/>
      <c r="N79" s="382"/>
      <c r="O79" s="382"/>
    </row>
    <row r="80" spans="1:15" ht="27.75">
      <c r="A80" s="1527" t="s">
        <v>197</v>
      </c>
      <c r="B80" s="1528"/>
      <c r="C80" s="1529"/>
      <c r="D80" s="524" t="s">
        <v>186</v>
      </c>
      <c r="E80" s="520">
        <f>'20'!F80</f>
        <v>523681</v>
      </c>
      <c r="F80" s="520">
        <v>524012</v>
      </c>
      <c r="G80" s="1338">
        <f t="shared" si="8"/>
        <v>331</v>
      </c>
      <c r="H80" s="460">
        <f>G80+'20'!H80</f>
        <v>4551</v>
      </c>
      <c r="I80" s="505"/>
      <c r="J80" s="552">
        <f>H80/DAY(B2)</f>
        <v>216.71428571428572</v>
      </c>
      <c r="K80" s="430"/>
      <c r="L80" s="377"/>
      <c r="N80" s="382"/>
      <c r="O80" s="382"/>
    </row>
    <row r="81" spans="1:15" ht="27.75">
      <c r="A81" s="1527" t="s">
        <v>198</v>
      </c>
      <c r="B81" s="1528"/>
      <c r="C81" s="1529"/>
      <c r="D81" s="524" t="s">
        <v>186</v>
      </c>
      <c r="E81" s="520">
        <f>'20'!F81</f>
        <v>637985</v>
      </c>
      <c r="F81" s="520">
        <v>638064</v>
      </c>
      <c r="G81" s="1338">
        <f t="shared" si="8"/>
        <v>79</v>
      </c>
      <c r="H81" s="460">
        <f>G81+'20'!H81</f>
        <v>1586</v>
      </c>
      <c r="I81" s="505"/>
      <c r="J81" s="552">
        <f>H81/DAY(B2)</f>
        <v>75.523809523809518</v>
      </c>
      <c r="K81" s="430"/>
      <c r="L81" s="377"/>
      <c r="N81" s="382"/>
      <c r="O81" s="382"/>
    </row>
    <row r="82" spans="1:15" ht="27.75">
      <c r="A82" s="1527" t="s">
        <v>93</v>
      </c>
      <c r="B82" s="1528"/>
      <c r="C82" s="1529"/>
      <c r="D82" s="485" t="s">
        <v>131</v>
      </c>
      <c r="E82" s="522">
        <f>'20'!F82</f>
        <v>107977</v>
      </c>
      <c r="F82" s="522">
        <v>108003</v>
      </c>
      <c r="G82" s="1338">
        <f t="shared" si="8"/>
        <v>26</v>
      </c>
      <c r="H82" s="460">
        <f>G82+'20'!H82</f>
        <v>391</v>
      </c>
      <c r="I82" s="486"/>
      <c r="J82" s="552">
        <f>H82/DAY(B2)</f>
        <v>18.61904761904762</v>
      </c>
      <c r="K82" s="430"/>
      <c r="L82" s="377"/>
      <c r="N82" s="382"/>
      <c r="O82" s="382"/>
    </row>
    <row r="83" spans="1:15" ht="27.75">
      <c r="A83" s="1527" t="s">
        <v>199</v>
      </c>
      <c r="B83" s="1528"/>
      <c r="C83" s="1529"/>
      <c r="D83" s="620" t="s">
        <v>131</v>
      </c>
      <c r="E83" s="511">
        <f>'20'!F83</f>
        <v>18566</v>
      </c>
      <c r="F83" s="511">
        <v>18711</v>
      </c>
      <c r="G83" s="1338">
        <f t="shared" si="8"/>
        <v>145</v>
      </c>
      <c r="H83" s="460">
        <f>G83+'20'!H83</f>
        <v>3940</v>
      </c>
      <c r="I83" s="481"/>
      <c r="J83" s="552">
        <f>H83/DAY(B2)</f>
        <v>187.61904761904762</v>
      </c>
      <c r="K83" s="429"/>
      <c r="L83" s="377"/>
      <c r="N83" s="382"/>
      <c r="O83" s="724"/>
    </row>
    <row r="84" spans="1:15">
      <c r="A84" s="1147" t="s">
        <v>200</v>
      </c>
      <c r="B84" s="571"/>
      <c r="C84" s="571"/>
      <c r="D84" s="478" t="s">
        <v>131</v>
      </c>
      <c r="E84" s="627">
        <f>'20'!F84</f>
        <v>492699</v>
      </c>
      <c r="F84" s="627">
        <v>493078</v>
      </c>
      <c r="G84" s="1338">
        <f t="shared" si="8"/>
        <v>379</v>
      </c>
      <c r="H84" s="460">
        <f>G84+'20'!H84</f>
        <v>12945</v>
      </c>
      <c r="I84" s="481"/>
      <c r="J84" s="552">
        <f>H84/DAY(B2)</f>
        <v>616.42857142857144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51">
        <f xml:space="preserve"> SUM(G72:G84)</f>
        <v>1440</v>
      </c>
      <c r="H85" s="460">
        <f>G85+'20'!H85</f>
        <v>34528</v>
      </c>
      <c r="I85" s="481"/>
      <c r="J85" s="552">
        <f>H85/DAY(B2)</f>
        <v>1644.1904761904761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182</v>
      </c>
      <c r="E86" s="650">
        <f>'20'!F86</f>
        <v>460556</v>
      </c>
      <c r="F86" s="650">
        <v>460577</v>
      </c>
      <c r="G86" s="1352">
        <f t="shared" ref="G86:G91" si="9">F86-E86</f>
        <v>21</v>
      </c>
      <c r="H86" s="460">
        <f>G86+'20'!H86</f>
        <v>99</v>
      </c>
      <c r="I86" s="655"/>
      <c r="J86" s="710">
        <f>H86/DAY(B2)</f>
        <v>4.7142857142857144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182</v>
      </c>
      <c r="E87" s="650">
        <f>'20'!F87</f>
        <v>81178</v>
      </c>
      <c r="F87" s="650">
        <v>81200</v>
      </c>
      <c r="G87" s="1352">
        <f t="shared" si="9"/>
        <v>22</v>
      </c>
      <c r="H87" s="460">
        <f>G87+'20'!H87</f>
        <v>84</v>
      </c>
      <c r="I87" s="655"/>
      <c r="J87" s="710">
        <f>H87/DAY(B2)</f>
        <v>4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182</v>
      </c>
      <c r="E88" s="650">
        <f>'20'!F88</f>
        <v>152635</v>
      </c>
      <c r="F88" s="650">
        <v>152660</v>
      </c>
      <c r="G88" s="1352">
        <f t="shared" si="9"/>
        <v>25</v>
      </c>
      <c r="H88" s="460">
        <f>G88+'20'!H88</f>
        <v>140</v>
      </c>
      <c r="I88" s="655"/>
      <c r="J88" s="710">
        <f>H88/DAY(B2)</f>
        <v>6.666666666666667</v>
      </c>
      <c r="K88" s="736"/>
      <c r="L88" s="737"/>
      <c r="N88" s="780"/>
      <c r="O88" s="382"/>
    </row>
    <row r="89" spans="1:15" s="738" customFormat="1">
      <c r="A89" s="733" t="s">
        <v>203</v>
      </c>
      <c r="B89" s="734"/>
      <c r="C89" s="734"/>
      <c r="D89" s="735" t="s">
        <v>182</v>
      </c>
      <c r="E89" s="650">
        <f>'20'!F89</f>
        <v>64961</v>
      </c>
      <c r="F89" s="650">
        <v>64972</v>
      </c>
      <c r="G89" s="1352">
        <f t="shared" si="9"/>
        <v>11</v>
      </c>
      <c r="H89" s="460">
        <f>G89+'20'!H89</f>
        <v>29</v>
      </c>
      <c r="I89" s="655"/>
      <c r="J89" s="710">
        <f>H89/DAY(B2)</f>
        <v>1.3809523809523809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50">
        <f>'20'!F90</f>
        <v>3272.7</v>
      </c>
      <c r="F90" s="650">
        <v>3272.7</v>
      </c>
      <c r="G90" s="1352">
        <f t="shared" si="9"/>
        <v>0</v>
      </c>
      <c r="H90" s="460">
        <f>G90+'20'!H90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50">
        <f>'20'!F91</f>
        <v>27972</v>
      </c>
      <c r="F91" s="650">
        <v>27978</v>
      </c>
      <c r="G91" s="708">
        <f t="shared" si="9"/>
        <v>6</v>
      </c>
      <c r="H91" s="460">
        <f>G91+'20'!H91</f>
        <v>12</v>
      </c>
      <c r="I91" s="655"/>
      <c r="J91" s="710">
        <f>H91/DAY(B2)</f>
        <v>0.5714285714285714</v>
      </c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472"/>
      <c r="F92" s="472"/>
      <c r="G92" s="1341"/>
      <c r="H92" s="472"/>
      <c r="I92" s="472"/>
      <c r="J92" s="551"/>
      <c r="K92" s="380"/>
      <c r="L92" s="378"/>
      <c r="N92" s="779"/>
      <c r="O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f>'20'!F93</f>
        <v>244999</v>
      </c>
      <c r="F93" s="484">
        <v>245036</v>
      </c>
      <c r="G93" s="1338">
        <f t="shared" ref="G93:G94" si="10">F93-E93</f>
        <v>37</v>
      </c>
      <c r="H93" s="460">
        <f>G93+'20'!H93</f>
        <v>612</v>
      </c>
      <c r="I93" s="480"/>
      <c r="J93" s="552">
        <f>H93/DAY(B2)</f>
        <v>29.142857142857142</v>
      </c>
      <c r="K93" s="429"/>
      <c r="L93" s="377"/>
      <c r="N93" s="382"/>
      <c r="O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f>'20'!F94</f>
        <v>185170</v>
      </c>
      <c r="F94" s="484">
        <v>185253</v>
      </c>
      <c r="G94" s="1338">
        <f t="shared" si="10"/>
        <v>83</v>
      </c>
      <c r="H94" s="460">
        <f>G94+'20'!H94</f>
        <v>1722</v>
      </c>
      <c r="I94" s="480"/>
      <c r="J94" s="552">
        <f>H94/DAY(B2)</f>
        <v>82</v>
      </c>
      <c r="K94" s="380"/>
      <c r="L94" s="377"/>
      <c r="N94" s="382"/>
      <c r="O94" s="382"/>
    </row>
    <row r="95" spans="1:15">
      <c r="A95" s="1579" t="s">
        <v>207</v>
      </c>
      <c r="B95" s="1580"/>
      <c r="C95" s="1581"/>
      <c r="D95" s="523"/>
      <c r="E95" s="484">
        <v>0</v>
      </c>
      <c r="F95" s="484">
        <v>0</v>
      </c>
      <c r="G95" s="1338">
        <f>G93+G94</f>
        <v>120</v>
      </c>
      <c r="H95" s="460">
        <f>G95+'20'!H95</f>
        <v>2187</v>
      </c>
      <c r="I95" s="480"/>
      <c r="J95" s="552">
        <f>H95/DAY(B2)</f>
        <v>104.14285714285714</v>
      </c>
      <c r="K95" s="380"/>
      <c r="L95" s="377"/>
      <c r="N95" s="382"/>
      <c r="O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f>'20'!F96</f>
        <v>413718</v>
      </c>
      <c r="F96" s="484">
        <v>413767</v>
      </c>
      <c r="G96" s="1338">
        <f t="shared" ref="G96:G101" si="11">F96-E96</f>
        <v>49</v>
      </c>
      <c r="H96" s="460">
        <f>G96+'20'!H96</f>
        <v>881</v>
      </c>
      <c r="I96" s="480"/>
      <c r="J96" s="552">
        <f>H96/DAY(B2)</f>
        <v>41.952380952380949</v>
      </c>
      <c r="K96" s="380"/>
      <c r="L96" s="377"/>
      <c r="N96" s="382"/>
      <c r="O96" s="382"/>
    </row>
    <row r="97" spans="1:15" ht="27.75">
      <c r="A97" s="1143" t="s">
        <v>209</v>
      </c>
      <c r="B97" s="1144"/>
      <c r="C97" s="1144"/>
      <c r="D97" s="523" t="s">
        <v>143</v>
      </c>
      <c r="E97" s="484">
        <f>'20'!F97</f>
        <v>102534</v>
      </c>
      <c r="F97" s="484">
        <v>102543</v>
      </c>
      <c r="G97" s="1338">
        <f t="shared" si="11"/>
        <v>9</v>
      </c>
      <c r="H97" s="460">
        <f>G97+'20'!H97</f>
        <v>200</v>
      </c>
      <c r="I97" s="480"/>
      <c r="J97" s="552">
        <f>H97/DAY(B2)</f>
        <v>9.5238095238095237</v>
      </c>
      <c r="K97" s="427"/>
      <c r="L97" s="377"/>
      <c r="N97" s="382"/>
      <c r="O97" s="382"/>
    </row>
    <row r="98" spans="1:15" ht="27.75">
      <c r="A98" s="1143" t="s">
        <v>210</v>
      </c>
      <c r="B98" s="1144"/>
      <c r="C98" s="1144"/>
      <c r="D98" s="523" t="s">
        <v>143</v>
      </c>
      <c r="E98" s="484">
        <f>'20'!F98</f>
        <v>97704</v>
      </c>
      <c r="F98" s="484">
        <v>97724</v>
      </c>
      <c r="G98" s="1338">
        <f t="shared" si="11"/>
        <v>20</v>
      </c>
      <c r="H98" s="460">
        <f>G98+'20'!H98</f>
        <v>297</v>
      </c>
      <c r="I98" s="480"/>
      <c r="J98" s="552">
        <f>H98/DAY(B2)</f>
        <v>14.142857142857142</v>
      </c>
      <c r="K98" s="432"/>
      <c r="L98" s="377"/>
      <c r="N98" s="382"/>
      <c r="O98" s="382"/>
    </row>
    <row r="99" spans="1:15" ht="27.75">
      <c r="A99" s="1143" t="s">
        <v>211</v>
      </c>
      <c r="B99" s="1144"/>
      <c r="C99" s="1144"/>
      <c r="D99" s="523" t="s">
        <v>143</v>
      </c>
      <c r="E99" s="484">
        <f>'20'!F99</f>
        <v>149750</v>
      </c>
      <c r="F99" s="484">
        <v>149756</v>
      </c>
      <c r="G99" s="1338">
        <f t="shared" si="11"/>
        <v>6</v>
      </c>
      <c r="H99" s="460">
        <f>G99+'20'!H99</f>
        <v>223</v>
      </c>
      <c r="I99" s="480"/>
      <c r="J99" s="552">
        <f>H99/DAY(B2)</f>
        <v>10.619047619047619</v>
      </c>
      <c r="K99" s="380"/>
      <c r="L99" s="377"/>
      <c r="N99" s="382"/>
      <c r="O99" s="382"/>
    </row>
    <row r="100" spans="1:15" ht="27.75">
      <c r="A100" s="1143" t="s">
        <v>212</v>
      </c>
      <c r="B100" s="1144"/>
      <c r="C100" s="1144"/>
      <c r="D100" s="523" t="s">
        <v>143</v>
      </c>
      <c r="E100" s="484">
        <f>'20'!F100</f>
        <v>7308</v>
      </c>
      <c r="F100" s="484">
        <v>7313</v>
      </c>
      <c r="G100" s="1338">
        <f t="shared" si="11"/>
        <v>5</v>
      </c>
      <c r="H100" s="460">
        <f>G100+'20'!H100</f>
        <v>128</v>
      </c>
      <c r="I100" s="480"/>
      <c r="J100" s="552">
        <f>H100/DAY(B2)</f>
        <v>6.0952380952380949</v>
      </c>
      <c r="K100" s="380"/>
      <c r="L100" s="377"/>
      <c r="N100" s="382"/>
      <c r="O100" s="382"/>
    </row>
    <row r="101" spans="1:15" ht="27.75">
      <c r="A101" s="1143" t="s">
        <v>213</v>
      </c>
      <c r="B101" s="1144"/>
      <c r="C101" s="1144"/>
      <c r="D101" s="523" t="s">
        <v>143</v>
      </c>
      <c r="E101" s="484">
        <f>'20'!F101</f>
        <v>5262</v>
      </c>
      <c r="F101" s="484">
        <v>5276</v>
      </c>
      <c r="G101" s="1338">
        <f t="shared" si="11"/>
        <v>14</v>
      </c>
      <c r="H101" s="460">
        <f>G101+'20'!H101</f>
        <v>138</v>
      </c>
      <c r="I101" s="480"/>
      <c r="J101" s="552">
        <f>H101/DAY(B2)</f>
        <v>6.5714285714285712</v>
      </c>
      <c r="K101" s="380"/>
      <c r="L101" s="377"/>
      <c r="N101" s="382"/>
      <c r="O101" s="382"/>
    </row>
    <row r="102" spans="1:15">
      <c r="A102" s="1579" t="s">
        <v>215</v>
      </c>
      <c r="B102" s="1580"/>
      <c r="C102" s="1581"/>
      <c r="D102" s="524"/>
      <c r="E102" s="524"/>
      <c r="F102" s="524"/>
      <c r="G102" s="1353">
        <f>SUM(G96:G101)</f>
        <v>103</v>
      </c>
      <c r="H102" s="460">
        <f>G102+'20'!H102</f>
        <v>1867</v>
      </c>
      <c r="I102" s="526"/>
      <c r="J102" s="552">
        <f>H102/DAY(B2)</f>
        <v>88.904761904761898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54"/>
      <c r="H103" s="530"/>
      <c r="I103" s="531"/>
      <c r="J103" s="557"/>
      <c r="N103" s="444"/>
      <c r="O103" s="382"/>
    </row>
    <row r="104" spans="1:15" s="442" customFormat="1" ht="27.75">
      <c r="A104" s="1582" t="s">
        <v>217</v>
      </c>
      <c r="B104" s="1583"/>
      <c r="C104" s="573"/>
      <c r="D104" s="622"/>
      <c r="E104" s="532"/>
      <c r="F104" s="532"/>
      <c r="G104" s="1355"/>
      <c r="H104" s="533"/>
      <c r="I104" s="532"/>
      <c r="J104" s="558"/>
      <c r="N104" s="444"/>
      <c r="O104" s="382"/>
    </row>
    <row r="105" spans="1:15" s="442" customFormat="1" ht="27.75">
      <c r="A105" s="1543" t="s">
        <v>218</v>
      </c>
      <c r="B105" s="1544"/>
      <c r="C105" s="1141"/>
      <c r="D105" s="622" t="s">
        <v>143</v>
      </c>
      <c r="E105" s="532">
        <f>'20'!F105</f>
        <v>7473</v>
      </c>
      <c r="F105" s="532">
        <v>7480</v>
      </c>
      <c r="G105" s="1355">
        <f>F105-E105</f>
        <v>7</v>
      </c>
      <c r="H105" s="460">
        <f>G105+'20'!H105</f>
        <v>64</v>
      </c>
      <c r="I105" s="532"/>
      <c r="J105" s="558">
        <f>H105/DAY(B2)</f>
        <v>3.0476190476190474</v>
      </c>
      <c r="N105" s="444"/>
      <c r="O105" s="382"/>
    </row>
    <row r="106" spans="1:15" s="442" customFormat="1" ht="27.75">
      <c r="A106" s="1543" t="s">
        <v>77</v>
      </c>
      <c r="B106" s="1544"/>
      <c r="C106" s="1141"/>
      <c r="D106" s="622" t="s">
        <v>143</v>
      </c>
      <c r="E106" s="534">
        <f>'20'!F106</f>
        <v>35889</v>
      </c>
      <c r="F106" s="534">
        <v>35893</v>
      </c>
      <c r="G106" s="1355">
        <f t="shared" ref="G106:G107" si="12">F106-E106</f>
        <v>4</v>
      </c>
      <c r="H106" s="460">
        <f>G106+'20'!H106</f>
        <v>54</v>
      </c>
      <c r="I106" s="532"/>
      <c r="J106" s="558">
        <f>H106/DAY(B2)</f>
        <v>2.5714285714285716</v>
      </c>
      <c r="N106" s="444"/>
      <c r="O106" s="382"/>
    </row>
    <row r="107" spans="1:15" s="442" customFormat="1" ht="27.75">
      <c r="A107" s="1543" t="s">
        <v>78</v>
      </c>
      <c r="B107" s="1584"/>
      <c r="C107" s="1544"/>
      <c r="D107" s="622" t="s">
        <v>143</v>
      </c>
      <c r="E107" s="532">
        <f>'20'!F107</f>
        <v>19671</v>
      </c>
      <c r="F107" s="532">
        <v>19676</v>
      </c>
      <c r="G107" s="1355">
        <f t="shared" si="12"/>
        <v>5</v>
      </c>
      <c r="H107" s="460">
        <f>G107+'20'!H107</f>
        <v>131</v>
      </c>
      <c r="I107" s="532"/>
      <c r="J107" s="558">
        <f>H107/DAY(B2)</f>
        <v>6.2380952380952381</v>
      </c>
      <c r="N107" s="444"/>
      <c r="O107" s="382"/>
    </row>
    <row r="108" spans="1:15" s="442" customFormat="1" ht="27.75">
      <c r="A108" s="1545" t="s">
        <v>201</v>
      </c>
      <c r="B108" s="1546"/>
      <c r="C108" s="1141"/>
      <c r="D108" s="622"/>
      <c r="E108" s="532">
        <f>'20'!F108</f>
        <v>0</v>
      </c>
      <c r="F108" s="532"/>
      <c r="G108" s="1355">
        <f>SUM(G105:G107)</f>
        <v>16</v>
      </c>
      <c r="H108" s="460">
        <f>G108+'20'!H108</f>
        <v>207</v>
      </c>
      <c r="I108" s="532"/>
      <c r="J108" s="558">
        <f>H108/DAY(B2)</f>
        <v>9.8571428571428577</v>
      </c>
      <c r="N108" s="444"/>
      <c r="O108" s="382"/>
    </row>
    <row r="109" spans="1:15" s="442" customFormat="1" ht="27.75">
      <c r="A109" s="1549" t="s">
        <v>79</v>
      </c>
      <c r="B109" s="1550"/>
      <c r="C109" s="1141"/>
      <c r="D109" s="622" t="s">
        <v>143</v>
      </c>
      <c r="E109" s="532">
        <f>'20'!F109</f>
        <v>0</v>
      </c>
      <c r="F109" s="532"/>
      <c r="G109" s="1355"/>
      <c r="H109" s="460"/>
      <c r="I109" s="532"/>
      <c r="J109" s="558"/>
      <c r="N109" s="444"/>
      <c r="O109" s="382"/>
    </row>
    <row r="110" spans="1:15" s="442" customFormat="1" ht="27.75">
      <c r="A110" s="1543" t="s">
        <v>219</v>
      </c>
      <c r="B110" s="1544"/>
      <c r="C110" s="1141"/>
      <c r="D110" s="622" t="s">
        <v>143</v>
      </c>
      <c r="E110" s="532">
        <f>'20'!F110</f>
        <v>62191</v>
      </c>
      <c r="F110" s="532">
        <v>62230</v>
      </c>
      <c r="G110" s="1355">
        <f>F110-E110</f>
        <v>39</v>
      </c>
      <c r="H110" s="460">
        <f>G110+'20'!H110</f>
        <v>272</v>
      </c>
      <c r="I110" s="532"/>
      <c r="J110" s="558">
        <f>H110/DAY(B2)</f>
        <v>12.952380952380953</v>
      </c>
      <c r="N110" s="444"/>
      <c r="O110" s="382"/>
    </row>
    <row r="111" spans="1:15" s="442" customFormat="1" ht="27.75">
      <c r="A111" s="1543" t="s">
        <v>220</v>
      </c>
      <c r="B111" s="1544"/>
      <c r="C111" s="1141"/>
      <c r="D111" s="622" t="s">
        <v>143</v>
      </c>
      <c r="E111" s="532">
        <f>'20'!F111</f>
        <v>32430</v>
      </c>
      <c r="F111" s="532">
        <v>32433</v>
      </c>
      <c r="G111" s="1355">
        <f t="shared" ref="G111:G112" si="13">F111-E111</f>
        <v>3</v>
      </c>
      <c r="H111" s="460">
        <f>G111+'20'!H111</f>
        <v>44</v>
      </c>
      <c r="I111" s="532"/>
      <c r="J111" s="558">
        <f>H111/DAY(B2)</f>
        <v>2.0952380952380953</v>
      </c>
      <c r="N111" s="444"/>
      <c r="O111" s="382"/>
    </row>
    <row r="112" spans="1:15" s="442" customFormat="1" ht="27.75">
      <c r="A112" s="1543" t="s">
        <v>221</v>
      </c>
      <c r="B112" s="1544"/>
      <c r="C112" s="1141"/>
      <c r="D112" s="622" t="s">
        <v>143</v>
      </c>
      <c r="E112" s="532">
        <f>'20'!F112</f>
        <v>4513</v>
      </c>
      <c r="F112" s="532">
        <v>4513</v>
      </c>
      <c r="G112" s="1355">
        <f t="shared" si="13"/>
        <v>0</v>
      </c>
      <c r="H112" s="460">
        <f>G112+'20'!H112</f>
        <v>259</v>
      </c>
      <c r="I112" s="532"/>
      <c r="J112" s="558">
        <f>H112/DAY(B2)</f>
        <v>12.333333333333334</v>
      </c>
      <c r="N112" s="444"/>
      <c r="O112" s="382"/>
    </row>
    <row r="113" spans="1:15" s="442" customFormat="1" ht="27.75">
      <c r="A113" s="1547" t="s">
        <v>110</v>
      </c>
      <c r="B113" s="1548"/>
      <c r="C113" s="1141"/>
      <c r="D113" s="622"/>
      <c r="E113" s="532">
        <f>'20'!F113</f>
        <v>0</v>
      </c>
      <c r="F113" s="532"/>
      <c r="G113" s="1355">
        <f>SUM(G110:G112)</f>
        <v>42</v>
      </c>
      <c r="H113" s="460">
        <f>G113+'20'!H113</f>
        <v>942</v>
      </c>
      <c r="I113" s="532"/>
      <c r="J113" s="558">
        <f>H113/DAY(B2)</f>
        <v>44.857142857142854</v>
      </c>
      <c r="N113" s="444"/>
      <c r="O113" s="382"/>
    </row>
    <row r="114" spans="1:15" s="442" customFormat="1" ht="27.75">
      <c r="A114" s="1549" t="s">
        <v>222</v>
      </c>
      <c r="B114" s="1550"/>
      <c r="C114" s="1141"/>
      <c r="D114" s="622"/>
      <c r="E114" s="532">
        <f>'20'!F114</f>
        <v>0</v>
      </c>
      <c r="F114" s="532"/>
      <c r="G114" s="135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3" t="s">
        <v>223</v>
      </c>
      <c r="B115" s="1544"/>
      <c r="C115" s="574"/>
      <c r="D115" s="622" t="s">
        <v>143</v>
      </c>
      <c r="E115" s="534">
        <f>'20'!F115</f>
        <v>11420</v>
      </c>
      <c r="F115" s="534">
        <v>11424</v>
      </c>
      <c r="G115" s="1356">
        <f>F115-E115</f>
        <v>4</v>
      </c>
      <c r="H115" s="460">
        <f>G115+'20'!H115</f>
        <v>35</v>
      </c>
      <c r="I115" s="532"/>
      <c r="J115" s="558">
        <f>H115/DAY(B2)</f>
        <v>1.6666666666666667</v>
      </c>
      <c r="N115" s="444"/>
      <c r="O115" s="382"/>
    </row>
    <row r="116" spans="1:15" s="442" customFormat="1" ht="27.75">
      <c r="A116" s="1543" t="s">
        <v>224</v>
      </c>
      <c r="B116" s="1544"/>
      <c r="C116" s="574"/>
      <c r="D116" s="622" t="s">
        <v>143</v>
      </c>
      <c r="E116" s="534">
        <f>'20'!F116</f>
        <v>8219</v>
      </c>
      <c r="F116" s="534">
        <v>8226</v>
      </c>
      <c r="G116" s="1356">
        <f t="shared" ref="G116:G117" si="14">F116-E116</f>
        <v>7</v>
      </c>
      <c r="H116" s="460">
        <f>G116+'20'!H116</f>
        <v>64</v>
      </c>
      <c r="I116" s="532"/>
      <c r="J116" s="558">
        <f>H116/DAY(B2)</f>
        <v>3.0476190476190474</v>
      </c>
      <c r="N116" s="444"/>
      <c r="O116" s="382"/>
    </row>
    <row r="117" spans="1:15" s="442" customFormat="1" ht="27.75">
      <c r="A117" s="1543" t="s">
        <v>225</v>
      </c>
      <c r="B117" s="1544"/>
      <c r="C117" s="574"/>
      <c r="D117" s="622" t="s">
        <v>143</v>
      </c>
      <c r="E117" s="534"/>
      <c r="F117" s="534"/>
      <c r="G117" s="1356">
        <f t="shared" si="14"/>
        <v>0</v>
      </c>
      <c r="H117" s="460">
        <f>G117+'20'!H117</f>
        <v>95</v>
      </c>
      <c r="I117" s="532"/>
      <c r="J117" s="558">
        <f>H117/DAY(B2)</f>
        <v>4.5238095238095237</v>
      </c>
      <c r="N117" s="444"/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1356">
        <f>SUM(G115:G117)</f>
        <v>11</v>
      </c>
      <c r="H118" s="460">
        <f>G118+'20'!H118</f>
        <v>119</v>
      </c>
      <c r="I118" s="534"/>
      <c r="J118" s="558">
        <f>H118/DAY(B2)</f>
        <v>5.666666666666667</v>
      </c>
      <c r="N118" s="447"/>
      <c r="O118" s="382"/>
    </row>
    <row r="119" spans="1:15" s="446" customFormat="1" ht="27.75">
      <c r="A119" s="1539" t="s">
        <v>226</v>
      </c>
      <c r="B119" s="1540"/>
      <c r="C119" s="1140"/>
      <c r="D119" s="624" t="s">
        <v>143</v>
      </c>
      <c r="E119" s="536"/>
      <c r="F119" s="536">
        <f>SUM(G19+G93)</f>
        <v>93</v>
      </c>
      <c r="G119" s="1356">
        <f>SUM(G19+G93)</f>
        <v>93</v>
      </c>
      <c r="H119" s="460">
        <f>G119+'20'!H119</f>
        <v>349</v>
      </c>
      <c r="I119" s="535"/>
      <c r="J119" s="559">
        <f>H119/DAY(B2)</f>
        <v>16.61904761904762</v>
      </c>
      <c r="N119" s="781"/>
      <c r="O119" s="382"/>
    </row>
    <row r="120" spans="1:15" s="446" customFormat="1" ht="27.75">
      <c r="A120" s="1539" t="s">
        <v>227</v>
      </c>
      <c r="B120" s="1540"/>
      <c r="C120" s="1140"/>
      <c r="D120" s="624" t="s">
        <v>143</v>
      </c>
      <c r="E120" s="536"/>
      <c r="F120" s="536">
        <f>SUM(G96,G97,G98,G100,G101)</f>
        <v>97</v>
      </c>
      <c r="G120" s="1356">
        <f>SUM(G96,G97,G98,G100,G101)</f>
        <v>97</v>
      </c>
      <c r="H120" s="460">
        <f>G120+'20'!H120</f>
        <v>280</v>
      </c>
      <c r="I120" s="535"/>
      <c r="J120" s="559">
        <f>H120/DAY(B2)</f>
        <v>13.333333333333334</v>
      </c>
      <c r="N120" s="781"/>
      <c r="O120" s="382"/>
    </row>
    <row r="121" spans="1:15" s="446" customFormat="1" ht="27.75">
      <c r="A121" s="1539" t="s">
        <v>228</v>
      </c>
      <c r="B121" s="1540"/>
      <c r="C121" s="1140"/>
      <c r="D121" s="624" t="s">
        <v>143</v>
      </c>
      <c r="E121" s="534"/>
      <c r="F121" s="534">
        <f>SUM(G113)</f>
        <v>42</v>
      </c>
      <c r="G121" s="1356">
        <f>SUM(G113)</f>
        <v>42</v>
      </c>
      <c r="H121" s="460">
        <f>G121+'20'!H121</f>
        <v>233</v>
      </c>
      <c r="I121" s="535"/>
      <c r="J121" s="559">
        <f>H121/DAY(B2)</f>
        <v>11.095238095238095</v>
      </c>
      <c r="N121" s="781"/>
      <c r="O121" s="382"/>
    </row>
    <row r="122" spans="1:15" s="442" customFormat="1" ht="27.75">
      <c r="A122" s="1541"/>
      <c r="B122" s="1542"/>
      <c r="C122" s="1141"/>
      <c r="D122" s="560"/>
      <c r="E122" s="560"/>
      <c r="F122" s="560" t="s">
        <v>214</v>
      </c>
      <c r="G122" s="1357"/>
      <c r="H122" s="561">
        <v>0</v>
      </c>
      <c r="I122" s="560"/>
      <c r="J122" s="562"/>
      <c r="N122" s="444"/>
      <c r="O122" s="382"/>
    </row>
    <row r="123" spans="1:15">
      <c r="A123" s="1576" t="s">
        <v>229</v>
      </c>
      <c r="B123" s="1577"/>
      <c r="C123" s="1578"/>
      <c r="D123" s="472"/>
      <c r="E123" s="472"/>
      <c r="F123" s="472"/>
      <c r="G123" s="1341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3" t="s">
        <v>230</v>
      </c>
      <c r="B124" s="1144"/>
      <c r="C124" s="1144"/>
      <c r="D124" s="523" t="s">
        <v>140</v>
      </c>
      <c r="E124" s="478">
        <f>'20'!F124</f>
        <v>830124</v>
      </c>
      <c r="F124" s="478">
        <v>830318</v>
      </c>
      <c r="G124" s="1338">
        <f t="shared" ref="G124:G128" si="15">F124-E124</f>
        <v>194</v>
      </c>
      <c r="H124" s="460">
        <f>G124+'20'!H124</f>
        <v>4229.5400000000373</v>
      </c>
      <c r="I124" s="526"/>
      <c r="J124" s="552">
        <f>H124/DAY(B2)</f>
        <v>201.40666666666843</v>
      </c>
      <c r="K124" s="380"/>
      <c r="L124" s="377"/>
      <c r="N124" s="382"/>
      <c r="O124" s="382"/>
    </row>
    <row r="125" spans="1:15" ht="27.75">
      <c r="A125" s="1143" t="s">
        <v>231</v>
      </c>
      <c r="B125" s="1144"/>
      <c r="C125" s="1144"/>
      <c r="D125" s="523" t="s">
        <v>140</v>
      </c>
      <c r="E125" s="626">
        <f>'20'!F125</f>
        <v>73583.399999999994</v>
      </c>
      <c r="F125" s="626">
        <v>73583.399999999994</v>
      </c>
      <c r="G125" s="1338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0" t="s">
        <v>232</v>
      </c>
      <c r="B126" s="1531"/>
      <c r="C126" s="1532"/>
      <c r="D126" s="523" t="s">
        <v>140</v>
      </c>
      <c r="E126" s="478">
        <f>'20'!F126</f>
        <v>145774</v>
      </c>
      <c r="F126" s="478">
        <v>145841</v>
      </c>
      <c r="G126" s="1338">
        <f t="shared" si="15"/>
        <v>67</v>
      </c>
      <c r="H126" s="460">
        <f>G126+'20'!H126</f>
        <v>1153.5599999999977</v>
      </c>
      <c r="I126" s="526"/>
      <c r="J126" s="552">
        <f>H126/DAY(B2)</f>
        <v>54.931428571428462</v>
      </c>
      <c r="K126" s="380"/>
      <c r="L126" s="377"/>
      <c r="N126" s="382"/>
      <c r="O126" s="382"/>
    </row>
    <row r="127" spans="1:15" ht="27.75">
      <c r="A127" s="609" t="s">
        <v>233</v>
      </c>
      <c r="B127" s="1144"/>
      <c r="C127" s="1144"/>
      <c r="D127" s="523" t="s">
        <v>140</v>
      </c>
      <c r="E127" s="626">
        <f>'20'!F127</f>
        <v>31404</v>
      </c>
      <c r="F127" s="626">
        <v>31404</v>
      </c>
      <c r="G127" s="1338">
        <f t="shared" si="15"/>
        <v>0</v>
      </c>
      <c r="H127" s="460">
        <f>G127+'20'!H127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234</v>
      </c>
      <c r="B128" s="1144"/>
      <c r="C128" s="1144"/>
      <c r="D128" s="523" t="s">
        <v>140</v>
      </c>
      <c r="E128" s="626">
        <f>'20'!F128</f>
        <v>8971</v>
      </c>
      <c r="F128" s="626">
        <v>8971</v>
      </c>
      <c r="G128" s="1338">
        <f t="shared" si="15"/>
        <v>0</v>
      </c>
      <c r="H128" s="460">
        <f>G128+'20'!H128</f>
        <v>1.2999999999992724</v>
      </c>
      <c r="I128" s="480"/>
      <c r="J128" s="552">
        <f>H128/DAY(B2)</f>
        <v>6.1904761904727254E-2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4"/>
      <c r="C129" s="1144"/>
      <c r="D129" s="523"/>
      <c r="E129" s="478"/>
      <c r="F129" s="478"/>
      <c r="G129" s="1338">
        <f>G15-SUM(G124:G128)</f>
        <v>273</v>
      </c>
      <c r="H129" s="460">
        <f>G129+'20'!H129</f>
        <v>855</v>
      </c>
      <c r="I129" s="480"/>
      <c r="J129" s="552">
        <f>H129/DAY(B2)</f>
        <v>40.714285714285715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8"/>
      <c r="H130" s="540"/>
      <c r="I130" s="540"/>
      <c r="J130" s="564"/>
      <c r="N130" s="382"/>
      <c r="O130" s="382"/>
    </row>
    <row r="131" spans="1:15" ht="27.75">
      <c r="A131" s="1143" t="s">
        <v>237</v>
      </c>
      <c r="B131" s="1144"/>
      <c r="C131" s="1144"/>
      <c r="D131" s="523" t="s">
        <v>238</v>
      </c>
      <c r="E131" s="484">
        <f>'20'!F131</f>
        <v>0</v>
      </c>
      <c r="F131" s="484">
        <v>0</v>
      </c>
      <c r="G131" s="1338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3" t="s">
        <v>239</v>
      </c>
      <c r="B132" s="1144"/>
      <c r="C132" s="1144"/>
      <c r="D132" s="523" t="s">
        <v>238</v>
      </c>
      <c r="E132" s="484">
        <f>'20'!F132</f>
        <v>0</v>
      </c>
      <c r="F132" s="484">
        <v>0</v>
      </c>
      <c r="G132" s="1338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3" t="s">
        <v>240</v>
      </c>
      <c r="B133" s="1144"/>
      <c r="C133" s="1144"/>
      <c r="D133" s="523" t="s">
        <v>238</v>
      </c>
      <c r="E133" s="541">
        <f>'20'!F133</f>
        <v>40031.519999999997</v>
      </c>
      <c r="F133" s="541">
        <v>40031.519999999997</v>
      </c>
      <c r="G133" s="1338">
        <f t="shared" si="16"/>
        <v>0</v>
      </c>
      <c r="H133" s="460">
        <f>G133+'20'!H133</f>
        <v>285.0399999999936</v>
      </c>
      <c r="I133" s="480"/>
      <c r="J133" s="552">
        <f>H133/DAY(B2)</f>
        <v>13.573333333333029</v>
      </c>
      <c r="N133" s="382"/>
      <c r="O133" s="382"/>
    </row>
    <row r="134" spans="1:15" s="441" customFormat="1" ht="27.75">
      <c r="A134" s="1073" t="s">
        <v>241</v>
      </c>
      <c r="B134" s="1074"/>
      <c r="C134" s="1074"/>
      <c r="D134" s="627" t="s">
        <v>238</v>
      </c>
      <c r="E134" s="541">
        <f>'20'!F134</f>
        <v>300</v>
      </c>
      <c r="F134" s="541">
        <v>300</v>
      </c>
      <c r="G134" s="1359">
        <f t="shared" si="16"/>
        <v>0</v>
      </c>
      <c r="H134" s="708">
        <f>G134+'20'!H134</f>
        <v>0</v>
      </c>
      <c r="I134" s="1075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3" t="s">
        <v>242</v>
      </c>
      <c r="B135" s="1144"/>
      <c r="C135" s="1144"/>
      <c r="D135" s="523" t="s">
        <v>238</v>
      </c>
      <c r="E135" s="541">
        <f>'20'!F135</f>
        <v>41589</v>
      </c>
      <c r="F135" s="541">
        <v>41613</v>
      </c>
      <c r="G135" s="1338">
        <f t="shared" si="16"/>
        <v>24</v>
      </c>
      <c r="H135" s="460">
        <f>G135+'20'!H135</f>
        <v>228</v>
      </c>
      <c r="I135" s="480"/>
      <c r="J135" s="552">
        <f>H135/DAY(B2)</f>
        <v>10.857142857142858</v>
      </c>
      <c r="N135" s="382"/>
      <c r="O135" s="382"/>
    </row>
    <row r="136" spans="1:15" ht="27.75">
      <c r="A136" s="1143" t="s">
        <v>243</v>
      </c>
      <c r="B136" s="1144"/>
      <c r="C136" s="1144"/>
      <c r="D136" s="523" t="s">
        <v>238</v>
      </c>
      <c r="E136" s="541">
        <f>'20'!F136</f>
        <v>32582.92</v>
      </c>
      <c r="F136" s="541">
        <v>32582.92</v>
      </c>
      <c r="G136" s="1338">
        <f t="shared" si="16"/>
        <v>0</v>
      </c>
      <c r="H136" s="460">
        <f>G136+'20'!H136</f>
        <v>-8.000000000174623E-2</v>
      </c>
      <c r="I136" s="480"/>
      <c r="J136" s="552">
        <f>H136/DAY(B2)</f>
        <v>-3.8095238096069635E-3</v>
      </c>
      <c r="N136" s="382"/>
      <c r="O136" s="382"/>
    </row>
    <row r="137" spans="1:15" ht="27.75">
      <c r="A137" s="1143" t="s">
        <v>244</v>
      </c>
      <c r="B137" s="1144"/>
      <c r="C137" s="1144"/>
      <c r="D137" s="523" t="s">
        <v>238</v>
      </c>
      <c r="E137" s="541">
        <f>'20'!F137</f>
        <v>22773.200000000001</v>
      </c>
      <c r="F137" s="541">
        <v>22775.91</v>
      </c>
      <c r="G137" s="1338">
        <f t="shared" si="16"/>
        <v>2.7099999999991269</v>
      </c>
      <c r="H137" s="460">
        <f>G137+'20'!H137</f>
        <v>36.319999999999709</v>
      </c>
      <c r="I137" s="480">
        <f>G135+G136+G137</f>
        <v>26.709999999999127</v>
      </c>
      <c r="J137" s="552">
        <f>H137/DAY(B2)</f>
        <v>1.7295238095237957</v>
      </c>
      <c r="N137" s="382"/>
      <c r="O137" s="382"/>
    </row>
    <row r="138" spans="1:15" ht="27.75">
      <c r="A138" s="1143" t="s">
        <v>245</v>
      </c>
      <c r="B138" s="1144"/>
      <c r="C138" s="1144"/>
      <c r="D138" s="523" t="s">
        <v>238</v>
      </c>
      <c r="E138" s="541">
        <f>'20'!F138</f>
        <v>25051.72</v>
      </c>
      <c r="F138" s="541">
        <v>25051.72</v>
      </c>
      <c r="G138" s="1338">
        <f t="shared" si="16"/>
        <v>0</v>
      </c>
      <c r="H138" s="460">
        <f>G138+'20'!H138</f>
        <v>0.13000000000101863</v>
      </c>
      <c r="I138" s="480"/>
      <c r="J138" s="552">
        <f>H138/DAY(B2)</f>
        <v>6.190476190524697E-3</v>
      </c>
      <c r="N138" s="382"/>
      <c r="O138" s="382"/>
    </row>
    <row r="139" spans="1:15" ht="27.75">
      <c r="A139" s="1143" t="s">
        <v>246</v>
      </c>
      <c r="B139" s="1144"/>
      <c r="C139" s="1144"/>
      <c r="D139" s="523" t="s">
        <v>238</v>
      </c>
      <c r="E139" s="541">
        <f>'20'!F139</f>
        <v>70370.02</v>
      </c>
      <c r="F139" s="541">
        <v>70376.649999999994</v>
      </c>
      <c r="G139" s="1338">
        <f t="shared" si="16"/>
        <v>6.6299999999901047</v>
      </c>
      <c r="H139" s="460">
        <f>G139+'20'!H139</f>
        <v>60.839999999996508</v>
      </c>
      <c r="I139" s="480">
        <f>G138+G139</f>
        <v>6.6299999999901047</v>
      </c>
      <c r="J139" s="552">
        <f>H139/DAY(B2)</f>
        <v>2.8971428571426907</v>
      </c>
      <c r="N139" s="382"/>
      <c r="O139" s="382"/>
    </row>
    <row r="140" spans="1:15" ht="27.75">
      <c r="A140" s="1143" t="s">
        <v>247</v>
      </c>
      <c r="B140" s="1144"/>
      <c r="C140" s="1144"/>
      <c r="D140" s="523" t="s">
        <v>238</v>
      </c>
      <c r="E140" s="484">
        <f>'20'!F140</f>
        <v>1770.76</v>
      </c>
      <c r="F140" s="484">
        <v>1777.78</v>
      </c>
      <c r="G140" s="1338">
        <f t="shared" si="16"/>
        <v>7.0199999999999818</v>
      </c>
      <c r="H140" s="460">
        <f>G140+'20'!H140</f>
        <v>160.92000000000007</v>
      </c>
      <c r="I140" s="542"/>
      <c r="J140" s="552">
        <f>H140/DAY(B2)</f>
        <v>7.6628571428571464</v>
      </c>
      <c r="N140" s="382"/>
      <c r="O140" s="382"/>
    </row>
    <row r="141" spans="1:15" ht="27.75">
      <c r="A141" s="1143" t="s">
        <v>248</v>
      </c>
      <c r="B141" s="1144"/>
      <c r="C141" s="1144"/>
      <c r="D141" s="523" t="s">
        <v>238</v>
      </c>
      <c r="E141" s="484">
        <f>'20'!F141</f>
        <v>4636.88</v>
      </c>
      <c r="F141" s="484">
        <v>4636.88</v>
      </c>
      <c r="G141" s="1338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57" t="s">
        <v>249</v>
      </c>
      <c r="B142" s="1558"/>
      <c r="C142" s="1149"/>
      <c r="D142" s="472"/>
      <c r="E142" s="472"/>
      <c r="F142" s="472"/>
      <c r="G142" s="1341"/>
      <c r="H142" s="483"/>
      <c r="I142" s="483"/>
      <c r="J142" s="563"/>
      <c r="K142" s="380"/>
      <c r="L142" s="377"/>
      <c r="N142" s="382"/>
      <c r="O142" s="382"/>
    </row>
    <row r="143" spans="1:15" ht="27.75">
      <c r="A143" s="1551" t="s">
        <v>250</v>
      </c>
      <c r="B143" s="1552"/>
      <c r="C143" s="1553"/>
      <c r="D143" s="523" t="s">
        <v>131</v>
      </c>
      <c r="E143" s="523"/>
      <c r="F143" s="523"/>
      <c r="G143" s="1351">
        <f>G35+G43+G49+G57</f>
        <v>3976.1300000000047</v>
      </c>
      <c r="H143" s="460">
        <f>G143+'20'!H143</f>
        <v>85960</v>
      </c>
      <c r="I143" s="480"/>
      <c r="J143" s="552">
        <f>H143/DAY(B2)</f>
        <v>4093.3333333333335</v>
      </c>
      <c r="K143" s="380"/>
      <c r="L143" s="377"/>
      <c r="N143" s="382"/>
      <c r="O143" s="382"/>
    </row>
    <row r="144" spans="1:15" ht="27.75">
      <c r="A144" s="1551" t="s">
        <v>251</v>
      </c>
      <c r="B144" s="1552"/>
      <c r="C144" s="1553"/>
      <c r="D144" s="523" t="s">
        <v>24</v>
      </c>
      <c r="E144" s="511"/>
      <c r="F144" s="511"/>
      <c r="G144" s="1360">
        <f>G143/G7</f>
        <v>0.24832188358730981</v>
      </c>
      <c r="H144" s="460">
        <f>G144+'20'!H144</f>
        <v>5.5302989203892921</v>
      </c>
      <c r="I144" s="544"/>
      <c r="J144" s="552">
        <f>H144/DAY(B2)</f>
        <v>0.26334756763758532</v>
      </c>
      <c r="K144" s="380"/>
      <c r="L144" s="377"/>
      <c r="N144" s="382"/>
      <c r="O144" s="382"/>
    </row>
    <row r="145" spans="1:15" ht="27.75">
      <c r="A145" s="1551" t="s">
        <v>252</v>
      </c>
      <c r="B145" s="1552"/>
      <c r="C145" s="1553"/>
      <c r="D145" s="523" t="s">
        <v>131</v>
      </c>
      <c r="E145" s="455"/>
      <c r="F145" s="455"/>
      <c r="G145" s="1351">
        <f>G41+G42+G55+G56</f>
        <v>5144</v>
      </c>
      <c r="H145" s="460">
        <f>G145+'20'!H145</f>
        <v>101751.53000000003</v>
      </c>
      <c r="I145" s="480"/>
      <c r="J145" s="552">
        <f>H145/DAY(B2)</f>
        <v>4845.3109523809535</v>
      </c>
      <c r="K145" s="380"/>
      <c r="L145" s="377"/>
      <c r="N145" s="382"/>
      <c r="O145" s="382"/>
    </row>
    <row r="146" spans="1:15" ht="27.75">
      <c r="A146" s="1551" t="s">
        <v>253</v>
      </c>
      <c r="B146" s="1552"/>
      <c r="C146" s="1553"/>
      <c r="D146" s="523" t="s">
        <v>24</v>
      </c>
      <c r="E146" s="455"/>
      <c r="F146" s="455"/>
      <c r="G146" s="1360">
        <f>G145/G7</f>
        <v>0.32125905570821883</v>
      </c>
      <c r="H146" s="460">
        <f>G146+'20'!H146</f>
        <v>6.555106548660282</v>
      </c>
      <c r="I146" s="544"/>
      <c r="J146" s="552">
        <f>H146/DAY(B2)</f>
        <v>0.31214793088858483</v>
      </c>
      <c r="K146" s="380"/>
      <c r="L146" s="377"/>
      <c r="N146" s="382"/>
      <c r="O146" s="382"/>
    </row>
    <row r="147" spans="1:15" ht="27.75">
      <c r="A147" s="1551" t="s">
        <v>254</v>
      </c>
      <c r="B147" s="1552"/>
      <c r="C147" s="1553"/>
      <c r="D147" s="523" t="s">
        <v>131</v>
      </c>
      <c r="E147" s="455"/>
      <c r="F147" s="455"/>
      <c r="G147" s="1351">
        <f>G39+G53</f>
        <v>2103</v>
      </c>
      <c r="H147" s="460">
        <f>G147+'20'!H147</f>
        <v>49297</v>
      </c>
      <c r="I147" s="545"/>
      <c r="J147" s="552">
        <f>H147/DAY(B2)</f>
        <v>2347.4761904761904</v>
      </c>
      <c r="K147" s="380"/>
      <c r="L147" s="377"/>
      <c r="N147" s="382"/>
      <c r="O147" s="382"/>
    </row>
    <row r="148" spans="1:15" ht="27.75">
      <c r="A148" s="1551" t="s">
        <v>255</v>
      </c>
      <c r="B148" s="1552"/>
      <c r="C148" s="1553"/>
      <c r="D148" s="523" t="s">
        <v>24</v>
      </c>
      <c r="E148" s="455"/>
      <c r="F148" s="455"/>
      <c r="G148" s="1360">
        <f>G147/G7</f>
        <v>0.13133899575318511</v>
      </c>
      <c r="H148" s="460">
        <f>G148+'20'!H148</f>
        <v>3.1788970353212753</v>
      </c>
      <c r="I148" s="545"/>
      <c r="J148" s="552">
        <f>H148/DAY(B2)</f>
        <v>0.15137604930101312</v>
      </c>
      <c r="N148" s="382"/>
      <c r="O148" s="382"/>
    </row>
    <row r="149" spans="1:15" ht="27.75">
      <c r="A149" s="1551" t="s">
        <v>256</v>
      </c>
      <c r="B149" s="1552"/>
      <c r="C149" s="1553"/>
      <c r="D149" s="523" t="s">
        <v>182</v>
      </c>
      <c r="E149" s="455"/>
      <c r="F149" s="455"/>
      <c r="G149" s="1351">
        <f>G38+G52</f>
        <v>1150.0699999999488</v>
      </c>
      <c r="H149" s="460">
        <f>G149+'20'!H149</f>
        <v>24396.069999999949</v>
      </c>
      <c r="I149" s="480"/>
      <c r="J149" s="552">
        <f>H149/DAY(B2)</f>
        <v>1161.7176190476166</v>
      </c>
      <c r="K149" s="381"/>
      <c r="N149" s="382"/>
      <c r="O149" s="382"/>
    </row>
    <row r="150" spans="1:15" ht="27.75">
      <c r="A150" s="1551" t="s">
        <v>257</v>
      </c>
      <c r="B150" s="1552"/>
      <c r="C150" s="1553"/>
      <c r="D150" s="523" t="s">
        <v>24</v>
      </c>
      <c r="E150" s="455"/>
      <c r="F150" s="455"/>
      <c r="G150" s="1360">
        <f>G149/G7</f>
        <v>7.1825505870593859E-2</v>
      </c>
      <c r="H150" s="460">
        <f>G150+'20'!H150</f>
        <v>1.5695896369631133</v>
      </c>
      <c r="I150" s="545"/>
      <c r="J150" s="552">
        <f>H150/DAY(B2)</f>
        <v>7.4742363664910161E-2</v>
      </c>
      <c r="N150" s="382"/>
      <c r="O150" s="382"/>
    </row>
    <row r="151" spans="1:15" ht="27.75">
      <c r="A151" s="1551" t="s">
        <v>258</v>
      </c>
      <c r="B151" s="1552"/>
      <c r="C151" s="1553"/>
      <c r="D151" s="523" t="s">
        <v>182</v>
      </c>
      <c r="E151" s="455"/>
      <c r="F151" s="455"/>
      <c r="G151" s="1351">
        <f>G36+G50</f>
        <v>800</v>
      </c>
      <c r="H151" s="460">
        <f>G151+'20'!H151</f>
        <v>21193</v>
      </c>
      <c r="I151" s="545"/>
      <c r="J151" s="552">
        <f>H151/DAY(B2)</f>
        <v>1009.1904761904761</v>
      </c>
      <c r="N151" s="382"/>
      <c r="O151" s="382"/>
    </row>
    <row r="152" spans="1:15" ht="27.75">
      <c r="A152" s="1551" t="s">
        <v>259</v>
      </c>
      <c r="B152" s="1552"/>
      <c r="C152" s="1553"/>
      <c r="D152" s="523" t="s">
        <v>24</v>
      </c>
      <c r="E152" s="455"/>
      <c r="F152" s="455"/>
      <c r="G152" s="1360">
        <f>G151/G7</f>
        <v>4.9962528103922058E-2</v>
      </c>
      <c r="H152" s="460">
        <f>G152+'20'!H152</f>
        <v>1.3555693637606043</v>
      </c>
      <c r="I152" s="480"/>
      <c r="J152" s="552">
        <f>H152/DAY(B2)</f>
        <v>6.4550922083838308E-2</v>
      </c>
      <c r="N152" s="382"/>
      <c r="O152" s="382"/>
    </row>
    <row r="153" spans="1:15" ht="27.75">
      <c r="A153" s="1551" t="s">
        <v>260</v>
      </c>
      <c r="B153" s="1552"/>
      <c r="C153" s="1553"/>
      <c r="D153" s="523" t="s">
        <v>182</v>
      </c>
      <c r="E153" s="455"/>
      <c r="F153" s="455"/>
      <c r="G153" s="1351">
        <f>G37+G51</f>
        <v>1333</v>
      </c>
      <c r="H153" s="460">
        <f>G153+'20'!H153</f>
        <v>25958</v>
      </c>
      <c r="I153" s="480"/>
      <c r="J153" s="552">
        <f>H153/DAY(B2)</f>
        <v>1236.0952380952381</v>
      </c>
      <c r="N153" s="382"/>
      <c r="O153" s="382"/>
    </row>
    <row r="154" spans="1:15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1361">
        <f>G153/G7</f>
        <v>8.3250062453160134E-2</v>
      </c>
      <c r="H154" s="460">
        <f>G154+'20'!H154</f>
        <v>1.6733064577361558</v>
      </c>
      <c r="I154" s="568"/>
      <c r="J154" s="569">
        <f>H154/DAY(B2)</f>
        <v>7.9681259892197903E-2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2"/>
      <c r="H155" s="547"/>
      <c r="I155" s="546"/>
      <c r="J155" s="548"/>
      <c r="O155" s="382"/>
    </row>
    <row r="161" spans="1:12">
      <c r="A161" s="787" t="s">
        <v>262</v>
      </c>
      <c r="B161" s="788"/>
      <c r="C161" s="788"/>
      <c r="D161" s="511" t="s">
        <v>186</v>
      </c>
      <c r="E161" s="661">
        <f>'20'!F161</f>
        <v>37539</v>
      </c>
      <c r="F161" s="661">
        <v>37620</v>
      </c>
      <c r="G161" s="1338">
        <f t="shared" ref="G161:G164" si="17">F161-E161</f>
        <v>81</v>
      </c>
      <c r="K161" s="376">
        <v>68.829999999999927</v>
      </c>
      <c r="L161" s="376">
        <f t="shared" ref="L161:L172" si="18">G161-K161</f>
        <v>12.170000000000073</v>
      </c>
    </row>
    <row r="162" spans="1:12">
      <c r="A162" s="787" t="s">
        <v>263</v>
      </c>
      <c r="B162" s="788"/>
      <c r="C162" s="788"/>
      <c r="D162" s="511" t="s">
        <v>186</v>
      </c>
      <c r="E162" s="661">
        <f>'20'!F162</f>
        <v>90557</v>
      </c>
      <c r="F162" s="661">
        <v>90943</v>
      </c>
      <c r="G162" s="1338">
        <f t="shared" si="17"/>
        <v>386</v>
      </c>
      <c r="K162" s="376">
        <v>122.46000000000004</v>
      </c>
      <c r="L162" s="376">
        <f t="shared" si="18"/>
        <v>263.53999999999996</v>
      </c>
    </row>
    <row r="163" spans="1:12">
      <c r="A163" s="787" t="s">
        <v>264</v>
      </c>
      <c r="B163" s="788"/>
      <c r="C163" s="788"/>
      <c r="D163" s="511" t="s">
        <v>186</v>
      </c>
      <c r="E163" s="661">
        <f>'20'!F163</f>
        <v>42697</v>
      </c>
      <c r="F163" s="661">
        <v>42901</v>
      </c>
      <c r="G163" s="1338">
        <f t="shared" si="17"/>
        <v>204</v>
      </c>
      <c r="K163" s="376">
        <v>139.42000000000007</v>
      </c>
      <c r="L163" s="376">
        <f t="shared" si="18"/>
        <v>64.579999999999927</v>
      </c>
    </row>
    <row r="164" spans="1:12">
      <c r="A164" s="787" t="s">
        <v>265</v>
      </c>
      <c r="B164" s="788"/>
      <c r="C164" s="788"/>
      <c r="D164" s="511" t="s">
        <v>186</v>
      </c>
      <c r="E164" s="661">
        <f>'20'!F164</f>
        <v>6474</v>
      </c>
      <c r="F164" s="661">
        <v>6483</v>
      </c>
      <c r="G164" s="1338">
        <f t="shared" si="17"/>
        <v>9</v>
      </c>
      <c r="K164" s="376">
        <v>49.659999999999968</v>
      </c>
      <c r="L164" s="376">
        <f t="shared" si="18"/>
        <v>-40.659999999999968</v>
      </c>
    </row>
    <row r="165" spans="1:12">
      <c r="A165" s="789" t="s">
        <v>98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8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9" t="s">
        <v>187</v>
      </c>
      <c r="B166" s="604"/>
      <c r="C166" s="604"/>
      <c r="D166" s="511" t="s">
        <v>186</v>
      </c>
      <c r="E166" s="514">
        <f t="shared" ref="E166:E172" si="20">E63</f>
        <v>2435</v>
      </c>
      <c r="F166" s="514">
        <f t="shared" ref="F166:F172" si="21">F63</f>
        <v>2438</v>
      </c>
      <c r="G166" s="1338">
        <f t="shared" si="19"/>
        <v>3</v>
      </c>
      <c r="K166" s="376">
        <v>0</v>
      </c>
      <c r="L166" s="376">
        <f t="shared" si="18"/>
        <v>3</v>
      </c>
    </row>
    <row r="167" spans="1:12" ht="27.75">
      <c r="A167" s="1526" t="s">
        <v>99</v>
      </c>
      <c r="B167" s="1526"/>
      <c r="C167" s="1526"/>
      <c r="D167" s="523" t="s">
        <v>186</v>
      </c>
      <c r="E167" s="514">
        <f t="shared" si="20"/>
        <v>157797</v>
      </c>
      <c r="F167" s="514">
        <f t="shared" si="21"/>
        <v>157972</v>
      </c>
      <c r="G167" s="1338">
        <f t="shared" si="19"/>
        <v>175</v>
      </c>
      <c r="K167" s="376">
        <v>201.76000000000204</v>
      </c>
      <c r="L167" s="376">
        <f t="shared" si="18"/>
        <v>-26.760000000002037</v>
      </c>
    </row>
    <row r="168" spans="1:12" ht="27.75">
      <c r="A168" s="1526" t="s">
        <v>100</v>
      </c>
      <c r="B168" s="1526"/>
      <c r="C168" s="1526"/>
      <c r="D168" s="523" t="s">
        <v>186</v>
      </c>
      <c r="E168" s="514">
        <f t="shared" si="20"/>
        <v>158634</v>
      </c>
      <c r="F168" s="514">
        <f t="shared" si="21"/>
        <v>158840</v>
      </c>
      <c r="G168" s="1338">
        <f t="shared" si="19"/>
        <v>206</v>
      </c>
      <c r="K168" s="376">
        <v>191.63000000000466</v>
      </c>
      <c r="L168" s="376">
        <f t="shared" si="18"/>
        <v>14.369999999995343</v>
      </c>
    </row>
    <row r="169" spans="1:12" ht="27.75">
      <c r="A169" s="1526" t="s">
        <v>101</v>
      </c>
      <c r="B169" s="1526"/>
      <c r="C169" s="1526"/>
      <c r="D169" s="523" t="s">
        <v>186</v>
      </c>
      <c r="E169" s="514">
        <f t="shared" si="20"/>
        <v>53739</v>
      </c>
      <c r="F169" s="514">
        <f t="shared" si="21"/>
        <v>54000</v>
      </c>
      <c r="G169" s="1338">
        <f t="shared" si="19"/>
        <v>261</v>
      </c>
      <c r="K169" s="376">
        <v>231.68000000000029</v>
      </c>
      <c r="L169" s="376">
        <f t="shared" si="18"/>
        <v>29.319999999999709</v>
      </c>
    </row>
    <row r="170" spans="1:12" ht="27.75">
      <c r="A170" s="1526" t="s">
        <v>102</v>
      </c>
      <c r="B170" s="1526"/>
      <c r="C170" s="1526"/>
      <c r="D170" s="523" t="s">
        <v>186</v>
      </c>
      <c r="E170" s="514">
        <f t="shared" si="20"/>
        <v>247210</v>
      </c>
      <c r="F170" s="514">
        <f t="shared" si="21"/>
        <v>247691</v>
      </c>
      <c r="G170" s="1338">
        <f t="shared" si="19"/>
        <v>481</v>
      </c>
      <c r="K170" s="376">
        <v>344.30000000000291</v>
      </c>
      <c r="L170" s="376">
        <f t="shared" si="18"/>
        <v>136.69999999999709</v>
      </c>
    </row>
    <row r="171" spans="1:12" ht="27.75">
      <c r="A171" s="1526" t="s">
        <v>103</v>
      </c>
      <c r="B171" s="1526"/>
      <c r="C171" s="1526"/>
      <c r="D171" s="523" t="s">
        <v>186</v>
      </c>
      <c r="E171" s="514">
        <f t="shared" si="20"/>
        <v>85321</v>
      </c>
      <c r="F171" s="514">
        <f t="shared" si="21"/>
        <v>85321</v>
      </c>
      <c r="G171" s="1338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26" t="s">
        <v>104</v>
      </c>
      <c r="B172" s="1526"/>
      <c r="C172" s="1526"/>
      <c r="D172" s="523" t="s">
        <v>186</v>
      </c>
      <c r="E172" s="514">
        <f t="shared" si="20"/>
        <v>80521</v>
      </c>
      <c r="F172" s="514">
        <f t="shared" si="21"/>
        <v>80597</v>
      </c>
      <c r="G172" s="1338">
        <f t="shared" si="19"/>
        <v>76</v>
      </c>
      <c r="K172" s="376">
        <v>57.709999999999127</v>
      </c>
      <c r="L172" s="376">
        <f t="shared" si="18"/>
        <v>18.290000000000873</v>
      </c>
    </row>
    <row r="173" spans="1:12">
      <c r="G173" s="1363">
        <f>SUM(G161:G172)</f>
        <v>1882</v>
      </c>
    </row>
    <row r="174" spans="1:12" ht="27.75">
      <c r="A174" s="1526" t="s">
        <v>355</v>
      </c>
      <c r="B174" s="1526"/>
      <c r="C174" s="1526"/>
      <c r="D174" s="523" t="s">
        <v>186</v>
      </c>
      <c r="E174" s="514"/>
      <c r="F174" s="514"/>
      <c r="G174" s="473"/>
    </row>
    <row r="177" spans="6:6" ht="18.75" customHeight="1"/>
    <row r="178" spans="6:6" ht="21" customHeight="1">
      <c r="F178" s="537" t="s">
        <v>275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4"/>
  <sheetViews>
    <sheetView view="pageBreakPreview" zoomScale="55" zoomScaleNormal="71" zoomScaleSheetLayoutView="55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358</v>
      </c>
      <c r="B2" s="1035">
        <v>44338</v>
      </c>
      <c r="C2" s="1370" t="s">
        <v>69</v>
      </c>
      <c r="D2" s="611">
        <v>0.35</v>
      </c>
      <c r="E2" s="461"/>
      <c r="F2" s="461"/>
      <c r="G2" s="1334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70" t="s">
        <v>119</v>
      </c>
      <c r="D3" s="612">
        <v>27</v>
      </c>
      <c r="E3" s="1568" t="s">
        <v>120</v>
      </c>
      <c r="F3" s="1569"/>
      <c r="G3" s="133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0" t="s">
        <v>121</v>
      </c>
      <c r="D4" s="611">
        <v>0.84</v>
      </c>
      <c r="E4" s="464"/>
      <c r="F4" s="464"/>
      <c r="G4" s="1335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6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2" t="s">
        <v>129</v>
      </c>
      <c r="B6" s="1563"/>
      <c r="C6" s="1564"/>
      <c r="D6" s="471"/>
      <c r="E6" s="471"/>
      <c r="F6" s="471"/>
      <c r="G6" s="1337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'21'!F7</f>
        <v>171650</v>
      </c>
      <c r="F7" s="455">
        <v>189409</v>
      </c>
      <c r="G7" s="1338">
        <f>F7-E7</f>
        <v>17759</v>
      </c>
      <c r="H7" s="460">
        <f>G7+'21'!H7</f>
        <v>344432</v>
      </c>
      <c r="I7" s="474">
        <f>'1'!I7</f>
        <v>12000</v>
      </c>
      <c r="J7" s="552">
        <f>H7/DAY(B2)</f>
        <v>15656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'21'!F8</f>
        <v>173011</v>
      </c>
      <c r="F8" s="475">
        <v>190825</v>
      </c>
      <c r="G8" s="1339">
        <f>F8-E8</f>
        <v>17814</v>
      </c>
      <c r="H8" s="460">
        <f>G8+'21'!H8</f>
        <v>346584</v>
      </c>
      <c r="I8" s="477">
        <f>'1'!I8</f>
        <v>12000</v>
      </c>
      <c r="J8" s="552">
        <f>H8/DAY(B2)</f>
        <v>15753.818181818182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'21'!F9</f>
        <v>1306521</v>
      </c>
      <c r="F9" s="478">
        <v>1323735</v>
      </c>
      <c r="G9" s="1338">
        <f t="shared" ref="G9:G12" si="0">F9-E9</f>
        <v>17214</v>
      </c>
      <c r="H9" s="460">
        <f>G9+'21'!H9</f>
        <v>333021</v>
      </c>
      <c r="I9" s="479">
        <f>I8-J8</f>
        <v>-3753.818181818182</v>
      </c>
      <c r="J9" s="552">
        <f>H9/DAY(B2)</f>
        <v>15137.318181818182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'21'!F10</f>
        <v>2322.58</v>
      </c>
      <c r="F10" s="478">
        <v>2322.58</v>
      </c>
      <c r="G10" s="1338">
        <f t="shared" si="0"/>
        <v>0</v>
      </c>
      <c r="H10" s="460">
        <f>G10+'21'!H10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1338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1338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40">
        <f>G9+G10+G11+G12</f>
        <v>17214</v>
      </c>
      <c r="H13" s="460">
        <f>G13+'21'!H13</f>
        <v>318500</v>
      </c>
      <c r="I13" s="482">
        <f>G7-G13</f>
        <v>545</v>
      </c>
      <c r="J13" s="552">
        <f>H13/DAY(B2)</f>
        <v>14477.272727272728</v>
      </c>
      <c r="K13" s="428"/>
      <c r="L13" s="377"/>
      <c r="N13" s="382"/>
      <c r="O13" s="382"/>
    </row>
    <row r="14" spans="1:15">
      <c r="A14" s="1565" t="s">
        <v>138</v>
      </c>
      <c r="B14" s="1566"/>
      <c r="C14" s="1567"/>
      <c r="D14" s="472"/>
      <c r="E14" s="472"/>
      <c r="F14" s="472"/>
      <c r="G14" s="1341"/>
      <c r="H14" s="472"/>
      <c r="I14" s="472"/>
      <c r="J14" s="551"/>
      <c r="K14" s="429"/>
      <c r="L14" s="377"/>
      <c r="N14" s="382"/>
      <c r="O14" s="382"/>
    </row>
    <row r="15" spans="1:15">
      <c r="A15" s="1368" t="s">
        <v>139</v>
      </c>
      <c r="B15" s="589"/>
      <c r="C15" s="589"/>
      <c r="D15" s="523" t="s">
        <v>140</v>
      </c>
      <c r="E15" s="484">
        <f>'21'!F15</f>
        <v>1679450</v>
      </c>
      <c r="F15" s="484">
        <v>1680082</v>
      </c>
      <c r="G15" s="1342">
        <f>(F15-E15)</f>
        <v>632</v>
      </c>
      <c r="H15" s="460">
        <f>G15+'21'!H15</f>
        <v>9425</v>
      </c>
      <c r="I15" s="474">
        <v>800</v>
      </c>
      <c r="J15" s="552">
        <f>H15/DAY(B2)</f>
        <v>428.40909090909093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38"/>
      <c r="H16" s="486"/>
      <c r="I16" s="487">
        <f>I15-J15</f>
        <v>371.59090909090907</v>
      </c>
      <c r="J16" s="553"/>
      <c r="K16" s="428"/>
      <c r="L16" s="377"/>
      <c r="N16" s="382"/>
      <c r="O16" s="382"/>
    </row>
    <row r="17" spans="1:15">
      <c r="A17" s="1565" t="s">
        <v>141</v>
      </c>
      <c r="B17" s="1566"/>
      <c r="C17" s="1567"/>
      <c r="D17" s="472"/>
      <c r="E17" s="472"/>
      <c r="F17" s="472"/>
      <c r="G17" s="1341"/>
      <c r="H17" s="472"/>
      <c r="I17" s="472"/>
      <c r="J17" s="551"/>
      <c r="K17" s="428"/>
      <c r="L17" s="377"/>
      <c r="N17" s="382"/>
      <c r="O17" s="382"/>
    </row>
    <row r="18" spans="1:15" ht="27.75">
      <c r="A18" s="1551" t="s">
        <v>142</v>
      </c>
      <c r="B18" s="1552"/>
      <c r="C18" s="1553"/>
      <c r="D18" s="523" t="s">
        <v>143</v>
      </c>
      <c r="E18" s="484">
        <f>'21'!F18</f>
        <v>4</v>
      </c>
      <c r="F18" s="484">
        <v>9</v>
      </c>
      <c r="G18" s="1340">
        <f>F18*10</f>
        <v>90</v>
      </c>
      <c r="H18" s="460">
        <f>G18+'21'!H18</f>
        <v>770</v>
      </c>
      <c r="I18" s="474">
        <f>'1'!I18</f>
        <v>65</v>
      </c>
      <c r="J18" s="552">
        <f>H18/DAY(B2)</f>
        <v>35</v>
      </c>
      <c r="K18" s="428"/>
      <c r="L18" s="377"/>
      <c r="N18" s="382"/>
      <c r="O18" s="382"/>
    </row>
    <row r="19" spans="1:15" ht="27.75">
      <c r="A19" s="1551" t="s">
        <v>71</v>
      </c>
      <c r="B19" s="1552"/>
      <c r="C19" s="1553"/>
      <c r="D19" s="523" t="s">
        <v>143</v>
      </c>
      <c r="E19" s="484">
        <f>'21'!F19</f>
        <v>139022</v>
      </c>
      <c r="F19" s="484">
        <v>139082</v>
      </c>
      <c r="G19" s="1338">
        <f t="shared" ref="G19" si="1">F19-E19</f>
        <v>60</v>
      </c>
      <c r="H19" s="460">
        <f>G19+'21'!H19</f>
        <v>1270</v>
      </c>
      <c r="I19" s="489"/>
      <c r="J19" s="552">
        <f>H19/DAY(B2)</f>
        <v>57.727272727272727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43">
        <f>G18+G19</f>
        <v>150</v>
      </c>
      <c r="H20" s="460">
        <f>G20+'21'!H20</f>
        <v>2040</v>
      </c>
      <c r="I20" s="492">
        <f>I18-J20</f>
        <v>-27.727272727272734</v>
      </c>
      <c r="J20" s="552">
        <f>H20/DAY(B2)</f>
        <v>92.727272727272734</v>
      </c>
      <c r="K20" s="428"/>
      <c r="L20" s="377"/>
      <c r="N20" s="382"/>
      <c r="O20" s="382"/>
    </row>
    <row r="21" spans="1:15">
      <c r="A21" s="1565" t="s">
        <v>145</v>
      </c>
      <c r="B21" s="1566"/>
      <c r="C21" s="1567"/>
      <c r="D21" s="472"/>
      <c r="E21" s="472"/>
      <c r="F21" s="472"/>
      <c r="G21" s="1341"/>
      <c r="H21" s="472"/>
      <c r="I21" s="472"/>
      <c r="J21" s="551"/>
      <c r="K21" s="428"/>
      <c r="L21" s="377"/>
      <c r="N21" s="382"/>
      <c r="O21" s="382"/>
    </row>
    <row r="22" spans="1:15">
      <c r="A22" s="1368" t="s">
        <v>146</v>
      </c>
      <c r="B22" s="589"/>
      <c r="C22" s="589"/>
      <c r="D22" s="523" t="s">
        <v>147</v>
      </c>
      <c r="E22" s="484">
        <f>'21'!F22</f>
        <v>2970</v>
      </c>
      <c r="F22" s="484">
        <v>2970</v>
      </c>
      <c r="G22" s="1340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8" t="s">
        <v>148</v>
      </c>
      <c r="B23" s="589"/>
      <c r="C23" s="589"/>
      <c r="D23" s="523" t="s">
        <v>147</v>
      </c>
      <c r="E23" s="484">
        <f>'21'!F23</f>
        <v>2000</v>
      </c>
      <c r="F23" s="484">
        <v>2000</v>
      </c>
      <c r="G23" s="1340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'21'!F24</f>
        <v>4970</v>
      </c>
      <c r="F24" s="493">
        <v>4970</v>
      </c>
      <c r="G24" s="1340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0" t="s">
        <v>150</v>
      </c>
      <c r="B25" s="1571"/>
      <c r="C25" s="1572"/>
      <c r="D25" s="471"/>
      <c r="E25" s="471"/>
      <c r="F25" s="471"/>
      <c r="G25" s="134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4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17814</v>
      </c>
      <c r="F27" s="501">
        <v>9</v>
      </c>
      <c r="G27" s="1346">
        <f>E27*F27</f>
        <v>160326</v>
      </c>
      <c r="H27" s="460">
        <f>G27+'21'!H27</f>
        <v>3119256</v>
      </c>
      <c r="I27" s="503"/>
      <c r="J27" s="552">
        <f>H27/DAY(B2)</f>
        <v>141784.36363636365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632</v>
      </c>
      <c r="F28" s="501">
        <v>51.45</v>
      </c>
      <c r="G28" s="1346">
        <f>E28*F28</f>
        <v>32516.400000000001</v>
      </c>
      <c r="H28" s="460">
        <f>G28+'21'!H28</f>
        <v>474433.72899999982</v>
      </c>
      <c r="I28" s="505"/>
      <c r="J28" s="552">
        <f>H28/DAY(B2)</f>
        <v>21565.169499999993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6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60</v>
      </c>
      <c r="F30" s="501">
        <v>134</v>
      </c>
      <c r="G30" s="1346">
        <f>E30*F30</f>
        <v>8040</v>
      </c>
      <c r="H30" s="460">
        <f>G30+'21'!H30</f>
        <v>170180</v>
      </c>
      <c r="I30" s="505"/>
      <c r="J30" s="552">
        <f>H30/DAY(B2)</f>
        <v>7735.454545454545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90</v>
      </c>
      <c r="F31" s="501">
        <v>80</v>
      </c>
      <c r="G31" s="1346">
        <f>E31*F31</f>
        <v>7200</v>
      </c>
      <c r="H31" s="460">
        <f>G31+'21'!H31</f>
        <v>61600</v>
      </c>
      <c r="I31" s="505"/>
      <c r="J31" s="552">
        <f>H31/DAY(B2)</f>
        <v>2800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7">
        <f>G27+G28+G29+G30+G31</f>
        <v>208082.4</v>
      </c>
      <c r="H32" s="460">
        <f>G32+'21'!H32</f>
        <v>3825469.7289999998</v>
      </c>
      <c r="I32" s="509"/>
      <c r="J32" s="552">
        <f>H32/DAY(B2)</f>
        <v>173884.98768181817</v>
      </c>
      <c r="K32" s="373"/>
      <c r="L32" s="443"/>
      <c r="N32" s="444"/>
      <c r="O32" s="382"/>
    </row>
    <row r="33" spans="1:15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  <c r="O33" s="382"/>
    </row>
    <row r="34" spans="1:15">
      <c r="A34" s="598" t="s">
        <v>162</v>
      </c>
      <c r="B34" s="1373"/>
      <c r="C34" s="1373"/>
      <c r="D34" s="472"/>
      <c r="E34" s="471"/>
      <c r="F34" s="471"/>
      <c r="G34" s="1348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'21'!F35</f>
        <v>927416</v>
      </c>
      <c r="F35" s="510">
        <v>929336</v>
      </c>
      <c r="G35" s="1338">
        <f t="shared" ref="G35:G46" si="2">F35-E35</f>
        <v>1920</v>
      </c>
      <c r="H35" s="460">
        <f>G35+'21'!H35</f>
        <v>42877</v>
      </c>
      <c r="I35" s="455"/>
      <c r="J35" s="552">
        <f>H35/DAY(B2)</f>
        <v>1948.9545454545455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'21'!F36</f>
        <v>347065</v>
      </c>
      <c r="F36" s="510">
        <v>347065</v>
      </c>
      <c r="G36" s="1338">
        <f t="shared" si="2"/>
        <v>0</v>
      </c>
      <c r="H36" s="460">
        <f>G36+'21'!H36</f>
        <v>2457</v>
      </c>
      <c r="I36" s="455"/>
      <c r="J36" s="552">
        <f>H36/DAY(B2)</f>
        <v>111.68181818181819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'21'!F37</f>
        <v>121183</v>
      </c>
      <c r="F37" s="510">
        <v>122555</v>
      </c>
      <c r="G37" s="1338">
        <f t="shared" si="2"/>
        <v>1372</v>
      </c>
      <c r="H37" s="460">
        <f>G37+'21'!H37</f>
        <v>27330</v>
      </c>
      <c r="I37" s="455"/>
      <c r="J37" s="552">
        <f>H37/DAY(B2)</f>
        <v>1242.2727272727273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'21'!F38</f>
        <v>143992</v>
      </c>
      <c r="F38" s="469">
        <v>145272</v>
      </c>
      <c r="G38" s="1338">
        <f t="shared" si="2"/>
        <v>1280</v>
      </c>
      <c r="H38" s="460">
        <f>G38+'21'!H38</f>
        <v>25676</v>
      </c>
      <c r="I38" s="455"/>
      <c r="J38" s="552">
        <f>H38/DAY(B2)</f>
        <v>1167.090909090909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'21'!F39</f>
        <v>285105</v>
      </c>
      <c r="F39" s="510">
        <v>288057</v>
      </c>
      <c r="G39" s="1338">
        <f t="shared" si="2"/>
        <v>2952</v>
      </c>
      <c r="H39" s="460">
        <f>G39+'21'!H39</f>
        <v>41404</v>
      </c>
      <c r="I39" s="455"/>
      <c r="J39" s="552">
        <f>H39/DAY(B2)</f>
        <v>1882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'21'!F40</f>
        <v>587</v>
      </c>
      <c r="F40" s="510">
        <v>686</v>
      </c>
      <c r="G40" s="1338">
        <f t="shared" si="2"/>
        <v>99</v>
      </c>
      <c r="H40" s="460">
        <f>G40+'21'!H40</f>
        <v>685.77</v>
      </c>
      <c r="I40" s="455"/>
      <c r="J40" s="552">
        <f>H40/DAY(B2)</f>
        <v>31.171363636363637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'21'!F41</f>
        <v>239668</v>
      </c>
      <c r="F41" s="510">
        <v>240478</v>
      </c>
      <c r="G41" s="1338">
        <f t="shared" si="2"/>
        <v>810</v>
      </c>
      <c r="H41" s="460">
        <f>G41+'21'!H41</f>
        <v>58950</v>
      </c>
      <c r="I41" s="455"/>
      <c r="J41" s="552">
        <f>H41/DAY(B2)</f>
        <v>2679.5454545454545</v>
      </c>
      <c r="K41" s="428"/>
      <c r="L41" s="377"/>
      <c r="N41" s="382"/>
      <c r="O41" s="724"/>
    </row>
    <row r="42" spans="1:15">
      <c r="A42" s="578" t="s">
        <v>170</v>
      </c>
      <c r="B42" s="579"/>
      <c r="C42" s="579"/>
      <c r="D42" s="523" t="s">
        <v>131</v>
      </c>
      <c r="E42" s="510">
        <f>'21'!F42</f>
        <v>59200</v>
      </c>
      <c r="F42" s="510">
        <v>59200</v>
      </c>
      <c r="G42" s="1338">
        <f t="shared" si="2"/>
        <v>0</v>
      </c>
      <c r="H42" s="460">
        <f>G42+'21'!H42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'21'!F43</f>
        <v>1019250</v>
      </c>
      <c r="F43" s="510">
        <v>1021460</v>
      </c>
      <c r="G43" s="1338">
        <f>F43-E43</f>
        <v>2210</v>
      </c>
      <c r="H43" s="460">
        <f>G43+'21'!H43</f>
        <v>47502</v>
      </c>
      <c r="I43" s="455"/>
      <c r="J43" s="552">
        <f>H43/DAY(B2)</f>
        <v>2159.181818181818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'21'!F44</f>
        <v>0</v>
      </c>
      <c r="F44" s="510">
        <v>0</v>
      </c>
      <c r="G44" s="1338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'21'!F45</f>
        <v>0</v>
      </c>
      <c r="F45" s="510">
        <v>0</v>
      </c>
      <c r="G45" s="1338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'21'!F46</f>
        <v>0</v>
      </c>
      <c r="F46" s="510">
        <v>0</v>
      </c>
      <c r="G46" s="1338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40">
        <f>G35+G36+G37+G38+G39+G40+G41+G42+G43+G44+G45+G46</f>
        <v>10643</v>
      </c>
      <c r="H47" s="460">
        <f>G47+'21'!H47</f>
        <v>246882.21000000002</v>
      </c>
      <c r="I47" s="455"/>
      <c r="J47" s="552">
        <f>H47/DAY(B2)</f>
        <v>11221.918636363638</v>
      </c>
      <c r="K47" s="428"/>
      <c r="L47" s="377"/>
      <c r="N47" s="382"/>
      <c r="O47" s="382"/>
    </row>
    <row r="48" spans="1:15">
      <c r="A48" s="598" t="s">
        <v>176</v>
      </c>
      <c r="B48" s="1373"/>
      <c r="C48" s="1373"/>
      <c r="D48" s="472"/>
      <c r="E48" s="471"/>
      <c r="F48" s="471"/>
      <c r="G48" s="1348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'21'!F49</f>
        <v>260732.13</v>
      </c>
      <c r="F49" s="510">
        <v>260732.13</v>
      </c>
      <c r="G49" s="1338">
        <f t="shared" ref="G49:G58" si="3">F49-E49</f>
        <v>0</v>
      </c>
      <c r="H49" s="460">
        <f>G49+'21'!H49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v>493272</v>
      </c>
      <c r="F50" s="510">
        <v>494190</v>
      </c>
      <c r="G50" s="1338">
        <f t="shared" si="3"/>
        <v>918</v>
      </c>
      <c r="H50" s="460">
        <f>G50+'21'!H50</f>
        <v>18715</v>
      </c>
      <c r="I50" s="455"/>
      <c r="J50" s="552">
        <f>H50/DAY(B2)</f>
        <v>850.68181818181813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'21'!F51</f>
        <v>144640</v>
      </c>
      <c r="F51" s="510">
        <v>144640</v>
      </c>
      <c r="G51" s="1338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'21'!F52</f>
        <v>539606.06999999995</v>
      </c>
      <c r="F52" s="510">
        <v>539606.06999999995</v>
      </c>
      <c r="G52" s="1338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167</v>
      </c>
      <c r="B53" s="601"/>
      <c r="C53" s="601"/>
      <c r="D53" s="523" t="s">
        <v>131</v>
      </c>
      <c r="E53" s="510">
        <f>'21'!F53</f>
        <v>427132</v>
      </c>
      <c r="F53" s="510">
        <v>427676</v>
      </c>
      <c r="G53" s="1338">
        <f t="shared" si="3"/>
        <v>544</v>
      </c>
      <c r="H53" s="460">
        <f>G53+'21'!H53</f>
        <v>10866</v>
      </c>
      <c r="I53" s="455"/>
      <c r="J53" s="552">
        <f>H53/DAY(B2)</f>
        <v>493.90909090909093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'21'!F54</f>
        <v>12947</v>
      </c>
      <c r="F54" s="510">
        <v>13027</v>
      </c>
      <c r="G54" s="1338">
        <f t="shared" si="3"/>
        <v>80</v>
      </c>
      <c r="H54" s="460">
        <f>G54+'21'!H54</f>
        <v>5265</v>
      </c>
      <c r="I54" s="455"/>
      <c r="J54" s="552">
        <f>H54/DAY(B2)</f>
        <v>239.31818181818181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'21'!F55</f>
        <v>43396</v>
      </c>
      <c r="F55" s="510">
        <v>48606</v>
      </c>
      <c r="G55" s="1338">
        <f t="shared" si="3"/>
        <v>5210</v>
      </c>
      <c r="H55" s="460">
        <f>G55+'21'!H55</f>
        <v>48606</v>
      </c>
      <c r="I55" s="455"/>
      <c r="J55" s="552">
        <f>H55/DAY(B2)</f>
        <v>2209.3636363636365</v>
      </c>
      <c r="K55" s="428"/>
      <c r="L55" s="377"/>
      <c r="N55" s="382"/>
      <c r="O55" s="382"/>
    </row>
    <row r="56" spans="1:15" s="441" customFormat="1">
      <c r="A56" s="1106" t="s">
        <v>181</v>
      </c>
      <c r="B56" s="1107"/>
      <c r="C56" s="1107"/>
      <c r="D56" s="627" t="s">
        <v>182</v>
      </c>
      <c r="E56" s="656">
        <f>'21'!F56</f>
        <v>589504</v>
      </c>
      <c r="F56" s="656">
        <v>589514</v>
      </c>
      <c r="G56" s="1359">
        <f t="shared" si="3"/>
        <v>10</v>
      </c>
      <c r="H56" s="708">
        <f>G56+'21'!H56</f>
        <v>225.64000000001397</v>
      </c>
      <c r="I56" s="709"/>
      <c r="J56" s="710">
        <f>H56/DAY(B2)</f>
        <v>10.256363636364272</v>
      </c>
      <c r="K56" s="1364"/>
      <c r="L56" s="1109"/>
      <c r="N56" s="716"/>
      <c r="O56" s="716"/>
    </row>
    <row r="57" spans="1:15">
      <c r="A57" s="578" t="s">
        <v>171</v>
      </c>
      <c r="B57" s="601"/>
      <c r="C57" s="601"/>
      <c r="D57" s="523" t="s">
        <v>131</v>
      </c>
      <c r="E57" s="510">
        <f>'21'!F57</f>
        <v>7711</v>
      </c>
      <c r="F57" s="510">
        <v>7711</v>
      </c>
      <c r="G57" s="1338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'21'!F58</f>
        <v>48316</v>
      </c>
      <c r="F58" s="510">
        <v>48560</v>
      </c>
      <c r="G58" s="1338">
        <f t="shared" si="3"/>
        <v>244</v>
      </c>
      <c r="H58" s="460">
        <f>G58+'21'!H58</f>
        <v>1843</v>
      </c>
      <c r="I58" s="455"/>
      <c r="J58" s="552">
        <f>H58/DAY(B2)</f>
        <v>83.772727272727266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40">
        <f>G49+G50+G51+G52+G53+G54+G55+G56+G57+G58</f>
        <v>7006</v>
      </c>
      <c r="H59" s="460">
        <f>G59+'21'!H59</f>
        <v>85520.709999999963</v>
      </c>
      <c r="I59" s="455">
        <f>G7-G60</f>
        <v>110</v>
      </c>
      <c r="J59" s="552">
        <f>H59/DAY(B2)</f>
        <v>3887.3049999999985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40">
        <f>G47+G59</f>
        <v>17649</v>
      </c>
      <c r="H60" s="460">
        <f>G60+'21'!H60</f>
        <v>333986.81</v>
      </c>
      <c r="I60" s="455">
        <f>G13-G60</f>
        <v>-435</v>
      </c>
      <c r="J60" s="552">
        <f>H47/DAY(B2)</f>
        <v>11221.918636363638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9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186</v>
      </c>
      <c r="E62" s="514">
        <f>'21'!F62</f>
        <v>20419.2</v>
      </c>
      <c r="F62" s="514">
        <v>20419.2</v>
      </c>
      <c r="G62" s="1338">
        <f t="shared" ref="G62:G69" si="4">F62-E62</f>
        <v>0</v>
      </c>
      <c r="H62" s="460">
        <f>G62+'21'!H62</f>
        <v>0.38199999999778811</v>
      </c>
      <c r="I62" s="515"/>
      <c r="J62" s="552">
        <f>H62/DAY(B2)</f>
        <v>1.7363636363535825E-2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'21'!F63</f>
        <v>2438</v>
      </c>
      <c r="F63" s="514">
        <v>2442</v>
      </c>
      <c r="G63" s="1338">
        <f t="shared" si="4"/>
        <v>4</v>
      </c>
      <c r="H63" s="460">
        <f>G63+'21'!H63</f>
        <v>83</v>
      </c>
      <c r="I63" s="515"/>
      <c r="J63" s="552">
        <f>H63/DAY(B2)</f>
        <v>3.7727272727272729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186</v>
      </c>
      <c r="E64" s="484">
        <f>'21'!F64</f>
        <v>157972</v>
      </c>
      <c r="F64" s="484">
        <v>158181</v>
      </c>
      <c r="G64" s="1338">
        <f t="shared" si="4"/>
        <v>209</v>
      </c>
      <c r="H64" s="460">
        <f>G64+'21'!H64</f>
        <v>4882</v>
      </c>
      <c r="I64" s="480"/>
      <c r="J64" s="552">
        <f>H64/DAY(B2)</f>
        <v>221.90909090909091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186</v>
      </c>
      <c r="E65" s="484">
        <f>'21'!F65</f>
        <v>158840</v>
      </c>
      <c r="F65" s="484">
        <v>159043</v>
      </c>
      <c r="G65" s="1338">
        <f t="shared" si="4"/>
        <v>203</v>
      </c>
      <c r="H65" s="460">
        <f>G65+'21'!H65</f>
        <v>4444</v>
      </c>
      <c r="I65" s="489"/>
      <c r="J65" s="552">
        <f>H65/DAY(B2)</f>
        <v>202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186</v>
      </c>
      <c r="E66" s="484">
        <f>'21'!F66</f>
        <v>54000</v>
      </c>
      <c r="F66" s="484">
        <v>54311</v>
      </c>
      <c r="G66" s="1338">
        <f t="shared" si="4"/>
        <v>311</v>
      </c>
      <c r="H66" s="460">
        <f>G66+'21'!H66</f>
        <v>5740</v>
      </c>
      <c r="I66" s="480"/>
      <c r="J66" s="552">
        <f>H66/DAY(B2)</f>
        <v>260.90909090909093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186</v>
      </c>
      <c r="E67" s="484">
        <f>'21'!F67</f>
        <v>247691</v>
      </c>
      <c r="F67" s="484">
        <v>248213</v>
      </c>
      <c r="G67" s="1338">
        <f t="shared" si="4"/>
        <v>522</v>
      </c>
      <c r="H67" s="460">
        <f>G67+'21'!H67</f>
        <v>5039</v>
      </c>
      <c r="I67" s="489"/>
      <c r="J67" s="552">
        <f>H67/DAY(B2)</f>
        <v>229.04545454545453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186</v>
      </c>
      <c r="E68" s="484">
        <v>85321</v>
      </c>
      <c r="F68" s="484">
        <v>85321</v>
      </c>
      <c r="G68" s="1338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186</v>
      </c>
      <c r="E69" s="484">
        <f>'21'!F69</f>
        <v>80597</v>
      </c>
      <c r="F69" s="484">
        <v>80703</v>
      </c>
      <c r="G69" s="1338">
        <f t="shared" si="4"/>
        <v>106</v>
      </c>
      <c r="H69" s="460">
        <f>G69+'21'!H69</f>
        <v>1709</v>
      </c>
      <c r="I69" s="516"/>
      <c r="J69" s="552">
        <f>H69/DAY(B2)</f>
        <v>77.681818181818187</v>
      </c>
      <c r="K69" s="431"/>
      <c r="L69" s="377"/>
      <c r="N69" s="382"/>
      <c r="O69" s="382"/>
    </row>
    <row r="70" spans="1:15" ht="27.75">
      <c r="A70" s="1536" t="s">
        <v>188</v>
      </c>
      <c r="B70" s="1537"/>
      <c r="C70" s="1538"/>
      <c r="D70" s="523" t="s">
        <v>186</v>
      </c>
      <c r="E70" s="518"/>
      <c r="F70" s="518"/>
      <c r="G70" s="1350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  <c r="O71" s="382"/>
    </row>
    <row r="72" spans="1:15" ht="27.75">
      <c r="A72" s="1530" t="s">
        <v>190</v>
      </c>
      <c r="B72" s="1531"/>
      <c r="C72" s="1532"/>
      <c r="D72" s="523" t="s">
        <v>186</v>
      </c>
      <c r="E72" s="519">
        <f>'21'!F72</f>
        <v>855731</v>
      </c>
      <c r="F72" s="519">
        <v>855741</v>
      </c>
      <c r="G72" s="1338">
        <f t="shared" ref="G72:G84" si="5">F72-E72</f>
        <v>10</v>
      </c>
      <c r="H72" s="460">
        <f>G72+'21'!H72</f>
        <v>269</v>
      </c>
      <c r="I72" s="480"/>
      <c r="J72" s="552">
        <f>H72/DAY(B2)</f>
        <v>12.227272727272727</v>
      </c>
      <c r="K72" s="431"/>
      <c r="L72" s="377"/>
      <c r="N72" s="382"/>
      <c r="O72" s="382"/>
    </row>
    <row r="73" spans="1:15" ht="27.75">
      <c r="A73" s="1530" t="s">
        <v>191</v>
      </c>
      <c r="B73" s="1531"/>
      <c r="C73" s="1532"/>
      <c r="D73" s="523" t="s">
        <v>186</v>
      </c>
      <c r="E73" s="520">
        <f>'21'!F73</f>
        <v>885898</v>
      </c>
      <c r="F73" s="520">
        <v>885899</v>
      </c>
      <c r="G73" s="1338">
        <f t="shared" si="5"/>
        <v>1</v>
      </c>
      <c r="H73" s="460">
        <f>G73+'21'!H73</f>
        <v>203</v>
      </c>
      <c r="I73" s="480"/>
      <c r="J73" s="552">
        <f>H73/DAY(B2)</f>
        <v>9.2272727272727266</v>
      </c>
      <c r="K73" s="430"/>
      <c r="L73" s="377"/>
      <c r="N73" s="382"/>
      <c r="O73" s="382"/>
    </row>
    <row r="74" spans="1:15" ht="27.75">
      <c r="A74" s="1606" t="s">
        <v>192</v>
      </c>
      <c r="B74" s="1607"/>
      <c r="C74" s="1608"/>
      <c r="D74" s="523" t="s">
        <v>186</v>
      </c>
      <c r="E74" s="521">
        <f>'21'!F74</f>
        <v>2518</v>
      </c>
      <c r="F74" s="521">
        <v>2526</v>
      </c>
      <c r="G74" s="1338">
        <f t="shared" si="5"/>
        <v>8</v>
      </c>
      <c r="H74" s="460">
        <f>G74+'21'!H74</f>
        <v>247</v>
      </c>
      <c r="I74" s="480"/>
      <c r="J74" s="552">
        <f>H74/DAY(B2)</f>
        <v>11.227272727272727</v>
      </c>
      <c r="K74" s="431"/>
      <c r="L74" s="377"/>
      <c r="N74" s="382"/>
      <c r="O74" s="382"/>
    </row>
    <row r="75" spans="1:15" ht="27.75">
      <c r="A75" s="1527" t="s">
        <v>193</v>
      </c>
      <c r="B75" s="1528"/>
      <c r="C75" s="1529"/>
      <c r="D75" s="523" t="s">
        <v>186</v>
      </c>
      <c r="E75" s="521">
        <f>'21'!F75</f>
        <v>12094</v>
      </c>
      <c r="F75" s="521">
        <v>12148</v>
      </c>
      <c r="G75" s="1338">
        <f t="shared" si="5"/>
        <v>54</v>
      </c>
      <c r="H75" s="460">
        <f>G75+'21'!H75</f>
        <v>1178</v>
      </c>
      <c r="I75" s="480"/>
      <c r="J75" s="552">
        <f>H75/DAY(B2)</f>
        <v>53.545454545454547</v>
      </c>
      <c r="K75" s="430"/>
      <c r="L75" s="377"/>
      <c r="N75" s="382"/>
      <c r="O75" s="382"/>
    </row>
    <row r="76" spans="1:15" ht="27.75">
      <c r="A76" s="1527" t="s">
        <v>194</v>
      </c>
      <c r="B76" s="1528"/>
      <c r="C76" s="1529"/>
      <c r="D76" s="523" t="s">
        <v>186</v>
      </c>
      <c r="E76" s="520">
        <f>'21'!F76</f>
        <v>6861</v>
      </c>
      <c r="F76" s="648">
        <v>6917</v>
      </c>
      <c r="G76" s="1338">
        <f t="shared" si="5"/>
        <v>56</v>
      </c>
      <c r="H76" s="460">
        <f>G76+'21'!H76</f>
        <v>1200.0499999999993</v>
      </c>
      <c r="I76" s="505"/>
      <c r="J76" s="552">
        <f>H76/DAY(B2)</f>
        <v>54.547727272727236</v>
      </c>
      <c r="K76" s="430"/>
      <c r="L76" s="377"/>
      <c r="N76" s="382"/>
      <c r="O76" s="382"/>
    </row>
    <row r="77" spans="1:15" ht="27.75">
      <c r="A77" s="1530" t="s">
        <v>195</v>
      </c>
      <c r="B77" s="1531"/>
      <c r="C77" s="1532"/>
      <c r="D77" s="523" t="s">
        <v>186</v>
      </c>
      <c r="E77" s="521">
        <f>'21'!F77</f>
        <v>702420</v>
      </c>
      <c r="F77" s="521">
        <v>702462</v>
      </c>
      <c r="G77" s="1338">
        <f t="shared" si="5"/>
        <v>42</v>
      </c>
      <c r="H77" s="460">
        <f>G77+'21'!H77</f>
        <v>900</v>
      </c>
      <c r="I77" s="505"/>
      <c r="J77" s="552">
        <f>H77/DAY(B2)</f>
        <v>40.909090909090907</v>
      </c>
      <c r="K77" s="430"/>
      <c r="L77" s="377"/>
      <c r="N77" s="382"/>
      <c r="O77" s="382"/>
    </row>
    <row r="78" spans="1:15" ht="27.75">
      <c r="A78" s="1371" t="s">
        <v>196</v>
      </c>
      <c r="B78" s="1365"/>
      <c r="C78" s="1365"/>
      <c r="D78" s="523" t="s">
        <v>186</v>
      </c>
      <c r="E78" s="521">
        <f>'21'!F78</f>
        <v>671865</v>
      </c>
      <c r="F78" s="521">
        <v>672062</v>
      </c>
      <c r="G78" s="1338">
        <f t="shared" si="5"/>
        <v>197</v>
      </c>
      <c r="H78" s="460">
        <f>G78+'21'!H78</f>
        <v>2037</v>
      </c>
      <c r="I78" s="505"/>
      <c r="J78" s="552">
        <f>H78/DAY(B2)</f>
        <v>92.590909090909093</v>
      </c>
      <c r="K78" s="430"/>
      <c r="L78" s="377"/>
      <c r="N78" s="382"/>
      <c r="O78" s="382"/>
    </row>
    <row r="79" spans="1:15" ht="27.75">
      <c r="A79" s="1527" t="s">
        <v>92</v>
      </c>
      <c r="B79" s="1528"/>
      <c r="C79" s="1529"/>
      <c r="D79" s="524" t="s">
        <v>186</v>
      </c>
      <c r="E79" s="521">
        <f>'21'!F79</f>
        <v>829671</v>
      </c>
      <c r="F79" s="521">
        <v>829800</v>
      </c>
      <c r="G79" s="1338">
        <f t="shared" si="5"/>
        <v>129</v>
      </c>
      <c r="H79" s="460">
        <f>G79+'21'!H79</f>
        <v>2069</v>
      </c>
      <c r="I79" s="505"/>
      <c r="J79" s="552">
        <f>H79/DAY(B2)</f>
        <v>94.045454545454547</v>
      </c>
      <c r="K79" s="430"/>
      <c r="L79" s="377"/>
      <c r="N79" s="382"/>
      <c r="O79" s="382"/>
    </row>
    <row r="80" spans="1:15" ht="27.75">
      <c r="A80" s="1527" t="s">
        <v>197</v>
      </c>
      <c r="B80" s="1528"/>
      <c r="C80" s="1529"/>
      <c r="D80" s="524" t="s">
        <v>186</v>
      </c>
      <c r="E80" s="520">
        <f>'21'!F80</f>
        <v>524012</v>
      </c>
      <c r="F80" s="520">
        <v>524389</v>
      </c>
      <c r="G80" s="1338">
        <f t="shared" si="5"/>
        <v>377</v>
      </c>
      <c r="H80" s="460">
        <f>G80+'21'!H80</f>
        <v>4928</v>
      </c>
      <c r="I80" s="505"/>
      <c r="J80" s="552">
        <f>H80/DAY(B2)</f>
        <v>224</v>
      </c>
      <c r="K80" s="430"/>
      <c r="L80" s="377"/>
      <c r="N80" s="382"/>
      <c r="O80" s="382"/>
    </row>
    <row r="81" spans="1:15" ht="27.75">
      <c r="A81" s="1527" t="s">
        <v>198</v>
      </c>
      <c r="B81" s="1528"/>
      <c r="C81" s="1529"/>
      <c r="D81" s="524" t="s">
        <v>186</v>
      </c>
      <c r="E81" s="520">
        <f>'21'!F81</f>
        <v>638064</v>
      </c>
      <c r="F81" s="520">
        <v>638140</v>
      </c>
      <c r="G81" s="1338">
        <f t="shared" si="5"/>
        <v>76</v>
      </c>
      <c r="H81" s="460">
        <f>G81+'21'!H81</f>
        <v>1662</v>
      </c>
      <c r="I81" s="505"/>
      <c r="J81" s="552">
        <f>H81/DAY(B2)</f>
        <v>75.545454545454547</v>
      </c>
      <c r="K81" s="430"/>
      <c r="L81" s="377"/>
      <c r="N81" s="382"/>
      <c r="O81" s="382"/>
    </row>
    <row r="82" spans="1:15" ht="27.75">
      <c r="A82" s="1527" t="s">
        <v>93</v>
      </c>
      <c r="B82" s="1528"/>
      <c r="C82" s="1529"/>
      <c r="D82" s="485" t="s">
        <v>131</v>
      </c>
      <c r="E82" s="522">
        <f>'21'!F82</f>
        <v>108003</v>
      </c>
      <c r="F82" s="522">
        <v>108014</v>
      </c>
      <c r="G82" s="1338">
        <f t="shared" si="5"/>
        <v>11</v>
      </c>
      <c r="H82" s="460">
        <f>G82+'21'!H82</f>
        <v>402</v>
      </c>
      <c r="I82" s="486"/>
      <c r="J82" s="552">
        <f>H82/DAY(B2)</f>
        <v>18.272727272727273</v>
      </c>
      <c r="K82" s="430"/>
      <c r="L82" s="377"/>
      <c r="N82" s="382"/>
      <c r="O82" s="382"/>
    </row>
    <row r="83" spans="1:15" ht="27.75">
      <c r="A83" s="1527" t="s">
        <v>199</v>
      </c>
      <c r="B83" s="1528"/>
      <c r="C83" s="1529"/>
      <c r="D83" s="620" t="s">
        <v>131</v>
      </c>
      <c r="E83" s="511">
        <f>'21'!F83</f>
        <v>18711</v>
      </c>
      <c r="F83" s="511">
        <v>18885</v>
      </c>
      <c r="G83" s="1338">
        <f t="shared" si="5"/>
        <v>174</v>
      </c>
      <c r="H83" s="460">
        <f>G83+'21'!H83</f>
        <v>4114</v>
      </c>
      <c r="I83" s="481"/>
      <c r="J83" s="552">
        <f>H83/DAY(B2)</f>
        <v>187</v>
      </c>
      <c r="K83" s="429"/>
      <c r="L83" s="377"/>
      <c r="N83" s="382"/>
      <c r="O83" s="724"/>
    </row>
    <row r="84" spans="1:15">
      <c r="A84" s="1372" t="s">
        <v>200</v>
      </c>
      <c r="B84" s="571"/>
      <c r="C84" s="571"/>
      <c r="D84" s="478" t="s">
        <v>131</v>
      </c>
      <c r="E84" s="627">
        <f>'21'!F84</f>
        <v>493078</v>
      </c>
      <c r="F84" s="627">
        <v>493529</v>
      </c>
      <c r="G84" s="1338">
        <f t="shared" si="5"/>
        <v>451</v>
      </c>
      <c r="H84" s="460">
        <f>G84+'21'!H84</f>
        <v>13396</v>
      </c>
      <c r="I84" s="481"/>
      <c r="J84" s="552">
        <f>H84/DAY(B2)</f>
        <v>608.90909090909088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51">
        <f xml:space="preserve"> SUM(G72:G84)</f>
        <v>1586</v>
      </c>
      <c r="H85" s="460">
        <f>G85+'21'!H85</f>
        <v>36114</v>
      </c>
      <c r="I85" s="481"/>
      <c r="J85" s="552">
        <f>H85/DAY(B2)</f>
        <v>1641.5454545454545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182</v>
      </c>
      <c r="E86" s="650">
        <f>'21'!F86</f>
        <v>460577</v>
      </c>
      <c r="F86" s="650">
        <v>460665</v>
      </c>
      <c r="G86" s="1352">
        <f t="shared" ref="G86:G88" si="6">F86-E86</f>
        <v>88</v>
      </c>
      <c r="H86" s="460">
        <f>G86+'21'!H86</f>
        <v>187</v>
      </c>
      <c r="I86" s="655"/>
      <c r="J86" s="710">
        <f>H86/DAY(B2)</f>
        <v>8.5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182</v>
      </c>
      <c r="E87" s="650">
        <f>'21'!F87</f>
        <v>81200</v>
      </c>
      <c r="F87" s="650">
        <v>81213</v>
      </c>
      <c r="G87" s="1352">
        <f t="shared" si="6"/>
        <v>13</v>
      </c>
      <c r="H87" s="460">
        <f>G87+'21'!H87</f>
        <v>97</v>
      </c>
      <c r="I87" s="655"/>
      <c r="J87" s="710">
        <f>H87/DAY(B2)</f>
        <v>4.4090909090909092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182</v>
      </c>
      <c r="E88" s="650">
        <f>'21'!F88</f>
        <v>152660</v>
      </c>
      <c r="F88" s="650">
        <v>152683</v>
      </c>
      <c r="G88" s="1352">
        <f t="shared" si="6"/>
        <v>23</v>
      </c>
      <c r="H88" s="460">
        <f>G88+'21'!H88</f>
        <v>163</v>
      </c>
      <c r="I88" s="655"/>
      <c r="J88" s="710">
        <f>H88/DAY(B2)</f>
        <v>7.4090909090909092</v>
      </c>
      <c r="K88" s="736"/>
      <c r="L88" s="737"/>
      <c r="N88" s="780"/>
      <c r="O88" s="382"/>
    </row>
    <row r="89" spans="1:15" s="738" customFormat="1">
      <c r="A89" s="733" t="s">
        <v>203</v>
      </c>
      <c r="B89" s="734"/>
      <c r="C89" s="734"/>
      <c r="D89" s="735" t="s">
        <v>182</v>
      </c>
      <c r="E89" s="650">
        <f>'21'!F89</f>
        <v>64972</v>
      </c>
      <c r="F89" s="650">
        <v>64996</v>
      </c>
      <c r="G89" s="1352">
        <f t="shared" ref="G89:G91" si="7">F89-E89</f>
        <v>24</v>
      </c>
      <c r="H89" s="460">
        <f>G89+'21'!H89</f>
        <v>53</v>
      </c>
      <c r="I89" s="655"/>
      <c r="J89" s="710">
        <f>H89/DAY(B2)</f>
        <v>2.4090909090909092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50">
        <f>'21'!F90</f>
        <v>3272.7</v>
      </c>
      <c r="F90" s="650">
        <v>3273.5</v>
      </c>
      <c r="G90" s="1352">
        <f t="shared" si="7"/>
        <v>0.8000000000001819</v>
      </c>
      <c r="H90" s="460">
        <f>G90+'21'!H90</f>
        <v>0.8000000000001819</v>
      </c>
      <c r="I90" s="655"/>
      <c r="J90" s="710">
        <f>H90/DAY(B2)</f>
        <v>3.6363636363644633E-2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50">
        <f>'21'!F91</f>
        <v>27978</v>
      </c>
      <c r="F91" s="650">
        <v>27980</v>
      </c>
      <c r="G91" s="708">
        <f t="shared" si="7"/>
        <v>2</v>
      </c>
      <c r="H91" s="460">
        <f>G91+'21'!H91</f>
        <v>14</v>
      </c>
      <c r="I91" s="655"/>
      <c r="J91" s="710">
        <f>H91/DAY(B2)</f>
        <v>0.63636363636363635</v>
      </c>
      <c r="K91" s="736"/>
      <c r="L91" s="737"/>
      <c r="N91" s="780"/>
      <c r="O91" s="382"/>
    </row>
    <row r="92" spans="1:15" s="379" customFormat="1">
      <c r="A92" s="606" t="s">
        <v>204</v>
      </c>
      <c r="B92" s="1374"/>
      <c r="C92" s="1374"/>
      <c r="D92" s="472"/>
      <c r="E92" s="472"/>
      <c r="F92" s="472">
        <v>3272</v>
      </c>
      <c r="G92" s="1341"/>
      <c r="H92" s="472"/>
      <c r="I92" s="472"/>
      <c r="J92" s="551"/>
      <c r="K92" s="380"/>
      <c r="L92" s="378"/>
      <c r="N92" s="779"/>
      <c r="O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f>'21'!F93</f>
        <v>245036</v>
      </c>
      <c r="F93" s="484">
        <v>245099</v>
      </c>
      <c r="G93" s="1338">
        <f t="shared" ref="G93:G94" si="8">F93-E93</f>
        <v>63</v>
      </c>
      <c r="H93" s="460">
        <f>G93+'21'!H93</f>
        <v>675</v>
      </c>
      <c r="I93" s="480"/>
      <c r="J93" s="552">
        <f>H93/DAY(B2)</f>
        <v>30.681818181818183</v>
      </c>
      <c r="K93" s="429"/>
      <c r="L93" s="377"/>
      <c r="N93" s="382"/>
      <c r="O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f>'21'!F94</f>
        <v>185253</v>
      </c>
      <c r="F94" s="484">
        <v>185354</v>
      </c>
      <c r="G94" s="1338">
        <f t="shared" si="8"/>
        <v>101</v>
      </c>
      <c r="H94" s="460">
        <f>G94+'21'!H94</f>
        <v>1823</v>
      </c>
      <c r="I94" s="480"/>
      <c r="J94" s="552">
        <f>H94/DAY(B2)</f>
        <v>82.86363636363636</v>
      </c>
      <c r="K94" s="380"/>
      <c r="L94" s="377"/>
      <c r="N94" s="382"/>
      <c r="O94" s="382"/>
    </row>
    <row r="95" spans="1:15">
      <c r="A95" s="1579" t="s">
        <v>207</v>
      </c>
      <c r="B95" s="1580"/>
      <c r="C95" s="1581"/>
      <c r="D95" s="523"/>
      <c r="E95" s="484">
        <f>'21'!F95</f>
        <v>0</v>
      </c>
      <c r="F95" s="484"/>
      <c r="G95" s="1338">
        <f>G93+G94</f>
        <v>164</v>
      </c>
      <c r="H95" s="460">
        <f>G95+'21'!H95</f>
        <v>2351</v>
      </c>
      <c r="I95" s="480"/>
      <c r="J95" s="552">
        <f>H95/DAY(B2)</f>
        <v>106.86363636363636</v>
      </c>
      <c r="K95" s="380"/>
      <c r="L95" s="377"/>
      <c r="N95" s="382"/>
      <c r="O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f>'21'!F96</f>
        <v>413767</v>
      </c>
      <c r="F96" s="484">
        <v>413847</v>
      </c>
      <c r="G96" s="1338">
        <f t="shared" ref="G96:G101" si="9">F96-E96</f>
        <v>80</v>
      </c>
      <c r="H96" s="460">
        <f>G96+'21'!H96</f>
        <v>961</v>
      </c>
      <c r="I96" s="480"/>
      <c r="J96" s="552">
        <f>H96/DAY(B2)</f>
        <v>43.68181818181818</v>
      </c>
      <c r="K96" s="380"/>
      <c r="L96" s="377"/>
      <c r="N96" s="382"/>
      <c r="O96" s="382"/>
    </row>
    <row r="97" spans="1:15" ht="27.75">
      <c r="A97" s="1368" t="s">
        <v>209</v>
      </c>
      <c r="B97" s="1369"/>
      <c r="C97" s="1369"/>
      <c r="D97" s="523" t="s">
        <v>143</v>
      </c>
      <c r="E97" s="484">
        <f>'21'!F97</f>
        <v>102543</v>
      </c>
      <c r="F97" s="484">
        <v>102552</v>
      </c>
      <c r="G97" s="1338">
        <f t="shared" si="9"/>
        <v>9</v>
      </c>
      <c r="H97" s="460">
        <f>G97+'21'!H97</f>
        <v>209</v>
      </c>
      <c r="I97" s="480"/>
      <c r="J97" s="552">
        <f>H97/DAY(B2)</f>
        <v>9.5</v>
      </c>
      <c r="K97" s="427"/>
      <c r="L97" s="377"/>
      <c r="N97" s="382"/>
      <c r="O97" s="382"/>
    </row>
    <row r="98" spans="1:15" ht="27.75">
      <c r="A98" s="1368" t="s">
        <v>210</v>
      </c>
      <c r="B98" s="1369"/>
      <c r="C98" s="1369"/>
      <c r="D98" s="523" t="s">
        <v>143</v>
      </c>
      <c r="E98" s="484">
        <f>'21'!F98</f>
        <v>97724</v>
      </c>
      <c r="F98" s="484">
        <v>97749</v>
      </c>
      <c r="G98" s="1338">
        <f t="shared" si="9"/>
        <v>25</v>
      </c>
      <c r="H98" s="460">
        <f>G98+'21'!H98</f>
        <v>322</v>
      </c>
      <c r="I98" s="480"/>
      <c r="J98" s="552">
        <f>H98/DAY(B2)</f>
        <v>14.636363636363637</v>
      </c>
      <c r="K98" s="432"/>
      <c r="L98" s="377"/>
      <c r="N98" s="382"/>
      <c r="O98" s="382"/>
    </row>
    <row r="99" spans="1:15" ht="27.75">
      <c r="A99" s="1368" t="s">
        <v>211</v>
      </c>
      <c r="B99" s="1369"/>
      <c r="C99" s="1369"/>
      <c r="D99" s="523" t="s">
        <v>143</v>
      </c>
      <c r="E99" s="484">
        <f>'21'!F99</f>
        <v>149756</v>
      </c>
      <c r="F99" s="484">
        <v>149769</v>
      </c>
      <c r="G99" s="1338">
        <f t="shared" si="9"/>
        <v>13</v>
      </c>
      <c r="H99" s="460">
        <f>G99+'21'!H99</f>
        <v>236</v>
      </c>
      <c r="I99" s="480"/>
      <c r="J99" s="552">
        <f>H99/DAY(B2)</f>
        <v>10.727272727272727</v>
      </c>
      <c r="K99" s="380"/>
      <c r="L99" s="377"/>
      <c r="N99" s="382"/>
      <c r="O99" s="382"/>
    </row>
    <row r="100" spans="1:15" ht="27.75">
      <c r="A100" s="1368" t="s">
        <v>212</v>
      </c>
      <c r="B100" s="1369"/>
      <c r="C100" s="1369"/>
      <c r="D100" s="523" t="s">
        <v>143</v>
      </c>
      <c r="E100" s="484">
        <f>'21'!F100</f>
        <v>7313</v>
      </c>
      <c r="F100" s="484">
        <v>7320</v>
      </c>
      <c r="G100" s="1338">
        <f t="shared" si="9"/>
        <v>7</v>
      </c>
      <c r="H100" s="460">
        <f>G100+'21'!H100</f>
        <v>135</v>
      </c>
      <c r="I100" s="480"/>
      <c r="J100" s="552">
        <f>H100/DAY(B2)</f>
        <v>6.1363636363636367</v>
      </c>
      <c r="K100" s="380"/>
      <c r="L100" s="377"/>
      <c r="N100" s="382"/>
      <c r="O100" s="382"/>
    </row>
    <row r="101" spans="1:15" ht="27.75">
      <c r="A101" s="1368" t="s">
        <v>213</v>
      </c>
      <c r="B101" s="1369"/>
      <c r="C101" s="1369"/>
      <c r="D101" s="523" t="s">
        <v>143</v>
      </c>
      <c r="E101" s="484">
        <f>'21'!F101</f>
        <v>5276</v>
      </c>
      <c r="F101" s="484">
        <v>5301</v>
      </c>
      <c r="G101" s="1338">
        <f t="shared" si="9"/>
        <v>25</v>
      </c>
      <c r="H101" s="460">
        <f>G101+'21'!H101</f>
        <v>163</v>
      </c>
      <c r="I101" s="480"/>
      <c r="J101" s="552">
        <f>H101/DAY(B2)</f>
        <v>7.4090909090909092</v>
      </c>
      <c r="K101" s="380"/>
      <c r="L101" s="377"/>
      <c r="N101" s="382"/>
      <c r="O101" s="382"/>
    </row>
    <row r="102" spans="1:15">
      <c r="A102" s="1579" t="s">
        <v>215</v>
      </c>
      <c r="B102" s="1580"/>
      <c r="C102" s="1581"/>
      <c r="D102" s="524"/>
      <c r="E102" s="524"/>
      <c r="F102" s="524"/>
      <c r="G102" s="1353">
        <f>SUM(G96:G101)</f>
        <v>159</v>
      </c>
      <c r="H102" s="460">
        <f>G102+'21'!H102</f>
        <v>2026</v>
      </c>
      <c r="I102" s="526"/>
      <c r="J102" s="552">
        <f>H102/DAY(B2)</f>
        <v>92.090909090909093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54"/>
      <c r="H103" s="530"/>
      <c r="I103" s="531"/>
      <c r="J103" s="557"/>
      <c r="N103" s="444"/>
      <c r="O103" s="382"/>
    </row>
    <row r="104" spans="1:15" s="442" customFormat="1" ht="27.75">
      <c r="A104" s="1582" t="s">
        <v>217</v>
      </c>
      <c r="B104" s="1583"/>
      <c r="C104" s="573"/>
      <c r="D104" s="622"/>
      <c r="E104" s="532"/>
      <c r="F104" s="532"/>
      <c r="G104" s="1355"/>
      <c r="H104" s="533"/>
      <c r="I104" s="532"/>
      <c r="J104" s="558"/>
      <c r="N104" s="444"/>
      <c r="O104" s="382"/>
    </row>
    <row r="105" spans="1:15" s="442" customFormat="1" ht="27.75">
      <c r="A105" s="1543" t="s">
        <v>218</v>
      </c>
      <c r="B105" s="1544"/>
      <c r="C105" s="1367"/>
      <c r="D105" s="622" t="s">
        <v>143</v>
      </c>
      <c r="E105" s="532">
        <f>'21'!F105</f>
        <v>7480</v>
      </c>
      <c r="F105" s="532">
        <v>7484</v>
      </c>
      <c r="G105" s="1355">
        <f>F105-E105</f>
        <v>4</v>
      </c>
      <c r="H105" s="460">
        <f>SUM(G105+'1'!G76)</f>
        <v>61</v>
      </c>
      <c r="I105" s="532"/>
      <c r="J105" s="558">
        <f>H105/DAY(B2)</f>
        <v>2.7727272727272729</v>
      </c>
      <c r="N105" s="444"/>
      <c r="O105" s="382"/>
    </row>
    <row r="106" spans="1:15" s="442" customFormat="1" ht="27.75">
      <c r="A106" s="1543" t="s">
        <v>77</v>
      </c>
      <c r="B106" s="1544"/>
      <c r="C106" s="1367"/>
      <c r="D106" s="622" t="s">
        <v>143</v>
      </c>
      <c r="E106" s="534">
        <f>'21'!F106</f>
        <v>35893</v>
      </c>
      <c r="F106" s="534">
        <v>35906</v>
      </c>
      <c r="G106" s="1355">
        <f t="shared" ref="G106:G107" si="10">F106-E106</f>
        <v>13</v>
      </c>
      <c r="H106" s="460">
        <f>SUM(G106+'1'!G77)</f>
        <v>63</v>
      </c>
      <c r="I106" s="532"/>
      <c r="J106" s="558">
        <f>H106/DAY(B2)</f>
        <v>2.8636363636363638</v>
      </c>
      <c r="N106" s="444"/>
      <c r="O106" s="382"/>
    </row>
    <row r="107" spans="1:15" s="442" customFormat="1" ht="27.75">
      <c r="A107" s="1543" t="s">
        <v>78</v>
      </c>
      <c r="B107" s="1584"/>
      <c r="C107" s="1544"/>
      <c r="D107" s="622" t="s">
        <v>143</v>
      </c>
      <c r="E107" s="532">
        <f>'21'!F107</f>
        <v>19676</v>
      </c>
      <c r="F107" s="532">
        <v>19680</v>
      </c>
      <c r="G107" s="1355">
        <f t="shared" si="10"/>
        <v>4</v>
      </c>
      <c r="H107" s="460">
        <f>SUM(G107+'1'!G78)</f>
        <v>128</v>
      </c>
      <c r="I107" s="532"/>
      <c r="J107" s="558">
        <f>H107/DAY(B2)</f>
        <v>5.8181818181818183</v>
      </c>
      <c r="N107" s="444"/>
      <c r="O107" s="382"/>
    </row>
    <row r="108" spans="1:15" s="442" customFormat="1" ht="27.75">
      <c r="A108" s="1545" t="s">
        <v>201</v>
      </c>
      <c r="B108" s="1546"/>
      <c r="C108" s="1367"/>
      <c r="D108" s="622"/>
      <c r="E108" s="532">
        <f>'21'!F108</f>
        <v>0</v>
      </c>
      <c r="F108" s="532"/>
      <c r="G108" s="1355">
        <f>SUM(G105:G107)</f>
        <v>21</v>
      </c>
      <c r="H108" s="460">
        <f>SUM(G108+'1'!G79)</f>
        <v>210</v>
      </c>
      <c r="I108" s="532"/>
      <c r="J108" s="558">
        <f>H108/DAY(B2)</f>
        <v>9.545454545454545</v>
      </c>
      <c r="N108" s="444"/>
      <c r="O108" s="382"/>
    </row>
    <row r="109" spans="1:15" s="442" customFormat="1" ht="27.75">
      <c r="A109" s="1549" t="s">
        <v>79</v>
      </c>
      <c r="B109" s="1550"/>
      <c r="C109" s="1367"/>
      <c r="D109" s="622" t="s">
        <v>143</v>
      </c>
      <c r="E109" s="532">
        <f>'21'!F109</f>
        <v>0</v>
      </c>
      <c r="F109" s="532"/>
      <c r="G109" s="1355"/>
      <c r="H109" s="460"/>
      <c r="I109" s="532"/>
      <c r="J109" s="558"/>
      <c r="N109" s="444"/>
      <c r="O109" s="382"/>
    </row>
    <row r="110" spans="1:15" s="442" customFormat="1" ht="27.75">
      <c r="A110" s="1543" t="s">
        <v>219</v>
      </c>
      <c r="B110" s="1544"/>
      <c r="C110" s="1367"/>
      <c r="D110" s="622" t="s">
        <v>143</v>
      </c>
      <c r="E110" s="532">
        <f>'21'!F110</f>
        <v>62230</v>
      </c>
      <c r="F110" s="532">
        <v>62270</v>
      </c>
      <c r="G110" s="1355">
        <f>F110-E110</f>
        <v>40</v>
      </c>
      <c r="H110" s="460">
        <f>SUM(G110+'1'!G81)</f>
        <v>121</v>
      </c>
      <c r="I110" s="532"/>
      <c r="J110" s="558">
        <f>H110/DAY(B2)</f>
        <v>5.5</v>
      </c>
      <c r="N110" s="444"/>
      <c r="O110" s="382"/>
    </row>
    <row r="111" spans="1:15" s="442" customFormat="1" ht="27.75">
      <c r="A111" s="1543" t="s">
        <v>220</v>
      </c>
      <c r="B111" s="1544"/>
      <c r="C111" s="1367"/>
      <c r="D111" s="622" t="s">
        <v>143</v>
      </c>
      <c r="E111" s="532">
        <f>'21'!F111</f>
        <v>32433</v>
      </c>
      <c r="F111" s="532">
        <v>32459</v>
      </c>
      <c r="G111" s="1355">
        <f t="shared" ref="G111:G112" si="11">F111-E111</f>
        <v>26</v>
      </c>
      <c r="H111" s="460">
        <f>SUM(G111+'1'!G82)</f>
        <v>38</v>
      </c>
      <c r="I111" s="532"/>
      <c r="J111" s="558">
        <f>H111/DAY(B2)</f>
        <v>1.7272727272727273</v>
      </c>
      <c r="N111" s="444"/>
      <c r="O111" s="382"/>
    </row>
    <row r="112" spans="1:15" s="442" customFormat="1" ht="27.75">
      <c r="A112" s="1543" t="s">
        <v>221</v>
      </c>
      <c r="B112" s="1544"/>
      <c r="C112" s="1367"/>
      <c r="D112" s="622" t="s">
        <v>143</v>
      </c>
      <c r="E112" s="532">
        <f>'21'!F112</f>
        <v>4513</v>
      </c>
      <c r="F112" s="532">
        <v>4527</v>
      </c>
      <c r="G112" s="1355">
        <f t="shared" si="11"/>
        <v>14</v>
      </c>
      <c r="H112" s="460">
        <f>SUM(G112+'1'!G83)</f>
        <v>269</v>
      </c>
      <c r="I112" s="532"/>
      <c r="J112" s="558">
        <f>H112/DAY(B2)</f>
        <v>12.227272727272727</v>
      </c>
      <c r="N112" s="444"/>
      <c r="O112" s="382"/>
    </row>
    <row r="113" spans="1:15" s="442" customFormat="1" ht="27.75">
      <c r="A113" s="1547" t="s">
        <v>110</v>
      </c>
      <c r="B113" s="1548"/>
      <c r="C113" s="1367"/>
      <c r="D113" s="622"/>
      <c r="E113" s="532">
        <f>'21'!F113</f>
        <v>0</v>
      </c>
      <c r="F113" s="532"/>
      <c r="G113" s="1355">
        <f>SUM(G110:G112)</f>
        <v>80</v>
      </c>
      <c r="H113" s="460">
        <f>SUM(G113+'1'!G84)</f>
        <v>795</v>
      </c>
      <c r="I113" s="532"/>
      <c r="J113" s="558">
        <f>H113/DAY(B2)</f>
        <v>36.136363636363633</v>
      </c>
      <c r="N113" s="444"/>
      <c r="O113" s="382"/>
    </row>
    <row r="114" spans="1:15" s="442" customFormat="1" ht="27.75">
      <c r="A114" s="1549" t="s">
        <v>222</v>
      </c>
      <c r="B114" s="1550"/>
      <c r="C114" s="1367"/>
      <c r="D114" s="622"/>
      <c r="E114" s="532">
        <f>'21'!F114</f>
        <v>0</v>
      </c>
      <c r="F114" s="532"/>
      <c r="G114" s="135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3" t="s">
        <v>223</v>
      </c>
      <c r="B115" s="1544"/>
      <c r="C115" s="574"/>
      <c r="D115" s="622" t="s">
        <v>143</v>
      </c>
      <c r="E115" s="534">
        <f>'21'!F115</f>
        <v>11424</v>
      </c>
      <c r="F115" s="534">
        <v>11434</v>
      </c>
      <c r="G115" s="1356">
        <f>F115-E115</f>
        <v>10</v>
      </c>
      <c r="H115" s="460">
        <f>SUM(G115+'1'!G92)</f>
        <v>10</v>
      </c>
      <c r="I115" s="532"/>
      <c r="J115" s="558">
        <f>H115/DAY(B2)</f>
        <v>0.45454545454545453</v>
      </c>
      <c r="N115" s="444"/>
      <c r="O115" s="382"/>
    </row>
    <row r="116" spans="1:15" s="442" customFormat="1" ht="27.75">
      <c r="A116" s="1543" t="s">
        <v>224</v>
      </c>
      <c r="B116" s="1544"/>
      <c r="C116" s="574"/>
      <c r="D116" s="622" t="s">
        <v>143</v>
      </c>
      <c r="E116" s="534">
        <f>'21'!F116</f>
        <v>8226</v>
      </c>
      <c r="F116" s="534">
        <v>8243</v>
      </c>
      <c r="G116" s="1356">
        <f t="shared" ref="G116:G117" si="12">F116-E116</f>
        <v>17</v>
      </c>
      <c r="H116" s="460">
        <f>SUM(G116+'1'!G93)</f>
        <v>69</v>
      </c>
      <c r="I116" s="532"/>
      <c r="J116" s="558">
        <f>H116/DAY(B2)</f>
        <v>3.1363636363636362</v>
      </c>
      <c r="N116" s="444"/>
      <c r="O116" s="382"/>
    </row>
    <row r="117" spans="1:15" s="442" customFormat="1" ht="27.75">
      <c r="A117" s="1543" t="s">
        <v>225</v>
      </c>
      <c r="B117" s="1544"/>
      <c r="C117" s="574"/>
      <c r="D117" s="622" t="s">
        <v>143</v>
      </c>
      <c r="E117" s="534"/>
      <c r="F117" s="534"/>
      <c r="G117" s="1356">
        <f t="shared" si="12"/>
        <v>0</v>
      </c>
      <c r="H117" s="460">
        <f>SUM(G117+'1'!G94)</f>
        <v>95</v>
      </c>
      <c r="I117" s="532"/>
      <c r="J117" s="558">
        <f>H117/DAY(B2)</f>
        <v>4.3181818181818183</v>
      </c>
      <c r="N117" s="444"/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1356">
        <f>SUM(G115:G117)</f>
        <v>27</v>
      </c>
      <c r="H118" s="460">
        <f>SUM(G118+'1'!G96)</f>
        <v>99</v>
      </c>
      <c r="I118" s="534"/>
      <c r="J118" s="558">
        <f>H118/DAY(B2)</f>
        <v>4.5</v>
      </c>
      <c r="N118" s="447"/>
      <c r="O118" s="382"/>
    </row>
    <row r="119" spans="1:15" s="446" customFormat="1" ht="27.75">
      <c r="A119" s="1539" t="s">
        <v>226</v>
      </c>
      <c r="B119" s="1540"/>
      <c r="C119" s="1366"/>
      <c r="D119" s="624" t="s">
        <v>143</v>
      </c>
      <c r="E119" s="536"/>
      <c r="F119" s="536">
        <f>SUM(G19+G93)</f>
        <v>123</v>
      </c>
      <c r="G119" s="1356">
        <f>SUM(G19+G93)</f>
        <v>123</v>
      </c>
      <c r="H119" s="460">
        <f>SUM(G119+'1'!G97)</f>
        <v>135</v>
      </c>
      <c r="I119" s="535"/>
      <c r="J119" s="559">
        <f>H119/DAY(B2)</f>
        <v>6.1363636363636367</v>
      </c>
      <c r="N119" s="781"/>
      <c r="O119" s="382"/>
    </row>
    <row r="120" spans="1:15" s="446" customFormat="1" ht="27.75">
      <c r="A120" s="1539" t="s">
        <v>227</v>
      </c>
      <c r="B120" s="1540"/>
      <c r="C120" s="1366"/>
      <c r="D120" s="624" t="s">
        <v>143</v>
      </c>
      <c r="E120" s="536"/>
      <c r="F120" s="536">
        <f>SUM(G96,G97,G98,G100,G101)</f>
        <v>146</v>
      </c>
      <c r="G120" s="1356">
        <f>SUM(G96,G97,G98,G100,G101)</f>
        <v>146</v>
      </c>
      <c r="H120" s="460">
        <f>SUM(G120+'1'!G99)</f>
        <v>151</v>
      </c>
      <c r="I120" s="535"/>
      <c r="J120" s="559">
        <f>H120/DAY(B2)</f>
        <v>6.8636363636363633</v>
      </c>
      <c r="N120" s="781"/>
      <c r="O120" s="382"/>
    </row>
    <row r="121" spans="1:15" s="446" customFormat="1" ht="27.75">
      <c r="A121" s="1539" t="s">
        <v>228</v>
      </c>
      <c r="B121" s="1540"/>
      <c r="C121" s="1366"/>
      <c r="D121" s="624" t="s">
        <v>143</v>
      </c>
      <c r="E121" s="534"/>
      <c r="F121" s="534">
        <f>SUM(G113)</f>
        <v>80</v>
      </c>
      <c r="G121" s="1356">
        <f>SUM(G113)</f>
        <v>80</v>
      </c>
      <c r="H121" s="460">
        <f>SUM(G121+'1'!G101)</f>
        <v>86</v>
      </c>
      <c r="I121" s="535"/>
      <c r="J121" s="559">
        <f>H121/DAY(B2)</f>
        <v>3.9090909090909092</v>
      </c>
      <c r="N121" s="781"/>
      <c r="O121" s="382"/>
    </row>
    <row r="122" spans="1:15" s="442" customFormat="1" ht="27.75">
      <c r="A122" s="1541"/>
      <c r="B122" s="1542"/>
      <c r="C122" s="1367"/>
      <c r="D122" s="560"/>
      <c r="E122" s="560"/>
      <c r="F122" s="560" t="s">
        <v>214</v>
      </c>
      <c r="G122" s="1357"/>
      <c r="H122" s="561"/>
      <c r="I122" s="560"/>
      <c r="J122" s="562"/>
      <c r="N122" s="444"/>
      <c r="O122" s="382"/>
    </row>
    <row r="123" spans="1:15">
      <c r="A123" s="1576" t="s">
        <v>229</v>
      </c>
      <c r="B123" s="1577"/>
      <c r="C123" s="1578"/>
      <c r="D123" s="472"/>
      <c r="E123" s="472"/>
      <c r="F123" s="472"/>
      <c r="G123" s="1341"/>
      <c r="H123" s="483"/>
      <c r="I123" s="483"/>
      <c r="J123" s="563"/>
      <c r="K123" s="380"/>
      <c r="L123" s="377"/>
      <c r="N123" s="382"/>
      <c r="O123" s="382"/>
    </row>
    <row r="124" spans="1:15" ht="27.75">
      <c r="A124" s="1368" t="s">
        <v>230</v>
      </c>
      <c r="B124" s="1369"/>
      <c r="C124" s="1369"/>
      <c r="D124" s="523" t="s">
        <v>140</v>
      </c>
      <c r="E124" s="478">
        <f>'21'!F124</f>
        <v>830318</v>
      </c>
      <c r="F124" s="478">
        <v>830512</v>
      </c>
      <c r="G124" s="1338">
        <f t="shared" ref="G124:G128" si="13">F124-E124</f>
        <v>194</v>
      </c>
      <c r="H124" s="460">
        <f>G124+'21'!H124</f>
        <v>4423.5400000000373</v>
      </c>
      <c r="I124" s="526"/>
      <c r="J124" s="552">
        <f>H124/DAY(B2)</f>
        <v>201.0700000000017</v>
      </c>
      <c r="K124" s="380"/>
      <c r="L124" s="377"/>
      <c r="N124" s="382"/>
      <c r="O124" s="382"/>
    </row>
    <row r="125" spans="1:15" ht="27.75">
      <c r="A125" s="1368" t="s">
        <v>231</v>
      </c>
      <c r="B125" s="1369"/>
      <c r="C125" s="1369"/>
      <c r="D125" s="523" t="s">
        <v>140</v>
      </c>
      <c r="E125" s="626">
        <f>'21'!F125</f>
        <v>73583.399999999994</v>
      </c>
      <c r="F125" s="626">
        <v>73583.399999999994</v>
      </c>
      <c r="G125" s="1338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0" t="s">
        <v>232</v>
      </c>
      <c r="B126" s="1531"/>
      <c r="C126" s="1532"/>
      <c r="D126" s="523" t="s">
        <v>140</v>
      </c>
      <c r="E126" s="478">
        <f>'21'!F126</f>
        <v>145841</v>
      </c>
      <c r="F126" s="478">
        <v>145905</v>
      </c>
      <c r="G126" s="1338">
        <f t="shared" si="13"/>
        <v>64</v>
      </c>
      <c r="H126" s="460">
        <f>G126+'21'!H126</f>
        <v>1217.5599999999977</v>
      </c>
      <c r="I126" s="526"/>
      <c r="J126" s="552">
        <f>H126/DAY(B2)</f>
        <v>55.343636363636257</v>
      </c>
      <c r="K126" s="380"/>
      <c r="L126" s="377"/>
      <c r="N126" s="382"/>
      <c r="O126" s="382"/>
    </row>
    <row r="127" spans="1:15" ht="27.75">
      <c r="A127" s="609" t="s">
        <v>233</v>
      </c>
      <c r="B127" s="1369"/>
      <c r="C127" s="1369"/>
      <c r="D127" s="523" t="s">
        <v>140</v>
      </c>
      <c r="E127" s="626">
        <f>'21'!F127</f>
        <v>31404</v>
      </c>
      <c r="F127" s="626">
        <v>31404</v>
      </c>
      <c r="G127" s="1338">
        <f t="shared" si="13"/>
        <v>0</v>
      </c>
      <c r="H127" s="460">
        <f>G127+'21'!H127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234</v>
      </c>
      <c r="B128" s="1369"/>
      <c r="C128" s="1369"/>
      <c r="D128" s="523" t="s">
        <v>140</v>
      </c>
      <c r="E128" s="626">
        <f>'21'!F128</f>
        <v>8971</v>
      </c>
      <c r="F128" s="626">
        <v>8971</v>
      </c>
      <c r="G128" s="1338">
        <f t="shared" si="13"/>
        <v>0</v>
      </c>
      <c r="H128" s="460">
        <f>G128+'21'!H128</f>
        <v>1.2999999999992724</v>
      </c>
      <c r="I128" s="480"/>
      <c r="J128" s="552">
        <f>H128/DAY(B2)</f>
        <v>5.9090909090876019E-2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69"/>
      <c r="C129" s="1369"/>
      <c r="D129" s="523"/>
      <c r="E129" s="478"/>
      <c r="F129" s="478"/>
      <c r="G129" s="1338">
        <f>G15-SUM(G124:G128)</f>
        <v>374</v>
      </c>
      <c r="H129" s="460">
        <f>G129+'21'!H129</f>
        <v>1229</v>
      </c>
      <c r="I129" s="480"/>
      <c r="J129" s="552">
        <f>H129/DAY(B2)</f>
        <v>55.863636363636367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8"/>
      <c r="H130" s="540"/>
      <c r="I130" s="540"/>
      <c r="J130" s="564"/>
      <c r="N130" s="382"/>
      <c r="O130" s="382"/>
    </row>
    <row r="131" spans="1:15" ht="27.75">
      <c r="A131" s="1368" t="s">
        <v>237</v>
      </c>
      <c r="B131" s="1369"/>
      <c r="C131" s="1369"/>
      <c r="D131" s="523" t="s">
        <v>238</v>
      </c>
      <c r="E131" s="484">
        <f>'21'!F131</f>
        <v>0</v>
      </c>
      <c r="F131" s="484">
        <v>0</v>
      </c>
      <c r="G131" s="1338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8" t="s">
        <v>239</v>
      </c>
      <c r="B132" s="1369"/>
      <c r="C132" s="1369"/>
      <c r="D132" s="523" t="s">
        <v>238</v>
      </c>
      <c r="E132" s="484">
        <f>'21'!F132</f>
        <v>0</v>
      </c>
      <c r="F132" s="484">
        <v>0</v>
      </c>
      <c r="G132" s="1338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8" t="s">
        <v>240</v>
      </c>
      <c r="B133" s="1369"/>
      <c r="C133" s="1369"/>
      <c r="D133" s="523" t="s">
        <v>238</v>
      </c>
      <c r="E133" s="541">
        <f>'21'!F133</f>
        <v>40031.519999999997</v>
      </c>
      <c r="F133" s="541">
        <v>40035.1</v>
      </c>
      <c r="G133" s="1338">
        <f t="shared" si="14"/>
        <v>3.5800000000017462</v>
      </c>
      <c r="H133" s="460">
        <f>G133+'21'!H133</f>
        <v>288.61999999999534</v>
      </c>
      <c r="I133" s="480"/>
      <c r="J133" s="552">
        <f>H133/DAY(B2)</f>
        <v>13.119090909090698</v>
      </c>
      <c r="N133" s="382"/>
      <c r="O133" s="382"/>
    </row>
    <row r="134" spans="1:15" s="441" customFormat="1" ht="27.75">
      <c r="A134" s="1073" t="s">
        <v>241</v>
      </c>
      <c r="B134" s="1074"/>
      <c r="C134" s="1074"/>
      <c r="D134" s="627" t="s">
        <v>238</v>
      </c>
      <c r="E134" s="541">
        <f>'21'!F134</f>
        <v>300</v>
      </c>
      <c r="F134" s="541">
        <v>300</v>
      </c>
      <c r="G134" s="1359">
        <f t="shared" si="14"/>
        <v>0</v>
      </c>
      <c r="H134" s="708">
        <f>G134+'21'!H134</f>
        <v>0</v>
      </c>
      <c r="I134" s="1075">
        <f>G131+G132+G133+G134</f>
        <v>3.5800000000017462</v>
      </c>
      <c r="J134" s="710">
        <f>H134/DAY(B2)</f>
        <v>0</v>
      </c>
      <c r="N134" s="716"/>
      <c r="O134" s="716"/>
    </row>
    <row r="135" spans="1:15" ht="27.75">
      <c r="A135" s="1368" t="s">
        <v>242</v>
      </c>
      <c r="B135" s="1369"/>
      <c r="C135" s="1369"/>
      <c r="D135" s="523" t="s">
        <v>238</v>
      </c>
      <c r="E135" s="541">
        <f>'21'!F135</f>
        <v>41613</v>
      </c>
      <c r="F135" s="541">
        <v>41637</v>
      </c>
      <c r="G135" s="1338">
        <f t="shared" si="14"/>
        <v>24</v>
      </c>
      <c r="H135" s="460">
        <f>G135+'21'!H135</f>
        <v>252</v>
      </c>
      <c r="I135" s="480"/>
      <c r="J135" s="552">
        <f>H135/DAY(B2)</f>
        <v>11.454545454545455</v>
      </c>
      <c r="N135" s="382"/>
      <c r="O135" s="382"/>
    </row>
    <row r="136" spans="1:15" ht="27.75">
      <c r="A136" s="1368" t="s">
        <v>243</v>
      </c>
      <c r="B136" s="1369"/>
      <c r="C136" s="1369"/>
      <c r="D136" s="523" t="s">
        <v>238</v>
      </c>
      <c r="E136" s="541">
        <f>'21'!F136</f>
        <v>32582.92</v>
      </c>
      <c r="F136" s="541">
        <v>32582.93</v>
      </c>
      <c r="G136" s="1338">
        <f t="shared" si="14"/>
        <v>1.0000000002037268E-2</v>
      </c>
      <c r="H136" s="460">
        <f>G136+'21'!H136</f>
        <v>-6.9999999999708962E-2</v>
      </c>
      <c r="I136" s="480"/>
      <c r="J136" s="552">
        <f>H136/DAY(B2)</f>
        <v>-3.1818181818049529E-3</v>
      </c>
      <c r="N136" s="382"/>
      <c r="O136" s="382"/>
    </row>
    <row r="137" spans="1:15" ht="27.75">
      <c r="A137" s="1368" t="s">
        <v>244</v>
      </c>
      <c r="B137" s="1369"/>
      <c r="C137" s="1369"/>
      <c r="D137" s="523" t="s">
        <v>238</v>
      </c>
      <c r="E137" s="541">
        <f>'21'!F137</f>
        <v>22775.91</v>
      </c>
      <c r="F137" s="541">
        <v>22783.45</v>
      </c>
      <c r="G137" s="1338">
        <f t="shared" si="14"/>
        <v>7.5400000000008731</v>
      </c>
      <c r="H137" s="460">
        <f>G137+'21'!H137</f>
        <v>43.860000000000582</v>
      </c>
      <c r="I137" s="480">
        <f>G135+G136+G137</f>
        <v>31.55000000000291</v>
      </c>
      <c r="J137" s="552">
        <f>H137/DAY(B2)</f>
        <v>1.9936363636363901</v>
      </c>
      <c r="N137" s="382"/>
      <c r="O137" s="382"/>
    </row>
    <row r="138" spans="1:15" ht="27.75">
      <c r="A138" s="1368" t="s">
        <v>245</v>
      </c>
      <c r="B138" s="1369"/>
      <c r="C138" s="1369"/>
      <c r="D138" s="523" t="s">
        <v>238</v>
      </c>
      <c r="E138" s="541">
        <f>'21'!F138</f>
        <v>25051.72</v>
      </c>
      <c r="F138" s="541">
        <v>25051.72</v>
      </c>
      <c r="G138" s="1338">
        <f t="shared" si="14"/>
        <v>0</v>
      </c>
      <c r="H138" s="460">
        <f>G138+'21'!H138</f>
        <v>0.13000000000101863</v>
      </c>
      <c r="I138" s="480"/>
      <c r="J138" s="552">
        <f>H138/DAY(B2)</f>
        <v>5.9090909091372105E-3</v>
      </c>
      <c r="N138" s="382"/>
      <c r="O138" s="382"/>
    </row>
    <row r="139" spans="1:15" ht="27.75">
      <c r="A139" s="1368" t="s">
        <v>246</v>
      </c>
      <c r="B139" s="1369"/>
      <c r="C139" s="1369"/>
      <c r="D139" s="523" t="s">
        <v>238</v>
      </c>
      <c r="E139" s="541">
        <f>'21'!F139</f>
        <v>70376.649999999994</v>
      </c>
      <c r="F139" s="541">
        <v>70376.649999999994</v>
      </c>
      <c r="G139" s="1338">
        <f t="shared" si="14"/>
        <v>0</v>
      </c>
      <c r="H139" s="460">
        <f>G139+'21'!H139</f>
        <v>60.839999999996508</v>
      </c>
      <c r="I139" s="480">
        <f>G138+G139</f>
        <v>0</v>
      </c>
      <c r="J139" s="552">
        <f>H139/DAY(B2)</f>
        <v>2.7654545454543866</v>
      </c>
      <c r="N139" s="382"/>
      <c r="O139" s="382"/>
    </row>
    <row r="140" spans="1:15" ht="27.75">
      <c r="A140" s="1368" t="s">
        <v>247</v>
      </c>
      <c r="B140" s="1369"/>
      <c r="C140" s="1369"/>
      <c r="D140" s="523" t="s">
        <v>238</v>
      </c>
      <c r="E140" s="484">
        <f>'21'!F140</f>
        <v>1777.78</v>
      </c>
      <c r="F140" s="484">
        <v>1785.14</v>
      </c>
      <c r="G140" s="1338">
        <f t="shared" si="14"/>
        <v>7.3600000000001273</v>
      </c>
      <c r="H140" s="460">
        <f>G140+'21'!H140</f>
        <v>168.2800000000002</v>
      </c>
      <c r="I140" s="542"/>
      <c r="J140" s="552">
        <f>H140/DAY(B2)</f>
        <v>7.6490909090909183</v>
      </c>
      <c r="N140" s="382"/>
      <c r="O140" s="382"/>
    </row>
    <row r="141" spans="1:15" ht="27.75">
      <c r="A141" s="1368" t="s">
        <v>248</v>
      </c>
      <c r="B141" s="1369"/>
      <c r="C141" s="1369"/>
      <c r="D141" s="523" t="s">
        <v>238</v>
      </c>
      <c r="E141" s="484">
        <f>'21'!F141</f>
        <v>4636.88</v>
      </c>
      <c r="F141" s="484">
        <v>4636.88</v>
      </c>
      <c r="G141" s="1338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57" t="s">
        <v>249</v>
      </c>
      <c r="B142" s="1558"/>
      <c r="C142" s="1374"/>
      <c r="D142" s="472"/>
      <c r="E142" s="472"/>
      <c r="F142" s="472"/>
      <c r="G142" s="1341"/>
      <c r="H142" s="483"/>
      <c r="I142" s="483"/>
      <c r="J142" s="563"/>
      <c r="K142" s="380"/>
      <c r="L142" s="377"/>
      <c r="N142" s="382"/>
      <c r="O142" s="382"/>
    </row>
    <row r="143" spans="1:15" ht="27.75">
      <c r="A143" s="1551" t="s">
        <v>250</v>
      </c>
      <c r="B143" s="1552"/>
      <c r="C143" s="1553"/>
      <c r="D143" s="523" t="s">
        <v>131</v>
      </c>
      <c r="E143" s="523"/>
      <c r="F143" s="523"/>
      <c r="G143" s="1351">
        <f>G35+G43+G49+G57</f>
        <v>4130</v>
      </c>
      <c r="H143" s="460">
        <f>G143+'21'!H143</f>
        <v>90090</v>
      </c>
      <c r="I143" s="480"/>
      <c r="J143" s="552">
        <f>H143/DAY(B2)</f>
        <v>4095</v>
      </c>
      <c r="K143" s="380"/>
      <c r="L143" s="377"/>
      <c r="N143" s="382"/>
      <c r="O143" s="382"/>
    </row>
    <row r="144" spans="1:15" ht="27.75">
      <c r="A144" s="1551" t="s">
        <v>251</v>
      </c>
      <c r="B144" s="1552"/>
      <c r="C144" s="1553"/>
      <c r="D144" s="523" t="s">
        <v>24</v>
      </c>
      <c r="E144" s="511"/>
      <c r="F144" s="511"/>
      <c r="G144" s="1360">
        <f>G143/G7</f>
        <v>0.23255813953488372</v>
      </c>
      <c r="H144" s="460">
        <f>G144+'21'!H144</f>
        <v>5.7628570599241762</v>
      </c>
      <c r="I144" s="544"/>
      <c r="J144" s="552">
        <f>H144/DAY(B2)</f>
        <v>0.26194804817837164</v>
      </c>
      <c r="K144" s="380"/>
      <c r="L144" s="377"/>
      <c r="N144" s="382"/>
      <c r="O144" s="382"/>
    </row>
    <row r="145" spans="1:15" ht="27.75">
      <c r="A145" s="1551" t="s">
        <v>252</v>
      </c>
      <c r="B145" s="1552"/>
      <c r="C145" s="1553"/>
      <c r="D145" s="523" t="s">
        <v>131</v>
      </c>
      <c r="E145" s="455"/>
      <c r="F145" s="455"/>
      <c r="G145" s="1351">
        <f>G41+G42+G55+G56</f>
        <v>6030</v>
      </c>
      <c r="H145" s="460">
        <f>G145+'21'!H145</f>
        <v>107781.53000000003</v>
      </c>
      <c r="I145" s="480"/>
      <c r="J145" s="552">
        <f>H145/DAY(B2)</f>
        <v>4899.1604545454557</v>
      </c>
      <c r="K145" s="380"/>
      <c r="L145" s="377"/>
      <c r="N145" s="382"/>
      <c r="O145" s="382"/>
    </row>
    <row r="146" spans="1:15" ht="27.75">
      <c r="A146" s="1551" t="s">
        <v>253</v>
      </c>
      <c r="B146" s="1552"/>
      <c r="C146" s="1553"/>
      <c r="D146" s="523" t="s">
        <v>24</v>
      </c>
      <c r="E146" s="455"/>
      <c r="F146" s="455"/>
      <c r="G146" s="1360">
        <f>G145/G7</f>
        <v>0.33954614561630725</v>
      </c>
      <c r="H146" s="460">
        <f>G146+'21'!H146</f>
        <v>6.8946526942765889</v>
      </c>
      <c r="I146" s="544"/>
      <c r="J146" s="552">
        <f>H146/DAY(B2)</f>
        <v>0.31339330428529949</v>
      </c>
      <c r="K146" s="380"/>
      <c r="L146" s="377"/>
      <c r="N146" s="382"/>
      <c r="O146" s="382"/>
    </row>
    <row r="147" spans="1:15" ht="27.75">
      <c r="A147" s="1551" t="s">
        <v>254</v>
      </c>
      <c r="B147" s="1552"/>
      <c r="C147" s="1553"/>
      <c r="D147" s="523" t="s">
        <v>131</v>
      </c>
      <c r="E147" s="455"/>
      <c r="F147" s="455"/>
      <c r="G147" s="1351">
        <f>G39+G53</f>
        <v>3496</v>
      </c>
      <c r="H147" s="460">
        <f>G147+'21'!H147</f>
        <v>52793</v>
      </c>
      <c r="I147" s="545"/>
      <c r="J147" s="552">
        <f>H147/DAY(B2)</f>
        <v>2399.681818181818</v>
      </c>
      <c r="K147" s="380"/>
      <c r="L147" s="377"/>
      <c r="N147" s="382"/>
      <c r="O147" s="382"/>
    </row>
    <row r="148" spans="1:15" ht="27.75">
      <c r="A148" s="1551" t="s">
        <v>255</v>
      </c>
      <c r="B148" s="1552"/>
      <c r="C148" s="1553"/>
      <c r="D148" s="523" t="s">
        <v>24</v>
      </c>
      <c r="E148" s="455"/>
      <c r="F148" s="455"/>
      <c r="G148" s="1360">
        <f>G147/G7</f>
        <v>0.19685793118981926</v>
      </c>
      <c r="H148" s="460">
        <f>G148+'21'!H148</f>
        <v>3.3757549665110944</v>
      </c>
      <c r="I148" s="545"/>
      <c r="J148" s="552">
        <f>H148/DAY(B2)</f>
        <v>0.1534434075686861</v>
      </c>
      <c r="N148" s="382"/>
      <c r="O148" s="382"/>
    </row>
    <row r="149" spans="1:15" ht="27.75">
      <c r="A149" s="1551" t="s">
        <v>256</v>
      </c>
      <c r="B149" s="1552"/>
      <c r="C149" s="1553"/>
      <c r="D149" s="523" t="s">
        <v>182</v>
      </c>
      <c r="E149" s="455"/>
      <c r="F149" s="455"/>
      <c r="G149" s="1351">
        <f>G38+G52</f>
        <v>1280</v>
      </c>
      <c r="H149" s="460">
        <f>G149+'21'!H149</f>
        <v>25676.069999999949</v>
      </c>
      <c r="I149" s="480"/>
      <c r="J149" s="552">
        <f>H149/DAY(B2)</f>
        <v>1167.0940909090887</v>
      </c>
      <c r="K149" s="381"/>
      <c r="N149" s="382"/>
      <c r="O149" s="382"/>
    </row>
    <row r="150" spans="1:15" ht="27.75">
      <c r="A150" s="1551" t="s">
        <v>257</v>
      </c>
      <c r="B150" s="1552"/>
      <c r="C150" s="1553"/>
      <c r="D150" s="523" t="s">
        <v>24</v>
      </c>
      <c r="E150" s="455"/>
      <c r="F150" s="455"/>
      <c r="G150" s="1360">
        <f>G149/G7</f>
        <v>7.2076130412748463E-2</v>
      </c>
      <c r="H150" s="460">
        <f>G150+'21'!H150</f>
        <v>1.6416657673758617</v>
      </c>
      <c r="I150" s="545"/>
      <c r="J150" s="552">
        <f>H150/DAY(B2)</f>
        <v>7.4621171244357354E-2</v>
      </c>
      <c r="N150" s="382"/>
      <c r="O150" s="382"/>
    </row>
    <row r="151" spans="1:15" ht="27.75">
      <c r="A151" s="1551" t="s">
        <v>258</v>
      </c>
      <c r="B151" s="1552"/>
      <c r="C151" s="1553"/>
      <c r="D151" s="523" t="s">
        <v>182</v>
      </c>
      <c r="E151" s="455"/>
      <c r="F151" s="455"/>
      <c r="G151" s="1351">
        <f>G36+G50</f>
        <v>918</v>
      </c>
      <c r="H151" s="460">
        <f>G151+'21'!H151</f>
        <v>22111</v>
      </c>
      <c r="I151" s="545"/>
      <c r="J151" s="552">
        <f>H151/DAY(B2)</f>
        <v>1005.0454545454545</v>
      </c>
      <c r="N151" s="382"/>
      <c r="O151" s="382"/>
    </row>
    <row r="152" spans="1:15" ht="27.75">
      <c r="A152" s="1551" t="s">
        <v>259</v>
      </c>
      <c r="B152" s="1552"/>
      <c r="C152" s="1553"/>
      <c r="D152" s="523" t="s">
        <v>24</v>
      </c>
      <c r="E152" s="455"/>
      <c r="F152" s="455"/>
      <c r="G152" s="1360">
        <f>G151/G7</f>
        <v>5.169209978039304E-2</v>
      </c>
      <c r="H152" s="460">
        <f>G152+'21'!H152</f>
        <v>1.4072614635409975</v>
      </c>
      <c r="I152" s="480"/>
      <c r="J152" s="552">
        <f>H152/DAY(B2)</f>
        <v>6.3966430160954435E-2</v>
      </c>
      <c r="N152" s="382"/>
      <c r="O152" s="382"/>
    </row>
    <row r="153" spans="1:15" ht="27.75">
      <c r="A153" s="1551" t="s">
        <v>260</v>
      </c>
      <c r="B153" s="1552"/>
      <c r="C153" s="1553"/>
      <c r="D153" s="523" t="s">
        <v>182</v>
      </c>
      <c r="E153" s="455"/>
      <c r="F153" s="455"/>
      <c r="G153" s="1351">
        <f>G37+G51</f>
        <v>1372</v>
      </c>
      <c r="H153" s="460">
        <f>G153+'21'!H153</f>
        <v>27330</v>
      </c>
      <c r="I153" s="480"/>
      <c r="J153" s="552">
        <f>H153/DAY(B2)</f>
        <v>1242.2727272727273</v>
      </c>
      <c r="N153" s="382"/>
      <c r="O153" s="382"/>
    </row>
    <row r="154" spans="1:15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1361">
        <f>G153/G7</f>
        <v>7.7256602286164766E-2</v>
      </c>
      <c r="H154" s="460">
        <f>G154+'21'!H154</f>
        <v>1.7505630600223205</v>
      </c>
      <c r="I154" s="568"/>
      <c r="J154" s="569">
        <f>H154/DAY(B2)</f>
        <v>7.9571048182832754E-2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2"/>
      <c r="H155" s="547"/>
      <c r="I155" s="546"/>
      <c r="J155" s="548"/>
      <c r="O155" s="382"/>
    </row>
    <row r="161" spans="1:8">
      <c r="A161" s="787" t="s">
        <v>262</v>
      </c>
      <c r="B161" s="788"/>
      <c r="C161" s="788"/>
      <c r="D161" s="511" t="s">
        <v>186</v>
      </c>
      <c r="E161" s="661">
        <f>'21'!F161</f>
        <v>37620</v>
      </c>
      <c r="F161" s="661">
        <v>37700</v>
      </c>
      <c r="G161" s="1338">
        <f t="shared" ref="G161:G164" si="15">F161-E161</f>
        <v>80</v>
      </c>
      <c r="H161" s="538">
        <v>68.809999999999491</v>
      </c>
    </row>
    <row r="162" spans="1:8">
      <c r="A162" s="787" t="s">
        <v>263</v>
      </c>
      <c r="B162" s="788"/>
      <c r="C162" s="788"/>
      <c r="D162" s="511" t="s">
        <v>186</v>
      </c>
      <c r="E162" s="661">
        <f>'21'!F162</f>
        <v>90943</v>
      </c>
      <c r="F162" s="661">
        <v>91314</v>
      </c>
      <c r="G162" s="1338">
        <f t="shared" si="15"/>
        <v>371</v>
      </c>
      <c r="H162" s="538">
        <v>128.56999999999994</v>
      </c>
    </row>
    <row r="163" spans="1:8">
      <c r="A163" s="787" t="s">
        <v>264</v>
      </c>
      <c r="B163" s="788"/>
      <c r="C163" s="788"/>
      <c r="D163" s="511" t="s">
        <v>186</v>
      </c>
      <c r="E163" s="661">
        <f>'21'!F163</f>
        <v>42901</v>
      </c>
      <c r="F163" s="661">
        <v>43101</v>
      </c>
      <c r="G163" s="1338">
        <f t="shared" si="15"/>
        <v>200</v>
      </c>
      <c r="H163" s="538">
        <v>141.49</v>
      </c>
    </row>
    <row r="164" spans="1:8">
      <c r="A164" s="787" t="s">
        <v>265</v>
      </c>
      <c r="B164" s="788"/>
      <c r="C164" s="788"/>
      <c r="D164" s="511" t="s">
        <v>186</v>
      </c>
      <c r="E164" s="661">
        <f>'21'!F164</f>
        <v>6483</v>
      </c>
      <c r="F164" s="661">
        <v>6493</v>
      </c>
      <c r="G164" s="1338">
        <f t="shared" si="15"/>
        <v>10</v>
      </c>
      <c r="H164" s="538">
        <v>45.430000000000007</v>
      </c>
    </row>
    <row r="165" spans="1:8">
      <c r="A165" s="789" t="s">
        <v>98</v>
      </c>
      <c r="B165" s="604"/>
      <c r="C165" s="604"/>
      <c r="D165" s="511" t="s">
        <v>186</v>
      </c>
      <c r="E165" s="514">
        <f>E62</f>
        <v>20419.2</v>
      </c>
      <c r="F165" s="514">
        <v>20419</v>
      </c>
      <c r="G165" s="1338">
        <v>0</v>
      </c>
      <c r="H165" s="538">
        <v>0</v>
      </c>
    </row>
    <row r="166" spans="1:8">
      <c r="A166" s="789" t="s">
        <v>187</v>
      </c>
      <c r="B166" s="604"/>
      <c r="C166" s="604"/>
      <c r="D166" s="511" t="s">
        <v>186</v>
      </c>
      <c r="E166" s="514">
        <f t="shared" ref="E166:E172" si="16">E63</f>
        <v>2438</v>
      </c>
      <c r="F166" s="514">
        <f t="shared" ref="F166:F172" si="17">F63</f>
        <v>2442</v>
      </c>
      <c r="G166" s="1338">
        <f t="shared" ref="G166:G172" si="18">F166-E166</f>
        <v>4</v>
      </c>
      <c r="H166" s="538">
        <v>0</v>
      </c>
    </row>
    <row r="167" spans="1:8" ht="27.75">
      <c r="A167" s="1526" t="s">
        <v>99</v>
      </c>
      <c r="B167" s="1526"/>
      <c r="C167" s="1526"/>
      <c r="D167" s="523" t="s">
        <v>186</v>
      </c>
      <c r="E167" s="514">
        <f t="shared" si="16"/>
        <v>157972</v>
      </c>
      <c r="F167" s="514">
        <f t="shared" si="17"/>
        <v>158181</v>
      </c>
      <c r="G167" s="1338">
        <f t="shared" si="18"/>
        <v>209</v>
      </c>
      <c r="H167" s="538">
        <v>178.5199999999968</v>
      </c>
    </row>
    <row r="168" spans="1:8" ht="27.75">
      <c r="A168" s="1526" t="s">
        <v>100</v>
      </c>
      <c r="B168" s="1526"/>
      <c r="C168" s="1526"/>
      <c r="D168" s="523" t="s">
        <v>186</v>
      </c>
      <c r="E168" s="514">
        <f t="shared" si="16"/>
        <v>158840</v>
      </c>
      <c r="F168" s="514">
        <f t="shared" si="17"/>
        <v>159043</v>
      </c>
      <c r="G168" s="1338">
        <f t="shared" si="18"/>
        <v>203</v>
      </c>
      <c r="H168" s="538">
        <v>198.38999999999942</v>
      </c>
    </row>
    <row r="169" spans="1:8" ht="27.75">
      <c r="A169" s="1526" t="s">
        <v>101</v>
      </c>
      <c r="B169" s="1526"/>
      <c r="C169" s="1526"/>
      <c r="D169" s="523" t="s">
        <v>186</v>
      </c>
      <c r="E169" s="514">
        <f t="shared" si="16"/>
        <v>54000</v>
      </c>
      <c r="F169" s="514">
        <f t="shared" si="17"/>
        <v>54311</v>
      </c>
      <c r="G169" s="1338">
        <f t="shared" si="18"/>
        <v>311</v>
      </c>
      <c r="H169" s="538">
        <v>226.35000000000582</v>
      </c>
    </row>
    <row r="170" spans="1:8" ht="27.75">
      <c r="A170" s="1526" t="s">
        <v>102</v>
      </c>
      <c r="B170" s="1526"/>
      <c r="C170" s="1526"/>
      <c r="D170" s="523" t="s">
        <v>186</v>
      </c>
      <c r="E170" s="514">
        <f t="shared" si="16"/>
        <v>247691</v>
      </c>
      <c r="F170" s="514">
        <f t="shared" si="17"/>
        <v>248213</v>
      </c>
      <c r="G170" s="1338">
        <f t="shared" si="18"/>
        <v>522</v>
      </c>
      <c r="H170" s="538">
        <v>312.47000000000116</v>
      </c>
    </row>
    <row r="171" spans="1:8" ht="27.75">
      <c r="A171" s="1526" t="s">
        <v>103</v>
      </c>
      <c r="B171" s="1526"/>
      <c r="C171" s="1526"/>
      <c r="D171" s="523" t="s">
        <v>186</v>
      </c>
      <c r="E171" s="514">
        <f t="shared" si="16"/>
        <v>85321</v>
      </c>
      <c r="F171" s="514">
        <f t="shared" si="17"/>
        <v>85321</v>
      </c>
      <c r="G171" s="1338">
        <f t="shared" si="18"/>
        <v>0</v>
      </c>
      <c r="H171" s="538">
        <v>142.1200000000008</v>
      </c>
    </row>
    <row r="172" spans="1:8" ht="27.75">
      <c r="A172" s="1526" t="s">
        <v>104</v>
      </c>
      <c r="B172" s="1526"/>
      <c r="C172" s="1526"/>
      <c r="D172" s="523" t="s">
        <v>186</v>
      </c>
      <c r="E172" s="514">
        <f t="shared" si="16"/>
        <v>80597</v>
      </c>
      <c r="F172" s="514">
        <f t="shared" si="17"/>
        <v>80703</v>
      </c>
      <c r="G172" s="1338">
        <f t="shared" si="18"/>
        <v>106</v>
      </c>
      <c r="H172" s="538">
        <v>12.869999999998981</v>
      </c>
    </row>
    <row r="173" spans="1:8" ht="27.75" customHeight="1">
      <c r="G173" s="1363">
        <f>SUM(G161:G172)</f>
        <v>2016</v>
      </c>
    </row>
    <row r="174" spans="1:8" ht="27.75">
      <c r="A174" s="1526" t="s">
        <v>355</v>
      </c>
      <c r="B174" s="1526"/>
      <c r="C174" s="1526"/>
      <c r="D174" s="523" t="s">
        <v>186</v>
      </c>
      <c r="E174" s="514"/>
      <c r="F174" s="514"/>
      <c r="G174" s="473"/>
    </row>
  </sheetData>
  <mergeCells count="75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Normal="80" zoomScaleSheetLayoutView="70" workbookViewId="0">
      <selection activeCell="H8" sqref="H8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5.88671875" style="1007" customWidth="1"/>
    <col min="4" max="4" width="13.6640625" style="1007" customWidth="1"/>
    <col min="5" max="5" width="32.109375" style="1007" customWidth="1"/>
    <col min="6" max="6" width="30" style="1007" customWidth="1"/>
    <col min="7" max="7" width="20.33203125" style="1007" customWidth="1"/>
    <col min="8" max="8" width="39.21875" style="1008" customWidth="1"/>
    <col min="9" max="9" width="11.21875" style="1007" bestFit="1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6.77734375" style="808" bestFit="1" customWidth="1"/>
    <col min="16" max="16384" width="22.33203125" style="808"/>
  </cols>
  <sheetData>
    <row r="1" spans="1:15" ht="22.5">
      <c r="A1" s="1660" t="s">
        <v>116</v>
      </c>
      <c r="B1" s="1661"/>
      <c r="C1" s="1661"/>
      <c r="D1" s="1661"/>
      <c r="E1" s="1661"/>
      <c r="F1" s="1661"/>
      <c r="G1" s="1661"/>
      <c r="H1" s="1661"/>
      <c r="I1" s="1661"/>
      <c r="J1" s="1662"/>
      <c r="K1" s="808">
        <v>10002.799999999999</v>
      </c>
    </row>
    <row r="2" spans="1:15">
      <c r="A2" s="809" t="s">
        <v>317</v>
      </c>
      <c r="B2" s="1080">
        <v>44339</v>
      </c>
      <c r="C2" s="810" t="s">
        <v>69</v>
      </c>
      <c r="D2" s="811">
        <v>0.52</v>
      </c>
      <c r="E2" s="812"/>
      <c r="F2" s="812"/>
      <c r="G2" s="812" t="s">
        <v>117</v>
      </c>
      <c r="H2" s="812" t="s">
        <v>6</v>
      </c>
      <c r="I2" s="812" t="s">
        <v>8</v>
      </c>
      <c r="J2" s="813" t="s">
        <v>118</v>
      </c>
    </row>
    <row r="3" spans="1:15">
      <c r="A3" s="814"/>
      <c r="B3" s="815"/>
      <c r="C3" s="810" t="s">
        <v>119</v>
      </c>
      <c r="D3" s="816">
        <v>30</v>
      </c>
      <c r="E3" s="1663" t="s">
        <v>120</v>
      </c>
      <c r="F3" s="1664"/>
      <c r="G3" s="817">
        <f>'1'!G3</f>
        <v>0</v>
      </c>
      <c r="H3" s="818">
        <f>'1'!H3</f>
        <v>0</v>
      </c>
      <c r="I3" s="818">
        <f>'1'!I3</f>
        <v>0</v>
      </c>
      <c r="J3" s="819">
        <f>'1'!J3</f>
        <v>0</v>
      </c>
      <c r="K3" s="820"/>
      <c r="L3" s="821"/>
    </row>
    <row r="4" spans="1:15">
      <c r="A4" s="822"/>
      <c r="B4" s="823"/>
      <c r="C4" s="810" t="s">
        <v>121</v>
      </c>
      <c r="D4" s="811">
        <v>0.78</v>
      </c>
      <c r="E4" s="824"/>
      <c r="F4" s="824"/>
      <c r="G4" s="824"/>
      <c r="H4" s="824"/>
      <c r="I4" s="825"/>
      <c r="J4" s="819"/>
      <c r="K4" s="826"/>
      <c r="L4" s="821"/>
    </row>
    <row r="5" spans="1:15">
      <c r="A5" s="827" t="s">
        <v>122</v>
      </c>
      <c r="B5" s="828"/>
      <c r="C5" s="828"/>
      <c r="D5" s="828" t="s">
        <v>123</v>
      </c>
      <c r="E5" s="829" t="s">
        <v>124</v>
      </c>
      <c r="F5" s="829" t="s">
        <v>111</v>
      </c>
      <c r="G5" s="830" t="s">
        <v>125</v>
      </c>
      <c r="H5" s="831" t="s">
        <v>126</v>
      </c>
      <c r="I5" s="832" t="s">
        <v>127</v>
      </c>
      <c r="J5" s="833" t="s">
        <v>128</v>
      </c>
      <c r="K5" s="834"/>
      <c r="L5" s="821"/>
    </row>
    <row r="6" spans="1:15">
      <c r="A6" s="1657" t="s">
        <v>129</v>
      </c>
      <c r="B6" s="1658"/>
      <c r="C6" s="1659"/>
      <c r="D6" s="835"/>
      <c r="E6" s="835"/>
      <c r="F6" s="835"/>
      <c r="G6" s="835"/>
      <c r="H6" s="836"/>
      <c r="I6" s="836"/>
      <c r="J6" s="837"/>
      <c r="K6" s="838"/>
      <c r="L6" s="821"/>
    </row>
    <row r="7" spans="1:15" ht="21" thickBot="1">
      <c r="A7" s="839" t="s">
        <v>130</v>
      </c>
      <c r="B7" s="840"/>
      <c r="C7" s="840"/>
      <c r="D7" s="841" t="s">
        <v>131</v>
      </c>
      <c r="E7" s="842">
        <f>'22'!F7</f>
        <v>189409</v>
      </c>
      <c r="F7" s="842">
        <v>206316.05</v>
      </c>
      <c r="G7" s="843">
        <f>F7-E7</f>
        <v>16907.049999999988</v>
      </c>
      <c r="H7" s="844">
        <f>G7+'22'!H7</f>
        <v>361339.05</v>
      </c>
      <c r="I7" s="845">
        <f>'1'!I7</f>
        <v>12000</v>
      </c>
      <c r="J7" s="846">
        <f>H7/DAY(B2)</f>
        <v>15710.393478260869</v>
      </c>
      <c r="K7" s="847"/>
      <c r="L7" s="821"/>
      <c r="O7" s="848"/>
    </row>
    <row r="8" spans="1:15" ht="21" thickBot="1">
      <c r="A8" s="849" t="s">
        <v>132</v>
      </c>
      <c r="B8" s="850"/>
      <c r="C8" s="851"/>
      <c r="D8" s="852" t="s">
        <v>25</v>
      </c>
      <c r="E8" s="842">
        <f>'22'!F8</f>
        <v>190825</v>
      </c>
      <c r="F8" s="853">
        <v>207806.75</v>
      </c>
      <c r="G8" s="854">
        <f>F8-E8</f>
        <v>16981.75</v>
      </c>
      <c r="H8" s="844">
        <f>G8+'22'!H8</f>
        <v>363565.75</v>
      </c>
      <c r="I8" s="855">
        <f>'1'!I8</f>
        <v>12000</v>
      </c>
      <c r="J8" s="846">
        <f>H8/DAY(B2)</f>
        <v>15807.20652173913</v>
      </c>
      <c r="K8" s="847"/>
      <c r="L8" s="856"/>
      <c r="M8" s="857"/>
      <c r="O8" s="848"/>
    </row>
    <row r="9" spans="1:15">
      <c r="A9" s="858" t="s">
        <v>133</v>
      </c>
      <c r="B9" s="859"/>
      <c r="C9" s="859"/>
      <c r="D9" s="841" t="s">
        <v>131</v>
      </c>
      <c r="E9" s="842">
        <f>'22'!F9</f>
        <v>1323735</v>
      </c>
      <c r="F9" s="860">
        <v>1340135.3999999999</v>
      </c>
      <c r="G9" s="843">
        <f t="shared" ref="G9:G12" si="0">F9-E9</f>
        <v>16400.399999999907</v>
      </c>
      <c r="H9" s="844">
        <f>G9+'22'!H9</f>
        <v>349421.39999999991</v>
      </c>
      <c r="I9" s="861">
        <f>I8-J8</f>
        <v>-3807.20652173913</v>
      </c>
      <c r="J9" s="846">
        <f>H9/DAY(B2)</f>
        <v>15192.234782608692</v>
      </c>
      <c r="K9" s="862"/>
      <c r="L9" s="821"/>
      <c r="O9" s="848"/>
    </row>
    <row r="10" spans="1:15">
      <c r="A10" s="839" t="s">
        <v>134</v>
      </c>
      <c r="B10" s="840"/>
      <c r="C10" s="840"/>
      <c r="D10" s="841" t="s">
        <v>131</v>
      </c>
      <c r="E10" s="842">
        <f>'22'!F10</f>
        <v>2322.58</v>
      </c>
      <c r="F10" s="860">
        <v>2322.58</v>
      </c>
      <c r="G10" s="843">
        <f t="shared" si="0"/>
        <v>0</v>
      </c>
      <c r="H10" s="844">
        <f>G10+'22'!H10</f>
        <v>0</v>
      </c>
      <c r="I10" s="863"/>
      <c r="J10" s="846">
        <f>H10/DAY(B2)</f>
        <v>0</v>
      </c>
      <c r="K10" s="862"/>
      <c r="L10" s="821"/>
      <c r="O10" s="848"/>
    </row>
    <row r="11" spans="1:15">
      <c r="A11" s="839" t="s">
        <v>135</v>
      </c>
      <c r="B11" s="840"/>
      <c r="C11" s="840"/>
      <c r="D11" s="841" t="s">
        <v>131</v>
      </c>
      <c r="E11" s="842">
        <f>'5'!E11</f>
        <v>37000</v>
      </c>
      <c r="F11" s="842">
        <v>37000</v>
      </c>
      <c r="G11" s="843">
        <f t="shared" si="0"/>
        <v>0</v>
      </c>
      <c r="H11" s="844">
        <f>G11+'22'!H11</f>
        <v>0</v>
      </c>
      <c r="I11" s="863"/>
      <c r="J11" s="846">
        <f>H11/DAY(B2)</f>
        <v>0</v>
      </c>
      <c r="K11" s="862"/>
      <c r="L11" s="821"/>
      <c r="O11" s="848"/>
    </row>
    <row r="12" spans="1:15">
      <c r="A12" s="839" t="s">
        <v>136</v>
      </c>
      <c r="B12" s="840"/>
      <c r="C12" s="840"/>
      <c r="D12" s="841" t="s">
        <v>131</v>
      </c>
      <c r="E12" s="842">
        <f>'5'!E12</f>
        <v>40010</v>
      </c>
      <c r="F12" s="860">
        <v>40010</v>
      </c>
      <c r="G12" s="843">
        <f t="shared" si="0"/>
        <v>0</v>
      </c>
      <c r="H12" s="844">
        <f>G12+'22'!H12</f>
        <v>0</v>
      </c>
      <c r="I12" s="863"/>
      <c r="J12" s="846">
        <f>H12/DAY(B2)</f>
        <v>0</v>
      </c>
      <c r="K12" s="862"/>
      <c r="L12" s="821"/>
      <c r="O12" s="848"/>
    </row>
    <row r="13" spans="1:15">
      <c r="A13" s="864" t="s">
        <v>137</v>
      </c>
      <c r="B13" s="865"/>
      <c r="C13" s="865"/>
      <c r="D13" s="841"/>
      <c r="E13" s="842"/>
      <c r="F13" s="842"/>
      <c r="G13" s="866">
        <f>G9+G10+G11+G12</f>
        <v>16400.399999999907</v>
      </c>
      <c r="H13" s="844">
        <f>G13+'22'!H13</f>
        <v>334900.39999999991</v>
      </c>
      <c r="I13" s="867">
        <f>G7-G13</f>
        <v>506.65000000008149</v>
      </c>
      <c r="J13" s="846">
        <f>H13/DAY(B2)</f>
        <v>14560.886956521736</v>
      </c>
      <c r="K13" s="862"/>
      <c r="L13" s="821"/>
      <c r="O13" s="848"/>
    </row>
    <row r="14" spans="1:15">
      <c r="A14" s="1651" t="s">
        <v>138</v>
      </c>
      <c r="B14" s="1652"/>
      <c r="C14" s="1653"/>
      <c r="D14" s="836"/>
      <c r="E14" s="836"/>
      <c r="F14" s="836"/>
      <c r="G14" s="868"/>
      <c r="H14" s="836"/>
      <c r="I14" s="836"/>
      <c r="J14" s="837"/>
      <c r="K14" s="869"/>
      <c r="L14" s="821"/>
      <c r="O14" s="848"/>
    </row>
    <row r="15" spans="1:15">
      <c r="A15" s="870" t="s">
        <v>139</v>
      </c>
      <c r="B15" s="871"/>
      <c r="C15" s="871"/>
      <c r="D15" s="841" t="s">
        <v>140</v>
      </c>
      <c r="E15" s="842">
        <f>'22'!F15</f>
        <v>1680082</v>
      </c>
      <c r="F15" s="1276">
        <v>1680448.9350000001</v>
      </c>
      <c r="G15" s="1019">
        <f>(F15-E15)</f>
        <v>366.93500000005588</v>
      </c>
      <c r="H15" s="844">
        <f>G15+'22'!H15</f>
        <v>9791.9350000000559</v>
      </c>
      <c r="I15" s="845">
        <f>'1'!I15</f>
        <v>800</v>
      </c>
      <c r="J15" s="846">
        <f>H15/DAY(B2)</f>
        <v>425.73630434782854</v>
      </c>
      <c r="K15" s="862"/>
      <c r="L15" s="821"/>
      <c r="O15" s="848"/>
    </row>
    <row r="16" spans="1:15">
      <c r="A16" s="873"/>
      <c r="B16" s="874"/>
      <c r="C16" s="874"/>
      <c r="D16" s="875"/>
      <c r="E16" s="876"/>
      <c r="F16" s="876"/>
      <c r="G16" s="843"/>
      <c r="H16" s="877"/>
      <c r="I16" s="878">
        <f>I15-J15</f>
        <v>374.26369565217146</v>
      </c>
      <c r="J16" s="879"/>
      <c r="K16" s="862"/>
      <c r="L16" s="821"/>
      <c r="O16" s="848"/>
    </row>
    <row r="17" spans="1:15">
      <c r="A17" s="1651" t="s">
        <v>141</v>
      </c>
      <c r="B17" s="1652"/>
      <c r="C17" s="1653"/>
      <c r="D17" s="836"/>
      <c r="E17" s="836"/>
      <c r="F17" s="836"/>
      <c r="G17" s="880"/>
      <c r="H17" s="836"/>
      <c r="I17" s="836"/>
      <c r="J17" s="837"/>
      <c r="K17" s="862"/>
      <c r="L17" s="821"/>
      <c r="O17" s="848"/>
    </row>
    <row r="18" spans="1:15">
      <c r="A18" s="1633" t="s">
        <v>142</v>
      </c>
      <c r="B18" s="1634"/>
      <c r="C18" s="1635"/>
      <c r="D18" s="841" t="s">
        <v>143</v>
      </c>
      <c r="E18" s="842">
        <f>'22'!F18</f>
        <v>9</v>
      </c>
      <c r="F18" s="872">
        <v>8</v>
      </c>
      <c r="G18" s="866">
        <f>F18*10</f>
        <v>80</v>
      </c>
      <c r="H18" s="844">
        <f>G18+'22'!H18</f>
        <v>850</v>
      </c>
      <c r="I18" s="845">
        <f>'1'!I18</f>
        <v>65</v>
      </c>
      <c r="J18" s="846">
        <f>H18/DAY(B2)</f>
        <v>36.956521739130437</v>
      </c>
      <c r="K18" s="862"/>
      <c r="L18" s="821"/>
      <c r="O18" s="848"/>
    </row>
    <row r="19" spans="1:15">
      <c r="A19" s="1633" t="s">
        <v>71</v>
      </c>
      <c r="B19" s="1634"/>
      <c r="C19" s="1635"/>
      <c r="D19" s="841" t="s">
        <v>143</v>
      </c>
      <c r="E19" s="842">
        <f>'22'!F19</f>
        <v>139082</v>
      </c>
      <c r="F19" s="872">
        <v>139142</v>
      </c>
      <c r="G19" s="843">
        <f t="shared" ref="G19" si="1">F19-E19</f>
        <v>60</v>
      </c>
      <c r="H19" s="844">
        <f>G19+'22'!H19</f>
        <v>1330</v>
      </c>
      <c r="I19" s="845">
        <f>'1'!I19</f>
        <v>0</v>
      </c>
      <c r="J19" s="846">
        <f>H19/DAY(B2)</f>
        <v>57.826086956521742</v>
      </c>
      <c r="K19" s="862"/>
      <c r="L19" s="821"/>
      <c r="N19" s="1010">
        <v>126171</v>
      </c>
      <c r="O19" s="848"/>
    </row>
    <row r="20" spans="1:15">
      <c r="A20" s="864" t="s">
        <v>144</v>
      </c>
      <c r="B20" s="865"/>
      <c r="C20" s="865"/>
      <c r="D20" s="882"/>
      <c r="E20" s="882"/>
      <c r="F20" s="882"/>
      <c r="G20" s="883">
        <f>G18+G19</f>
        <v>140</v>
      </c>
      <c r="H20" s="844">
        <f>G20+'22'!H20</f>
        <v>2180</v>
      </c>
      <c r="I20" s="884">
        <f>I18-J20</f>
        <v>-29.782608695652172</v>
      </c>
      <c r="J20" s="846">
        <f>H20/DAY(B2)</f>
        <v>94.782608695652172</v>
      </c>
      <c r="K20" s="862"/>
      <c r="L20" s="821"/>
      <c r="N20" s="1010">
        <f>N19-F19</f>
        <v>-12971</v>
      </c>
      <c r="O20" s="848"/>
    </row>
    <row r="21" spans="1:15">
      <c r="A21" s="1651" t="s">
        <v>145</v>
      </c>
      <c r="B21" s="1652"/>
      <c r="C21" s="1653"/>
      <c r="D21" s="836"/>
      <c r="E21" s="836"/>
      <c r="F21" s="836"/>
      <c r="G21" s="868"/>
      <c r="H21" s="836"/>
      <c r="I21" s="836"/>
      <c r="J21" s="837"/>
      <c r="K21" s="862"/>
      <c r="L21" s="821"/>
      <c r="O21" s="848"/>
    </row>
    <row r="22" spans="1:15">
      <c r="A22" s="870" t="s">
        <v>146</v>
      </c>
      <c r="B22" s="871"/>
      <c r="C22" s="871"/>
      <c r="D22" s="841" t="s">
        <v>147</v>
      </c>
      <c r="E22" s="872">
        <v>2970</v>
      </c>
      <c r="F22" s="872">
        <v>2970</v>
      </c>
      <c r="G22" s="866">
        <f t="shared" ref="G22" si="2">(F22-E22)</f>
        <v>0</v>
      </c>
      <c r="H22" s="844">
        <f>G22+'22'!H22</f>
        <v>0</v>
      </c>
      <c r="I22" s="863"/>
      <c r="J22" s="846">
        <f>H22/DAY(B2)</f>
        <v>0</v>
      </c>
      <c r="K22" s="862"/>
      <c r="L22" s="821"/>
      <c r="O22" s="848"/>
    </row>
    <row r="23" spans="1:15">
      <c r="A23" s="870" t="s">
        <v>148</v>
      </c>
      <c r="B23" s="871"/>
      <c r="C23" s="871"/>
      <c r="D23" s="841" t="s">
        <v>147</v>
      </c>
      <c r="E23" s="872">
        <v>2000</v>
      </c>
      <c r="F23" s="872">
        <v>2000</v>
      </c>
      <c r="G23" s="866">
        <v>0</v>
      </c>
      <c r="H23" s="844">
        <f>G23+'22'!H23</f>
        <v>0</v>
      </c>
      <c r="I23" s="863"/>
      <c r="J23" s="846">
        <f>H23/DAY(B2)</f>
        <v>0</v>
      </c>
      <c r="K23" s="862"/>
      <c r="L23" s="821"/>
      <c r="O23" s="848"/>
    </row>
    <row r="24" spans="1:15">
      <c r="A24" s="885" t="s">
        <v>149</v>
      </c>
      <c r="B24" s="886"/>
      <c r="C24" s="886"/>
      <c r="D24" s="828" t="s">
        <v>147</v>
      </c>
      <c r="E24" s="872">
        <v>4970</v>
      </c>
      <c r="F24" s="887">
        <v>4970</v>
      </c>
      <c r="G24" s="866">
        <v>0</v>
      </c>
      <c r="H24" s="844">
        <f>G24+'22'!H24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>
      <c r="A25" s="1657" t="s">
        <v>150</v>
      </c>
      <c r="B25" s="1658"/>
      <c r="C25" s="1659"/>
      <c r="D25" s="835"/>
      <c r="E25" s="835"/>
      <c r="F25" s="835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>
      <c r="A26" s="894" t="s">
        <v>151</v>
      </c>
      <c r="B26" s="895"/>
      <c r="C26" s="896"/>
      <c r="D26" s="897" t="s">
        <v>152</v>
      </c>
      <c r="E26" s="898"/>
      <c r="F26" s="898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22.5">
      <c r="A27" s="894" t="s">
        <v>6</v>
      </c>
      <c r="B27" s="895"/>
      <c r="C27" s="896"/>
      <c r="D27" s="901" t="s">
        <v>25</v>
      </c>
      <c r="E27" s="902">
        <f>G8</f>
        <v>16981.75</v>
      </c>
      <c r="F27" s="501">
        <v>9</v>
      </c>
      <c r="G27" s="904">
        <f>E27*F27</f>
        <v>152835.75</v>
      </c>
      <c r="H27" s="844">
        <f>G27+'22'!H27</f>
        <v>3272091.75</v>
      </c>
      <c r="I27" s="905"/>
      <c r="J27" s="846">
        <f>H27/DAY(B2)</f>
        <v>142264.85869565216</v>
      </c>
      <c r="K27" s="862"/>
      <c r="L27" s="892"/>
      <c r="N27" s="1011"/>
      <c r="O27" s="848"/>
    </row>
    <row r="28" spans="1:15" s="893" customFormat="1" ht="22.5">
      <c r="A28" s="894" t="s">
        <v>153</v>
      </c>
      <c r="B28" s="895"/>
      <c r="C28" s="896"/>
      <c r="D28" s="901" t="s">
        <v>154</v>
      </c>
      <c r="E28" s="902">
        <f>G15</f>
        <v>366.93500000005588</v>
      </c>
      <c r="F28" s="501">
        <v>51.45</v>
      </c>
      <c r="G28" s="904">
        <f>E28*F28</f>
        <v>18878.805750002877</v>
      </c>
      <c r="H28" s="844">
        <f>G28+'22'!H28</f>
        <v>493312.53475000267</v>
      </c>
      <c r="I28" s="906"/>
      <c r="J28" s="846">
        <f>H28/DAY(B2)</f>
        <v>21448.371076087071</v>
      </c>
      <c r="K28" s="862"/>
      <c r="L28" s="892"/>
      <c r="N28" s="1011"/>
      <c r="O28" s="848"/>
    </row>
    <row r="29" spans="1:15" s="893" customFormat="1">
      <c r="A29" s="894" t="s">
        <v>155</v>
      </c>
      <c r="B29" s="895"/>
      <c r="C29" s="896"/>
      <c r="D29" s="901" t="s">
        <v>156</v>
      </c>
      <c r="E29" s="902">
        <f>G24</f>
        <v>0</v>
      </c>
      <c r="F29" s="903">
        <v>69</v>
      </c>
      <c r="G29" s="904">
        <f>E29*F29</f>
        <v>0</v>
      </c>
      <c r="H29" s="844">
        <f>G29+'22'!H29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>
      <c r="A30" s="894" t="s">
        <v>157</v>
      </c>
      <c r="B30" s="895"/>
      <c r="C30" s="896"/>
      <c r="D30" s="901" t="s">
        <v>158</v>
      </c>
      <c r="E30" s="902">
        <f>G19</f>
        <v>60</v>
      </c>
      <c r="F30" s="903">
        <v>134</v>
      </c>
      <c r="G30" s="904">
        <f>E30*F30</f>
        <v>8040</v>
      </c>
      <c r="H30" s="844">
        <f>G30+'22'!H30</f>
        <v>178220</v>
      </c>
      <c r="I30" s="906"/>
      <c r="J30" s="846">
        <f>H30/DAY(B2)</f>
        <v>7748.695652173913</v>
      </c>
      <c r="K30" s="862"/>
      <c r="L30" s="892"/>
      <c r="N30" s="1011"/>
      <c r="O30" s="848"/>
    </row>
    <row r="31" spans="1:15" s="893" customFormat="1">
      <c r="A31" s="894" t="s">
        <v>159</v>
      </c>
      <c r="B31" s="895"/>
      <c r="C31" s="896"/>
      <c r="D31" s="901" t="s">
        <v>143</v>
      </c>
      <c r="E31" s="902">
        <f>G18</f>
        <v>80</v>
      </c>
      <c r="F31" s="903">
        <v>80</v>
      </c>
      <c r="G31" s="904">
        <f>E31*F31</f>
        <v>6400</v>
      </c>
      <c r="H31" s="844">
        <f>G31+'22'!H31</f>
        <v>68000</v>
      </c>
      <c r="I31" s="906"/>
      <c r="J31" s="846"/>
      <c r="K31" s="862"/>
      <c r="L31" s="892"/>
      <c r="N31" s="1011"/>
      <c r="O31" s="848"/>
    </row>
    <row r="32" spans="1:15" s="893" customFormat="1">
      <c r="A32" s="907" t="s">
        <v>160</v>
      </c>
      <c r="B32" s="908"/>
      <c r="C32" s="909"/>
      <c r="D32" s="910"/>
      <c r="E32" s="910"/>
      <c r="F32" s="910"/>
      <c r="G32" s="911">
        <f>G27+G28+G29+G30+G31</f>
        <v>186154.55575000288</v>
      </c>
      <c r="H32" s="844">
        <f>G32+'22'!H32</f>
        <v>4011624.2847500029</v>
      </c>
      <c r="I32" s="912"/>
      <c r="J32" s="846">
        <f>H32/DAY(B2)</f>
        <v>174418.4471630436</v>
      </c>
      <c r="K32" s="862"/>
      <c r="L32" s="892"/>
      <c r="N32" s="1011"/>
      <c r="O32" s="848"/>
    </row>
    <row r="33" spans="1:15" ht="18.75">
      <c r="A33" s="1654" t="s">
        <v>161</v>
      </c>
      <c r="B33" s="1655"/>
      <c r="C33" s="1655"/>
      <c r="D33" s="1655"/>
      <c r="E33" s="1655"/>
      <c r="F33" s="1655"/>
      <c r="G33" s="1655"/>
      <c r="H33" s="1655"/>
      <c r="I33" s="1655"/>
      <c r="J33" s="1656"/>
      <c r="K33" s="862"/>
      <c r="L33" s="821"/>
      <c r="O33" s="848"/>
    </row>
    <row r="34" spans="1:15">
      <c r="A34" s="913" t="s">
        <v>162</v>
      </c>
      <c r="B34" s="914"/>
      <c r="C34" s="914"/>
      <c r="D34" s="836"/>
      <c r="E34" s="835"/>
      <c r="F34" s="835"/>
      <c r="G34" s="836"/>
      <c r="H34" s="836"/>
      <c r="I34" s="836"/>
      <c r="J34" s="837"/>
      <c r="K34" s="862"/>
      <c r="L34" s="821"/>
      <c r="O34" s="848"/>
    </row>
    <row r="35" spans="1:15">
      <c r="A35" s="839" t="s">
        <v>163</v>
      </c>
      <c r="B35" s="840"/>
      <c r="C35" s="840"/>
      <c r="D35" s="841" t="s">
        <v>131</v>
      </c>
      <c r="E35" s="842">
        <f>'22'!F35</f>
        <v>929336</v>
      </c>
      <c r="F35" s="915">
        <v>931509.43</v>
      </c>
      <c r="G35" s="843">
        <f t="shared" ref="G35:G46" si="3">F35-E35</f>
        <v>2173.4300000000512</v>
      </c>
      <c r="H35" s="844">
        <f>G35+'22'!H35</f>
        <v>45050.430000000051</v>
      </c>
      <c r="I35" s="842"/>
      <c r="J35" s="846">
        <f>H35/DAY(B2)</f>
        <v>1958.7143478260891</v>
      </c>
      <c r="K35" s="862"/>
      <c r="L35" s="821"/>
      <c r="O35" s="848"/>
    </row>
    <row r="36" spans="1:15">
      <c r="A36" s="839" t="s">
        <v>164</v>
      </c>
      <c r="B36" s="840"/>
      <c r="C36" s="840"/>
      <c r="D36" s="841" t="s">
        <v>131</v>
      </c>
      <c r="E36" s="842">
        <f>'22'!F36</f>
        <v>347065</v>
      </c>
      <c r="F36" s="915">
        <v>347065</v>
      </c>
      <c r="G36" s="843">
        <f t="shared" si="3"/>
        <v>0</v>
      </c>
      <c r="H36" s="844">
        <f>G36+'22'!H36</f>
        <v>2457</v>
      </c>
      <c r="I36" s="842"/>
      <c r="J36" s="846">
        <f>H36/DAY(B2)</f>
        <v>106.82608695652173</v>
      </c>
      <c r="K36" s="862"/>
      <c r="L36" s="821"/>
      <c r="O36" s="848"/>
    </row>
    <row r="37" spans="1:15">
      <c r="A37" s="839" t="s">
        <v>165</v>
      </c>
      <c r="B37" s="840"/>
      <c r="C37" s="840"/>
      <c r="D37" s="841" t="s">
        <v>131</v>
      </c>
      <c r="E37" s="842">
        <f>'22'!F37</f>
        <v>122555</v>
      </c>
      <c r="F37" s="915">
        <v>123865.51</v>
      </c>
      <c r="G37" s="843">
        <f t="shared" si="3"/>
        <v>1310.5099999999948</v>
      </c>
      <c r="H37" s="844">
        <f>G37+'22'!H37</f>
        <v>28640.509999999995</v>
      </c>
      <c r="I37" s="842"/>
      <c r="J37" s="846">
        <f>H37/DAY(B2)</f>
        <v>1245.2395652173911</v>
      </c>
      <c r="K37" s="862"/>
      <c r="L37" s="821"/>
      <c r="O37" s="848"/>
    </row>
    <row r="38" spans="1:15">
      <c r="A38" s="839" t="s">
        <v>166</v>
      </c>
      <c r="B38" s="840"/>
      <c r="C38" s="840"/>
      <c r="D38" s="841" t="s">
        <v>131</v>
      </c>
      <c r="E38" s="842">
        <f>'22'!F38</f>
        <v>145272</v>
      </c>
      <c r="F38" s="831">
        <v>146558.43</v>
      </c>
      <c r="G38" s="843">
        <f t="shared" si="3"/>
        <v>1286.429999999993</v>
      </c>
      <c r="H38" s="844">
        <f>G38+'22'!H38</f>
        <v>26962.429999999993</v>
      </c>
      <c r="I38" s="842"/>
      <c r="J38" s="846">
        <f>H38/DAY(B2)</f>
        <v>1172.2795652173911</v>
      </c>
      <c r="K38" s="862"/>
      <c r="L38" s="821"/>
      <c r="O38" s="848"/>
    </row>
    <row r="39" spans="1:15">
      <c r="A39" s="839" t="s">
        <v>167</v>
      </c>
      <c r="B39" s="840"/>
      <c r="C39" s="840"/>
      <c r="D39" s="841" t="s">
        <v>131</v>
      </c>
      <c r="E39" s="842">
        <f>'22'!F39</f>
        <v>288057</v>
      </c>
      <c r="F39" s="915">
        <v>290488.55</v>
      </c>
      <c r="G39" s="843">
        <f t="shared" si="3"/>
        <v>2431.5499999999884</v>
      </c>
      <c r="H39" s="844">
        <f>G39+'22'!H39</f>
        <v>43835.549999999988</v>
      </c>
      <c r="I39" s="842"/>
      <c r="J39" s="846">
        <f>H39/DAY(B2)</f>
        <v>1905.893478260869</v>
      </c>
      <c r="K39" s="862"/>
      <c r="L39" s="821"/>
      <c r="O39" s="848"/>
    </row>
    <row r="40" spans="1:15">
      <c r="A40" s="916" t="s">
        <v>168</v>
      </c>
      <c r="B40" s="917"/>
      <c r="C40" s="917"/>
      <c r="D40" s="841" t="s">
        <v>131</v>
      </c>
      <c r="E40" s="842">
        <f>'22'!F40</f>
        <v>686</v>
      </c>
      <c r="F40" s="915">
        <v>686.48</v>
      </c>
      <c r="G40" s="843">
        <f t="shared" si="3"/>
        <v>0.48000000000001819</v>
      </c>
      <c r="H40" s="844">
        <f>G40+'22'!H40</f>
        <v>686.25</v>
      </c>
      <c r="I40" s="842"/>
      <c r="J40" s="846">
        <f>H40/DAY(B2)</f>
        <v>29.836956521739129</v>
      </c>
      <c r="K40" s="869"/>
      <c r="L40" s="821"/>
      <c r="O40" s="848"/>
    </row>
    <row r="41" spans="1:15">
      <c r="A41" s="839" t="s">
        <v>169</v>
      </c>
      <c r="B41" s="840"/>
      <c r="C41" s="840"/>
      <c r="D41" s="841" t="s">
        <v>131</v>
      </c>
      <c r="E41" s="842">
        <f>'22'!F41</f>
        <v>240478</v>
      </c>
      <c r="F41" s="915">
        <v>240478.13</v>
      </c>
      <c r="G41" s="843">
        <f t="shared" si="3"/>
        <v>0.13000000000465661</v>
      </c>
      <c r="H41" s="844">
        <f>G41+'22'!H41</f>
        <v>58950.130000000005</v>
      </c>
      <c r="I41" s="842"/>
      <c r="J41" s="846">
        <f>H41/DAY(B2)</f>
        <v>2563.0491304347829</v>
      </c>
      <c r="K41" s="862"/>
      <c r="L41" s="821"/>
      <c r="O41" s="848"/>
    </row>
    <row r="42" spans="1:15">
      <c r="A42" s="839" t="s">
        <v>170</v>
      </c>
      <c r="B42" s="840"/>
      <c r="C42" s="840"/>
      <c r="D42" s="841" t="s">
        <v>131</v>
      </c>
      <c r="E42" s="842">
        <f>'22'!F42</f>
        <v>59200</v>
      </c>
      <c r="F42" s="915">
        <v>59198.97</v>
      </c>
      <c r="G42" s="843">
        <f t="shared" si="3"/>
        <v>-1.0299999999988358</v>
      </c>
      <c r="H42" s="844">
        <f>G42+'22'!H42</f>
        <v>-1.0299999999988358</v>
      </c>
      <c r="I42" s="842"/>
      <c r="J42" s="846">
        <f>H42/DAY(B2)</f>
        <v>-4.4782608695601557E-2</v>
      </c>
      <c r="K42" s="862"/>
      <c r="L42" s="821"/>
      <c r="O42" s="848"/>
    </row>
    <row r="43" spans="1:15">
      <c r="A43" s="839" t="s">
        <v>171</v>
      </c>
      <c r="B43" s="840"/>
      <c r="C43" s="840"/>
      <c r="D43" s="841" t="s">
        <v>131</v>
      </c>
      <c r="E43" s="842">
        <f>'22'!F43</f>
        <v>1021460</v>
      </c>
      <c r="F43" s="915">
        <v>1023631.6</v>
      </c>
      <c r="G43" s="843">
        <f t="shared" si="3"/>
        <v>2171.5999999999767</v>
      </c>
      <c r="H43" s="844">
        <f>G43+'22'!H43</f>
        <v>49673.599999999977</v>
      </c>
      <c r="I43" s="842"/>
      <c r="J43" s="846">
        <f>H43/DAY(B2)</f>
        <v>2159.7217391304339</v>
      </c>
      <c r="K43" s="862"/>
      <c r="L43" s="821"/>
      <c r="O43" s="848"/>
    </row>
    <row r="44" spans="1:15">
      <c r="A44" s="839" t="s">
        <v>172</v>
      </c>
      <c r="B44" s="840"/>
      <c r="C44" s="840"/>
      <c r="D44" s="841" t="s">
        <v>131</v>
      </c>
      <c r="E44" s="842">
        <f>'22'!F44</f>
        <v>0</v>
      </c>
      <c r="F44" s="915">
        <v>0</v>
      </c>
      <c r="G44" s="843">
        <f t="shared" si="3"/>
        <v>0</v>
      </c>
      <c r="H44" s="844">
        <f>G44+'22'!H44</f>
        <v>0</v>
      </c>
      <c r="I44" s="842"/>
      <c r="J44" s="846">
        <f>H44/DAY(B2)</f>
        <v>0</v>
      </c>
      <c r="K44" s="862"/>
      <c r="L44" s="821"/>
      <c r="O44" s="848"/>
    </row>
    <row r="45" spans="1:15">
      <c r="A45" s="839" t="s">
        <v>173</v>
      </c>
      <c r="B45" s="840"/>
      <c r="C45" s="840"/>
      <c r="D45" s="841" t="s">
        <v>131</v>
      </c>
      <c r="E45" s="842">
        <f>'22'!F45</f>
        <v>0</v>
      </c>
      <c r="F45" s="915">
        <v>614</v>
      </c>
      <c r="G45" s="843">
        <f t="shared" si="3"/>
        <v>614</v>
      </c>
      <c r="H45" s="844">
        <f>G45+'22'!H45</f>
        <v>614</v>
      </c>
      <c r="I45" s="842"/>
      <c r="J45" s="846">
        <f>H45/DAY(B2)</f>
        <v>26.695652173913043</v>
      </c>
      <c r="K45" s="862"/>
      <c r="L45" s="821"/>
      <c r="O45" s="848"/>
    </row>
    <row r="46" spans="1:15">
      <c r="A46" s="839" t="s">
        <v>174</v>
      </c>
      <c r="B46" s="840"/>
      <c r="C46" s="840"/>
      <c r="D46" s="841" t="s">
        <v>131</v>
      </c>
      <c r="E46" s="842">
        <f>'22'!F46</f>
        <v>0</v>
      </c>
      <c r="F46" s="915">
        <v>187</v>
      </c>
      <c r="G46" s="843">
        <f t="shared" si="3"/>
        <v>187</v>
      </c>
      <c r="H46" s="844">
        <f>G46+'22'!H46</f>
        <v>186.95</v>
      </c>
      <c r="I46" s="842"/>
      <c r="J46" s="846">
        <f>H46/DAY(B2)</f>
        <v>8.1282608695652172</v>
      </c>
      <c r="K46" s="862"/>
      <c r="L46" s="821"/>
      <c r="O46" s="848"/>
    </row>
    <row r="47" spans="1:15">
      <c r="A47" s="864" t="s">
        <v>175</v>
      </c>
      <c r="B47" s="865"/>
      <c r="C47" s="865"/>
      <c r="D47" s="832"/>
      <c r="E47" s="828"/>
      <c r="F47" s="828"/>
      <c r="G47" s="866">
        <f>G35+G36+G37+G38+G39+G40+G41+G42+G43+G44+G45+G46</f>
        <v>10174.100000000009</v>
      </c>
      <c r="H47" s="844">
        <f>G47+'22'!H47</f>
        <v>257056.31000000003</v>
      </c>
      <c r="I47" s="842"/>
      <c r="J47" s="846">
        <f>H47/DAY(B2)</f>
        <v>11176.361304347827</v>
      </c>
      <c r="K47" s="862"/>
      <c r="L47" s="821"/>
      <c r="N47" s="1012"/>
      <c r="O47" s="848"/>
    </row>
    <row r="48" spans="1:15">
      <c r="A48" s="913" t="s">
        <v>176</v>
      </c>
      <c r="B48" s="914"/>
      <c r="C48" s="914"/>
      <c r="D48" s="836"/>
      <c r="E48" s="835"/>
      <c r="F48" s="835"/>
      <c r="G48" s="836"/>
      <c r="H48" s="836"/>
      <c r="I48" s="836"/>
      <c r="J48" s="837"/>
      <c r="K48" s="862"/>
      <c r="L48" s="821"/>
      <c r="O48" s="848"/>
    </row>
    <row r="49" spans="1:15">
      <c r="A49" s="839" t="s">
        <v>163</v>
      </c>
      <c r="B49" s="918"/>
      <c r="C49" s="918"/>
      <c r="D49" s="841" t="s">
        <v>131</v>
      </c>
      <c r="E49" s="842">
        <f>'22'!F49</f>
        <v>260732.13</v>
      </c>
      <c r="F49" s="915">
        <v>260732.13</v>
      </c>
      <c r="G49" s="843">
        <f t="shared" ref="G49:G58" si="4">F49-E49</f>
        <v>0</v>
      </c>
      <c r="H49" s="844">
        <f>G49+'22'!H49</f>
        <v>0</v>
      </c>
      <c r="I49" s="842"/>
      <c r="J49" s="846">
        <f>H49/DAY(B2)</f>
        <v>0</v>
      </c>
      <c r="K49" s="862"/>
      <c r="L49" s="821"/>
      <c r="O49" s="848"/>
    </row>
    <row r="50" spans="1:15">
      <c r="A50" s="839" t="s">
        <v>177</v>
      </c>
      <c r="B50" s="918"/>
      <c r="C50" s="918"/>
      <c r="D50" s="841" t="s">
        <v>131</v>
      </c>
      <c r="E50" s="842">
        <f>'22'!F50</f>
        <v>494190</v>
      </c>
      <c r="F50" s="1464">
        <v>495044.15</v>
      </c>
      <c r="G50" s="843">
        <f t="shared" si="4"/>
        <v>854.15000000002328</v>
      </c>
      <c r="H50" s="844">
        <f>G50+'22'!H50</f>
        <v>19569.150000000023</v>
      </c>
      <c r="I50" s="842"/>
      <c r="J50" s="846">
        <f>H50/DAY(B2)</f>
        <v>850.83260869565322</v>
      </c>
      <c r="K50" s="862"/>
      <c r="L50" s="821"/>
      <c r="O50" s="848"/>
    </row>
    <row r="51" spans="1:15">
      <c r="A51" s="839" t="s">
        <v>165</v>
      </c>
      <c r="B51" s="918"/>
      <c r="C51" s="918"/>
      <c r="D51" s="841" t="s">
        <v>131</v>
      </c>
      <c r="E51" s="842">
        <f>'22'!F51</f>
        <v>144640</v>
      </c>
      <c r="F51" s="915">
        <v>144639.87</v>
      </c>
      <c r="G51" s="843">
        <f t="shared" si="4"/>
        <v>-0.13000000000465661</v>
      </c>
      <c r="H51" s="844">
        <f>G51+'22'!H51</f>
        <v>-0.13000000000465661</v>
      </c>
      <c r="I51" s="842"/>
      <c r="J51" s="846">
        <f>H51/DAY(B2)</f>
        <v>-5.6521739132459397E-3</v>
      </c>
      <c r="K51" s="862"/>
      <c r="L51" s="821"/>
      <c r="O51" s="848"/>
    </row>
    <row r="52" spans="1:15">
      <c r="A52" s="839" t="s">
        <v>178</v>
      </c>
      <c r="B52" s="918"/>
      <c r="C52" s="918"/>
      <c r="D52" s="841" t="s">
        <v>131</v>
      </c>
      <c r="E52" s="842">
        <f>'22'!F52</f>
        <v>539606.06999999995</v>
      </c>
      <c r="F52" s="915">
        <v>539606.06999999995</v>
      </c>
      <c r="G52" s="843">
        <f t="shared" si="4"/>
        <v>0</v>
      </c>
      <c r="H52" s="844">
        <f>G52+'22'!H52</f>
        <v>0</v>
      </c>
      <c r="I52" s="842"/>
      <c r="J52" s="846">
        <f>H52/DAY(B2)</f>
        <v>0</v>
      </c>
      <c r="K52" s="862"/>
      <c r="L52" s="821"/>
      <c r="O52" s="848"/>
    </row>
    <row r="53" spans="1:15">
      <c r="A53" s="839" t="s">
        <v>167</v>
      </c>
      <c r="B53" s="918"/>
      <c r="C53" s="918"/>
      <c r="D53" s="841" t="s">
        <v>131</v>
      </c>
      <c r="E53" s="842">
        <f>'22'!F53</f>
        <v>427676</v>
      </c>
      <c r="F53" s="915">
        <v>428187.11</v>
      </c>
      <c r="G53" s="843">
        <f t="shared" si="4"/>
        <v>511.10999999998603</v>
      </c>
      <c r="H53" s="844">
        <f>G53+'22'!H53</f>
        <v>11377.109999999986</v>
      </c>
      <c r="I53" s="842"/>
      <c r="J53" s="846">
        <f>H53/DAY(B2)</f>
        <v>494.65695652173855</v>
      </c>
      <c r="K53" s="862"/>
      <c r="L53" s="821"/>
      <c r="O53" s="848"/>
    </row>
    <row r="54" spans="1:15">
      <c r="A54" s="839" t="s">
        <v>179</v>
      </c>
      <c r="B54" s="918"/>
      <c r="C54" s="918"/>
      <c r="D54" s="841" t="s">
        <v>131</v>
      </c>
      <c r="E54" s="842">
        <f>'22'!F54</f>
        <v>13027</v>
      </c>
      <c r="F54" s="915">
        <v>13107.96</v>
      </c>
      <c r="G54" s="843">
        <f t="shared" si="4"/>
        <v>80.959999999999127</v>
      </c>
      <c r="H54" s="844">
        <f>G54+'22'!H54</f>
        <v>5345.9599999999991</v>
      </c>
      <c r="I54" s="842"/>
      <c r="J54" s="846">
        <f>H54/DAY(B2)</f>
        <v>232.43304347826083</v>
      </c>
      <c r="K54" s="862"/>
      <c r="L54" s="821"/>
      <c r="O54" s="848"/>
    </row>
    <row r="55" spans="1:15">
      <c r="A55" s="839" t="s">
        <v>180</v>
      </c>
      <c r="B55" s="918"/>
      <c r="C55" s="918"/>
      <c r="D55" s="841" t="s">
        <v>131</v>
      </c>
      <c r="E55" s="842">
        <f>'22'!F55</f>
        <v>48606</v>
      </c>
      <c r="F55" s="915">
        <v>54032.61</v>
      </c>
      <c r="G55" s="843">
        <f t="shared" si="4"/>
        <v>5426.6100000000006</v>
      </c>
      <c r="H55" s="844">
        <f>G55+'22'!H55</f>
        <v>54032.61</v>
      </c>
      <c r="I55" s="842"/>
      <c r="J55" s="846">
        <f>H55/DAY(B2)</f>
        <v>2349.2439130434782</v>
      </c>
      <c r="K55" s="862"/>
      <c r="L55" s="821"/>
      <c r="O55" s="848"/>
    </row>
    <row r="56" spans="1:15">
      <c r="A56" s="839" t="s">
        <v>181</v>
      </c>
      <c r="B56" s="918"/>
      <c r="C56" s="918"/>
      <c r="D56" s="841" t="s">
        <v>182</v>
      </c>
      <c r="E56" s="842">
        <f>'22'!F56</f>
        <v>589514</v>
      </c>
      <c r="F56" s="915">
        <v>589524.18999999994</v>
      </c>
      <c r="G56" s="843">
        <f t="shared" si="4"/>
        <v>10.189999999944121</v>
      </c>
      <c r="H56" s="844">
        <f>G56+'22'!H56</f>
        <v>235.82999999995809</v>
      </c>
      <c r="I56" s="842"/>
      <c r="J56" s="846">
        <f>H56/DAY(B2)</f>
        <v>10.253478260867743</v>
      </c>
      <c r="K56" s="838"/>
      <c r="L56" s="821"/>
      <c r="O56" s="848"/>
    </row>
    <row r="57" spans="1:15">
      <c r="A57" s="839" t="s">
        <v>171</v>
      </c>
      <c r="B57" s="918"/>
      <c r="C57" s="918"/>
      <c r="D57" s="841" t="s">
        <v>131</v>
      </c>
      <c r="E57" s="842">
        <f>'22'!F57</f>
        <v>7711</v>
      </c>
      <c r="F57" s="915">
        <v>7711</v>
      </c>
      <c r="G57" s="843">
        <f t="shared" si="4"/>
        <v>0</v>
      </c>
      <c r="H57" s="844">
        <f>G57+'22'!H57</f>
        <v>0</v>
      </c>
      <c r="I57" s="842"/>
      <c r="J57" s="846">
        <f>H57/DAY(B2)</f>
        <v>0</v>
      </c>
      <c r="K57" s="862"/>
      <c r="L57" s="821"/>
      <c r="O57" s="848"/>
    </row>
    <row r="58" spans="1:15">
      <c r="A58" s="839" t="s">
        <v>183</v>
      </c>
      <c r="B58" s="918"/>
      <c r="C58" s="918"/>
      <c r="D58" s="841" t="s">
        <v>131</v>
      </c>
      <c r="E58" s="842">
        <f>'22'!F58</f>
        <v>48560</v>
      </c>
      <c r="F58" s="915">
        <v>48589.15</v>
      </c>
      <c r="G58" s="843">
        <f t="shared" si="4"/>
        <v>29.150000000001455</v>
      </c>
      <c r="H58" s="844">
        <f>G58+'22'!H58</f>
        <v>1872.1500000000015</v>
      </c>
      <c r="I58" s="842"/>
      <c r="J58" s="846">
        <f>H58/DAY(B2)</f>
        <v>81.397826086956584</v>
      </c>
      <c r="K58" s="862"/>
      <c r="L58" s="821"/>
      <c r="O58" s="848"/>
    </row>
    <row r="59" spans="1:15">
      <c r="A59" s="864" t="s">
        <v>175</v>
      </c>
      <c r="B59" s="865"/>
      <c r="C59" s="865"/>
      <c r="D59" s="828"/>
      <c r="E59" s="828"/>
      <c r="F59" s="828"/>
      <c r="G59" s="866">
        <f>G49+G50+G51+G52+G53+G54+G55+G56+G57+G58</f>
        <v>6912.0399999999499</v>
      </c>
      <c r="H59" s="844">
        <f>G59+'22'!H59</f>
        <v>92432.749999999913</v>
      </c>
      <c r="I59" s="842">
        <f>G7-G60</f>
        <v>-179.08999999997104</v>
      </c>
      <c r="J59" s="846">
        <f>H59/DAY(B2)</f>
        <v>4018.8152173913004</v>
      </c>
      <c r="K59" s="862"/>
      <c r="L59" s="821"/>
      <c r="O59" s="848"/>
    </row>
    <row r="60" spans="1:15">
      <c r="A60" s="839"/>
      <c r="B60" s="840"/>
      <c r="C60" s="840"/>
      <c r="D60" s="828" t="s">
        <v>184</v>
      </c>
      <c r="E60" s="828"/>
      <c r="F60" s="828"/>
      <c r="G60" s="866">
        <f>G47+G59</f>
        <v>17086.139999999959</v>
      </c>
      <c r="H60" s="844">
        <f>G60+'22'!H60</f>
        <v>351072.94999999995</v>
      </c>
      <c r="I60" s="842">
        <f>G13-G60</f>
        <v>-685.74000000005253</v>
      </c>
      <c r="J60" s="846">
        <f>H60/DAY(B2)</f>
        <v>15264.041304347824</v>
      </c>
      <c r="K60" s="862"/>
      <c r="L60" s="821"/>
      <c r="O60" s="848"/>
    </row>
    <row r="61" spans="1:15">
      <c r="A61" s="919" t="s">
        <v>185</v>
      </c>
      <c r="B61" s="920"/>
      <c r="C61" s="920"/>
      <c r="D61" s="920"/>
      <c r="E61" s="921"/>
      <c r="F61" s="921"/>
      <c r="G61" s="920"/>
      <c r="H61" s="920"/>
      <c r="I61" s="920"/>
      <c r="J61" s="922"/>
      <c r="K61" s="862"/>
      <c r="L61" s="821"/>
      <c r="O61" s="848"/>
    </row>
    <row r="62" spans="1:15">
      <c r="A62" s="923" t="s">
        <v>98</v>
      </c>
      <c r="B62" s="924"/>
      <c r="C62" s="924"/>
      <c r="D62" s="828" t="s">
        <v>186</v>
      </c>
      <c r="E62" s="842">
        <f>'22'!F62</f>
        <v>20419.2</v>
      </c>
      <c r="F62" s="925">
        <v>20419</v>
      </c>
      <c r="G62" s="843">
        <f t="shared" ref="G62:G69" si="5">F62-E62</f>
        <v>-0.2000000000007276</v>
      </c>
      <c r="H62" s="844">
        <f>G62+'22'!H62</f>
        <v>0.18199999999706051</v>
      </c>
      <c r="I62" s="926"/>
      <c r="J62" s="846">
        <f>H62/DAY(B2)</f>
        <v>7.9130434781330659E-3</v>
      </c>
      <c r="K62" s="862"/>
      <c r="L62" s="821"/>
      <c r="O62" s="848"/>
    </row>
    <row r="63" spans="1:15">
      <c r="A63" s="923" t="s">
        <v>187</v>
      </c>
      <c r="B63" s="924"/>
      <c r="C63" s="924"/>
      <c r="D63" s="828" t="s">
        <v>186</v>
      </c>
      <c r="E63" s="842">
        <f>'22'!F63</f>
        <v>2442</v>
      </c>
      <c r="F63" s="925">
        <v>2445.87</v>
      </c>
      <c r="G63" s="843">
        <f t="shared" si="5"/>
        <v>3.8699999999998909</v>
      </c>
      <c r="H63" s="844">
        <f>G63+'22'!H63</f>
        <v>86.869999999999891</v>
      </c>
      <c r="I63" s="926"/>
      <c r="J63" s="846">
        <f>H63/DAY(B2)</f>
        <v>3.7769565217391259</v>
      </c>
      <c r="K63" s="862"/>
      <c r="L63" s="821"/>
      <c r="O63" s="848"/>
    </row>
    <row r="64" spans="1:15">
      <c r="A64" s="1639" t="s">
        <v>99</v>
      </c>
      <c r="B64" s="1640"/>
      <c r="C64" s="1641"/>
      <c r="D64" s="841" t="s">
        <v>186</v>
      </c>
      <c r="E64" s="842">
        <f>'22'!F64</f>
        <v>158181</v>
      </c>
      <c r="F64" s="872">
        <v>158385.74</v>
      </c>
      <c r="G64" s="843">
        <f t="shared" si="5"/>
        <v>204.73999999999069</v>
      </c>
      <c r="H64" s="844">
        <f>G64+'22'!H64</f>
        <v>5086.7399999999907</v>
      </c>
      <c r="I64" s="863"/>
      <c r="J64" s="846">
        <f>H64/DAY(B2)</f>
        <v>221.16260869565176</v>
      </c>
      <c r="K64" s="862"/>
      <c r="L64" s="821"/>
      <c r="O64" s="848"/>
    </row>
    <row r="65" spans="1:15">
      <c r="A65" s="1639" t="s">
        <v>100</v>
      </c>
      <c r="B65" s="1640"/>
      <c r="C65" s="1641"/>
      <c r="D65" s="841" t="s">
        <v>186</v>
      </c>
      <c r="E65" s="842">
        <f>'22'!F65</f>
        <v>159043</v>
      </c>
      <c r="F65" s="872">
        <v>159251.1</v>
      </c>
      <c r="G65" s="843">
        <f t="shared" si="5"/>
        <v>208.10000000000582</v>
      </c>
      <c r="H65" s="844">
        <f>G65+'22'!H65</f>
        <v>4652.1000000000058</v>
      </c>
      <c r="I65" s="881"/>
      <c r="J65" s="846">
        <f>H65/DAY(B2)</f>
        <v>202.26521739130459</v>
      </c>
      <c r="K65" s="862"/>
      <c r="L65" s="821"/>
      <c r="O65" s="848"/>
    </row>
    <row r="66" spans="1:15">
      <c r="A66" s="1639" t="s">
        <v>101</v>
      </c>
      <c r="B66" s="1640"/>
      <c r="C66" s="1641"/>
      <c r="D66" s="841" t="s">
        <v>186</v>
      </c>
      <c r="E66" s="842">
        <f>'22'!F66</f>
        <v>54311</v>
      </c>
      <c r="F66" s="872">
        <v>54623.42</v>
      </c>
      <c r="G66" s="843">
        <f t="shared" si="5"/>
        <v>312.41999999999825</v>
      </c>
      <c r="H66" s="844">
        <f>G66+'22'!H66</f>
        <v>6052.4199999999983</v>
      </c>
      <c r="I66" s="863"/>
      <c r="J66" s="846">
        <f>H66/DAY(B2)</f>
        <v>263.14869565217384</v>
      </c>
      <c r="K66" s="862"/>
      <c r="L66" s="821"/>
      <c r="O66" s="848"/>
    </row>
    <row r="67" spans="1:15">
      <c r="A67" s="1639" t="s">
        <v>102</v>
      </c>
      <c r="B67" s="1640"/>
      <c r="C67" s="1641"/>
      <c r="D67" s="841" t="s">
        <v>186</v>
      </c>
      <c r="E67" s="842">
        <f>'22'!F67</f>
        <v>248213</v>
      </c>
      <c r="F67" s="872">
        <v>248708.17</v>
      </c>
      <c r="G67" s="843">
        <f t="shared" si="5"/>
        <v>495.17000000001281</v>
      </c>
      <c r="H67" s="844">
        <f>G67+'22'!H67</f>
        <v>5534.1700000000128</v>
      </c>
      <c r="I67" s="881"/>
      <c r="J67" s="846">
        <f>H67/DAY(B2)</f>
        <v>240.61608695652231</v>
      </c>
      <c r="K67" s="869"/>
      <c r="L67" s="821"/>
      <c r="O67" s="848"/>
    </row>
    <row r="68" spans="1:15">
      <c r="A68" s="1639" t="s">
        <v>103</v>
      </c>
      <c r="B68" s="1640"/>
      <c r="C68" s="1641"/>
      <c r="D68" s="841" t="s">
        <v>186</v>
      </c>
      <c r="E68" s="842">
        <f>'22'!F68</f>
        <v>85321</v>
      </c>
      <c r="F68" s="872">
        <v>85321</v>
      </c>
      <c r="G68" s="843">
        <f t="shared" si="5"/>
        <v>0</v>
      </c>
      <c r="H68" s="844">
        <f>G68+'22'!H68</f>
        <v>0</v>
      </c>
      <c r="I68" s="927"/>
      <c r="J68" s="846">
        <f>H68/DAY(B2)</f>
        <v>0</v>
      </c>
      <c r="K68" s="928"/>
      <c r="L68" s="821"/>
      <c r="O68" s="848"/>
    </row>
    <row r="69" spans="1:15">
      <c r="A69" s="1639" t="s">
        <v>104</v>
      </c>
      <c r="B69" s="1640"/>
      <c r="C69" s="1641"/>
      <c r="D69" s="841" t="s">
        <v>186</v>
      </c>
      <c r="E69" s="842">
        <f>'22'!F69</f>
        <v>80703</v>
      </c>
      <c r="F69" s="872">
        <v>80895.100000000006</v>
      </c>
      <c r="G69" s="843">
        <f t="shared" si="5"/>
        <v>192.10000000000582</v>
      </c>
      <c r="H69" s="844">
        <f>G69+'22'!H69</f>
        <v>1901.1000000000058</v>
      </c>
      <c r="I69" s="927"/>
      <c r="J69" s="846">
        <f>H69/DAY(B2)</f>
        <v>82.656521739130682</v>
      </c>
      <c r="K69" s="929"/>
      <c r="L69" s="821"/>
      <c r="O69" s="848"/>
    </row>
    <row r="70" spans="1:15">
      <c r="A70" s="1648" t="s">
        <v>188</v>
      </c>
      <c r="B70" s="1649"/>
      <c r="C70" s="1650"/>
      <c r="D70" s="841" t="s">
        <v>186</v>
      </c>
      <c r="E70" s="930"/>
      <c r="F70" s="931"/>
      <c r="G70" s="931"/>
      <c r="H70" s="844">
        <f>G70+'13'!H70</f>
        <v>0</v>
      </c>
      <c r="I70" s="931"/>
      <c r="J70" s="932"/>
      <c r="K70" s="929"/>
      <c r="L70" s="821"/>
      <c r="O70" s="848"/>
    </row>
    <row r="71" spans="1:15" ht="22.5">
      <c r="A71" s="1645" t="s">
        <v>189</v>
      </c>
      <c r="B71" s="1646"/>
      <c r="C71" s="1646"/>
      <c r="D71" s="1646"/>
      <c r="E71" s="1646"/>
      <c r="F71" s="1646"/>
      <c r="G71" s="1646"/>
      <c r="H71" s="1646"/>
      <c r="I71" s="1646"/>
      <c r="J71" s="1647"/>
      <c r="K71" s="928"/>
      <c r="L71" s="821"/>
      <c r="O71" s="848"/>
    </row>
    <row r="72" spans="1:15">
      <c r="A72" s="1639" t="s">
        <v>190</v>
      </c>
      <c r="B72" s="1640"/>
      <c r="C72" s="1641"/>
      <c r="D72" s="841" t="s">
        <v>186</v>
      </c>
      <c r="E72" s="842">
        <f>'22'!F72</f>
        <v>855741</v>
      </c>
      <c r="F72" s="933">
        <v>855751</v>
      </c>
      <c r="G72" s="843">
        <f t="shared" ref="G72:G84" si="6">F72-E72</f>
        <v>10</v>
      </c>
      <c r="H72" s="844">
        <f>G72+'22'!H72</f>
        <v>279</v>
      </c>
      <c r="I72" s="863"/>
      <c r="J72" s="846">
        <f>H72/DAY(B2)</f>
        <v>12.130434782608695</v>
      </c>
      <c r="K72" s="929"/>
      <c r="L72" s="821"/>
      <c r="O72" s="848"/>
    </row>
    <row r="73" spans="1:15">
      <c r="A73" s="1639" t="s">
        <v>191</v>
      </c>
      <c r="B73" s="1640"/>
      <c r="C73" s="1641"/>
      <c r="D73" s="841" t="s">
        <v>186</v>
      </c>
      <c r="E73" s="842">
        <f>'22'!F73</f>
        <v>885899</v>
      </c>
      <c r="F73" s="934">
        <v>885899</v>
      </c>
      <c r="G73" s="843">
        <f t="shared" si="6"/>
        <v>0</v>
      </c>
      <c r="H73" s="844">
        <f>G73+'22'!H73</f>
        <v>203</v>
      </c>
      <c r="I73" s="863"/>
      <c r="J73" s="846">
        <f>H73/DAY(B2)</f>
        <v>8.8260869565217384</v>
      </c>
      <c r="K73" s="928"/>
      <c r="L73" s="821"/>
      <c r="O73" s="848"/>
    </row>
    <row r="74" spans="1:15">
      <c r="A74" s="1639" t="s">
        <v>192</v>
      </c>
      <c r="B74" s="1640"/>
      <c r="C74" s="1641"/>
      <c r="D74" s="841" t="s">
        <v>186</v>
      </c>
      <c r="E74" s="842">
        <f>'22'!F74</f>
        <v>2526</v>
      </c>
      <c r="F74" s="935">
        <v>2532.65</v>
      </c>
      <c r="G74" s="843">
        <f t="shared" si="6"/>
        <v>6.6500000000000909</v>
      </c>
      <c r="H74" s="844">
        <f>G74+'22'!H74</f>
        <v>253.65000000000009</v>
      </c>
      <c r="I74" s="863"/>
      <c r="J74" s="846">
        <f>H74/DAY(B2)</f>
        <v>11.028260869565221</v>
      </c>
      <c r="K74" s="929"/>
      <c r="L74" s="821"/>
      <c r="O74" s="848"/>
    </row>
    <row r="75" spans="1:15">
      <c r="A75" s="1642" t="s">
        <v>193</v>
      </c>
      <c r="B75" s="1643"/>
      <c r="C75" s="1644"/>
      <c r="D75" s="841" t="s">
        <v>186</v>
      </c>
      <c r="E75" s="842">
        <f>'22'!F75</f>
        <v>12148</v>
      </c>
      <c r="F75" s="935">
        <v>12206.12</v>
      </c>
      <c r="G75" s="843">
        <f t="shared" si="6"/>
        <v>58.1200000000008</v>
      </c>
      <c r="H75" s="844">
        <f>G75+'22'!H75</f>
        <v>1236.1200000000008</v>
      </c>
      <c r="I75" s="863"/>
      <c r="J75" s="846">
        <f>H75/DAY(B2)</f>
        <v>53.744347826086994</v>
      </c>
      <c r="K75" s="928"/>
      <c r="L75" s="821"/>
      <c r="O75" s="848"/>
    </row>
    <row r="76" spans="1:15">
      <c r="A76" s="1642" t="s">
        <v>194</v>
      </c>
      <c r="B76" s="1643"/>
      <c r="C76" s="1644"/>
      <c r="D76" s="841" t="s">
        <v>186</v>
      </c>
      <c r="E76" s="842">
        <f>'22'!F76</f>
        <v>6917</v>
      </c>
      <c r="F76" s="934">
        <v>6971.3</v>
      </c>
      <c r="G76" s="843">
        <f t="shared" si="6"/>
        <v>54.300000000000182</v>
      </c>
      <c r="H76" s="844">
        <f>G76+'22'!H76</f>
        <v>1254.3499999999995</v>
      </c>
      <c r="I76" s="906"/>
      <c r="J76" s="846">
        <f>H76/DAY(B2)</f>
        <v>54.536956521739107</v>
      </c>
      <c r="K76" s="928"/>
      <c r="L76" s="821"/>
      <c r="O76" s="848"/>
    </row>
    <row r="77" spans="1:15">
      <c r="A77" s="1639" t="s">
        <v>195</v>
      </c>
      <c r="B77" s="1640"/>
      <c r="C77" s="1641"/>
      <c r="D77" s="841" t="s">
        <v>186</v>
      </c>
      <c r="E77" s="842">
        <f>'22'!F77</f>
        <v>702462</v>
      </c>
      <c r="F77" s="934">
        <v>702500</v>
      </c>
      <c r="G77" s="843">
        <f t="shared" si="6"/>
        <v>38</v>
      </c>
      <c r="H77" s="844">
        <f>G77+'22'!H77</f>
        <v>938</v>
      </c>
      <c r="I77" s="906"/>
      <c r="J77" s="846">
        <f>H77/DAY(B2)</f>
        <v>40.782608695652172</v>
      </c>
      <c r="K77" s="928"/>
      <c r="L77" s="821"/>
      <c r="O77" s="848"/>
    </row>
    <row r="78" spans="1:15">
      <c r="A78" s="936" t="s">
        <v>196</v>
      </c>
      <c r="B78" s="1139"/>
      <c r="C78" s="1139"/>
      <c r="D78" s="841" t="s">
        <v>186</v>
      </c>
      <c r="E78" s="842">
        <f>'22'!F78</f>
        <v>672062</v>
      </c>
      <c r="F78" s="935">
        <v>672189</v>
      </c>
      <c r="G78" s="843">
        <f t="shared" si="6"/>
        <v>127</v>
      </c>
      <c r="H78" s="844">
        <f>G78+'22'!H78</f>
        <v>2164</v>
      </c>
      <c r="I78" s="906"/>
      <c r="J78" s="846">
        <f>H78/DAY(B2)</f>
        <v>94.086956521739125</v>
      </c>
      <c r="K78" s="928"/>
      <c r="L78" s="821"/>
      <c r="O78" s="848"/>
    </row>
    <row r="79" spans="1:15">
      <c r="A79" s="1642" t="s">
        <v>92</v>
      </c>
      <c r="B79" s="1643"/>
      <c r="C79" s="1644"/>
      <c r="D79" s="875" t="s">
        <v>186</v>
      </c>
      <c r="E79" s="842">
        <f>'22'!F79</f>
        <v>829800</v>
      </c>
      <c r="F79" s="1234">
        <v>829931</v>
      </c>
      <c r="G79" s="843">
        <f t="shared" si="6"/>
        <v>131</v>
      </c>
      <c r="H79" s="844">
        <f>G79+'22'!H79</f>
        <v>2200</v>
      </c>
      <c r="I79" s="906"/>
      <c r="J79" s="846">
        <f>H79/DAY(B2)</f>
        <v>95.652173913043484</v>
      </c>
      <c r="K79" s="928"/>
      <c r="L79" s="821"/>
      <c r="O79" s="848"/>
    </row>
    <row r="80" spans="1:15">
      <c r="A80" s="1642" t="s">
        <v>197</v>
      </c>
      <c r="B80" s="1643"/>
      <c r="C80" s="1644"/>
      <c r="D80" s="875" t="s">
        <v>186</v>
      </c>
      <c r="E80" s="842">
        <f>'22'!F80</f>
        <v>524389</v>
      </c>
      <c r="F80" s="934">
        <v>524746.64</v>
      </c>
      <c r="G80" s="843">
        <f t="shared" si="6"/>
        <v>357.64000000001397</v>
      </c>
      <c r="H80" s="844">
        <f>G80+'22'!H80</f>
        <v>5285.640000000014</v>
      </c>
      <c r="I80" s="906"/>
      <c r="J80" s="846">
        <f>H80/DAY(B2)</f>
        <v>229.81043478260929</v>
      </c>
      <c r="K80" s="928"/>
      <c r="L80" s="821"/>
      <c r="O80" s="848"/>
    </row>
    <row r="81" spans="1:15">
      <c r="A81" s="1642" t="s">
        <v>198</v>
      </c>
      <c r="B81" s="1643"/>
      <c r="C81" s="1644"/>
      <c r="D81" s="875" t="s">
        <v>186</v>
      </c>
      <c r="E81" s="842">
        <f>'22'!F81</f>
        <v>638140</v>
      </c>
      <c r="F81" s="934">
        <v>638219.56000000006</v>
      </c>
      <c r="G81" s="843">
        <f t="shared" si="6"/>
        <v>79.560000000055879</v>
      </c>
      <c r="H81" s="844">
        <f>G81+'22'!H81</f>
        <v>1741.5600000000559</v>
      </c>
      <c r="I81" s="906"/>
      <c r="J81" s="846">
        <f>H81/DAY(B2)</f>
        <v>75.720000000002429</v>
      </c>
      <c r="K81" s="928"/>
      <c r="L81" s="821"/>
      <c r="O81" s="848"/>
    </row>
    <row r="82" spans="1:15">
      <c r="A82" s="1642" t="s">
        <v>93</v>
      </c>
      <c r="B82" s="1643"/>
      <c r="C82" s="1644"/>
      <c r="D82" s="876" t="s">
        <v>131</v>
      </c>
      <c r="E82" s="842">
        <f>'22'!F82</f>
        <v>108014</v>
      </c>
      <c r="F82" s="937">
        <v>108025.07</v>
      </c>
      <c r="G82" s="843">
        <f t="shared" si="6"/>
        <v>11.070000000006985</v>
      </c>
      <c r="H82" s="844">
        <f>G82+'22'!H82</f>
        <v>413.07000000000698</v>
      </c>
      <c r="I82" s="877"/>
      <c r="J82" s="846">
        <f>H82/DAY(B2)</f>
        <v>17.959565217391606</v>
      </c>
      <c r="K82" s="928"/>
      <c r="L82" s="821"/>
      <c r="O82" s="848"/>
    </row>
    <row r="83" spans="1:15">
      <c r="A83" s="1642" t="s">
        <v>199</v>
      </c>
      <c r="B83" s="1643"/>
      <c r="C83" s="1644"/>
      <c r="D83" s="938" t="s">
        <v>131</v>
      </c>
      <c r="E83" s="842">
        <f>'22'!F83</f>
        <v>18885</v>
      </c>
      <c r="F83" s="1277">
        <v>19096</v>
      </c>
      <c r="G83" s="843">
        <f t="shared" si="6"/>
        <v>211</v>
      </c>
      <c r="H83" s="844">
        <f>G83+'22'!H83</f>
        <v>4325</v>
      </c>
      <c r="I83" s="866"/>
      <c r="J83" s="846">
        <f>H83/DAY(B2)</f>
        <v>188.04347826086956</v>
      </c>
      <c r="K83" s="869"/>
      <c r="L83" s="821"/>
      <c r="O83" s="848"/>
    </row>
    <row r="84" spans="1:15">
      <c r="A84" s="939" t="s">
        <v>200</v>
      </c>
      <c r="B84" s="940"/>
      <c r="C84" s="940"/>
      <c r="D84" s="860" t="s">
        <v>131</v>
      </c>
      <c r="E84" s="842">
        <f>'22'!F84</f>
        <v>493529</v>
      </c>
      <c r="F84" s="941">
        <v>494085</v>
      </c>
      <c r="G84" s="843">
        <f t="shared" si="6"/>
        <v>556</v>
      </c>
      <c r="H84" s="844">
        <f>G84+'22'!H84</f>
        <v>13952</v>
      </c>
      <c r="I84" s="866"/>
      <c r="J84" s="846">
        <f>H84/DAY(B2)</f>
        <v>606.60869565217388</v>
      </c>
      <c r="K84" s="942"/>
      <c r="L84" s="821"/>
      <c r="O84" s="848"/>
    </row>
    <row r="85" spans="1:15" s="946" customFormat="1">
      <c r="A85" s="943" t="s">
        <v>201</v>
      </c>
      <c r="B85" s="944"/>
      <c r="C85" s="944"/>
      <c r="D85" s="881"/>
      <c r="E85" s="842"/>
      <c r="F85" s="841"/>
      <c r="G85" s="844">
        <f xml:space="preserve"> SUM(G72:G84)</f>
        <v>1640.3400000000779</v>
      </c>
      <c r="H85" s="844">
        <f>G85+'22'!H85</f>
        <v>37754.340000000077</v>
      </c>
      <c r="I85" s="866"/>
      <c r="J85" s="846">
        <f>H85/DAY(B2)</f>
        <v>1641.4930434782641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182</v>
      </c>
      <c r="E86" s="842">
        <f>'22'!F86</f>
        <v>460665</v>
      </c>
      <c r="F86" s="950">
        <v>460687.56</v>
      </c>
      <c r="G86" s="951">
        <f t="shared" ref="G86:G88" si="7">F86-E86</f>
        <v>22.559999999997672</v>
      </c>
      <c r="H86" s="951">
        <f t="shared" ref="H86:H88" si="8">G86</f>
        <v>22.559999999997672</v>
      </c>
      <c r="I86" s="952"/>
      <c r="J86" s="953">
        <f>H86/DAY(B2)</f>
        <v>0.98086956521729007</v>
      </c>
      <c r="K86" s="954"/>
      <c r="L86" s="955"/>
      <c r="N86" s="1014"/>
      <c r="O86" s="848"/>
    </row>
    <row r="87" spans="1:15" s="956" customFormat="1">
      <c r="A87" s="947" t="s">
        <v>95</v>
      </c>
      <c r="B87" s="948"/>
      <c r="C87" s="948"/>
      <c r="D87" s="949" t="s">
        <v>182</v>
      </c>
      <c r="E87" s="842">
        <f>'22'!F87</f>
        <v>81213</v>
      </c>
      <c r="F87" s="950">
        <v>81219.3</v>
      </c>
      <c r="G87" s="951">
        <f t="shared" si="7"/>
        <v>6.3000000000029104</v>
      </c>
      <c r="H87" s="951">
        <f t="shared" si="8"/>
        <v>6.3000000000029104</v>
      </c>
      <c r="I87" s="952"/>
      <c r="J87" s="953">
        <f>H87/DAY(B2)</f>
        <v>0.27391304347838741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182</v>
      </c>
      <c r="E88" s="842">
        <f>'22'!F88</f>
        <v>152683</v>
      </c>
      <c r="F88" s="950">
        <v>152706.73000000001</v>
      </c>
      <c r="G88" s="951">
        <f t="shared" si="7"/>
        <v>23.730000000010477</v>
      </c>
      <c r="H88" s="951">
        <f t="shared" si="8"/>
        <v>23.730000000010477</v>
      </c>
      <c r="I88" s="952"/>
      <c r="J88" s="953">
        <f>H88/DAY(B2)</f>
        <v>1.0317391304352381</v>
      </c>
      <c r="K88" s="954"/>
      <c r="L88" s="955"/>
      <c r="N88" s="1014"/>
      <c r="O88" s="848"/>
    </row>
    <row r="89" spans="1:15" s="956" customFormat="1">
      <c r="A89" s="947" t="s">
        <v>203</v>
      </c>
      <c r="B89" s="948"/>
      <c r="C89" s="948"/>
      <c r="D89" s="949" t="s">
        <v>182</v>
      </c>
      <c r="E89" s="842">
        <f>'22'!F89</f>
        <v>64996</v>
      </c>
      <c r="F89" s="950">
        <v>65034.5</v>
      </c>
      <c r="G89" s="951">
        <f t="shared" ref="G89:G91" si="9">F89-E89</f>
        <v>38.5</v>
      </c>
      <c r="H89" s="951">
        <f>G89</f>
        <v>38.5</v>
      </c>
      <c r="I89" s="952"/>
      <c r="J89" s="953">
        <f>H89/DAY(B2)</f>
        <v>1.673913043478261</v>
      </c>
      <c r="K89" s="954"/>
      <c r="L89" s="955"/>
      <c r="N89" s="1015"/>
      <c r="O89" s="848"/>
    </row>
    <row r="90" spans="1:15" s="956" customFormat="1">
      <c r="A90" s="947" t="s">
        <v>203</v>
      </c>
      <c r="B90" s="948"/>
      <c r="C90" s="948"/>
      <c r="D90" s="949" t="s">
        <v>182</v>
      </c>
      <c r="E90" s="842">
        <f>'22'!F90</f>
        <v>3273.5</v>
      </c>
      <c r="F90" s="950">
        <v>3273.6</v>
      </c>
      <c r="G90" s="951">
        <f t="shared" si="9"/>
        <v>9.9999999999909051E-2</v>
      </c>
      <c r="H90" s="951">
        <f>G90</f>
        <v>9.9999999999909051E-2</v>
      </c>
      <c r="I90" s="952"/>
      <c r="J90" s="953">
        <f>H90/DAY(B2)</f>
        <v>4.3478260869525675E-3</v>
      </c>
      <c r="K90" s="954"/>
      <c r="L90" s="955"/>
      <c r="N90" s="1015"/>
      <c r="O90" s="848"/>
    </row>
    <row r="91" spans="1:15" s="738" customFormat="1" ht="29.25">
      <c r="A91" s="733" t="s">
        <v>361</v>
      </c>
      <c r="B91" s="734"/>
      <c r="C91" s="734"/>
      <c r="D91" s="735"/>
      <c r="E91" s="842">
        <f>'22'!F91</f>
        <v>27980</v>
      </c>
      <c r="F91" s="650">
        <v>27986</v>
      </c>
      <c r="G91" s="708">
        <f t="shared" si="9"/>
        <v>6</v>
      </c>
      <c r="H91" s="708">
        <f>G91</f>
        <v>6</v>
      </c>
      <c r="I91" s="655"/>
      <c r="J91" s="710"/>
      <c r="K91" s="736"/>
      <c r="L91" s="737"/>
      <c r="N91" s="780"/>
      <c r="O91" s="382"/>
    </row>
    <row r="92" spans="1:15" s="946" customFormat="1">
      <c r="A92" s="957" t="s">
        <v>204</v>
      </c>
      <c r="B92" s="836"/>
      <c r="C92" s="836"/>
      <c r="D92" s="836"/>
      <c r="E92" s="836"/>
      <c r="F92" s="836"/>
      <c r="G92" s="880"/>
      <c r="H92" s="836"/>
      <c r="I92" s="836"/>
      <c r="J92" s="837"/>
      <c r="K92" s="942"/>
      <c r="L92" s="945"/>
      <c r="N92" s="1013"/>
      <c r="O92" s="848"/>
    </row>
    <row r="93" spans="1:15">
      <c r="A93" s="1633" t="s">
        <v>205</v>
      </c>
      <c r="B93" s="1634"/>
      <c r="C93" s="1635"/>
      <c r="D93" s="841" t="s">
        <v>143</v>
      </c>
      <c r="E93" s="842">
        <f>'22'!F93</f>
        <v>245099</v>
      </c>
      <c r="F93" s="872">
        <v>245156</v>
      </c>
      <c r="G93" s="843">
        <f t="shared" ref="G93:G94" si="10">F93-E93</f>
        <v>57</v>
      </c>
      <c r="H93" s="844">
        <f>G93+'22'!H93</f>
        <v>732</v>
      </c>
      <c r="I93" s="863"/>
      <c r="J93" s="846">
        <f>H93/DAY(B2)</f>
        <v>31.826086956521738</v>
      </c>
      <c r="K93" s="869"/>
      <c r="L93" s="821"/>
      <c r="O93" s="848"/>
    </row>
    <row r="94" spans="1:15">
      <c r="A94" s="1633" t="s">
        <v>206</v>
      </c>
      <c r="B94" s="1634"/>
      <c r="C94" s="1635"/>
      <c r="D94" s="841" t="s">
        <v>143</v>
      </c>
      <c r="E94" s="842">
        <f>'22'!F94</f>
        <v>185354</v>
      </c>
      <c r="F94" s="1276">
        <v>185446</v>
      </c>
      <c r="G94" s="843">
        <f t="shared" si="10"/>
        <v>92</v>
      </c>
      <c r="H94" s="844">
        <f>G94+'22'!H94</f>
        <v>1915</v>
      </c>
      <c r="I94" s="863"/>
      <c r="J94" s="846">
        <f>H94/DAY(B2)</f>
        <v>83.260869565217391</v>
      </c>
      <c r="K94" s="942"/>
      <c r="L94" s="821"/>
      <c r="O94" s="848"/>
    </row>
    <row r="95" spans="1:15">
      <c r="A95" s="1625" t="s">
        <v>207</v>
      </c>
      <c r="B95" s="1626"/>
      <c r="C95" s="1627"/>
      <c r="D95" s="841"/>
      <c r="E95" s="842">
        <f>'22'!F95</f>
        <v>0</v>
      </c>
      <c r="F95" s="872"/>
      <c r="G95" s="843">
        <f>G93+G94</f>
        <v>149</v>
      </c>
      <c r="H95" s="844">
        <f>G95+'22'!H95</f>
        <v>2500</v>
      </c>
      <c r="I95" s="863"/>
      <c r="J95" s="846">
        <f>H95/DAY(B2)</f>
        <v>108.69565217391305</v>
      </c>
      <c r="K95" s="942"/>
      <c r="L95" s="821"/>
      <c r="O95" s="848"/>
    </row>
    <row r="96" spans="1:15">
      <c r="A96" s="1633" t="s">
        <v>208</v>
      </c>
      <c r="B96" s="1634"/>
      <c r="C96" s="1635"/>
      <c r="D96" s="841" t="s">
        <v>143</v>
      </c>
      <c r="E96" s="842">
        <f>'22'!F96</f>
        <v>413847</v>
      </c>
      <c r="F96" s="872">
        <v>413884</v>
      </c>
      <c r="G96" s="843">
        <f t="shared" ref="G96:G101" si="11">F96-E96</f>
        <v>37</v>
      </c>
      <c r="H96" s="844">
        <f>G96+'22'!H96</f>
        <v>998</v>
      </c>
      <c r="I96" s="863"/>
      <c r="J96" s="846">
        <f>H96/DAY(B2)</f>
        <v>43.391304347826086</v>
      </c>
      <c r="K96" s="942"/>
      <c r="L96" s="821"/>
      <c r="O96" s="848"/>
    </row>
    <row r="97" spans="1:15">
      <c r="A97" s="870" t="s">
        <v>209</v>
      </c>
      <c r="B97" s="871"/>
      <c r="C97" s="871"/>
      <c r="D97" s="841" t="s">
        <v>143</v>
      </c>
      <c r="E97" s="842">
        <f>'22'!F97</f>
        <v>102552</v>
      </c>
      <c r="F97" s="872">
        <v>102567</v>
      </c>
      <c r="G97" s="843">
        <f t="shared" si="11"/>
        <v>15</v>
      </c>
      <c r="H97" s="844">
        <f>G97+'22'!H97</f>
        <v>224</v>
      </c>
      <c r="I97" s="863"/>
      <c r="J97" s="846">
        <f>H97/DAY(B2)</f>
        <v>9.7391304347826093</v>
      </c>
      <c r="K97" s="838"/>
      <c r="L97" s="821"/>
      <c r="O97" s="848"/>
    </row>
    <row r="98" spans="1:15">
      <c r="A98" s="870" t="s">
        <v>210</v>
      </c>
      <c r="B98" s="871"/>
      <c r="C98" s="871"/>
      <c r="D98" s="841" t="s">
        <v>143</v>
      </c>
      <c r="E98" s="842">
        <f>'22'!F98</f>
        <v>97749</v>
      </c>
      <c r="F98" s="872">
        <v>97780</v>
      </c>
      <c r="G98" s="843">
        <f t="shared" si="11"/>
        <v>31</v>
      </c>
      <c r="H98" s="844">
        <f>G98+'22'!H98</f>
        <v>353</v>
      </c>
      <c r="I98" s="863"/>
      <c r="J98" s="846">
        <f>H98/DAY(B2)</f>
        <v>15.347826086956522</v>
      </c>
      <c r="K98" s="958"/>
      <c r="L98" s="821"/>
      <c r="O98" s="848"/>
    </row>
    <row r="99" spans="1:15">
      <c r="A99" s="870" t="s">
        <v>211</v>
      </c>
      <c r="B99" s="871"/>
      <c r="C99" s="871"/>
      <c r="D99" s="841" t="s">
        <v>143</v>
      </c>
      <c r="E99" s="842">
        <f>'22'!F99</f>
        <v>149769</v>
      </c>
      <c r="F99" s="872">
        <v>149790</v>
      </c>
      <c r="G99" s="843">
        <f t="shared" si="11"/>
        <v>21</v>
      </c>
      <c r="H99" s="844">
        <f>G99+'22'!H99</f>
        <v>257</v>
      </c>
      <c r="I99" s="863"/>
      <c r="J99" s="846">
        <f>H99/DAY(B2)</f>
        <v>11.173913043478262</v>
      </c>
      <c r="K99" s="942"/>
      <c r="L99" s="821"/>
      <c r="O99" s="848"/>
    </row>
    <row r="100" spans="1:15">
      <c r="A100" s="870" t="s">
        <v>212</v>
      </c>
      <c r="B100" s="871"/>
      <c r="C100" s="871"/>
      <c r="D100" s="841" t="s">
        <v>143</v>
      </c>
      <c r="E100" s="842">
        <f>'22'!F100</f>
        <v>7320</v>
      </c>
      <c r="F100" s="872">
        <v>7325</v>
      </c>
      <c r="G100" s="843">
        <f t="shared" si="11"/>
        <v>5</v>
      </c>
      <c r="H100" s="844">
        <f>G100+'22'!H100</f>
        <v>140</v>
      </c>
      <c r="I100" s="863"/>
      <c r="J100" s="846">
        <f>H100/DAY(B2)</f>
        <v>6.0869565217391308</v>
      </c>
      <c r="K100" s="942"/>
      <c r="L100" s="821"/>
      <c r="O100" s="848"/>
    </row>
    <row r="101" spans="1:15">
      <c r="A101" s="870" t="s">
        <v>213</v>
      </c>
      <c r="B101" s="871"/>
      <c r="C101" s="871"/>
      <c r="D101" s="841" t="s">
        <v>143</v>
      </c>
      <c r="E101" s="842">
        <f>'22'!F101</f>
        <v>5301</v>
      </c>
      <c r="F101" s="872">
        <v>5311</v>
      </c>
      <c r="G101" s="843">
        <f t="shared" si="11"/>
        <v>10</v>
      </c>
      <c r="H101" s="844">
        <f>G101+'22'!H101</f>
        <v>173</v>
      </c>
      <c r="I101" s="863"/>
      <c r="J101" s="846">
        <f>H101/DAY(B2)</f>
        <v>7.5217391304347823</v>
      </c>
      <c r="K101" s="942"/>
      <c r="L101" s="821"/>
      <c r="O101" s="848"/>
    </row>
    <row r="102" spans="1:15">
      <c r="A102" s="1625" t="s">
        <v>215</v>
      </c>
      <c r="B102" s="1626"/>
      <c r="C102" s="1627"/>
      <c r="D102" s="875"/>
      <c r="E102" s="875"/>
      <c r="F102" s="875"/>
      <c r="G102" s="959">
        <f>SUM(G96:G101)</f>
        <v>119</v>
      </c>
      <c r="H102" s="844">
        <f>G102+'22'!H102</f>
        <v>2145</v>
      </c>
      <c r="I102" s="960"/>
      <c r="J102" s="846">
        <f>H102/DAY(B2)</f>
        <v>93.260869565217391</v>
      </c>
      <c r="K102" s="942"/>
      <c r="L102" s="821"/>
      <c r="O102" s="848"/>
    </row>
    <row r="103" spans="1:15" s="893" customFormat="1">
      <c r="A103" s="961" t="s">
        <v>216</v>
      </c>
      <c r="B103" s="962"/>
      <c r="C103" s="962"/>
      <c r="D103" s="963"/>
      <c r="E103" s="964"/>
      <c r="F103" s="965"/>
      <c r="G103" s="966"/>
      <c r="H103" s="967"/>
      <c r="I103" s="968"/>
      <c r="J103" s="969"/>
      <c r="N103" s="1011"/>
      <c r="O103" s="848"/>
    </row>
    <row r="104" spans="1:15" s="893" customFormat="1">
      <c r="A104" s="1622" t="s">
        <v>217</v>
      </c>
      <c r="B104" s="1623"/>
      <c r="C104" s="970"/>
      <c r="D104" s="971"/>
      <c r="E104" s="972"/>
      <c r="F104" s="972"/>
      <c r="G104" s="972"/>
      <c r="H104" s="973"/>
      <c r="I104" s="972"/>
      <c r="J104" s="974"/>
      <c r="N104" s="1011"/>
      <c r="O104" s="848"/>
    </row>
    <row r="105" spans="1:15" s="893" customFormat="1">
      <c r="A105" s="1616" t="s">
        <v>218</v>
      </c>
      <c r="B105" s="1617"/>
      <c r="C105" s="975"/>
      <c r="D105" s="971" t="s">
        <v>143</v>
      </c>
      <c r="E105" s="972">
        <f>'22'!F105</f>
        <v>7484</v>
      </c>
      <c r="F105" s="972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2.4782608695652173</v>
      </c>
      <c r="N105" s="1011"/>
      <c r="O105" s="848"/>
    </row>
    <row r="106" spans="1:15" s="893" customFormat="1">
      <c r="A106" s="1616" t="s">
        <v>77</v>
      </c>
      <c r="B106" s="1617"/>
      <c r="C106" s="975"/>
      <c r="D106" s="971" t="s">
        <v>143</v>
      </c>
      <c r="E106" s="972">
        <f>'22'!F106</f>
        <v>35906</v>
      </c>
      <c r="F106" s="1278">
        <v>35906</v>
      </c>
      <c r="G106" s="972">
        <f t="shared" ref="G106:G107" si="12">F106-E106</f>
        <v>0</v>
      </c>
      <c r="H106" s="973">
        <f>SUM(G106+'1'!G77)</f>
        <v>50</v>
      </c>
      <c r="I106" s="972"/>
      <c r="J106" s="974">
        <f>H106/DAY(B2)</f>
        <v>2.1739130434782608</v>
      </c>
      <c r="N106" s="1011"/>
      <c r="O106" s="848"/>
    </row>
    <row r="107" spans="1:15" s="893" customFormat="1">
      <c r="A107" s="1616" t="s">
        <v>78</v>
      </c>
      <c r="B107" s="1624"/>
      <c r="C107" s="1617"/>
      <c r="D107" s="971" t="s">
        <v>143</v>
      </c>
      <c r="E107" s="972">
        <f>'22'!F107</f>
        <v>19680</v>
      </c>
      <c r="F107" s="972">
        <v>19682</v>
      </c>
      <c r="G107" s="972">
        <f t="shared" si="12"/>
        <v>2</v>
      </c>
      <c r="H107" s="973">
        <f>SUM(G107+'1'!G78)</f>
        <v>126</v>
      </c>
      <c r="I107" s="972"/>
      <c r="J107" s="974">
        <f>H107/DAY(B2)</f>
        <v>5.4782608695652177</v>
      </c>
      <c r="N107" s="1011"/>
      <c r="O107" s="848"/>
    </row>
    <row r="108" spans="1:15" s="893" customFormat="1">
      <c r="A108" s="1618" t="s">
        <v>201</v>
      </c>
      <c r="B108" s="1619"/>
      <c r="C108" s="975"/>
      <c r="D108" s="971"/>
      <c r="E108" s="972">
        <f>'22'!F108</f>
        <v>0</v>
      </c>
      <c r="F108" s="972"/>
      <c r="G108" s="972">
        <f>SUM(G105:G107)</f>
        <v>2</v>
      </c>
      <c r="H108" s="973">
        <f>SUM(G108+'1'!G79)</f>
        <v>191</v>
      </c>
      <c r="I108" s="972"/>
      <c r="J108" s="974">
        <f>H108/DAY(B2)</f>
        <v>8.304347826086957</v>
      </c>
      <c r="N108" s="1011"/>
      <c r="O108" s="848"/>
    </row>
    <row r="109" spans="1:15" s="893" customFormat="1">
      <c r="A109" s="1614" t="s">
        <v>79</v>
      </c>
      <c r="B109" s="1615"/>
      <c r="C109" s="975"/>
      <c r="D109" s="971" t="s">
        <v>143</v>
      </c>
      <c r="E109" s="972">
        <f>'22'!F109</f>
        <v>0</v>
      </c>
      <c r="F109" s="972"/>
      <c r="G109" s="972"/>
      <c r="H109" s="973"/>
      <c r="I109" s="972"/>
      <c r="J109" s="974"/>
      <c r="N109" s="1011"/>
      <c r="O109" s="848"/>
    </row>
    <row r="110" spans="1:15" s="893" customFormat="1">
      <c r="A110" s="1616" t="s">
        <v>219</v>
      </c>
      <c r="B110" s="1617"/>
      <c r="C110" s="975"/>
      <c r="D110" s="971" t="s">
        <v>143</v>
      </c>
      <c r="E110" s="972">
        <f>'22'!F110</f>
        <v>62270</v>
      </c>
      <c r="F110" s="972">
        <v>62330</v>
      </c>
      <c r="G110" s="972">
        <f>F110-E110</f>
        <v>60</v>
      </c>
      <c r="H110" s="973">
        <f>SUM(G110+'1'!G81)</f>
        <v>141</v>
      </c>
      <c r="I110" s="972"/>
      <c r="J110" s="974">
        <f>H110/DAY(B2)</f>
        <v>6.1304347826086953</v>
      </c>
      <c r="N110" s="1011"/>
      <c r="O110" s="848"/>
    </row>
    <row r="111" spans="1:15" s="893" customFormat="1">
      <c r="A111" s="1616" t="s">
        <v>220</v>
      </c>
      <c r="B111" s="1617"/>
      <c r="C111" s="975"/>
      <c r="D111" s="971" t="s">
        <v>143</v>
      </c>
      <c r="E111" s="972">
        <f>'22'!F111</f>
        <v>32459</v>
      </c>
      <c r="F111" s="1278">
        <v>32478</v>
      </c>
      <c r="G111" s="972">
        <f t="shared" ref="G111:G112" si="13">F111-E111</f>
        <v>19</v>
      </c>
      <c r="H111" s="973">
        <f>SUM(G111+'1'!G82)</f>
        <v>31</v>
      </c>
      <c r="I111" s="972"/>
      <c r="J111" s="974">
        <f>H111/DAY(B2)</f>
        <v>1.3478260869565217</v>
      </c>
      <c r="N111" s="1011"/>
      <c r="O111" s="848"/>
    </row>
    <row r="112" spans="1:15" s="893" customFormat="1">
      <c r="A112" s="1616" t="s">
        <v>221</v>
      </c>
      <c r="B112" s="1617"/>
      <c r="C112" s="975"/>
      <c r="D112" s="971" t="s">
        <v>143</v>
      </c>
      <c r="E112" s="972">
        <f>'22'!F112</f>
        <v>4527</v>
      </c>
      <c r="F112" s="1278">
        <v>4527</v>
      </c>
      <c r="G112" s="972">
        <f t="shared" si="13"/>
        <v>0</v>
      </c>
      <c r="H112" s="973">
        <f>SUM(G112+'1'!G83)</f>
        <v>255</v>
      </c>
      <c r="I112" s="972"/>
      <c r="J112" s="974">
        <f>H112/DAY(B2)</f>
        <v>11.086956521739131</v>
      </c>
      <c r="N112" s="1011"/>
      <c r="O112" s="848"/>
    </row>
    <row r="113" spans="1:15" s="893" customFormat="1">
      <c r="A113" s="1620" t="s">
        <v>110</v>
      </c>
      <c r="B113" s="1621"/>
      <c r="C113" s="975"/>
      <c r="D113" s="971"/>
      <c r="E113" s="972">
        <f>'22'!F113</f>
        <v>0</v>
      </c>
      <c r="F113" s="972"/>
      <c r="G113" s="972">
        <f>SUM(G110:G112)</f>
        <v>79</v>
      </c>
      <c r="H113" s="973">
        <f>SUM(G113+'1'!G84)</f>
        <v>794</v>
      </c>
      <c r="I113" s="972"/>
      <c r="J113" s="974">
        <f>H113/DAY(B2)</f>
        <v>34.521739130434781</v>
      </c>
      <c r="N113" s="1011"/>
      <c r="O113" s="848"/>
    </row>
    <row r="114" spans="1:15" s="893" customFormat="1">
      <c r="A114" s="1614" t="s">
        <v>222</v>
      </c>
      <c r="B114" s="1615"/>
      <c r="C114" s="975"/>
      <c r="D114" s="971"/>
      <c r="E114" s="972">
        <f>'22'!F114</f>
        <v>0</v>
      </c>
      <c r="F114" s="972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>
      <c r="A115" s="1616" t="s">
        <v>223</v>
      </c>
      <c r="B115" s="1617"/>
      <c r="C115" s="977"/>
      <c r="D115" s="971" t="s">
        <v>143</v>
      </c>
      <c r="E115" s="972">
        <f>'22'!F115</f>
        <v>11434</v>
      </c>
      <c r="F115" s="976">
        <v>11439</v>
      </c>
      <c r="G115" s="976">
        <f>F115-E115</f>
        <v>5</v>
      </c>
      <c r="H115" s="973">
        <f>SUM(G115+'1'!G92)</f>
        <v>5</v>
      </c>
      <c r="I115" s="972"/>
      <c r="J115" s="974">
        <f>H115/DAY(B2)</f>
        <v>0.21739130434782608</v>
      </c>
      <c r="N115" s="1011"/>
      <c r="O115" s="848"/>
    </row>
    <row r="116" spans="1:15" s="893" customFormat="1">
      <c r="A116" s="1616" t="s">
        <v>224</v>
      </c>
      <c r="B116" s="1617"/>
      <c r="C116" s="977"/>
      <c r="D116" s="971" t="s">
        <v>143</v>
      </c>
      <c r="E116" s="972">
        <f>'22'!F116</f>
        <v>8243</v>
      </c>
      <c r="F116" s="976">
        <v>8254</v>
      </c>
      <c r="G116" s="976">
        <f t="shared" ref="G116:G117" si="14">F116-E116</f>
        <v>11</v>
      </c>
      <c r="H116" s="973">
        <f>SUM(G116+'1'!G93)</f>
        <v>63</v>
      </c>
      <c r="I116" s="972"/>
      <c r="J116" s="974">
        <f>H116/DAY(B2)</f>
        <v>2.7391304347826089</v>
      </c>
      <c r="N116" s="1011"/>
      <c r="O116" s="848"/>
    </row>
    <row r="117" spans="1:15" s="893" customFormat="1">
      <c r="A117" s="1616" t="s">
        <v>225</v>
      </c>
      <c r="B117" s="1617"/>
      <c r="C117" s="977"/>
      <c r="D117" s="971" t="s">
        <v>143</v>
      </c>
      <c r="E117" s="976"/>
      <c r="F117" s="976"/>
      <c r="G117" s="976">
        <f t="shared" si="14"/>
        <v>0</v>
      </c>
      <c r="H117" s="973">
        <f>SUM(G117+'1'!G94)</f>
        <v>95</v>
      </c>
      <c r="I117" s="972"/>
      <c r="J117" s="974">
        <f>H117/DAY(B2)</f>
        <v>4.1304347826086953</v>
      </c>
      <c r="N117" s="1011"/>
      <c r="O117" s="848"/>
    </row>
    <row r="118" spans="1:15" s="979" customFormat="1">
      <c r="A118" s="1618" t="s">
        <v>201</v>
      </c>
      <c r="B118" s="1619"/>
      <c r="C118" s="977"/>
      <c r="D118" s="978"/>
      <c r="E118" s="976"/>
      <c r="F118" s="976"/>
      <c r="G118" s="976">
        <f>SUM(G115:G117)</f>
        <v>16</v>
      </c>
      <c r="H118" s="973">
        <f>SUM(G118+'1'!G96)</f>
        <v>88</v>
      </c>
      <c r="I118" s="976"/>
      <c r="J118" s="974">
        <f>H118/DAY(B2)</f>
        <v>3.8260869565217392</v>
      </c>
      <c r="N118" s="1016"/>
      <c r="O118" s="848"/>
    </row>
    <row r="119" spans="1:15" s="771" customFormat="1">
      <c r="A119" s="1610" t="s">
        <v>226</v>
      </c>
      <c r="B119" s="1611"/>
      <c r="C119" s="980"/>
      <c r="D119" s="981" t="s">
        <v>143</v>
      </c>
      <c r="E119" s="982"/>
      <c r="F119" s="983"/>
      <c r="G119" s="983">
        <f>SUM(G19+G93)</f>
        <v>117</v>
      </c>
      <c r="H119" s="973">
        <f>SUM(G119+'1'!G97)</f>
        <v>129</v>
      </c>
      <c r="I119" s="982"/>
      <c r="J119" s="984">
        <f>H119/DAY(B2)</f>
        <v>5.6086956521739131</v>
      </c>
      <c r="N119" s="1017" t="s">
        <v>214</v>
      </c>
      <c r="O119" s="848"/>
    </row>
    <row r="120" spans="1:15" s="771" customFormat="1">
      <c r="A120" s="1610" t="s">
        <v>227</v>
      </c>
      <c r="B120" s="1611"/>
      <c r="C120" s="980"/>
      <c r="D120" s="981" t="s">
        <v>143</v>
      </c>
      <c r="E120" s="982"/>
      <c r="F120" s="983"/>
      <c r="G120" s="983">
        <f>SUM(G96,G97,G98,G100,G101)</f>
        <v>98</v>
      </c>
      <c r="H120" s="973">
        <f>SUM(G120+'1'!G99)</f>
        <v>103</v>
      </c>
      <c r="I120" s="982"/>
      <c r="J120" s="984">
        <f>H120/DAY(B2)</f>
        <v>4.4782608695652177</v>
      </c>
      <c r="N120" s="1017"/>
      <c r="O120" s="848"/>
    </row>
    <row r="121" spans="1:15" s="771" customFormat="1">
      <c r="A121" s="1610" t="s">
        <v>228</v>
      </c>
      <c r="B121" s="1611"/>
      <c r="C121" s="980"/>
      <c r="D121" s="981" t="s">
        <v>143</v>
      </c>
      <c r="E121" s="982"/>
      <c r="F121" s="976"/>
      <c r="G121" s="976">
        <f>SUM(G113)</f>
        <v>79</v>
      </c>
      <c r="H121" s="973">
        <f>SUM(G121+'1'!G101)</f>
        <v>85</v>
      </c>
      <c r="I121" s="982"/>
      <c r="J121" s="984">
        <f>H121/DAY(B2)</f>
        <v>3.6956521739130435</v>
      </c>
      <c r="N121" s="1017"/>
      <c r="O121" s="848"/>
    </row>
    <row r="122" spans="1:15" s="893" customFormat="1">
      <c r="A122" s="1612"/>
      <c r="B122" s="1613"/>
      <c r="C122" s="975"/>
      <c r="D122" s="970"/>
      <c r="E122" s="970"/>
      <c r="F122" s="970"/>
      <c r="G122" s="970"/>
      <c r="H122" s="985"/>
      <c r="I122" s="970"/>
      <c r="J122" s="986"/>
      <c r="N122" s="1011"/>
      <c r="O122" s="848"/>
    </row>
    <row r="123" spans="1:15">
      <c r="A123" s="1628" t="s">
        <v>229</v>
      </c>
      <c r="B123" s="1629"/>
      <c r="C123" s="1630"/>
      <c r="D123" s="836"/>
      <c r="E123" s="836"/>
      <c r="F123" s="836"/>
      <c r="G123" s="868"/>
      <c r="H123" s="868"/>
      <c r="I123" s="868"/>
      <c r="J123" s="987"/>
      <c r="K123" s="942"/>
      <c r="L123" s="821"/>
      <c r="O123" s="848"/>
    </row>
    <row r="124" spans="1:15">
      <c r="A124" s="870" t="s">
        <v>230</v>
      </c>
      <c r="B124" s="871"/>
      <c r="C124" s="871"/>
      <c r="D124" s="841" t="s">
        <v>140</v>
      </c>
      <c r="E124" s="842">
        <f>'22'!F124</f>
        <v>830512</v>
      </c>
      <c r="F124" s="876">
        <v>830726.84</v>
      </c>
      <c r="G124" s="843">
        <f>F124-E124</f>
        <v>214.8399999999674</v>
      </c>
      <c r="H124" s="844">
        <f>G124+'22'!H124</f>
        <v>4638.3800000000047</v>
      </c>
      <c r="I124" s="960"/>
      <c r="J124" s="846">
        <f>H124/DAY(B2)</f>
        <v>201.66869565217411</v>
      </c>
      <c r="K124" s="942"/>
      <c r="L124" s="821"/>
      <c r="O124" s="848"/>
    </row>
    <row r="125" spans="1:15">
      <c r="A125" s="870" t="s">
        <v>231</v>
      </c>
      <c r="B125" s="871"/>
      <c r="C125" s="871"/>
      <c r="D125" s="841" t="s">
        <v>140</v>
      </c>
      <c r="E125" s="842">
        <f>'22'!F125</f>
        <v>73583.399999999994</v>
      </c>
      <c r="F125" s="876">
        <v>73583.399999999994</v>
      </c>
      <c r="G125" s="843">
        <f t="shared" ref="G125:G128" si="15">F125-E125</f>
        <v>0</v>
      </c>
      <c r="H125" s="844">
        <f>G125+'22'!H125</f>
        <v>0</v>
      </c>
      <c r="I125" s="960"/>
      <c r="J125" s="846">
        <f>H125/DAY(B2)</f>
        <v>0</v>
      </c>
      <c r="K125" s="942"/>
      <c r="L125" s="821"/>
      <c r="O125" s="848"/>
    </row>
    <row r="126" spans="1:15">
      <c r="A126" s="1639" t="s">
        <v>232</v>
      </c>
      <c r="B126" s="1640"/>
      <c r="C126" s="1641"/>
      <c r="D126" s="841" t="s">
        <v>140</v>
      </c>
      <c r="E126" s="842">
        <f>'22'!F126</f>
        <v>145905</v>
      </c>
      <c r="F126" s="876">
        <v>145965.84</v>
      </c>
      <c r="G126" s="843">
        <f t="shared" si="15"/>
        <v>60.839999999996508</v>
      </c>
      <c r="H126" s="844">
        <f>G126+'22'!H126</f>
        <v>1278.3999999999942</v>
      </c>
      <c r="I126" s="960"/>
      <c r="J126" s="846">
        <f>H126/DAY(B2)</f>
        <v>55.582608695651921</v>
      </c>
      <c r="K126" s="942"/>
      <c r="L126" s="821"/>
      <c r="O126" s="848"/>
    </row>
    <row r="127" spans="1:15">
      <c r="A127" s="989" t="s">
        <v>233</v>
      </c>
      <c r="B127" s="871"/>
      <c r="C127" s="871"/>
      <c r="D127" s="841" t="s">
        <v>140</v>
      </c>
      <c r="E127" s="842">
        <f>'22'!F127</f>
        <v>31404</v>
      </c>
      <c r="F127" s="876">
        <v>31404.2</v>
      </c>
      <c r="G127" s="843">
        <f t="shared" si="15"/>
        <v>0.2000000000007276</v>
      </c>
      <c r="H127" s="844">
        <f>G127+'22'!H127</f>
        <v>0.2000000000007276</v>
      </c>
      <c r="I127" s="960"/>
      <c r="J127" s="846">
        <f>H127/DAY(B2)</f>
        <v>8.695652173944678E-3</v>
      </c>
      <c r="K127" s="942"/>
      <c r="L127" s="821"/>
      <c r="O127" s="848"/>
    </row>
    <row r="128" spans="1:15">
      <c r="A128" s="989" t="s">
        <v>234</v>
      </c>
      <c r="B128" s="871"/>
      <c r="C128" s="871"/>
      <c r="D128" s="841" t="s">
        <v>140</v>
      </c>
      <c r="E128" s="842">
        <f>'22'!F128</f>
        <v>8971</v>
      </c>
      <c r="F128" s="876">
        <v>8970.6</v>
      </c>
      <c r="G128" s="843">
        <f t="shared" si="15"/>
        <v>-0.3999999999996362</v>
      </c>
      <c r="H128" s="844">
        <f>G128+'22'!H128</f>
        <v>0.8999999999996362</v>
      </c>
      <c r="I128" s="863"/>
      <c r="J128" s="846">
        <f>H128/DAY(B2)</f>
        <v>3.9130434782592878E-2</v>
      </c>
      <c r="K128" s="942"/>
      <c r="L128" s="821"/>
      <c r="O128" s="848"/>
    </row>
    <row r="129" spans="1:15">
      <c r="A129" s="989" t="s">
        <v>235</v>
      </c>
      <c r="B129" s="871"/>
      <c r="C129" s="871"/>
      <c r="D129" s="841"/>
      <c r="E129" s="842"/>
      <c r="F129" s="860"/>
      <c r="G129" s="843">
        <f>G15-SUM(G124:G128)</f>
        <v>91.455000000090877</v>
      </c>
      <c r="H129" s="844">
        <f>G129+'22'!H129</f>
        <v>1320.4550000000909</v>
      </c>
      <c r="I129" s="863"/>
      <c r="J129" s="846">
        <f>H129/DAY(B2)</f>
        <v>57.411086956525693</v>
      </c>
      <c r="K129" s="942"/>
      <c r="L129" s="821"/>
      <c r="O129" s="848"/>
    </row>
    <row r="130" spans="1:15">
      <c r="A130" s="990" t="s">
        <v>236</v>
      </c>
      <c r="B130" s="835"/>
      <c r="C130" s="835"/>
      <c r="D130" s="835"/>
      <c r="E130" s="835"/>
      <c r="F130" s="835"/>
      <c r="G130" s="991"/>
      <c r="H130" s="991"/>
      <c r="I130" s="991"/>
      <c r="J130" s="992"/>
      <c r="O130" s="848"/>
    </row>
    <row r="131" spans="1:15">
      <c r="A131" s="870" t="s">
        <v>237</v>
      </c>
      <c r="B131" s="871"/>
      <c r="C131" s="871"/>
      <c r="D131" s="841" t="s">
        <v>238</v>
      </c>
      <c r="E131" s="842">
        <f>'22'!F131</f>
        <v>0</v>
      </c>
      <c r="F131" s="872">
        <v>0</v>
      </c>
      <c r="G131" s="843">
        <f t="shared" ref="G131:G141" si="16">F131-E131</f>
        <v>0</v>
      </c>
      <c r="H131" s="844">
        <f>G131+'22'!H131</f>
        <v>0</v>
      </c>
      <c r="I131" s="863"/>
      <c r="J131" s="846">
        <f>H131/DAY(B2)</f>
        <v>0</v>
      </c>
      <c r="O131" s="848"/>
    </row>
    <row r="132" spans="1:15">
      <c r="A132" s="870" t="s">
        <v>239</v>
      </c>
      <c r="B132" s="871"/>
      <c r="C132" s="871"/>
      <c r="D132" s="841" t="s">
        <v>238</v>
      </c>
      <c r="E132" s="842">
        <f>'22'!F132</f>
        <v>0</v>
      </c>
      <c r="F132" s="872">
        <v>0</v>
      </c>
      <c r="G132" s="843">
        <f t="shared" si="16"/>
        <v>0</v>
      </c>
      <c r="H132" s="844">
        <f>G132+'22'!H132</f>
        <v>0</v>
      </c>
      <c r="I132" s="863"/>
      <c r="J132" s="846">
        <f>H132/DAY(B2)</f>
        <v>0</v>
      </c>
      <c r="O132" s="848"/>
    </row>
    <row r="133" spans="1:15">
      <c r="A133" s="870" t="s">
        <v>240</v>
      </c>
      <c r="B133" s="871"/>
      <c r="C133" s="871"/>
      <c r="D133" s="841" t="s">
        <v>238</v>
      </c>
      <c r="E133" s="842">
        <f>'22'!F133</f>
        <v>40035.1</v>
      </c>
      <c r="F133" s="993">
        <v>40035.1</v>
      </c>
      <c r="G133" s="843">
        <f t="shared" si="16"/>
        <v>0</v>
      </c>
      <c r="H133" s="844">
        <f>G133+'22'!H133</f>
        <v>288.61999999999534</v>
      </c>
      <c r="I133" s="863"/>
      <c r="J133" s="846">
        <f>H133/DAY(B2)</f>
        <v>12.548695652173711</v>
      </c>
      <c r="O133" s="848"/>
    </row>
    <row r="134" spans="1:15">
      <c r="A134" s="870" t="s">
        <v>241</v>
      </c>
      <c r="B134" s="871"/>
      <c r="C134" s="871"/>
      <c r="D134" s="841" t="s">
        <v>238</v>
      </c>
      <c r="E134" s="842">
        <f>'22'!F134</f>
        <v>300</v>
      </c>
      <c r="F134" s="993">
        <v>300</v>
      </c>
      <c r="G134" s="843">
        <f t="shared" si="16"/>
        <v>0</v>
      </c>
      <c r="H134" s="844">
        <f>G134+'22'!H134</f>
        <v>0</v>
      </c>
      <c r="I134" s="863">
        <f>G131+G132+G133+G134</f>
        <v>0</v>
      </c>
      <c r="J134" s="846">
        <f>H134/DAY(B2)</f>
        <v>0</v>
      </c>
      <c r="O134" s="848"/>
    </row>
    <row r="135" spans="1:15">
      <c r="A135" s="870" t="s">
        <v>242</v>
      </c>
      <c r="B135" s="871"/>
      <c r="C135" s="871"/>
      <c r="D135" s="841" t="s">
        <v>238</v>
      </c>
      <c r="E135" s="842">
        <f>'22'!F135</f>
        <v>41637</v>
      </c>
      <c r="F135" s="993">
        <v>41661.39</v>
      </c>
      <c r="G135" s="843">
        <f t="shared" si="16"/>
        <v>24.389999999999418</v>
      </c>
      <c r="H135" s="844">
        <v>24</v>
      </c>
      <c r="I135" s="863"/>
      <c r="J135" s="846">
        <f>H135/DAY(B2)</f>
        <v>1.0434782608695652</v>
      </c>
      <c r="O135" s="848"/>
    </row>
    <row r="136" spans="1:15">
      <c r="A136" s="870" t="s">
        <v>243</v>
      </c>
      <c r="B136" s="871"/>
      <c r="C136" s="871"/>
      <c r="D136" s="841" t="s">
        <v>238</v>
      </c>
      <c r="E136" s="842">
        <f>'22'!F136</f>
        <v>32582.93</v>
      </c>
      <c r="F136" s="993">
        <v>32582.93</v>
      </c>
      <c r="G136" s="843">
        <f t="shared" si="16"/>
        <v>0</v>
      </c>
      <c r="H136" s="844">
        <v>13</v>
      </c>
      <c r="I136" s="863"/>
      <c r="J136" s="846">
        <f>H136/DAY(B2)</f>
        <v>0.56521739130434778</v>
      </c>
      <c r="O136" s="848"/>
    </row>
    <row r="137" spans="1:15">
      <c r="A137" s="870" t="s">
        <v>244</v>
      </c>
      <c r="B137" s="871"/>
      <c r="C137" s="871"/>
      <c r="D137" s="841" t="s">
        <v>238</v>
      </c>
      <c r="E137" s="842">
        <f>'22'!F137</f>
        <v>22783.45</v>
      </c>
      <c r="F137" s="993">
        <v>22783.45</v>
      </c>
      <c r="G137" s="843">
        <f t="shared" si="16"/>
        <v>0</v>
      </c>
      <c r="H137" s="844">
        <f>G137+'22'!H137</f>
        <v>43.860000000000582</v>
      </c>
      <c r="I137" s="863">
        <f>G135+G136+G137</f>
        <v>24.389999999999418</v>
      </c>
      <c r="J137" s="846">
        <f>H137/DAY(B2)</f>
        <v>1.9069565217391558</v>
      </c>
      <c r="O137" s="848"/>
    </row>
    <row r="138" spans="1:15">
      <c r="A138" s="870" t="s">
        <v>245</v>
      </c>
      <c r="B138" s="871"/>
      <c r="C138" s="871"/>
      <c r="D138" s="841" t="s">
        <v>238</v>
      </c>
      <c r="E138" s="842">
        <f>'22'!F138</f>
        <v>25051.72</v>
      </c>
      <c r="F138" s="993">
        <v>25051.72</v>
      </c>
      <c r="G138" s="843">
        <f t="shared" si="16"/>
        <v>0</v>
      </c>
      <c r="H138" s="844">
        <v>8</v>
      </c>
      <c r="I138" s="863"/>
      <c r="J138" s="846">
        <f>H138/DAY(B2)</f>
        <v>0.34782608695652173</v>
      </c>
      <c r="O138" s="848"/>
    </row>
    <row r="139" spans="1:15">
      <c r="A139" s="870" t="s">
        <v>246</v>
      </c>
      <c r="B139" s="871"/>
      <c r="C139" s="871"/>
      <c r="D139" s="841" t="s">
        <v>238</v>
      </c>
      <c r="E139" s="842">
        <f>'22'!F139</f>
        <v>70376.649999999994</v>
      </c>
      <c r="F139" s="993">
        <v>70379.100000000006</v>
      </c>
      <c r="G139" s="843">
        <f t="shared" si="16"/>
        <v>2.4500000000116415</v>
      </c>
      <c r="H139" s="844">
        <v>15</v>
      </c>
      <c r="I139" s="863">
        <f>G138+G139</f>
        <v>2.4500000000116415</v>
      </c>
      <c r="J139" s="846">
        <f>H139/DAY(B2)</f>
        <v>0.65217391304347827</v>
      </c>
      <c r="O139" s="848"/>
    </row>
    <row r="140" spans="1:15">
      <c r="A140" s="870" t="s">
        <v>247</v>
      </c>
      <c r="B140" s="871"/>
      <c r="C140" s="871"/>
      <c r="D140" s="841" t="s">
        <v>238</v>
      </c>
      <c r="E140" s="842">
        <f>'22'!F140</f>
        <v>1785.14</v>
      </c>
      <c r="F140" s="872">
        <v>1793.19</v>
      </c>
      <c r="G140" s="843">
        <f t="shared" si="16"/>
        <v>8.0499999999999545</v>
      </c>
      <c r="H140" s="844">
        <f>G140+'22'!H140</f>
        <v>176.33000000000015</v>
      </c>
      <c r="I140" s="994"/>
      <c r="J140" s="846">
        <f>H140/DAY(B2)</f>
        <v>7.6665217391304417</v>
      </c>
      <c r="O140" s="848"/>
    </row>
    <row r="141" spans="1:15">
      <c r="A141" s="870" t="s">
        <v>248</v>
      </c>
      <c r="B141" s="871"/>
      <c r="C141" s="871"/>
      <c r="D141" s="841" t="s">
        <v>238</v>
      </c>
      <c r="E141" s="842">
        <f>'22'!F141</f>
        <v>4636.88</v>
      </c>
      <c r="F141" s="872">
        <v>4636.88</v>
      </c>
      <c r="G141" s="843">
        <f t="shared" si="16"/>
        <v>0</v>
      </c>
      <c r="H141" s="844">
        <f>G141+'22'!H141</f>
        <v>-0.11999999999989086</v>
      </c>
      <c r="I141" s="994"/>
      <c r="J141" s="846">
        <f>H141/DAY(B2)</f>
        <v>-5.2173913043430812E-3</v>
      </c>
      <c r="O141" s="848"/>
    </row>
    <row r="142" spans="1:15">
      <c r="A142" s="1631" t="s">
        <v>249</v>
      </c>
      <c r="B142" s="1632"/>
      <c r="C142" s="836"/>
      <c r="D142" s="836"/>
      <c r="E142" s="836"/>
      <c r="F142" s="836"/>
      <c r="G142" s="868"/>
      <c r="H142" s="868"/>
      <c r="I142" s="868"/>
      <c r="J142" s="987"/>
      <c r="K142" s="942"/>
      <c r="L142" s="821"/>
      <c r="O142" s="848"/>
    </row>
    <row r="143" spans="1:15">
      <c r="A143" s="1633" t="s">
        <v>250</v>
      </c>
      <c r="B143" s="1634"/>
      <c r="C143" s="1635"/>
      <c r="D143" s="841" t="s">
        <v>131</v>
      </c>
      <c r="E143" s="841"/>
      <c r="F143" s="841"/>
      <c r="G143" s="844">
        <f>G35+G43+G49+G57</f>
        <v>4345.0300000000279</v>
      </c>
      <c r="H143" s="844">
        <f>G143+'22'!H143</f>
        <v>94435.030000000028</v>
      </c>
      <c r="I143" s="863"/>
      <c r="J143" s="846">
        <f>H143/DAY(B2)</f>
        <v>4105.8708695652185</v>
      </c>
      <c r="K143" s="942"/>
      <c r="L143" s="821"/>
      <c r="O143" s="848"/>
    </row>
    <row r="144" spans="1:15">
      <c r="A144" s="1633" t="s">
        <v>251</v>
      </c>
      <c r="B144" s="1634"/>
      <c r="C144" s="1635"/>
      <c r="D144" s="841" t="s">
        <v>24</v>
      </c>
      <c r="E144" s="828"/>
      <c r="F144" s="828"/>
      <c r="G144" s="995">
        <f>G143/G7</f>
        <v>0.25699515882427926</v>
      </c>
      <c r="H144" s="844">
        <f>G144+'22'!H144</f>
        <v>6.0198522187484551</v>
      </c>
      <c r="I144" s="996"/>
      <c r="J144" s="846">
        <f>H144/DAY(B2)</f>
        <v>0.26173270516297631</v>
      </c>
      <c r="K144" s="942"/>
      <c r="L144" s="821"/>
      <c r="O144" s="848"/>
    </row>
    <row r="145" spans="1:15">
      <c r="A145" s="1633" t="s">
        <v>252</v>
      </c>
      <c r="B145" s="1634"/>
      <c r="C145" s="1635"/>
      <c r="D145" s="841" t="s">
        <v>131</v>
      </c>
      <c r="E145" s="842"/>
      <c r="F145" s="842"/>
      <c r="G145" s="844">
        <f>G41+G42+G55+G56</f>
        <v>5435.8999999999505</v>
      </c>
      <c r="H145" s="844">
        <f>G145+'22'!H145</f>
        <v>113217.42999999998</v>
      </c>
      <c r="I145" s="863"/>
      <c r="J145" s="846">
        <f>H145/DAY(B2)</f>
        <v>4922.496956521738</v>
      </c>
      <c r="K145" s="942"/>
      <c r="L145" s="821"/>
      <c r="O145" s="848"/>
    </row>
    <row r="146" spans="1:15">
      <c r="A146" s="1633" t="s">
        <v>253</v>
      </c>
      <c r="B146" s="1634"/>
      <c r="C146" s="1635"/>
      <c r="D146" s="841" t="s">
        <v>24</v>
      </c>
      <c r="E146" s="842"/>
      <c r="F146" s="842"/>
      <c r="G146" s="995">
        <f>G145/G7</f>
        <v>0.32151676371690829</v>
      </c>
      <c r="H146" s="844">
        <f>G146+'22'!H146</f>
        <v>7.2161694579934972</v>
      </c>
      <c r="I146" s="996"/>
      <c r="J146" s="846">
        <f>H146/DAY(B2)</f>
        <v>0.31374649817363032</v>
      </c>
      <c r="K146" s="942"/>
      <c r="L146" s="821"/>
      <c r="O146" s="848"/>
    </row>
    <row r="147" spans="1:15">
      <c r="A147" s="1633" t="s">
        <v>254</v>
      </c>
      <c r="B147" s="1634"/>
      <c r="C147" s="1635"/>
      <c r="D147" s="841" t="s">
        <v>131</v>
      </c>
      <c r="E147" s="842"/>
      <c r="F147" s="842"/>
      <c r="G147" s="844">
        <f>G39+G53</f>
        <v>2942.6599999999744</v>
      </c>
      <c r="H147" s="844">
        <f>G147+'22'!H147</f>
        <v>55735.659999999974</v>
      </c>
      <c r="I147" s="997"/>
      <c r="J147" s="846">
        <f>H147/DAY(B2)</f>
        <v>2423.2895652173902</v>
      </c>
      <c r="K147" s="942"/>
      <c r="L147" s="821"/>
      <c r="O147" s="848"/>
    </row>
    <row r="148" spans="1:15">
      <c r="A148" s="1633" t="s">
        <v>255</v>
      </c>
      <c r="B148" s="1634"/>
      <c r="C148" s="1635"/>
      <c r="D148" s="841" t="s">
        <v>24</v>
      </c>
      <c r="E148" s="842"/>
      <c r="F148" s="842"/>
      <c r="G148" s="995">
        <f>G147/G7</f>
        <v>0.17404928713169809</v>
      </c>
      <c r="H148" s="844">
        <f>G148+'22'!H148</f>
        <v>3.5498042536427925</v>
      </c>
      <c r="I148" s="997"/>
      <c r="J148" s="846">
        <f>H148/DAY(B2)</f>
        <v>0.15433931537577358</v>
      </c>
      <c r="O148" s="848"/>
    </row>
    <row r="149" spans="1:15">
      <c r="A149" s="1633" t="s">
        <v>256</v>
      </c>
      <c r="B149" s="1634"/>
      <c r="C149" s="1635"/>
      <c r="D149" s="841" t="s">
        <v>182</v>
      </c>
      <c r="E149" s="842"/>
      <c r="F149" s="842"/>
      <c r="G149" s="844">
        <f>G38+G52</f>
        <v>1286.429999999993</v>
      </c>
      <c r="H149" s="844">
        <f>G149+'22'!H149</f>
        <v>26962.499999999942</v>
      </c>
      <c r="I149" s="863"/>
      <c r="J149" s="846">
        <f>H149/DAY(B2)</f>
        <v>1172.2826086956497</v>
      </c>
      <c r="K149" s="998"/>
      <c r="O149" s="848"/>
    </row>
    <row r="150" spans="1:15">
      <c r="A150" s="1633" t="s">
        <v>257</v>
      </c>
      <c r="B150" s="1634"/>
      <c r="C150" s="1635"/>
      <c r="D150" s="841" t="s">
        <v>24</v>
      </c>
      <c r="E150" s="842"/>
      <c r="F150" s="842"/>
      <c r="G150" s="995">
        <f>G149/G7</f>
        <v>7.6088377333715457E-2</v>
      </c>
      <c r="H150" s="844">
        <f>G150+'22'!H150</f>
        <v>1.7177541447095772</v>
      </c>
      <c r="I150" s="997"/>
      <c r="J150" s="846">
        <f>H150/DAY(B2)</f>
        <v>7.4684962813459876E-2</v>
      </c>
      <c r="O150" s="848"/>
    </row>
    <row r="151" spans="1:15">
      <c r="A151" s="1633" t="s">
        <v>258</v>
      </c>
      <c r="B151" s="1634"/>
      <c r="C151" s="1635"/>
      <c r="D151" s="841" t="s">
        <v>182</v>
      </c>
      <c r="E151" s="842"/>
      <c r="F151" s="842"/>
      <c r="G151" s="844">
        <f>G36+G50</f>
        <v>854.15000000002328</v>
      </c>
      <c r="H151" s="844">
        <f>G151+'22'!H151</f>
        <v>22965.150000000023</v>
      </c>
      <c r="I151" s="997"/>
      <c r="J151" s="846">
        <f>H151/DAY(B2)</f>
        <v>998.48478260869672</v>
      </c>
      <c r="O151" s="848"/>
    </row>
    <row r="152" spans="1:15">
      <c r="A152" s="1633" t="s">
        <v>259</v>
      </c>
      <c r="B152" s="1634"/>
      <c r="C152" s="1635"/>
      <c r="D152" s="841" t="s">
        <v>24</v>
      </c>
      <c r="E152" s="842"/>
      <c r="F152" s="842"/>
      <c r="G152" s="995">
        <f>G151/G7</f>
        <v>5.0520345063155538E-2</v>
      </c>
      <c r="H152" s="844">
        <f>G152+'22'!H152</f>
        <v>1.457781808604153</v>
      </c>
      <c r="I152" s="863"/>
      <c r="J152" s="846">
        <f>H152/DAY(B2)</f>
        <v>6.338181776539796E-2</v>
      </c>
      <c r="O152" s="848"/>
    </row>
    <row r="153" spans="1:15">
      <c r="A153" s="1633" t="s">
        <v>260</v>
      </c>
      <c r="B153" s="1634"/>
      <c r="C153" s="1635"/>
      <c r="D153" s="841" t="s">
        <v>182</v>
      </c>
      <c r="E153" s="842"/>
      <c r="F153" s="842"/>
      <c r="G153" s="844">
        <f>G37+G51</f>
        <v>1310.3799999999901</v>
      </c>
      <c r="H153" s="844">
        <f>G153+'22'!H153</f>
        <v>28640.37999999999</v>
      </c>
      <c r="I153" s="863"/>
      <c r="J153" s="846">
        <f>H153/DAY(B2)</f>
        <v>1245.2339130434777</v>
      </c>
      <c r="O153" s="848"/>
    </row>
    <row r="154" spans="1:15" ht="21" thickBot="1">
      <c r="A154" s="1636" t="s">
        <v>261</v>
      </c>
      <c r="B154" s="1637"/>
      <c r="C154" s="1638"/>
      <c r="D154" s="999" t="s">
        <v>24</v>
      </c>
      <c r="E154" s="1000"/>
      <c r="F154" s="1000"/>
      <c r="G154" s="1001">
        <f>G153/G7</f>
        <v>7.7504946161511976E-2</v>
      </c>
      <c r="H154" s="844">
        <f>G154+'22'!H154</f>
        <v>1.8280680061838326</v>
      </c>
      <c r="I154" s="1002"/>
      <c r="J154" s="1003">
        <f>H154/DAY(B2)</f>
        <v>7.9481217660166636E-2</v>
      </c>
      <c r="O154" s="848"/>
    </row>
    <row r="155" spans="1:15">
      <c r="A155" s="1004"/>
      <c r="B155" s="1004"/>
      <c r="C155" s="1004"/>
      <c r="D155" s="1004"/>
      <c r="E155" s="1004"/>
      <c r="F155" s="1004"/>
      <c r="G155" s="1004"/>
      <c r="H155" s="1005"/>
      <c r="I155" s="1004"/>
      <c r="J155" s="1006"/>
      <c r="O155" s="848"/>
    </row>
    <row r="161" spans="1:10">
      <c r="A161" s="994" t="s">
        <v>262</v>
      </c>
      <c r="B161" s="994"/>
      <c r="C161" s="994"/>
      <c r="D161" s="828" t="s">
        <v>186</v>
      </c>
      <c r="E161" s="842">
        <f>'22'!F161</f>
        <v>37700</v>
      </c>
      <c r="F161" s="1018">
        <v>37780.239999999998</v>
      </c>
      <c r="G161" s="843">
        <f t="shared" ref="G161:G164" si="17">F161-E161</f>
        <v>80.239999999997963</v>
      </c>
    </row>
    <row r="162" spans="1:10" ht="21.75" customHeight="1">
      <c r="A162" s="994" t="s">
        <v>263</v>
      </c>
      <c r="B162" s="994"/>
      <c r="C162" s="994"/>
      <c r="D162" s="828" t="s">
        <v>186</v>
      </c>
      <c r="E162" s="842">
        <f>'22'!F162</f>
        <v>91314</v>
      </c>
      <c r="F162" s="1018">
        <v>91687.55</v>
      </c>
      <c r="G162" s="843">
        <f t="shared" si="17"/>
        <v>373.55000000000291</v>
      </c>
    </row>
    <row r="163" spans="1:10" ht="21.75" customHeight="1">
      <c r="A163" s="994" t="s">
        <v>264</v>
      </c>
      <c r="B163" s="994"/>
      <c r="C163" s="994"/>
      <c r="D163" s="828" t="s">
        <v>186</v>
      </c>
      <c r="E163" s="842">
        <f>'22'!F163</f>
        <v>43101</v>
      </c>
      <c r="F163" s="1018">
        <v>43301.7</v>
      </c>
      <c r="G163" s="843">
        <f t="shared" si="17"/>
        <v>200.69999999999709</v>
      </c>
    </row>
    <row r="164" spans="1:10" ht="21.75" customHeight="1">
      <c r="A164" s="994" t="s">
        <v>265</v>
      </c>
      <c r="B164" s="994"/>
      <c r="C164" s="994"/>
      <c r="D164" s="828" t="s">
        <v>186</v>
      </c>
      <c r="E164" s="842">
        <f>'22'!F164</f>
        <v>6493</v>
      </c>
      <c r="F164" s="1018">
        <v>6501.17</v>
      </c>
      <c r="G164" s="843">
        <f t="shared" si="17"/>
        <v>8.1700000000000728</v>
      </c>
    </row>
    <row r="165" spans="1:10" ht="21.75" customHeight="1">
      <c r="A165" s="924" t="s">
        <v>98</v>
      </c>
      <c r="B165" s="924"/>
      <c r="C165" s="924"/>
      <c r="D165" s="828" t="s">
        <v>186</v>
      </c>
      <c r="E165" s="925">
        <f>E62</f>
        <v>20419.2</v>
      </c>
      <c r="F165" s="925">
        <f>F62</f>
        <v>20419</v>
      </c>
      <c r="G165" s="843">
        <f t="shared" ref="G165:G172" si="18">F165-E165</f>
        <v>-0.2000000000007276</v>
      </c>
      <c r="J165" s="1076"/>
    </row>
    <row r="166" spans="1:10" ht="21.75" customHeight="1">
      <c r="A166" s="924" t="s">
        <v>187</v>
      </c>
      <c r="B166" s="924"/>
      <c r="C166" s="924"/>
      <c r="D166" s="828" t="s">
        <v>186</v>
      </c>
      <c r="E166" s="925">
        <f t="shared" ref="E166:E172" si="19">E63</f>
        <v>2442</v>
      </c>
      <c r="F166" s="925">
        <f t="shared" ref="F166:F172" si="20">F63</f>
        <v>2445.87</v>
      </c>
      <c r="G166" s="843">
        <f t="shared" si="18"/>
        <v>3.8699999999998909</v>
      </c>
    </row>
    <row r="167" spans="1:10" ht="21.75" customHeight="1">
      <c r="A167" s="1609" t="s">
        <v>99</v>
      </c>
      <c r="B167" s="1609"/>
      <c r="C167" s="1609"/>
      <c r="D167" s="841" t="s">
        <v>186</v>
      </c>
      <c r="E167" s="925">
        <f t="shared" si="19"/>
        <v>158181</v>
      </c>
      <c r="F167" s="925">
        <f t="shared" si="20"/>
        <v>158385.74</v>
      </c>
      <c r="G167" s="843">
        <f t="shared" si="18"/>
        <v>204.73999999999069</v>
      </c>
    </row>
    <row r="168" spans="1:10" ht="21.75" customHeight="1">
      <c r="A168" s="1609" t="s">
        <v>100</v>
      </c>
      <c r="B168" s="1609"/>
      <c r="C168" s="1609"/>
      <c r="D168" s="841" t="s">
        <v>186</v>
      </c>
      <c r="E168" s="925">
        <f t="shared" si="19"/>
        <v>159043</v>
      </c>
      <c r="F168" s="925">
        <f t="shared" si="20"/>
        <v>159251.1</v>
      </c>
      <c r="G168" s="843">
        <f t="shared" si="18"/>
        <v>208.10000000000582</v>
      </c>
    </row>
    <row r="169" spans="1:10" ht="21.75" customHeight="1">
      <c r="A169" s="1609" t="s">
        <v>101</v>
      </c>
      <c r="B169" s="1609"/>
      <c r="C169" s="1609"/>
      <c r="D169" s="841" t="s">
        <v>186</v>
      </c>
      <c r="E169" s="925">
        <f t="shared" si="19"/>
        <v>54311</v>
      </c>
      <c r="F169" s="925">
        <f t="shared" si="20"/>
        <v>54623.42</v>
      </c>
      <c r="G169" s="843">
        <f t="shared" si="18"/>
        <v>312.41999999999825</v>
      </c>
    </row>
    <row r="170" spans="1:10">
      <c r="A170" s="1609" t="s">
        <v>102</v>
      </c>
      <c r="B170" s="1609"/>
      <c r="C170" s="1609"/>
      <c r="D170" s="841" t="s">
        <v>186</v>
      </c>
      <c r="E170" s="925">
        <f t="shared" si="19"/>
        <v>248213</v>
      </c>
      <c r="F170" s="925">
        <f t="shared" si="20"/>
        <v>248708.17</v>
      </c>
      <c r="G170" s="843">
        <f t="shared" si="18"/>
        <v>495.17000000001281</v>
      </c>
    </row>
    <row r="171" spans="1:10" ht="24" customHeight="1">
      <c r="A171" s="1609" t="s">
        <v>103</v>
      </c>
      <c r="B171" s="1609"/>
      <c r="C171" s="1609"/>
      <c r="D171" s="841" t="s">
        <v>186</v>
      </c>
      <c r="E171" s="925">
        <f t="shared" si="19"/>
        <v>85321</v>
      </c>
      <c r="F171" s="925">
        <f t="shared" si="20"/>
        <v>85321</v>
      </c>
      <c r="G171" s="843">
        <f t="shared" si="18"/>
        <v>0</v>
      </c>
      <c r="J171" s="1077"/>
    </row>
    <row r="172" spans="1:10">
      <c r="A172" s="1609" t="s">
        <v>104</v>
      </c>
      <c r="B172" s="1609"/>
      <c r="C172" s="1609"/>
      <c r="D172" s="841" t="s">
        <v>186</v>
      </c>
      <c r="E172" s="925">
        <f t="shared" si="19"/>
        <v>80703</v>
      </c>
      <c r="F172" s="925">
        <f t="shared" si="20"/>
        <v>80895.100000000006</v>
      </c>
      <c r="G172" s="843">
        <f t="shared" si="18"/>
        <v>192.10000000000582</v>
      </c>
    </row>
    <row r="173" spans="1:10">
      <c r="G173" s="1009">
        <f>SUM(G161:G172)</f>
        <v>2078.8600000000106</v>
      </c>
    </row>
    <row r="174" spans="1:10">
      <c r="J174" s="1078"/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68" zoomScaleNormal="44" zoomScaleSheetLayoutView="68" workbookViewId="0">
      <selection activeCell="H8" sqref="H8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2.44140625" style="1007" customWidth="1"/>
    <col min="4" max="4" width="13.6640625" style="1007" customWidth="1"/>
    <col min="5" max="5" width="28.109375" style="1007" customWidth="1"/>
    <col min="6" max="6" width="23.77734375" style="1007" customWidth="1"/>
    <col min="7" max="7" width="17.88671875" style="1007" customWidth="1"/>
    <col min="8" max="8" width="39.21875" style="1008" customWidth="1"/>
    <col min="9" max="9" width="15.77734375" style="1007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6.77734375" style="808" bestFit="1" customWidth="1"/>
    <col min="16" max="16384" width="22.33203125" style="808"/>
  </cols>
  <sheetData>
    <row r="1" spans="1:15" ht="22.5">
      <c r="A1" s="1660" t="s">
        <v>116</v>
      </c>
      <c r="B1" s="1661"/>
      <c r="C1" s="1661"/>
      <c r="D1" s="1661"/>
      <c r="E1" s="1661"/>
      <c r="F1" s="1661"/>
      <c r="G1" s="1661"/>
      <c r="H1" s="1661"/>
      <c r="I1" s="1661"/>
      <c r="J1" s="1662"/>
    </row>
    <row r="2" spans="1:15">
      <c r="A2" s="809" t="s">
        <v>347</v>
      </c>
      <c r="B2" s="1080">
        <v>43975</v>
      </c>
      <c r="C2" s="810" t="s">
        <v>69</v>
      </c>
      <c r="D2" s="811">
        <v>0.63</v>
      </c>
      <c r="E2" s="812"/>
      <c r="F2" s="812"/>
      <c r="G2" s="812" t="s">
        <v>117</v>
      </c>
      <c r="H2" s="812" t="s">
        <v>6</v>
      </c>
      <c r="I2" s="812" t="s">
        <v>8</v>
      </c>
      <c r="J2" s="813" t="s">
        <v>118</v>
      </c>
    </row>
    <row r="3" spans="1:15">
      <c r="A3" s="814"/>
      <c r="B3" s="815"/>
      <c r="C3" s="810" t="s">
        <v>119</v>
      </c>
      <c r="D3" s="816">
        <v>28</v>
      </c>
      <c r="E3" s="1663" t="s">
        <v>120</v>
      </c>
      <c r="F3" s="1664"/>
      <c r="G3" s="817">
        <f>'1'!G3</f>
        <v>0</v>
      </c>
      <c r="H3" s="818">
        <f>'1'!H3</f>
        <v>0</v>
      </c>
      <c r="I3" s="818">
        <f>'1'!I3</f>
        <v>0</v>
      </c>
      <c r="J3" s="819">
        <f>'1'!J3</f>
        <v>0</v>
      </c>
      <c r="K3" s="820"/>
      <c r="L3" s="821"/>
    </row>
    <row r="4" spans="1:15">
      <c r="A4" s="822"/>
      <c r="B4" s="823"/>
      <c r="C4" s="810" t="s">
        <v>121</v>
      </c>
      <c r="D4" s="811">
        <v>0.8</v>
      </c>
      <c r="E4" s="824"/>
      <c r="F4" s="824"/>
      <c r="G4" s="824"/>
      <c r="H4" s="824"/>
      <c r="I4" s="825"/>
      <c r="J4" s="819"/>
      <c r="K4" s="826"/>
      <c r="L4" s="821"/>
    </row>
    <row r="5" spans="1:15">
      <c r="A5" s="827" t="s">
        <v>122</v>
      </c>
      <c r="B5" s="828"/>
      <c r="C5" s="828"/>
      <c r="D5" s="828" t="s">
        <v>123</v>
      </c>
      <c r="E5" s="829" t="s">
        <v>124</v>
      </c>
      <c r="F5" s="829" t="s">
        <v>111</v>
      </c>
      <c r="G5" s="830" t="s">
        <v>125</v>
      </c>
      <c r="H5" s="831" t="s">
        <v>126</v>
      </c>
      <c r="I5" s="832" t="s">
        <v>127</v>
      </c>
      <c r="J5" s="833" t="s">
        <v>128</v>
      </c>
      <c r="K5" s="834"/>
      <c r="L5" s="821"/>
    </row>
    <row r="6" spans="1:15">
      <c r="A6" s="1657" t="s">
        <v>129</v>
      </c>
      <c r="B6" s="1658"/>
      <c r="C6" s="1659"/>
      <c r="D6" s="835"/>
      <c r="E6" s="835"/>
      <c r="F6" s="835"/>
      <c r="G6" s="835"/>
      <c r="H6" s="836"/>
      <c r="I6" s="836"/>
      <c r="J6" s="837"/>
      <c r="K6" s="838"/>
      <c r="L6" s="821"/>
    </row>
    <row r="7" spans="1:15" ht="21" thickBot="1">
      <c r="A7" s="839" t="s">
        <v>130</v>
      </c>
      <c r="B7" s="840"/>
      <c r="C7" s="840"/>
      <c r="D7" s="841" t="s">
        <v>131</v>
      </c>
      <c r="E7" s="842">
        <f>'23'!F7</f>
        <v>206316.05</v>
      </c>
      <c r="F7" s="842">
        <v>222863.67</v>
      </c>
      <c r="G7" s="843">
        <f>F7-E7</f>
        <v>16547.620000000024</v>
      </c>
      <c r="H7" s="844">
        <f>G7+'23'!H7</f>
        <v>377886.67000000004</v>
      </c>
      <c r="I7" s="845">
        <f>'1'!I7</f>
        <v>12000</v>
      </c>
      <c r="J7" s="846">
        <f>H7/DAY(B2)</f>
        <v>15745.277916666668</v>
      </c>
      <c r="K7" s="847"/>
      <c r="L7" s="821"/>
      <c r="O7" s="848"/>
    </row>
    <row r="8" spans="1:15" ht="21" thickBot="1">
      <c r="A8" s="849" t="s">
        <v>132</v>
      </c>
      <c r="B8" s="850"/>
      <c r="C8" s="851"/>
      <c r="D8" s="852" t="s">
        <v>25</v>
      </c>
      <c r="E8" s="842">
        <f>'23'!F8</f>
        <v>207806.75</v>
      </c>
      <c r="F8" s="853">
        <v>224411.63</v>
      </c>
      <c r="G8" s="854">
        <f>F8-E8</f>
        <v>16604.880000000005</v>
      </c>
      <c r="H8" s="844">
        <f>G8+'23'!H8</f>
        <v>380170.63</v>
      </c>
      <c r="I8" s="855">
        <f>'1'!I8</f>
        <v>12000</v>
      </c>
      <c r="J8" s="846">
        <f>H8/DAY(B2)</f>
        <v>15840.442916666667</v>
      </c>
      <c r="K8" s="847"/>
      <c r="L8" s="856"/>
      <c r="M8" s="857"/>
      <c r="O8" s="848"/>
    </row>
    <row r="9" spans="1:15">
      <c r="A9" s="858" t="s">
        <v>133</v>
      </c>
      <c r="B9" s="859"/>
      <c r="C9" s="859"/>
      <c r="D9" s="841" t="s">
        <v>131</v>
      </c>
      <c r="E9" s="842">
        <f>'23'!F9</f>
        <v>1340135.3999999999</v>
      </c>
      <c r="F9" s="860">
        <v>1356145.2</v>
      </c>
      <c r="G9" s="843">
        <f t="shared" ref="G9:G12" si="0">F9-E9</f>
        <v>16009.800000000047</v>
      </c>
      <c r="H9" s="844">
        <f>G9+'23'!H9</f>
        <v>365431.19999999995</v>
      </c>
      <c r="I9" s="861">
        <f>I8-J8</f>
        <v>-3840.4429166666669</v>
      </c>
      <c r="J9" s="846">
        <f>H9/DAY(B2)</f>
        <v>15226.299999999997</v>
      </c>
      <c r="K9" s="862"/>
      <c r="L9" s="821"/>
      <c r="O9" s="848"/>
    </row>
    <row r="10" spans="1:15">
      <c r="A10" s="839" t="s">
        <v>134</v>
      </c>
      <c r="B10" s="840"/>
      <c r="C10" s="840"/>
      <c r="D10" s="841" t="s">
        <v>131</v>
      </c>
      <c r="E10" s="842">
        <f>'23'!F10</f>
        <v>2322.58</v>
      </c>
      <c r="F10" s="860">
        <v>2322.58</v>
      </c>
      <c r="G10" s="843">
        <f t="shared" si="0"/>
        <v>0</v>
      </c>
      <c r="H10" s="844">
        <f>G10+'23'!H10</f>
        <v>0</v>
      </c>
      <c r="I10" s="863"/>
      <c r="J10" s="846">
        <f>H10/DAY(B2)</f>
        <v>0</v>
      </c>
      <c r="K10" s="862"/>
      <c r="L10" s="821"/>
      <c r="M10" s="808" t="s">
        <v>276</v>
      </c>
      <c r="O10" s="848"/>
    </row>
    <row r="11" spans="1:15">
      <c r="A11" s="839" t="s">
        <v>135</v>
      </c>
      <c r="B11" s="840"/>
      <c r="C11" s="840"/>
      <c r="D11" s="841" t="s">
        <v>131</v>
      </c>
      <c r="E11" s="842">
        <f>'5'!E11</f>
        <v>37000</v>
      </c>
      <c r="F11" s="842">
        <v>37000</v>
      </c>
      <c r="G11" s="843">
        <f t="shared" si="0"/>
        <v>0</v>
      </c>
      <c r="H11" s="844">
        <f>G11+'23'!H11</f>
        <v>0</v>
      </c>
      <c r="I11" s="863"/>
      <c r="J11" s="846">
        <f>H11/DAY(B2)</f>
        <v>0</v>
      </c>
      <c r="K11" s="862"/>
      <c r="L11" s="821"/>
      <c r="O11" s="848"/>
    </row>
    <row r="12" spans="1:15">
      <c r="A12" s="839" t="s">
        <v>136</v>
      </c>
      <c r="B12" s="840"/>
      <c r="C12" s="840"/>
      <c r="D12" s="841" t="s">
        <v>131</v>
      </c>
      <c r="E12" s="842">
        <f>'5'!E12</f>
        <v>40010</v>
      </c>
      <c r="F12" s="860">
        <v>40010</v>
      </c>
      <c r="G12" s="843">
        <f t="shared" si="0"/>
        <v>0</v>
      </c>
      <c r="H12" s="844">
        <f>G12+'23'!H12</f>
        <v>0</v>
      </c>
      <c r="I12" s="863"/>
      <c r="J12" s="846">
        <f>H12/DAY(B2)</f>
        <v>0</v>
      </c>
      <c r="K12" s="862"/>
      <c r="L12" s="821"/>
      <c r="O12" s="848"/>
    </row>
    <row r="13" spans="1:15">
      <c r="A13" s="864" t="s">
        <v>137</v>
      </c>
      <c r="B13" s="865"/>
      <c r="C13" s="865"/>
      <c r="D13" s="841"/>
      <c r="E13" s="842"/>
      <c r="F13" s="842"/>
      <c r="G13" s="866">
        <f>G9+G10+G11+G12</f>
        <v>16009.800000000047</v>
      </c>
      <c r="H13" s="844">
        <f>G13+'23'!H13</f>
        <v>350910.19999999995</v>
      </c>
      <c r="I13" s="867">
        <f>G7-G13</f>
        <v>537.81999999997788</v>
      </c>
      <c r="J13" s="846">
        <f>H13/DAY(B2)</f>
        <v>14621.258333333331</v>
      </c>
      <c r="K13" s="862"/>
      <c r="L13" s="821"/>
      <c r="O13" s="848"/>
    </row>
    <row r="14" spans="1:15">
      <c r="A14" s="1651" t="s">
        <v>138</v>
      </c>
      <c r="B14" s="1652"/>
      <c r="C14" s="1653"/>
      <c r="D14" s="836"/>
      <c r="E14" s="836"/>
      <c r="F14" s="836"/>
      <c r="G14" s="868"/>
      <c r="H14" s="836"/>
      <c r="I14" s="836"/>
      <c r="J14" s="837"/>
      <c r="K14" s="869"/>
      <c r="L14" s="821"/>
      <c r="O14" s="848"/>
    </row>
    <row r="15" spans="1:15">
      <c r="A15" s="870" t="s">
        <v>139</v>
      </c>
      <c r="B15" s="871"/>
      <c r="C15" s="871"/>
      <c r="D15" s="841" t="s">
        <v>140</v>
      </c>
      <c r="E15" s="842">
        <f>'23'!F15</f>
        <v>1680448.9350000001</v>
      </c>
      <c r="F15" s="872">
        <v>1680959.63</v>
      </c>
      <c r="G15" s="1019">
        <f>(F15-E15)</f>
        <v>510.69499999983236</v>
      </c>
      <c r="H15" s="844">
        <f>G15+'23'!H15</f>
        <v>10302.629999999888</v>
      </c>
      <c r="I15" s="845">
        <f>'1'!I15</f>
        <v>800</v>
      </c>
      <c r="J15" s="846">
        <f>H15/DAY(B2)</f>
        <v>429.27624999999534</v>
      </c>
      <c r="K15" s="862"/>
      <c r="L15" s="821"/>
      <c r="O15" s="848"/>
    </row>
    <row r="16" spans="1:15">
      <c r="A16" s="873"/>
      <c r="B16" s="874"/>
      <c r="C16" s="874"/>
      <c r="D16" s="875"/>
      <c r="E16" s="876"/>
      <c r="F16" s="876"/>
      <c r="G16" s="843"/>
      <c r="H16" s="877"/>
      <c r="I16" s="878">
        <f>I15-J15</f>
        <v>370.72375000000466</v>
      </c>
      <c r="J16" s="879"/>
      <c r="K16" s="862"/>
      <c r="L16" s="821"/>
      <c r="N16" s="1012"/>
      <c r="O16" s="848"/>
    </row>
    <row r="17" spans="1:15">
      <c r="A17" s="1651" t="s">
        <v>141</v>
      </c>
      <c r="B17" s="1652"/>
      <c r="C17" s="1653"/>
      <c r="D17" s="836"/>
      <c r="E17" s="836"/>
      <c r="F17" s="836"/>
      <c r="G17" s="880"/>
      <c r="H17" s="836">
        <f>G17+'22'!H17</f>
        <v>0</v>
      </c>
      <c r="I17" s="836"/>
      <c r="J17" s="837"/>
      <c r="K17" s="862"/>
      <c r="L17" s="821"/>
      <c r="O17" s="848"/>
    </row>
    <row r="18" spans="1:15">
      <c r="A18" s="1633" t="s">
        <v>142</v>
      </c>
      <c r="B18" s="1634"/>
      <c r="C18" s="1635"/>
      <c r="D18" s="841" t="s">
        <v>143</v>
      </c>
      <c r="E18" s="842">
        <f>'23'!F18</f>
        <v>8</v>
      </c>
      <c r="F18" s="872">
        <v>5</v>
      </c>
      <c r="G18" s="866">
        <f>F18*10</f>
        <v>50</v>
      </c>
      <c r="H18" s="844">
        <f>G18+'23'!H18</f>
        <v>900</v>
      </c>
      <c r="I18" s="845">
        <f>'1'!I18</f>
        <v>65</v>
      </c>
      <c r="J18" s="846">
        <f>H18/DAY(B2)</f>
        <v>37.5</v>
      </c>
      <c r="K18" s="862"/>
      <c r="L18" s="821"/>
      <c r="O18" s="848"/>
    </row>
    <row r="19" spans="1:15">
      <c r="A19" s="1633" t="s">
        <v>71</v>
      </c>
      <c r="B19" s="1634"/>
      <c r="C19" s="1635"/>
      <c r="D19" s="841" t="s">
        <v>143</v>
      </c>
      <c r="E19" s="842">
        <f>'23'!F19</f>
        <v>139142</v>
      </c>
      <c r="F19" s="872">
        <v>139202</v>
      </c>
      <c r="G19" s="843">
        <f t="shared" ref="G19" si="1">F19-E19</f>
        <v>60</v>
      </c>
      <c r="H19" s="844">
        <f>G19+'23'!H19</f>
        <v>1390</v>
      </c>
      <c r="I19" s="881"/>
      <c r="J19" s="846">
        <f>H19/DAY(B2)</f>
        <v>57.916666666666664</v>
      </c>
      <c r="K19" s="862"/>
      <c r="L19" s="821"/>
      <c r="O19" s="848"/>
    </row>
    <row r="20" spans="1:15">
      <c r="A20" s="864" t="s">
        <v>144</v>
      </c>
      <c r="B20" s="865"/>
      <c r="C20" s="865"/>
      <c r="D20" s="882"/>
      <c r="E20" s="882"/>
      <c r="F20" s="882"/>
      <c r="G20" s="843">
        <f>SUM(G18:G19)</f>
        <v>110</v>
      </c>
      <c r="H20" s="844">
        <f>G20+'23'!H20</f>
        <v>2290</v>
      </c>
      <c r="I20" s="884">
        <f>I18-J20</f>
        <v>-30.416666666666671</v>
      </c>
      <c r="J20" s="846">
        <f>H20/DAY(B2)</f>
        <v>95.416666666666671</v>
      </c>
      <c r="K20" s="862"/>
      <c r="L20" s="821"/>
      <c r="O20" s="848"/>
    </row>
    <row r="21" spans="1:15">
      <c r="A21" s="1651" t="s">
        <v>145</v>
      </c>
      <c r="B21" s="1652"/>
      <c r="C21" s="1653"/>
      <c r="D21" s="836"/>
      <c r="E21" s="836"/>
      <c r="F21" s="836"/>
      <c r="G21" s="868"/>
      <c r="H21" s="836"/>
      <c r="I21" s="836"/>
      <c r="J21" s="837"/>
      <c r="K21" s="862"/>
      <c r="L21" s="821"/>
      <c r="O21" s="848"/>
    </row>
    <row r="22" spans="1:15">
      <c r="A22" s="870" t="s">
        <v>146</v>
      </c>
      <c r="B22" s="871"/>
      <c r="C22" s="871"/>
      <c r="D22" s="841" t="s">
        <v>147</v>
      </c>
      <c r="E22" s="872">
        <f>'23'!F22</f>
        <v>2970</v>
      </c>
      <c r="F22" s="872">
        <v>2970</v>
      </c>
      <c r="G22" s="866">
        <f t="shared" ref="G22:G23" si="2">(F22-E22)</f>
        <v>0</v>
      </c>
      <c r="H22" s="844">
        <f>G22+'23'!H22</f>
        <v>0</v>
      </c>
      <c r="I22" s="863"/>
      <c r="J22" s="846">
        <f>H22/DAY(B2)</f>
        <v>0</v>
      </c>
      <c r="K22" s="862"/>
      <c r="L22" s="821"/>
      <c r="O22" s="848"/>
    </row>
    <row r="23" spans="1:15">
      <c r="A23" s="870" t="s">
        <v>148</v>
      </c>
      <c r="B23" s="871"/>
      <c r="C23" s="871"/>
      <c r="D23" s="841" t="s">
        <v>147</v>
      </c>
      <c r="E23" s="872">
        <f>'23'!F23</f>
        <v>2000</v>
      </c>
      <c r="F23" s="872">
        <v>2000</v>
      </c>
      <c r="G23" s="866">
        <f t="shared" si="2"/>
        <v>0</v>
      </c>
      <c r="H23" s="844">
        <f>G23+'23'!H23</f>
        <v>0</v>
      </c>
      <c r="I23" s="863"/>
      <c r="J23" s="846">
        <f>H23/DAY(B2)</f>
        <v>0</v>
      </c>
      <c r="K23" s="862"/>
      <c r="L23" s="821"/>
      <c r="O23" s="848"/>
    </row>
    <row r="24" spans="1:15">
      <c r="A24" s="885" t="s">
        <v>149</v>
      </c>
      <c r="B24" s="886"/>
      <c r="C24" s="886"/>
      <c r="D24" s="828" t="s">
        <v>147</v>
      </c>
      <c r="E24" s="872">
        <f>'23'!F24</f>
        <v>4970</v>
      </c>
      <c r="F24" s="887">
        <v>4970</v>
      </c>
      <c r="G24" s="866">
        <f>SUM(G22:G23)</f>
        <v>0</v>
      </c>
      <c r="H24" s="844">
        <f>G24+'23'!H24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>
      <c r="A25" s="1657" t="s">
        <v>150</v>
      </c>
      <c r="B25" s="1658"/>
      <c r="C25" s="1659"/>
      <c r="D25" s="835"/>
      <c r="E25" s="835"/>
      <c r="F25" s="835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>
      <c r="A26" s="894" t="s">
        <v>151</v>
      </c>
      <c r="B26" s="895"/>
      <c r="C26" s="896"/>
      <c r="D26" s="897" t="s">
        <v>152</v>
      </c>
      <c r="E26" s="898"/>
      <c r="F26" s="898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22.5">
      <c r="A27" s="894" t="s">
        <v>6</v>
      </c>
      <c r="B27" s="895"/>
      <c r="C27" s="896"/>
      <c r="D27" s="901" t="s">
        <v>25</v>
      </c>
      <c r="E27" s="902">
        <f>G8</f>
        <v>16604.880000000005</v>
      </c>
      <c r="F27" s="501">
        <v>9</v>
      </c>
      <c r="G27" s="904">
        <f>E27*F27</f>
        <v>149443.92000000004</v>
      </c>
      <c r="H27" s="844">
        <f>G27+'23'!H27</f>
        <v>3421535.67</v>
      </c>
      <c r="I27" s="905"/>
      <c r="J27" s="846">
        <f>H27/DAY(B2)</f>
        <v>142563.98624999999</v>
      </c>
      <c r="K27" s="862"/>
      <c r="L27" s="892"/>
      <c r="N27" s="1011"/>
      <c r="O27" s="848"/>
    </row>
    <row r="28" spans="1:15" s="893" customFormat="1" ht="22.5">
      <c r="A28" s="894" t="s">
        <v>153</v>
      </c>
      <c r="B28" s="895"/>
      <c r="C28" s="896"/>
      <c r="D28" s="901" t="s">
        <v>154</v>
      </c>
      <c r="E28" s="902">
        <f>G15</f>
        <v>510.69499999983236</v>
      </c>
      <c r="F28" s="501">
        <v>51.45</v>
      </c>
      <c r="G28" s="904">
        <f t="shared" ref="G28:G31" si="3">E28*F28</f>
        <v>26275.257749991375</v>
      </c>
      <c r="H28" s="844">
        <f>G28+'23'!H28</f>
        <v>519587.79249999404</v>
      </c>
      <c r="I28" s="906"/>
      <c r="J28" s="846">
        <f>H28/DAY(B2)</f>
        <v>21649.491354166417</v>
      </c>
      <c r="K28" s="862"/>
      <c r="L28" s="892"/>
      <c r="N28" s="1011"/>
      <c r="O28" s="848"/>
    </row>
    <row r="29" spans="1:15" s="893" customFormat="1">
      <c r="A29" s="894" t="s">
        <v>155</v>
      </c>
      <c r="B29" s="895"/>
      <c r="C29" s="896"/>
      <c r="D29" s="901" t="s">
        <v>156</v>
      </c>
      <c r="E29" s="902">
        <f>G24</f>
        <v>0</v>
      </c>
      <c r="F29" s="903">
        <v>69</v>
      </c>
      <c r="G29" s="904">
        <f t="shared" si="3"/>
        <v>0</v>
      </c>
      <c r="H29" s="844">
        <f>G29+'23'!H29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>
      <c r="A30" s="894" t="s">
        <v>157</v>
      </c>
      <c r="B30" s="895"/>
      <c r="C30" s="896"/>
      <c r="D30" s="901" t="s">
        <v>158</v>
      </c>
      <c r="E30" s="902">
        <f>G19</f>
        <v>60</v>
      </c>
      <c r="F30" s="903">
        <v>134</v>
      </c>
      <c r="G30" s="904">
        <f t="shared" si="3"/>
        <v>8040</v>
      </c>
      <c r="H30" s="844">
        <f>G30+'23'!H30</f>
        <v>186260</v>
      </c>
      <c r="I30" s="906"/>
      <c r="J30" s="846">
        <f>H30/DAY(B2)</f>
        <v>7760.833333333333</v>
      </c>
      <c r="K30" s="862"/>
      <c r="L30" s="892"/>
      <c r="N30" s="1011"/>
      <c r="O30" s="848"/>
    </row>
    <row r="31" spans="1:15" s="893" customFormat="1">
      <c r="A31" s="894" t="s">
        <v>159</v>
      </c>
      <c r="B31" s="895"/>
      <c r="C31" s="896"/>
      <c r="D31" s="901" t="s">
        <v>143</v>
      </c>
      <c r="E31" s="902">
        <f>G18</f>
        <v>50</v>
      </c>
      <c r="F31" s="903">
        <v>80</v>
      </c>
      <c r="G31" s="904">
        <f t="shared" si="3"/>
        <v>4000</v>
      </c>
      <c r="H31" s="844">
        <f>G31+'23'!H31</f>
        <v>72000</v>
      </c>
      <c r="I31" s="906"/>
      <c r="J31" s="846"/>
      <c r="K31" s="862"/>
      <c r="L31" s="892"/>
      <c r="N31" s="1011"/>
      <c r="O31" s="848"/>
    </row>
    <row r="32" spans="1:15" s="893" customFormat="1">
      <c r="A32" s="907" t="s">
        <v>160</v>
      </c>
      <c r="B32" s="908"/>
      <c r="C32" s="909"/>
      <c r="D32" s="910"/>
      <c r="E32" s="910"/>
      <c r="F32" s="910"/>
      <c r="G32" s="911">
        <f>G27+G28+G29+G30+G31</f>
        <v>187759.17774999142</v>
      </c>
      <c r="H32" s="844">
        <f>G32+'23'!H32</f>
        <v>4199383.4624999948</v>
      </c>
      <c r="I32" s="912"/>
      <c r="J32" s="846">
        <f>H32/DAY(B2)</f>
        <v>174974.31093749977</v>
      </c>
      <c r="K32" s="862"/>
      <c r="L32" s="892"/>
      <c r="N32" s="1011"/>
      <c r="O32" s="848"/>
    </row>
    <row r="33" spans="1:15" ht="18.75">
      <c r="A33" s="1654" t="s">
        <v>161</v>
      </c>
      <c r="B33" s="1655"/>
      <c r="C33" s="1655"/>
      <c r="D33" s="1655"/>
      <c r="E33" s="1655"/>
      <c r="F33" s="1655"/>
      <c r="G33" s="1655"/>
      <c r="H33" s="1655"/>
      <c r="I33" s="1655"/>
      <c r="J33" s="1656"/>
      <c r="K33" s="862"/>
      <c r="L33" s="821"/>
      <c r="O33" s="848"/>
    </row>
    <row r="34" spans="1:15">
      <c r="A34" s="913" t="s">
        <v>162</v>
      </c>
      <c r="B34" s="914"/>
      <c r="C34" s="914"/>
      <c r="D34" s="836"/>
      <c r="E34" s="835"/>
      <c r="F34" s="835"/>
      <c r="G34" s="836"/>
      <c r="H34" s="836"/>
      <c r="I34" s="836"/>
      <c r="J34" s="837"/>
      <c r="K34" s="862"/>
      <c r="L34" s="821"/>
      <c r="O34" s="848"/>
    </row>
    <row r="35" spans="1:15">
      <c r="A35" s="839" t="s">
        <v>163</v>
      </c>
      <c r="B35" s="840"/>
      <c r="C35" s="840"/>
      <c r="D35" s="841" t="s">
        <v>131</v>
      </c>
      <c r="E35" s="842">
        <f>'23'!F35</f>
        <v>931509.43</v>
      </c>
      <c r="F35" s="915">
        <v>933635.91</v>
      </c>
      <c r="G35" s="843">
        <f t="shared" ref="G35:G46" si="4">F35-E35</f>
        <v>2126.4799999999814</v>
      </c>
      <c r="H35" s="844">
        <f>G35+'23'!H35</f>
        <v>47176.910000000033</v>
      </c>
      <c r="I35" s="842"/>
      <c r="J35" s="846">
        <f>H35/DAY(B2)</f>
        <v>1965.7045833333348</v>
      </c>
      <c r="K35" s="862"/>
      <c r="L35" s="821"/>
      <c r="O35" s="848"/>
    </row>
    <row r="36" spans="1:15">
      <c r="A36" s="839" t="s">
        <v>164</v>
      </c>
      <c r="B36" s="840"/>
      <c r="C36" s="840"/>
      <c r="D36" s="841" t="s">
        <v>131</v>
      </c>
      <c r="E36" s="842">
        <f>'23'!F36</f>
        <v>347065</v>
      </c>
      <c r="F36" s="915">
        <v>347065</v>
      </c>
      <c r="G36" s="843">
        <f t="shared" si="4"/>
        <v>0</v>
      </c>
      <c r="H36" s="844">
        <f>G36+'23'!H36</f>
        <v>2457</v>
      </c>
      <c r="I36" s="842"/>
      <c r="J36" s="846">
        <f>H36/DAY(B2)</f>
        <v>102.375</v>
      </c>
      <c r="K36" s="862"/>
      <c r="L36" s="821"/>
      <c r="O36" s="848"/>
    </row>
    <row r="37" spans="1:15">
      <c r="A37" s="839" t="s">
        <v>165</v>
      </c>
      <c r="B37" s="840"/>
      <c r="C37" s="840"/>
      <c r="D37" s="841" t="s">
        <v>131</v>
      </c>
      <c r="E37" s="842">
        <f>'23'!F37</f>
        <v>123865.51</v>
      </c>
      <c r="F37" s="915">
        <v>125152.88</v>
      </c>
      <c r="G37" s="843">
        <f t="shared" si="4"/>
        <v>1287.3700000000099</v>
      </c>
      <c r="H37" s="844">
        <f>G37+'23'!H37</f>
        <v>29927.880000000005</v>
      </c>
      <c r="I37" s="842"/>
      <c r="J37" s="846">
        <f>H37/DAY(B2)</f>
        <v>1246.9950000000001</v>
      </c>
      <c r="K37" s="862"/>
      <c r="L37" s="821"/>
      <c r="O37" s="848"/>
    </row>
    <row r="38" spans="1:15">
      <c r="A38" s="839" t="s">
        <v>166</v>
      </c>
      <c r="B38" s="840"/>
      <c r="C38" s="840"/>
      <c r="D38" s="841" t="s">
        <v>131</v>
      </c>
      <c r="E38" s="842">
        <f>'23'!F38</f>
        <v>146558.43</v>
      </c>
      <c r="F38" s="831">
        <v>147796.71</v>
      </c>
      <c r="G38" s="843">
        <f t="shared" si="4"/>
        <v>1238.2799999999988</v>
      </c>
      <c r="H38" s="844">
        <f>G38+'23'!H38</f>
        <v>28200.709999999992</v>
      </c>
      <c r="I38" s="842"/>
      <c r="J38" s="846">
        <f>H38/DAY(B2)</f>
        <v>1175.029583333333</v>
      </c>
      <c r="K38" s="862"/>
      <c r="L38" s="821"/>
      <c r="O38" s="848"/>
    </row>
    <row r="39" spans="1:15">
      <c r="A39" s="839" t="s">
        <v>167</v>
      </c>
      <c r="B39" s="840"/>
      <c r="C39" s="840"/>
      <c r="D39" s="841" t="s">
        <v>131</v>
      </c>
      <c r="E39" s="842">
        <f>'23'!F39</f>
        <v>290488.55</v>
      </c>
      <c r="F39" s="915">
        <v>292734.51</v>
      </c>
      <c r="G39" s="843">
        <f t="shared" si="4"/>
        <v>2245.960000000021</v>
      </c>
      <c r="H39" s="844">
        <f>G39+'23'!H39</f>
        <v>46081.510000000009</v>
      </c>
      <c r="I39" s="842"/>
      <c r="J39" s="846">
        <f>H39/DAY(B2)</f>
        <v>1920.062916666667</v>
      </c>
      <c r="K39" s="862"/>
      <c r="L39" s="821"/>
      <c r="N39" s="1010">
        <f>20*38.64</f>
        <v>772.8</v>
      </c>
      <c r="O39" s="848"/>
    </row>
    <row r="40" spans="1:15">
      <c r="A40" s="916" t="s">
        <v>168</v>
      </c>
      <c r="B40" s="917"/>
      <c r="C40" s="917"/>
      <c r="D40" s="841" t="s">
        <v>131</v>
      </c>
      <c r="E40" s="842">
        <f>'23'!F40</f>
        <v>686.48</v>
      </c>
      <c r="F40" s="915">
        <v>686.48</v>
      </c>
      <c r="G40" s="843">
        <f t="shared" si="4"/>
        <v>0</v>
      </c>
      <c r="H40" s="844">
        <f>G40+'23'!H40</f>
        <v>686.25</v>
      </c>
      <c r="I40" s="842"/>
      <c r="J40" s="846">
        <f>H40/DAY(B2)</f>
        <v>28.59375</v>
      </c>
      <c r="K40" s="869"/>
      <c r="L40" s="821"/>
      <c r="O40" s="848"/>
    </row>
    <row r="41" spans="1:15">
      <c r="A41" s="839" t="s">
        <v>169</v>
      </c>
      <c r="B41" s="840"/>
      <c r="C41" s="840"/>
      <c r="D41" s="841" t="s">
        <v>131</v>
      </c>
      <c r="E41" s="842">
        <f>'23'!F41</f>
        <v>240478.13</v>
      </c>
      <c r="F41" s="915">
        <v>240478.13</v>
      </c>
      <c r="G41" s="843">
        <f t="shared" si="4"/>
        <v>0</v>
      </c>
      <c r="H41" s="844">
        <f>G41+'23'!H41</f>
        <v>58950.130000000005</v>
      </c>
      <c r="I41" s="842"/>
      <c r="J41" s="846">
        <f>H41/DAY(B2)</f>
        <v>2456.2554166666669</v>
      </c>
      <c r="K41" s="862"/>
      <c r="L41" s="821"/>
      <c r="O41" s="848"/>
    </row>
    <row r="42" spans="1:15">
      <c r="A42" s="839" t="s">
        <v>170</v>
      </c>
      <c r="B42" s="840"/>
      <c r="C42" s="840"/>
      <c r="D42" s="841" t="s">
        <v>131</v>
      </c>
      <c r="E42" s="842">
        <f>'23'!F42</f>
        <v>59198.97</v>
      </c>
      <c r="F42" s="915">
        <v>59198.97</v>
      </c>
      <c r="G42" s="843">
        <f t="shared" si="4"/>
        <v>0</v>
      </c>
      <c r="H42" s="844">
        <f>G42+'23'!H42</f>
        <v>-1.0299999999988358</v>
      </c>
      <c r="I42" s="842"/>
      <c r="J42" s="846">
        <f>H42/DAY(B2)</f>
        <v>-4.2916666666618163E-2</v>
      </c>
      <c r="K42" s="862"/>
      <c r="L42" s="821"/>
      <c r="O42" s="848"/>
    </row>
    <row r="43" spans="1:15">
      <c r="A43" s="839" t="s">
        <v>171</v>
      </c>
      <c r="B43" s="840"/>
      <c r="C43" s="840"/>
      <c r="D43" s="841" t="s">
        <v>131</v>
      </c>
      <c r="E43" s="842">
        <f>'23'!F43</f>
        <v>1023631.6</v>
      </c>
      <c r="F43" s="915">
        <v>1025857.8</v>
      </c>
      <c r="G43" s="843">
        <f t="shared" si="4"/>
        <v>2226.2000000000698</v>
      </c>
      <c r="H43" s="844">
        <f>G43+'23'!H43</f>
        <v>51899.800000000047</v>
      </c>
      <c r="I43" s="842"/>
      <c r="J43" s="846">
        <f>H43/DAY(B2)</f>
        <v>2162.4916666666686</v>
      </c>
      <c r="K43" s="862"/>
      <c r="L43" s="821"/>
      <c r="O43" s="848"/>
    </row>
    <row r="44" spans="1:15">
      <c r="A44" s="839" t="s">
        <v>172</v>
      </c>
      <c r="B44" s="840"/>
      <c r="C44" s="840"/>
      <c r="D44" s="841" t="s">
        <v>131</v>
      </c>
      <c r="E44" s="842">
        <f>'23'!F44</f>
        <v>0</v>
      </c>
      <c r="F44" s="915">
        <v>0</v>
      </c>
      <c r="G44" s="843">
        <f t="shared" si="4"/>
        <v>0</v>
      </c>
      <c r="H44" s="844">
        <f>G44+'23'!H44</f>
        <v>0</v>
      </c>
      <c r="I44" s="842"/>
      <c r="J44" s="846">
        <f>H44/DAY(B2)</f>
        <v>0</v>
      </c>
      <c r="K44" s="862"/>
      <c r="L44" s="821"/>
      <c r="O44" s="848"/>
    </row>
    <row r="45" spans="1:15">
      <c r="A45" s="839" t="s">
        <v>173</v>
      </c>
      <c r="B45" s="840"/>
      <c r="C45" s="840"/>
      <c r="D45" s="841" t="s">
        <v>131</v>
      </c>
      <c r="E45" s="842">
        <f>'23'!F45</f>
        <v>614</v>
      </c>
      <c r="F45" s="915">
        <v>614</v>
      </c>
      <c r="G45" s="843">
        <f t="shared" si="4"/>
        <v>0</v>
      </c>
      <c r="H45" s="844">
        <f>G45+'23'!H45</f>
        <v>614</v>
      </c>
      <c r="I45" s="842"/>
      <c r="J45" s="846">
        <f>H45/DAY(B2)</f>
        <v>25.583333333333332</v>
      </c>
      <c r="K45" s="862"/>
      <c r="L45" s="821"/>
      <c r="O45" s="848"/>
    </row>
    <row r="46" spans="1:15">
      <c r="A46" s="839" t="s">
        <v>174</v>
      </c>
      <c r="B46" s="840"/>
      <c r="C46" s="840"/>
      <c r="D46" s="841" t="s">
        <v>131</v>
      </c>
      <c r="E46" s="842">
        <f>'23'!F46</f>
        <v>187</v>
      </c>
      <c r="F46" s="915">
        <v>187</v>
      </c>
      <c r="G46" s="843">
        <f t="shared" si="4"/>
        <v>0</v>
      </c>
      <c r="H46" s="844">
        <f>G46+'23'!H46</f>
        <v>186.95</v>
      </c>
      <c r="I46" s="842"/>
      <c r="J46" s="846">
        <f>H46/DAY(B2)</f>
        <v>7.7895833333333329</v>
      </c>
      <c r="K46" s="862"/>
      <c r="L46" s="821"/>
      <c r="O46" s="848"/>
    </row>
    <row r="47" spans="1:15">
      <c r="A47" s="864" t="s">
        <v>175</v>
      </c>
      <c r="B47" s="865"/>
      <c r="C47" s="865"/>
      <c r="D47" s="832"/>
      <c r="E47" s="828"/>
      <c r="F47" s="828"/>
      <c r="G47" s="866">
        <f>G35+G36+G37+G38+G39+G40+G41+G42+G43+G44+G45+G46</f>
        <v>9124.2900000000809</v>
      </c>
      <c r="H47" s="844">
        <f>G47+'23'!H47</f>
        <v>266180.60000000009</v>
      </c>
      <c r="I47" s="842"/>
      <c r="J47" s="846">
        <f>H47/DAY(B2)</f>
        <v>11090.858333333337</v>
      </c>
      <c r="K47" s="862"/>
      <c r="L47" s="821"/>
      <c r="N47" s="1012"/>
      <c r="O47" s="848"/>
    </row>
    <row r="48" spans="1:15">
      <c r="A48" s="913" t="s">
        <v>176</v>
      </c>
      <c r="B48" s="914"/>
      <c r="C48" s="914"/>
      <c r="D48" s="836"/>
      <c r="E48" s="835"/>
      <c r="F48" s="835"/>
      <c r="G48" s="836"/>
      <c r="H48" s="836"/>
      <c r="I48" s="836"/>
      <c r="J48" s="837"/>
      <c r="K48" s="862"/>
      <c r="L48" s="821"/>
      <c r="O48" s="848"/>
    </row>
    <row r="49" spans="1:15">
      <c r="A49" s="839" t="s">
        <v>163</v>
      </c>
      <c r="B49" s="918"/>
      <c r="C49" s="918"/>
      <c r="D49" s="841" t="s">
        <v>131</v>
      </c>
      <c r="E49" s="842">
        <f>'23'!F49</f>
        <v>260732.13</v>
      </c>
      <c r="F49" s="915">
        <v>260732.13</v>
      </c>
      <c r="G49" s="843">
        <f t="shared" ref="G49:G58" si="5">F49-E49</f>
        <v>0</v>
      </c>
      <c r="H49" s="844">
        <f>G49+'23'!H49</f>
        <v>0</v>
      </c>
      <c r="I49" s="842"/>
      <c r="J49" s="846">
        <f>H49/DAY(B2)</f>
        <v>0</v>
      </c>
      <c r="K49" s="862"/>
      <c r="L49" s="821"/>
      <c r="O49" s="848"/>
    </row>
    <row r="50" spans="1:15">
      <c r="A50" s="839" t="s">
        <v>177</v>
      </c>
      <c r="B50" s="918"/>
      <c r="C50" s="918"/>
      <c r="D50" s="841" t="s">
        <v>131</v>
      </c>
      <c r="E50" s="842">
        <f>'23'!F50</f>
        <v>495044.15</v>
      </c>
      <c r="F50" s="915">
        <v>495908.59</v>
      </c>
      <c r="G50" s="843">
        <f t="shared" si="5"/>
        <v>864.44000000000233</v>
      </c>
      <c r="H50" s="844">
        <f>G50+'23'!H50</f>
        <v>20433.590000000026</v>
      </c>
      <c r="I50" s="842"/>
      <c r="J50" s="846">
        <f>H50/DAY(B2)</f>
        <v>851.39958333333436</v>
      </c>
      <c r="K50" s="862"/>
      <c r="L50" s="821"/>
      <c r="O50" s="848"/>
    </row>
    <row r="51" spans="1:15">
      <c r="A51" s="839" t="s">
        <v>165</v>
      </c>
      <c r="B51" s="918"/>
      <c r="C51" s="918"/>
      <c r="D51" s="841" t="s">
        <v>131</v>
      </c>
      <c r="E51" s="842">
        <f>'23'!F51</f>
        <v>144639.87</v>
      </c>
      <c r="F51" s="915">
        <v>144639.87</v>
      </c>
      <c r="G51" s="843">
        <f t="shared" si="5"/>
        <v>0</v>
      </c>
      <c r="H51" s="844">
        <f>G51+'23'!H51</f>
        <v>-0.13000000000465661</v>
      </c>
      <c r="I51" s="842"/>
      <c r="J51" s="846">
        <f>H51/DAY(B2)</f>
        <v>-5.4166666668606922E-3</v>
      </c>
      <c r="K51" s="862"/>
      <c r="L51" s="821"/>
      <c r="O51" s="848"/>
    </row>
    <row r="52" spans="1:15">
      <c r="A52" s="839" t="s">
        <v>178</v>
      </c>
      <c r="B52" s="918"/>
      <c r="C52" s="918"/>
      <c r="D52" s="841" t="s">
        <v>131</v>
      </c>
      <c r="E52" s="842">
        <f>'23'!F52</f>
        <v>539606.06999999995</v>
      </c>
      <c r="F52" s="915">
        <v>539606.06999999995</v>
      </c>
      <c r="G52" s="843">
        <f t="shared" si="5"/>
        <v>0</v>
      </c>
      <c r="H52" s="844">
        <f>G52+'23'!H52</f>
        <v>0</v>
      </c>
      <c r="I52" s="842"/>
      <c r="J52" s="846">
        <f>H52/DAY(B2)</f>
        <v>0</v>
      </c>
      <c r="K52" s="862"/>
      <c r="L52" s="821"/>
      <c r="O52" s="848"/>
    </row>
    <row r="53" spans="1:15">
      <c r="A53" s="839" t="s">
        <v>167</v>
      </c>
      <c r="B53" s="918"/>
      <c r="C53" s="918"/>
      <c r="D53" s="841" t="s">
        <v>131</v>
      </c>
      <c r="E53" s="842">
        <f>'23'!F53</f>
        <v>428187.11</v>
      </c>
      <c r="F53" s="915">
        <v>428706.03</v>
      </c>
      <c r="G53" s="843">
        <f t="shared" si="5"/>
        <v>518.92000000004191</v>
      </c>
      <c r="H53" s="844">
        <f>G53+'23'!H53</f>
        <v>11896.030000000028</v>
      </c>
      <c r="I53" s="842"/>
      <c r="J53" s="846">
        <f>H53/DAY(B2)</f>
        <v>495.66791666666785</v>
      </c>
      <c r="K53" s="862"/>
      <c r="L53" s="821"/>
      <c r="O53" s="848"/>
    </row>
    <row r="54" spans="1:15">
      <c r="A54" s="839" t="s">
        <v>179</v>
      </c>
      <c r="B54" s="918"/>
      <c r="C54" s="918"/>
      <c r="D54" s="841" t="s">
        <v>131</v>
      </c>
      <c r="E54" s="842">
        <f>'23'!F54</f>
        <v>13107.96</v>
      </c>
      <c r="F54" s="915">
        <v>13189.91</v>
      </c>
      <c r="G54" s="843">
        <f t="shared" si="5"/>
        <v>81.950000000000728</v>
      </c>
      <c r="H54" s="844">
        <f>G54+'23'!H54</f>
        <v>5427.91</v>
      </c>
      <c r="I54" s="842"/>
      <c r="J54" s="846">
        <f>H54/DAY(B2)</f>
        <v>226.16291666666666</v>
      </c>
      <c r="K54" s="862"/>
      <c r="L54" s="821"/>
      <c r="O54" s="848"/>
    </row>
    <row r="55" spans="1:15">
      <c r="A55" s="839" t="s">
        <v>180</v>
      </c>
      <c r="B55" s="918"/>
      <c r="C55" s="918"/>
      <c r="D55" s="841" t="s">
        <v>131</v>
      </c>
      <c r="E55" s="842">
        <f>'23'!F55</f>
        <v>54032.61</v>
      </c>
      <c r="F55" s="915">
        <v>59204.73</v>
      </c>
      <c r="G55" s="843">
        <f t="shared" si="5"/>
        <v>5172.1200000000026</v>
      </c>
      <c r="H55" s="844">
        <f>G55+'23'!H55</f>
        <v>59204.73</v>
      </c>
      <c r="I55" s="842"/>
      <c r="J55" s="846">
        <f>H55/DAY(B2)</f>
        <v>2466.86375</v>
      </c>
      <c r="K55" s="862"/>
      <c r="L55" s="821"/>
      <c r="O55" s="848"/>
    </row>
    <row r="56" spans="1:15">
      <c r="A56" s="839" t="s">
        <v>181</v>
      </c>
      <c r="B56" s="918"/>
      <c r="C56" s="918"/>
      <c r="D56" s="841" t="s">
        <v>182</v>
      </c>
      <c r="E56" s="842">
        <f>'23'!F56</f>
        <v>589524.18999999994</v>
      </c>
      <c r="F56" s="915">
        <v>589534.11</v>
      </c>
      <c r="G56" s="843">
        <f t="shared" si="5"/>
        <v>9.9200000000419095</v>
      </c>
      <c r="H56" s="844">
        <f>G56+'23'!H56</f>
        <v>245.75</v>
      </c>
      <c r="I56" s="842"/>
      <c r="J56" s="846">
        <f>H56/DAY(B2)</f>
        <v>10.239583333333334</v>
      </c>
      <c r="K56" s="838"/>
      <c r="L56" s="821"/>
      <c r="O56" s="848"/>
    </row>
    <row r="57" spans="1:15">
      <c r="A57" s="839" t="s">
        <v>171</v>
      </c>
      <c r="B57" s="918"/>
      <c r="C57" s="918"/>
      <c r="D57" s="841" t="s">
        <v>131</v>
      </c>
      <c r="E57" s="842">
        <f>'23'!F57</f>
        <v>7711</v>
      </c>
      <c r="F57" s="915">
        <v>7711</v>
      </c>
      <c r="G57" s="843">
        <f t="shared" si="5"/>
        <v>0</v>
      </c>
      <c r="H57" s="844">
        <f>G57+'23'!H57</f>
        <v>0</v>
      </c>
      <c r="I57" s="842"/>
      <c r="J57" s="846">
        <f>H57/DAY(B2)</f>
        <v>0</v>
      </c>
      <c r="K57" s="862"/>
      <c r="L57" s="821"/>
      <c r="O57" s="848"/>
    </row>
    <row r="58" spans="1:15">
      <c r="A58" s="839" t="s">
        <v>183</v>
      </c>
      <c r="B58" s="918"/>
      <c r="C58" s="918"/>
      <c r="D58" s="841" t="s">
        <v>131</v>
      </c>
      <c r="E58" s="842">
        <f>'23'!F58</f>
        <v>48589.15</v>
      </c>
      <c r="F58" s="915">
        <v>48687.37</v>
      </c>
      <c r="G58" s="843">
        <f t="shared" si="5"/>
        <v>98.220000000001164</v>
      </c>
      <c r="H58" s="844">
        <f>G58+'23'!H58</f>
        <v>1970.3700000000026</v>
      </c>
      <c r="I58" s="842"/>
      <c r="J58" s="846">
        <f>H58/DAY(B2)</f>
        <v>82.098750000000109</v>
      </c>
      <c r="K58" s="862"/>
      <c r="L58" s="821"/>
      <c r="O58" s="848"/>
    </row>
    <row r="59" spans="1:15">
      <c r="A59" s="864" t="s">
        <v>175</v>
      </c>
      <c r="B59" s="865"/>
      <c r="C59" s="865"/>
      <c r="D59" s="828"/>
      <c r="E59" s="828"/>
      <c r="F59" s="828"/>
      <c r="G59" s="866">
        <f>G49+G50+G51+G52+G53+G54+G55+G56+G57+G58</f>
        <v>6745.5700000000907</v>
      </c>
      <c r="H59" s="844">
        <f>G59+'23'!H59</f>
        <v>99178.32</v>
      </c>
      <c r="I59" s="842">
        <f>G7-G60</f>
        <v>677.75999999985288</v>
      </c>
      <c r="J59" s="846">
        <f>H59/DAY(B2)</f>
        <v>4132.43</v>
      </c>
      <c r="K59" s="862"/>
      <c r="L59" s="821"/>
      <c r="O59" s="848"/>
    </row>
    <row r="60" spans="1:15">
      <c r="A60" s="839"/>
      <c r="B60" s="840"/>
      <c r="C60" s="840"/>
      <c r="D60" s="828" t="s">
        <v>184</v>
      </c>
      <c r="E60" s="828"/>
      <c r="F60" s="828"/>
      <c r="G60" s="866">
        <f>G47+G59</f>
        <v>15869.860000000172</v>
      </c>
      <c r="H60" s="844">
        <f>G60+'23'!H60</f>
        <v>366942.81000000011</v>
      </c>
      <c r="I60" s="842">
        <f>G13-G60</f>
        <v>139.939999999875</v>
      </c>
      <c r="J60" s="846">
        <f>H60/DAY(B2)</f>
        <v>15289.283750000004</v>
      </c>
      <c r="K60" s="862"/>
      <c r="L60" s="821"/>
      <c r="O60" s="848"/>
    </row>
    <row r="61" spans="1:15">
      <c r="A61" s="919" t="s">
        <v>185</v>
      </c>
      <c r="B61" s="920"/>
      <c r="C61" s="920"/>
      <c r="D61" s="920"/>
      <c r="E61" s="921"/>
      <c r="F61" s="921"/>
      <c r="G61" s="920"/>
      <c r="H61" s="920"/>
      <c r="I61" s="920"/>
      <c r="J61" s="922"/>
      <c r="K61" s="862"/>
      <c r="L61" s="821"/>
      <c r="O61" s="848"/>
    </row>
    <row r="62" spans="1:15">
      <c r="A62" s="923" t="s">
        <v>98</v>
      </c>
      <c r="B62" s="924"/>
      <c r="C62" s="924"/>
      <c r="D62" s="828" t="s">
        <v>186</v>
      </c>
      <c r="E62" s="842">
        <f>'23'!F62</f>
        <v>20419</v>
      </c>
      <c r="F62" s="925">
        <v>20419</v>
      </c>
      <c r="G62" s="843">
        <f t="shared" ref="G62:G69" si="6">F62-E62</f>
        <v>0</v>
      </c>
      <c r="H62" s="844">
        <f>G62+'23'!H62</f>
        <v>0.18199999999706051</v>
      </c>
      <c r="I62" s="926"/>
      <c r="J62" s="846">
        <f>H62/DAY(B2)</f>
        <v>7.583333333210855E-3</v>
      </c>
      <c r="K62" s="862"/>
      <c r="L62" s="821"/>
      <c r="O62" s="848"/>
    </row>
    <row r="63" spans="1:15">
      <c r="A63" s="923" t="s">
        <v>187</v>
      </c>
      <c r="B63" s="924"/>
      <c r="C63" s="924"/>
      <c r="D63" s="828" t="s">
        <v>186</v>
      </c>
      <c r="E63" s="842">
        <f>'23'!F63</f>
        <v>2445.87</v>
      </c>
      <c r="F63" s="925">
        <v>2449.7199999999998</v>
      </c>
      <c r="G63" s="843">
        <f t="shared" si="6"/>
        <v>3.8499999999999091</v>
      </c>
      <c r="H63" s="844">
        <f>G63+'23'!H63</f>
        <v>90.7199999999998</v>
      </c>
      <c r="I63" s="926"/>
      <c r="J63" s="846">
        <f>H63/DAY(B2)</f>
        <v>3.7799999999999918</v>
      </c>
      <c r="K63" s="862"/>
      <c r="L63" s="821"/>
      <c r="O63" s="848"/>
    </row>
    <row r="64" spans="1:15">
      <c r="A64" s="1639" t="s">
        <v>99</v>
      </c>
      <c r="B64" s="1640"/>
      <c r="C64" s="1641"/>
      <c r="D64" s="841" t="s">
        <v>186</v>
      </c>
      <c r="E64" s="842">
        <f>'23'!F64</f>
        <v>158385.74</v>
      </c>
      <c r="F64" s="872">
        <v>158599.99</v>
      </c>
      <c r="G64" s="843">
        <f t="shared" si="6"/>
        <v>214.25</v>
      </c>
      <c r="H64" s="844">
        <f>G64+'23'!H64</f>
        <v>5300.9899999999907</v>
      </c>
      <c r="I64" s="863"/>
      <c r="J64" s="846">
        <f>H64/DAY(B2)</f>
        <v>220.87458333333294</v>
      </c>
      <c r="K64" s="862"/>
      <c r="L64" s="821"/>
      <c r="O64" s="848"/>
    </row>
    <row r="65" spans="1:15">
      <c r="A65" s="1639" t="s">
        <v>100</v>
      </c>
      <c r="B65" s="1640"/>
      <c r="C65" s="1641"/>
      <c r="D65" s="841" t="s">
        <v>186</v>
      </c>
      <c r="E65" s="842">
        <f>'23'!F65</f>
        <v>159251.1</v>
      </c>
      <c r="F65" s="872">
        <v>159470.85</v>
      </c>
      <c r="G65" s="843">
        <f t="shared" si="6"/>
        <v>219.75</v>
      </c>
      <c r="H65" s="844">
        <f>G65+'23'!H65</f>
        <v>4871.8500000000058</v>
      </c>
      <c r="I65" s="881"/>
      <c r="J65" s="846">
        <f>H65/DAY(B2)</f>
        <v>202.99375000000023</v>
      </c>
      <c r="K65" s="862"/>
      <c r="L65" s="821"/>
      <c r="O65" s="848"/>
    </row>
    <row r="66" spans="1:15">
      <c r="A66" s="1639" t="s">
        <v>101</v>
      </c>
      <c r="B66" s="1640"/>
      <c r="C66" s="1641"/>
      <c r="D66" s="841" t="s">
        <v>186</v>
      </c>
      <c r="E66" s="842">
        <f>'23'!F66</f>
        <v>54623.42</v>
      </c>
      <c r="F66" s="872">
        <v>54926.18</v>
      </c>
      <c r="G66" s="843">
        <f t="shared" si="6"/>
        <v>302.76000000000204</v>
      </c>
      <c r="H66" s="844">
        <f>G66+'23'!H66</f>
        <v>6355.18</v>
      </c>
      <c r="I66" s="863"/>
      <c r="J66" s="846">
        <f>H66/DAY(B2)</f>
        <v>264.79916666666668</v>
      </c>
      <c r="K66" s="862"/>
      <c r="L66" s="821"/>
      <c r="O66" s="848"/>
    </row>
    <row r="67" spans="1:15">
      <c r="A67" s="1639" t="s">
        <v>102</v>
      </c>
      <c r="B67" s="1640"/>
      <c r="C67" s="1641"/>
      <c r="D67" s="841" t="s">
        <v>186</v>
      </c>
      <c r="E67" s="842">
        <f>'23'!F67</f>
        <v>248708.17</v>
      </c>
      <c r="F67" s="872">
        <v>249138.4</v>
      </c>
      <c r="G67" s="843">
        <f t="shared" si="6"/>
        <v>430.22999999998137</v>
      </c>
      <c r="H67" s="844">
        <f>G67+'23'!H67</f>
        <v>5964.3999999999942</v>
      </c>
      <c r="I67" s="881"/>
      <c r="J67" s="846">
        <f>H67/DAY(B2)</f>
        <v>248.51666666666642</v>
      </c>
      <c r="K67" s="869"/>
      <c r="L67" s="821"/>
      <c r="O67" s="848"/>
    </row>
    <row r="68" spans="1:15">
      <c r="A68" s="1639" t="s">
        <v>103</v>
      </c>
      <c r="B68" s="1640"/>
      <c r="C68" s="1641"/>
      <c r="D68" s="841" t="s">
        <v>186</v>
      </c>
      <c r="E68" s="842">
        <f>'23'!F68</f>
        <v>85321</v>
      </c>
      <c r="F68" s="872">
        <v>85321</v>
      </c>
      <c r="G68" s="843">
        <f t="shared" si="6"/>
        <v>0</v>
      </c>
      <c r="H68" s="844">
        <f>G68+'23'!H68</f>
        <v>0</v>
      </c>
      <c r="I68" s="927"/>
      <c r="J68" s="846">
        <f>H68/DAY(B2)</f>
        <v>0</v>
      </c>
      <c r="K68" s="928"/>
      <c r="L68" s="821"/>
      <c r="O68" s="848"/>
    </row>
    <row r="69" spans="1:15">
      <c r="A69" s="1639" t="s">
        <v>104</v>
      </c>
      <c r="B69" s="1640"/>
      <c r="C69" s="1641"/>
      <c r="D69" s="841" t="s">
        <v>186</v>
      </c>
      <c r="E69" s="842">
        <f>'23'!F69</f>
        <v>80895.100000000006</v>
      </c>
      <c r="F69" s="872">
        <v>80980.38</v>
      </c>
      <c r="G69" s="843">
        <f t="shared" si="6"/>
        <v>85.279999999998836</v>
      </c>
      <c r="H69" s="844">
        <f>G69+'23'!H69</f>
        <v>1986.3800000000047</v>
      </c>
      <c r="I69" s="927"/>
      <c r="J69" s="846">
        <f>H69/DAY(B2)</f>
        <v>82.765833333333532</v>
      </c>
      <c r="K69" s="929"/>
      <c r="L69" s="821"/>
      <c r="O69" s="848"/>
    </row>
    <row r="70" spans="1:15">
      <c r="A70" s="1648" t="s">
        <v>188</v>
      </c>
      <c r="B70" s="1649"/>
      <c r="C70" s="1650"/>
      <c r="D70" s="841" t="s">
        <v>186</v>
      </c>
      <c r="E70" s="930"/>
      <c r="F70" s="931"/>
      <c r="G70" s="931"/>
      <c r="H70" s="844">
        <f>G70+'23'!H70</f>
        <v>0</v>
      </c>
      <c r="I70" s="931"/>
      <c r="J70" s="932"/>
      <c r="K70" s="929"/>
      <c r="L70" s="821"/>
      <c r="O70" s="848"/>
    </row>
    <row r="71" spans="1:15" ht="22.5">
      <c r="A71" s="1645" t="s">
        <v>189</v>
      </c>
      <c r="B71" s="1646"/>
      <c r="C71" s="1646"/>
      <c r="D71" s="1646"/>
      <c r="E71" s="1646"/>
      <c r="F71" s="1646"/>
      <c r="G71" s="1646"/>
      <c r="H71" s="1646"/>
      <c r="I71" s="1646"/>
      <c r="J71" s="1647"/>
      <c r="K71" s="928"/>
      <c r="L71" s="821"/>
      <c r="O71" s="848"/>
    </row>
    <row r="72" spans="1:15">
      <c r="A72" s="1639" t="s">
        <v>190</v>
      </c>
      <c r="B72" s="1640"/>
      <c r="C72" s="1641"/>
      <c r="D72" s="841" t="s">
        <v>186</v>
      </c>
      <c r="E72" s="842">
        <f>'23'!F72</f>
        <v>855751</v>
      </c>
      <c r="F72" s="933">
        <v>855760</v>
      </c>
      <c r="G72" s="843">
        <f t="shared" ref="G72:G91" si="7">F72-E72</f>
        <v>9</v>
      </c>
      <c r="H72" s="844">
        <f>G72+'23'!H72</f>
        <v>288</v>
      </c>
      <c r="I72" s="863"/>
      <c r="J72" s="846">
        <f>H72/DAY(B2)</f>
        <v>12</v>
      </c>
      <c r="K72" s="929"/>
      <c r="L72" s="821"/>
      <c r="O72" s="848"/>
    </row>
    <row r="73" spans="1:15">
      <c r="A73" s="1639" t="s">
        <v>191</v>
      </c>
      <c r="B73" s="1640"/>
      <c r="C73" s="1641"/>
      <c r="D73" s="841" t="s">
        <v>186</v>
      </c>
      <c r="E73" s="842">
        <f>'23'!F73</f>
        <v>885899</v>
      </c>
      <c r="F73" s="934">
        <v>885901</v>
      </c>
      <c r="G73" s="843">
        <f t="shared" si="7"/>
        <v>2</v>
      </c>
      <c r="H73" s="844">
        <f>G73+'23'!H73</f>
        <v>205</v>
      </c>
      <c r="I73" s="863"/>
      <c r="J73" s="846">
        <f>H73/DAY(B2)</f>
        <v>8.5416666666666661</v>
      </c>
      <c r="K73" s="928"/>
      <c r="L73" s="821"/>
      <c r="O73" s="848"/>
    </row>
    <row r="74" spans="1:15">
      <c r="A74" s="1639" t="s">
        <v>192</v>
      </c>
      <c r="B74" s="1640"/>
      <c r="C74" s="1641"/>
      <c r="D74" s="841" t="s">
        <v>186</v>
      </c>
      <c r="E74" s="842">
        <f>'23'!F74</f>
        <v>2532.65</v>
      </c>
      <c r="F74" s="935">
        <v>2539.6799999999998</v>
      </c>
      <c r="G74" s="843">
        <f t="shared" si="7"/>
        <v>7.0299999999997453</v>
      </c>
      <c r="H74" s="844">
        <f>G74+'23'!H74</f>
        <v>260.67999999999984</v>
      </c>
      <c r="I74" s="863"/>
      <c r="J74" s="846">
        <f>H74/DAY(B2)</f>
        <v>10.861666666666659</v>
      </c>
      <c r="K74" s="929"/>
      <c r="L74" s="821"/>
      <c r="O74" s="848"/>
    </row>
    <row r="75" spans="1:15">
      <c r="A75" s="1642" t="s">
        <v>193</v>
      </c>
      <c r="B75" s="1643"/>
      <c r="C75" s="1644"/>
      <c r="D75" s="841" t="s">
        <v>186</v>
      </c>
      <c r="E75" s="842">
        <f>'23'!F75</f>
        <v>12206.12</v>
      </c>
      <c r="F75" s="935">
        <v>12264.21</v>
      </c>
      <c r="G75" s="843">
        <f t="shared" si="7"/>
        <v>58.089999999998327</v>
      </c>
      <c r="H75" s="844">
        <f>G75+'23'!H75</f>
        <v>1294.2099999999991</v>
      </c>
      <c r="I75" s="863"/>
      <c r="J75" s="846">
        <f>H75/DAY(B2)</f>
        <v>53.925416666666628</v>
      </c>
      <c r="K75" s="928"/>
      <c r="L75" s="821"/>
      <c r="O75" s="848"/>
    </row>
    <row r="76" spans="1:15">
      <c r="A76" s="1642" t="s">
        <v>194</v>
      </c>
      <c r="B76" s="1643"/>
      <c r="C76" s="1644"/>
      <c r="D76" s="841" t="s">
        <v>186</v>
      </c>
      <c r="E76" s="842">
        <f>'23'!F76</f>
        <v>6971.3</v>
      </c>
      <c r="F76" s="934">
        <v>7028.83</v>
      </c>
      <c r="G76" s="843">
        <f t="shared" si="7"/>
        <v>57.529999999999745</v>
      </c>
      <c r="H76" s="844">
        <f>G76+'23'!H76</f>
        <v>1311.8799999999992</v>
      </c>
      <c r="I76" s="906"/>
      <c r="J76" s="846">
        <f>H76/DAY(B2)</f>
        <v>54.661666666666633</v>
      </c>
      <c r="K76" s="928"/>
      <c r="L76" s="821"/>
      <c r="O76" s="848"/>
    </row>
    <row r="77" spans="1:15">
      <c r="A77" s="1639" t="s">
        <v>195</v>
      </c>
      <c r="B77" s="1640"/>
      <c r="C77" s="1641"/>
      <c r="D77" s="841" t="s">
        <v>186</v>
      </c>
      <c r="E77" s="842">
        <f>'23'!F77</f>
        <v>702500</v>
      </c>
      <c r="F77" s="934">
        <v>702542</v>
      </c>
      <c r="G77" s="843">
        <f t="shared" si="7"/>
        <v>42</v>
      </c>
      <c r="H77" s="844">
        <f>G77+'23'!H77</f>
        <v>980</v>
      </c>
      <c r="I77" s="906"/>
      <c r="J77" s="846">
        <f>H77/DAY(B2)</f>
        <v>40.833333333333336</v>
      </c>
      <c r="K77" s="928"/>
      <c r="L77" s="821"/>
      <c r="O77" s="848"/>
    </row>
    <row r="78" spans="1:15">
      <c r="A78" s="936" t="s">
        <v>196</v>
      </c>
      <c r="B78" s="1139"/>
      <c r="C78" s="1139"/>
      <c r="D78" s="841" t="s">
        <v>186</v>
      </c>
      <c r="E78" s="842">
        <f>'23'!F78</f>
        <v>672189</v>
      </c>
      <c r="F78" s="935">
        <v>672281</v>
      </c>
      <c r="G78" s="843">
        <f t="shared" si="7"/>
        <v>92</v>
      </c>
      <c r="H78" s="844">
        <f>G78+'23'!H78</f>
        <v>2256</v>
      </c>
      <c r="I78" s="906"/>
      <c r="J78" s="846">
        <f>H78/DAY(B2)</f>
        <v>94</v>
      </c>
      <c r="K78" s="928"/>
      <c r="L78" s="821"/>
      <c r="O78" s="848"/>
    </row>
    <row r="79" spans="1:15">
      <c r="A79" s="1642" t="s">
        <v>92</v>
      </c>
      <c r="B79" s="1643"/>
      <c r="C79" s="1644"/>
      <c r="D79" s="875" t="s">
        <v>186</v>
      </c>
      <c r="E79" s="842">
        <f>'23'!F79</f>
        <v>829931</v>
      </c>
      <c r="F79" s="935">
        <v>830054</v>
      </c>
      <c r="G79" s="843">
        <f t="shared" si="7"/>
        <v>123</v>
      </c>
      <c r="H79" s="844">
        <f>G79+'23'!H79</f>
        <v>2323</v>
      </c>
      <c r="I79" s="906"/>
      <c r="J79" s="846">
        <f>H79/DAY(B2)</f>
        <v>96.791666666666671</v>
      </c>
      <c r="K79" s="928"/>
      <c r="L79" s="821"/>
      <c r="O79" s="848"/>
    </row>
    <row r="80" spans="1:15">
      <c r="A80" s="1642" t="s">
        <v>197</v>
      </c>
      <c r="B80" s="1643"/>
      <c r="C80" s="1644"/>
      <c r="D80" s="875" t="s">
        <v>186</v>
      </c>
      <c r="E80" s="842">
        <f>'23'!F80</f>
        <v>524746.64</v>
      </c>
      <c r="F80" s="1234">
        <v>525089.04</v>
      </c>
      <c r="G80" s="843">
        <f t="shared" si="7"/>
        <v>342.40000000002328</v>
      </c>
      <c r="H80" s="844">
        <f>G80+'23'!H80</f>
        <v>5628.0400000000373</v>
      </c>
      <c r="I80" s="906"/>
      <c r="J80" s="846">
        <f>H80/DAY(B2)</f>
        <v>234.50166666666823</v>
      </c>
      <c r="K80" s="928"/>
      <c r="L80" s="821"/>
      <c r="O80" s="848"/>
    </row>
    <row r="81" spans="1:15">
      <c r="A81" s="1642" t="s">
        <v>198</v>
      </c>
      <c r="B81" s="1643"/>
      <c r="C81" s="1644"/>
      <c r="D81" s="875" t="s">
        <v>186</v>
      </c>
      <c r="E81" s="842">
        <f>'23'!F81</f>
        <v>638219.56000000006</v>
      </c>
      <c r="F81" s="934">
        <v>638300.04</v>
      </c>
      <c r="G81" s="843">
        <f t="shared" si="7"/>
        <v>80.479999999981374</v>
      </c>
      <c r="H81" s="844">
        <f>G81+'23'!H81</f>
        <v>1822.0400000000373</v>
      </c>
      <c r="I81" s="906"/>
      <c r="J81" s="846">
        <f>H81/DAY(B2)</f>
        <v>75.918333333334886</v>
      </c>
      <c r="K81" s="928"/>
      <c r="L81" s="821"/>
      <c r="O81" s="848"/>
    </row>
    <row r="82" spans="1:15">
      <c r="A82" s="1642" t="s">
        <v>93</v>
      </c>
      <c r="B82" s="1643"/>
      <c r="C82" s="1644"/>
      <c r="D82" s="876" t="s">
        <v>131</v>
      </c>
      <c r="E82" s="842">
        <f>'23'!F82</f>
        <v>108025.07</v>
      </c>
      <c r="F82" s="937">
        <v>108055.15</v>
      </c>
      <c r="G82" s="843">
        <f t="shared" si="7"/>
        <v>30.079999999987194</v>
      </c>
      <c r="H82" s="844">
        <f>G82+'23'!H82</f>
        <v>443.14999999999418</v>
      </c>
      <c r="I82" s="877"/>
      <c r="J82" s="846">
        <f>H82/DAY(B2)</f>
        <v>18.464583333333092</v>
      </c>
      <c r="K82" s="928"/>
      <c r="L82" s="821"/>
      <c r="O82" s="848"/>
    </row>
    <row r="83" spans="1:15">
      <c r="A83" s="1642" t="s">
        <v>199</v>
      </c>
      <c r="B83" s="1643"/>
      <c r="C83" s="1644"/>
      <c r="D83" s="938" t="s">
        <v>131</v>
      </c>
      <c r="E83" s="842">
        <f>'23'!F83</f>
        <v>19096</v>
      </c>
      <c r="F83" s="828">
        <v>19231</v>
      </c>
      <c r="G83" s="843">
        <f>F83-E83</f>
        <v>135</v>
      </c>
      <c r="H83" s="844">
        <f>G83+'23'!H83</f>
        <v>4460</v>
      </c>
      <c r="I83" s="866"/>
      <c r="J83" s="846">
        <f>H83/DAY(B2)</f>
        <v>185.83333333333334</v>
      </c>
      <c r="K83" s="869"/>
      <c r="L83" s="821"/>
      <c r="O83" s="848"/>
    </row>
    <row r="84" spans="1:15">
      <c r="A84" s="939" t="s">
        <v>200</v>
      </c>
      <c r="B84" s="940"/>
      <c r="C84" s="940"/>
      <c r="D84" s="860" t="s">
        <v>131</v>
      </c>
      <c r="E84" s="842">
        <f>'23'!F84</f>
        <v>494085</v>
      </c>
      <c r="F84" s="941">
        <v>494738</v>
      </c>
      <c r="G84" s="843">
        <f t="shared" si="7"/>
        <v>653</v>
      </c>
      <c r="H84" s="844">
        <f>G84+'23'!H84</f>
        <v>14605</v>
      </c>
      <c r="I84" s="866"/>
      <c r="J84" s="846">
        <f>H84/DAY(B2)</f>
        <v>608.54166666666663</v>
      </c>
      <c r="K84" s="942"/>
      <c r="L84" s="821"/>
      <c r="O84" s="848"/>
    </row>
    <row r="85" spans="1:15" s="946" customFormat="1">
      <c r="A85" s="943" t="s">
        <v>201</v>
      </c>
      <c r="B85" s="944"/>
      <c r="C85" s="944"/>
      <c r="D85" s="881"/>
      <c r="E85" s="842">
        <f>'23'!F85</f>
        <v>0</v>
      </c>
      <c r="F85" s="841"/>
      <c r="G85" s="844">
        <f xml:space="preserve"> SUM(G72:G84)</f>
        <v>1631.6099999999897</v>
      </c>
      <c r="H85" s="844">
        <f>G85+'23'!H85</f>
        <v>39385.95000000007</v>
      </c>
      <c r="I85" s="866"/>
      <c r="J85" s="846">
        <f>H85/DAY(B2)</f>
        <v>1641.0812500000029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182</v>
      </c>
      <c r="E86" s="842">
        <f>'23'!F86</f>
        <v>460687.56</v>
      </c>
      <c r="F86" s="950">
        <v>460712.84</v>
      </c>
      <c r="G86" s="951">
        <f t="shared" si="7"/>
        <v>25.28000000002794</v>
      </c>
      <c r="H86" s="951">
        <f t="shared" ref="H86:H88" si="8">G86</f>
        <v>25.28000000002794</v>
      </c>
      <c r="I86" s="952"/>
      <c r="J86" s="953">
        <f>H86/DAY(B2)</f>
        <v>1.0533333333344974</v>
      </c>
      <c r="K86" s="954"/>
      <c r="L86" s="955"/>
      <c r="N86" s="1014"/>
      <c r="O86" s="848"/>
    </row>
    <row r="87" spans="1:15" s="956" customFormat="1">
      <c r="A87" s="947" t="s">
        <v>95</v>
      </c>
      <c r="B87" s="948"/>
      <c r="C87" s="948"/>
      <c r="D87" s="949" t="s">
        <v>182</v>
      </c>
      <c r="E87" s="842">
        <f>'23'!F87</f>
        <v>81219.3</v>
      </c>
      <c r="F87" s="950">
        <v>81237.3</v>
      </c>
      <c r="G87" s="951">
        <f t="shared" si="7"/>
        <v>18</v>
      </c>
      <c r="H87" s="951">
        <f t="shared" si="8"/>
        <v>18</v>
      </c>
      <c r="I87" s="952"/>
      <c r="J87" s="953">
        <f>H87/DAY(B2)</f>
        <v>0.75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182</v>
      </c>
      <c r="E88" s="842">
        <f>'23'!F88</f>
        <v>152706.73000000001</v>
      </c>
      <c r="F88" s="950">
        <v>152832.03</v>
      </c>
      <c r="G88" s="951">
        <f t="shared" si="7"/>
        <v>125.29999999998836</v>
      </c>
      <c r="H88" s="951">
        <f t="shared" si="8"/>
        <v>125.29999999998836</v>
      </c>
      <c r="I88" s="952"/>
      <c r="J88" s="953">
        <f>H88/DAY(B2)</f>
        <v>5.2208333333328483</v>
      </c>
      <c r="K88" s="954"/>
      <c r="L88" s="955"/>
      <c r="N88" s="1014"/>
      <c r="O88" s="848"/>
    </row>
    <row r="89" spans="1:15" s="956" customFormat="1">
      <c r="A89" s="947" t="s">
        <v>203</v>
      </c>
      <c r="B89" s="948"/>
      <c r="C89" s="948"/>
      <c r="D89" s="949" t="s">
        <v>182</v>
      </c>
      <c r="E89" s="842">
        <f>'23'!F89</f>
        <v>65034.5</v>
      </c>
      <c r="F89" s="950">
        <v>65080.1</v>
      </c>
      <c r="G89" s="951">
        <f t="shared" si="7"/>
        <v>45.599999999998545</v>
      </c>
      <c r="H89" s="951">
        <f>G89</f>
        <v>45.599999999998545</v>
      </c>
      <c r="I89" s="952"/>
      <c r="J89" s="953">
        <f>H89/DAY(B2)</f>
        <v>1.8999999999999393</v>
      </c>
      <c r="K89" s="954"/>
      <c r="L89" s="955"/>
      <c r="N89" s="1015"/>
      <c r="O89" s="848"/>
    </row>
    <row r="90" spans="1:15" s="956" customFormat="1">
      <c r="A90" s="947" t="s">
        <v>203</v>
      </c>
      <c r="B90" s="948"/>
      <c r="C90" s="948"/>
      <c r="D90" s="949" t="s">
        <v>182</v>
      </c>
      <c r="E90" s="842">
        <f>'23'!F90</f>
        <v>3273.6</v>
      </c>
      <c r="F90" s="950">
        <v>3273.6</v>
      </c>
      <c r="G90" s="951">
        <f t="shared" si="7"/>
        <v>0</v>
      </c>
      <c r="H90" s="951">
        <f>G90</f>
        <v>0</v>
      </c>
      <c r="I90" s="952"/>
      <c r="J90" s="953">
        <f>H90/DAY(B2)</f>
        <v>0</v>
      </c>
      <c r="K90" s="954"/>
      <c r="L90" s="955"/>
      <c r="N90" s="1015"/>
      <c r="O90" s="848"/>
    </row>
    <row r="91" spans="1:15" s="738" customFormat="1" ht="29.25">
      <c r="A91" s="733" t="s">
        <v>361</v>
      </c>
      <c r="B91" s="734"/>
      <c r="C91" s="734"/>
      <c r="D91" s="735"/>
      <c r="E91" s="842">
        <f>'23'!F91</f>
        <v>27986</v>
      </c>
      <c r="F91" s="950">
        <v>27986.7</v>
      </c>
      <c r="G91" s="708">
        <f t="shared" si="7"/>
        <v>0.7000000000007276</v>
      </c>
      <c r="H91" s="708">
        <f>G91</f>
        <v>0.7000000000007276</v>
      </c>
      <c r="I91" s="655"/>
      <c r="J91" s="710"/>
      <c r="K91" s="736"/>
      <c r="L91" s="737"/>
      <c r="N91" s="780"/>
      <c r="O91" s="382"/>
    </row>
    <row r="92" spans="1:15" s="946" customFormat="1">
      <c r="A92" s="957" t="s">
        <v>204</v>
      </c>
      <c r="B92" s="836"/>
      <c r="C92" s="836"/>
      <c r="D92" s="836"/>
      <c r="E92" s="836"/>
      <c r="F92" s="836"/>
      <c r="G92" s="880"/>
      <c r="H92" s="836"/>
      <c r="I92" s="836"/>
      <c r="J92" s="837"/>
      <c r="K92" s="942"/>
      <c r="L92" s="945"/>
      <c r="N92" s="1013"/>
      <c r="O92" s="848"/>
    </row>
    <row r="93" spans="1:15">
      <c r="A93" s="1633" t="s">
        <v>205</v>
      </c>
      <c r="B93" s="1634"/>
      <c r="C93" s="1635"/>
      <c r="D93" s="841" t="s">
        <v>143</v>
      </c>
      <c r="E93" s="842">
        <f>'23'!F93</f>
        <v>245156</v>
      </c>
      <c r="F93" s="872">
        <v>245184</v>
      </c>
      <c r="G93" s="843">
        <f t="shared" ref="G93:G94" si="9">F93-E93</f>
        <v>28</v>
      </c>
      <c r="H93" s="844">
        <f>G93+'23'!H93</f>
        <v>760</v>
      </c>
      <c r="I93" s="863"/>
      <c r="J93" s="846">
        <f>H93/DAY(B2)</f>
        <v>31.666666666666668</v>
      </c>
      <c r="K93" s="869"/>
      <c r="L93" s="821"/>
      <c r="O93" s="848"/>
    </row>
    <row r="94" spans="1:15">
      <c r="A94" s="1633" t="s">
        <v>206</v>
      </c>
      <c r="B94" s="1634"/>
      <c r="C94" s="1635"/>
      <c r="D94" s="841" t="s">
        <v>143</v>
      </c>
      <c r="E94" s="842">
        <f>'23'!F94</f>
        <v>185446</v>
      </c>
      <c r="F94" s="872">
        <v>185520</v>
      </c>
      <c r="G94" s="843">
        <f t="shared" si="9"/>
        <v>74</v>
      </c>
      <c r="H94" s="844">
        <f>G94+'23'!H94</f>
        <v>1989</v>
      </c>
      <c r="I94" s="863"/>
      <c r="J94" s="846">
        <f>H94/DAY(B2)</f>
        <v>82.875</v>
      </c>
      <c r="K94" s="942"/>
      <c r="L94" s="821"/>
      <c r="O94" s="848"/>
    </row>
    <row r="95" spans="1:15">
      <c r="A95" s="1625" t="s">
        <v>207</v>
      </c>
      <c r="B95" s="1626"/>
      <c r="C95" s="1627"/>
      <c r="D95" s="841"/>
      <c r="E95" s="842">
        <f>'23'!F95</f>
        <v>0</v>
      </c>
      <c r="F95" s="872"/>
      <c r="G95" s="843">
        <f>G93+G94</f>
        <v>102</v>
      </c>
      <c r="H95" s="844">
        <f>G95+'23'!H95</f>
        <v>2602</v>
      </c>
      <c r="I95" s="863"/>
      <c r="J95" s="846">
        <f>H95/DAY(B2)</f>
        <v>108.41666666666667</v>
      </c>
      <c r="K95" s="942"/>
      <c r="L95" s="821"/>
      <c r="O95" s="848"/>
    </row>
    <row r="96" spans="1:15">
      <c r="A96" s="1633" t="s">
        <v>208</v>
      </c>
      <c r="B96" s="1634"/>
      <c r="C96" s="1635"/>
      <c r="D96" s="841" t="s">
        <v>143</v>
      </c>
      <c r="E96" s="842">
        <f>'23'!F96</f>
        <v>413884</v>
      </c>
      <c r="F96" s="872">
        <v>413924</v>
      </c>
      <c r="G96" s="843">
        <f t="shared" ref="G96:G101" si="10">F96-E96</f>
        <v>40</v>
      </c>
      <c r="H96" s="844">
        <f>G96+'23'!H96</f>
        <v>1038</v>
      </c>
      <c r="I96" s="863"/>
      <c r="J96" s="846">
        <f>H96/DAY(B2)</f>
        <v>43.25</v>
      </c>
      <c r="K96" s="942"/>
      <c r="L96" s="821"/>
      <c r="O96" s="848"/>
    </row>
    <row r="97" spans="1:15">
      <c r="A97" s="870" t="s">
        <v>209</v>
      </c>
      <c r="B97" s="871"/>
      <c r="C97" s="871"/>
      <c r="D97" s="841" t="s">
        <v>143</v>
      </c>
      <c r="E97" s="842">
        <f>'23'!F97</f>
        <v>102567</v>
      </c>
      <c r="F97" s="872">
        <v>102578</v>
      </c>
      <c r="G97" s="843">
        <f t="shared" si="10"/>
        <v>11</v>
      </c>
      <c r="H97" s="844">
        <f>G97+'23'!H97</f>
        <v>235</v>
      </c>
      <c r="I97" s="863"/>
      <c r="J97" s="846">
        <f>H97/DAY(B2)</f>
        <v>9.7916666666666661</v>
      </c>
      <c r="K97" s="838"/>
      <c r="L97" s="821"/>
      <c r="O97" s="848"/>
    </row>
    <row r="98" spans="1:15">
      <c r="A98" s="870" t="s">
        <v>210</v>
      </c>
      <c r="B98" s="871"/>
      <c r="C98" s="871"/>
      <c r="D98" s="841" t="s">
        <v>143</v>
      </c>
      <c r="E98" s="842">
        <f>'23'!F98</f>
        <v>97780</v>
      </c>
      <c r="F98" s="872">
        <v>97796</v>
      </c>
      <c r="G98" s="843">
        <f t="shared" si="10"/>
        <v>16</v>
      </c>
      <c r="H98" s="844">
        <f>G98+'23'!H98</f>
        <v>369</v>
      </c>
      <c r="I98" s="863"/>
      <c r="J98" s="846">
        <f>H98/DAY(B2)</f>
        <v>15.375</v>
      </c>
      <c r="K98" s="958"/>
      <c r="L98" s="821"/>
      <c r="O98" s="848"/>
    </row>
    <row r="99" spans="1:15">
      <c r="A99" s="870" t="s">
        <v>211</v>
      </c>
      <c r="B99" s="871"/>
      <c r="C99" s="871"/>
      <c r="D99" s="841" t="s">
        <v>143</v>
      </c>
      <c r="E99" s="842">
        <f>'23'!F99</f>
        <v>149790</v>
      </c>
      <c r="F99" s="872">
        <v>149818</v>
      </c>
      <c r="G99" s="843">
        <f t="shared" si="10"/>
        <v>28</v>
      </c>
      <c r="H99" s="844">
        <f>G99+'23'!H99</f>
        <v>285</v>
      </c>
      <c r="I99" s="863"/>
      <c r="J99" s="846">
        <f>H99/DAY(B2)</f>
        <v>11.875</v>
      </c>
      <c r="K99" s="942"/>
      <c r="L99" s="821"/>
      <c r="O99" s="848"/>
    </row>
    <row r="100" spans="1:15">
      <c r="A100" s="870" t="s">
        <v>212</v>
      </c>
      <c r="B100" s="871"/>
      <c r="C100" s="871"/>
      <c r="D100" s="841" t="s">
        <v>143</v>
      </c>
      <c r="E100" s="842">
        <f>'23'!F100</f>
        <v>7325</v>
      </c>
      <c r="F100" s="872">
        <v>7328</v>
      </c>
      <c r="G100" s="843">
        <f t="shared" si="10"/>
        <v>3</v>
      </c>
      <c r="H100" s="844">
        <f>G100+'23'!H100</f>
        <v>143</v>
      </c>
      <c r="I100" s="863"/>
      <c r="J100" s="846">
        <f>H100/DAY(B2)</f>
        <v>5.958333333333333</v>
      </c>
      <c r="K100" s="942"/>
      <c r="L100" s="821"/>
      <c r="O100" s="848"/>
    </row>
    <row r="101" spans="1:15">
      <c r="A101" s="870" t="s">
        <v>213</v>
      </c>
      <c r="B101" s="871"/>
      <c r="C101" s="871"/>
      <c r="D101" s="841" t="s">
        <v>143</v>
      </c>
      <c r="E101" s="842">
        <f>'23'!F101</f>
        <v>5311</v>
      </c>
      <c r="F101" s="872">
        <v>5325</v>
      </c>
      <c r="G101" s="843">
        <f t="shared" si="10"/>
        <v>14</v>
      </c>
      <c r="H101" s="844">
        <f>G101+'23'!H101</f>
        <v>187</v>
      </c>
      <c r="I101" s="863"/>
      <c r="J101" s="846">
        <f>H101/DAY(B2)</f>
        <v>7.791666666666667</v>
      </c>
      <c r="K101" s="942"/>
      <c r="L101" s="821"/>
      <c r="O101" s="848"/>
    </row>
    <row r="102" spans="1:15">
      <c r="A102" s="1625" t="s">
        <v>215</v>
      </c>
      <c r="B102" s="1626"/>
      <c r="C102" s="1627"/>
      <c r="D102" s="875"/>
      <c r="E102" s="875"/>
      <c r="F102" s="875"/>
      <c r="G102" s="959">
        <f>SUM(G96:G101)</f>
        <v>112</v>
      </c>
      <c r="H102" s="844">
        <f>G102+'23'!H102</f>
        <v>2257</v>
      </c>
      <c r="I102" s="960"/>
      <c r="J102" s="846">
        <f>H102/DAY(B2)</f>
        <v>94.041666666666671</v>
      </c>
      <c r="K102" s="942"/>
      <c r="L102" s="821"/>
      <c r="O102" s="848"/>
    </row>
    <row r="103" spans="1:15" s="893" customFormat="1">
      <c r="A103" s="961" t="s">
        <v>216</v>
      </c>
      <c r="B103" s="962"/>
      <c r="C103" s="962"/>
      <c r="D103" s="963"/>
      <c r="E103" s="964"/>
      <c r="F103" s="965"/>
      <c r="G103" s="966"/>
      <c r="H103" s="967"/>
      <c r="I103" s="968"/>
      <c r="J103" s="969"/>
      <c r="N103" s="1011"/>
      <c r="O103" s="848"/>
    </row>
    <row r="104" spans="1:15" s="893" customFormat="1">
      <c r="A104" s="1622" t="s">
        <v>217</v>
      </c>
      <c r="B104" s="1623"/>
      <c r="C104" s="970"/>
      <c r="D104" s="971"/>
      <c r="E104" s="972"/>
      <c r="F104" s="972"/>
      <c r="G104" s="972"/>
      <c r="H104" s="973"/>
      <c r="I104" s="972"/>
      <c r="J104" s="974"/>
      <c r="N104" s="1011"/>
      <c r="O104" s="848"/>
    </row>
    <row r="105" spans="1:15" s="893" customFormat="1">
      <c r="A105" s="1616" t="s">
        <v>218</v>
      </c>
      <c r="B105" s="1617"/>
      <c r="C105" s="975"/>
      <c r="D105" s="971" t="s">
        <v>143</v>
      </c>
      <c r="E105" s="972">
        <f>'23'!F105</f>
        <v>7484</v>
      </c>
      <c r="F105" s="972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2.375</v>
      </c>
      <c r="N105" s="1011"/>
      <c r="O105" s="848"/>
    </row>
    <row r="106" spans="1:15" s="893" customFormat="1">
      <c r="A106" s="1616" t="s">
        <v>77</v>
      </c>
      <c r="B106" s="1617"/>
      <c r="C106" s="975"/>
      <c r="D106" s="971" t="s">
        <v>143</v>
      </c>
      <c r="E106" s="972">
        <f>'23'!F106</f>
        <v>35906</v>
      </c>
      <c r="F106" s="976">
        <v>35907</v>
      </c>
      <c r="G106" s="972">
        <f t="shared" ref="G106:G107" si="11">F106-E106</f>
        <v>1</v>
      </c>
      <c r="H106" s="973">
        <f>SUM(G106+'1'!G77)</f>
        <v>51</v>
      </c>
      <c r="I106" s="972"/>
      <c r="J106" s="974">
        <f>H106/DAY(B2)</f>
        <v>2.125</v>
      </c>
      <c r="N106" s="1011"/>
      <c r="O106" s="848"/>
    </row>
    <row r="107" spans="1:15" s="893" customFormat="1">
      <c r="A107" s="1616" t="s">
        <v>78</v>
      </c>
      <c r="B107" s="1624"/>
      <c r="C107" s="1617"/>
      <c r="D107" s="971" t="s">
        <v>143</v>
      </c>
      <c r="E107" s="972">
        <f>'23'!F107</f>
        <v>19682</v>
      </c>
      <c r="F107" s="972">
        <v>19685</v>
      </c>
      <c r="G107" s="972">
        <f t="shared" si="11"/>
        <v>3</v>
      </c>
      <c r="H107" s="973">
        <f>SUM(G107+'1'!G78)</f>
        <v>127</v>
      </c>
      <c r="I107" s="972"/>
      <c r="J107" s="974">
        <f>H107/DAY(B2)</f>
        <v>5.291666666666667</v>
      </c>
      <c r="N107" s="1011"/>
      <c r="O107" s="848"/>
    </row>
    <row r="108" spans="1:15" s="893" customFormat="1">
      <c r="A108" s="1618" t="s">
        <v>201</v>
      </c>
      <c r="B108" s="1619"/>
      <c r="C108" s="975"/>
      <c r="D108" s="971"/>
      <c r="E108" s="972"/>
      <c r="F108" s="972"/>
      <c r="G108" s="972">
        <f>SUM(G105:G107)</f>
        <v>4</v>
      </c>
      <c r="H108" s="973">
        <f>SUM(G108+'1'!G79)</f>
        <v>193</v>
      </c>
      <c r="I108" s="972"/>
      <c r="J108" s="974">
        <f>H108/DAY(B2)</f>
        <v>8.0416666666666661</v>
      </c>
      <c r="N108" s="1011"/>
      <c r="O108" s="848"/>
    </row>
    <row r="109" spans="1:15" s="893" customFormat="1">
      <c r="A109" s="1614" t="s">
        <v>79</v>
      </c>
      <c r="B109" s="1615"/>
      <c r="C109" s="975"/>
      <c r="D109" s="971" t="s">
        <v>143</v>
      </c>
      <c r="E109" s="972">
        <f>'23'!F109</f>
        <v>0</v>
      </c>
      <c r="F109" s="972"/>
      <c r="G109" s="972"/>
      <c r="H109" s="973"/>
      <c r="I109" s="972"/>
      <c r="J109" s="974"/>
      <c r="N109" s="1011"/>
      <c r="O109" s="848"/>
    </row>
    <row r="110" spans="1:15" s="893" customFormat="1">
      <c r="A110" s="1616" t="s">
        <v>219</v>
      </c>
      <c r="B110" s="1617"/>
      <c r="C110" s="975"/>
      <c r="D110" s="971" t="s">
        <v>143</v>
      </c>
      <c r="E110" s="972">
        <f>'23'!F110</f>
        <v>62330</v>
      </c>
      <c r="F110" s="972">
        <v>62370</v>
      </c>
      <c r="G110" s="972">
        <f>F110-E110</f>
        <v>40</v>
      </c>
      <c r="H110" s="973">
        <f>SUM(G110+'1'!G81)</f>
        <v>121</v>
      </c>
      <c r="I110" s="972"/>
      <c r="J110" s="974">
        <f>H110/DAY(B2)</f>
        <v>5.041666666666667</v>
      </c>
      <c r="N110" s="1011"/>
      <c r="O110" s="848"/>
    </row>
    <row r="111" spans="1:15" s="893" customFormat="1">
      <c r="A111" s="1616" t="s">
        <v>220</v>
      </c>
      <c r="B111" s="1617"/>
      <c r="C111" s="975"/>
      <c r="D111" s="971" t="s">
        <v>143</v>
      </c>
      <c r="E111" s="972">
        <f>'23'!F111</f>
        <v>32478</v>
      </c>
      <c r="F111" s="972">
        <v>32518</v>
      </c>
      <c r="G111" s="972">
        <f t="shared" ref="G111:G112" si="12">F111-E111</f>
        <v>40</v>
      </c>
      <c r="H111" s="973">
        <f>SUM(G111+'1'!G82)</f>
        <v>52</v>
      </c>
      <c r="I111" s="972"/>
      <c r="J111" s="974">
        <f>H111/DAY(B2)</f>
        <v>2.1666666666666665</v>
      </c>
      <c r="N111" s="1011"/>
      <c r="O111" s="848"/>
    </row>
    <row r="112" spans="1:15" s="893" customFormat="1">
      <c r="A112" s="1616" t="s">
        <v>221</v>
      </c>
      <c r="B112" s="1617"/>
      <c r="C112" s="975"/>
      <c r="D112" s="971" t="s">
        <v>143</v>
      </c>
      <c r="E112" s="972">
        <f>'23'!F112</f>
        <v>4527</v>
      </c>
      <c r="F112" s="972">
        <v>4527</v>
      </c>
      <c r="G112" s="972">
        <f t="shared" si="12"/>
        <v>0</v>
      </c>
      <c r="H112" s="973">
        <f>SUM(G112+'1'!G83)</f>
        <v>255</v>
      </c>
      <c r="I112" s="972"/>
      <c r="J112" s="974">
        <f>H112/DAY(B2)</f>
        <v>10.625</v>
      </c>
      <c r="N112" s="1011"/>
      <c r="O112" s="848"/>
    </row>
    <row r="113" spans="1:15" s="893" customFormat="1">
      <c r="A113" s="1620" t="s">
        <v>110</v>
      </c>
      <c r="B113" s="1621"/>
      <c r="C113" s="975"/>
      <c r="D113" s="971"/>
      <c r="E113" s="972">
        <f>'23'!F113</f>
        <v>0</v>
      </c>
      <c r="F113" s="972"/>
      <c r="G113" s="972">
        <f>SUM(G110:G112)</f>
        <v>80</v>
      </c>
      <c r="H113" s="973">
        <f>SUM(G113+'1'!G84)</f>
        <v>795</v>
      </c>
      <c r="I113" s="972"/>
      <c r="J113" s="974">
        <f>H113/DAY(B2)</f>
        <v>33.125</v>
      </c>
      <c r="N113" s="1011"/>
      <c r="O113" s="848"/>
    </row>
    <row r="114" spans="1:15" s="893" customFormat="1">
      <c r="A114" s="1614" t="s">
        <v>222</v>
      </c>
      <c r="B114" s="1615"/>
      <c r="C114" s="975"/>
      <c r="D114" s="971"/>
      <c r="E114" s="972"/>
      <c r="F114" s="972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>
      <c r="A115" s="1616" t="s">
        <v>223</v>
      </c>
      <c r="B115" s="1617"/>
      <c r="C115" s="977"/>
      <c r="D115" s="971" t="s">
        <v>143</v>
      </c>
      <c r="E115" s="972">
        <f>'23'!F115</f>
        <v>11439</v>
      </c>
      <c r="F115" s="976">
        <v>11444</v>
      </c>
      <c r="G115" s="976">
        <f>F115-E115</f>
        <v>5</v>
      </c>
      <c r="H115" s="973">
        <f>SUM(G115+'1'!G92)</f>
        <v>5</v>
      </c>
      <c r="I115" s="972"/>
      <c r="J115" s="974">
        <f>H115/DAY(B2)</f>
        <v>0.20833333333333334</v>
      </c>
      <c r="N115" s="1011"/>
      <c r="O115" s="848"/>
    </row>
    <row r="116" spans="1:15" s="893" customFormat="1">
      <c r="A116" s="1616" t="s">
        <v>224</v>
      </c>
      <c r="B116" s="1617"/>
      <c r="C116" s="977"/>
      <c r="D116" s="971" t="s">
        <v>143</v>
      </c>
      <c r="E116" s="972">
        <f>'23'!F116</f>
        <v>8254</v>
      </c>
      <c r="F116" s="976">
        <v>8261</v>
      </c>
      <c r="G116" s="976">
        <f t="shared" ref="G116:G117" si="13">F116-E116</f>
        <v>7</v>
      </c>
      <c r="H116" s="973">
        <f>SUM(G116+'1'!G93)</f>
        <v>59</v>
      </c>
      <c r="I116" s="972"/>
      <c r="J116" s="974">
        <f>H116/DAY(B2)</f>
        <v>2.4583333333333335</v>
      </c>
      <c r="N116" s="1011"/>
      <c r="O116" s="848"/>
    </row>
    <row r="117" spans="1:15" s="893" customFormat="1">
      <c r="A117" s="1616" t="s">
        <v>225</v>
      </c>
      <c r="B117" s="1617"/>
      <c r="C117" s="977"/>
      <c r="D117" s="971" t="s">
        <v>143</v>
      </c>
      <c r="E117" s="976"/>
      <c r="F117" s="976"/>
      <c r="G117" s="976">
        <f t="shared" si="13"/>
        <v>0</v>
      </c>
      <c r="H117" s="973">
        <f>SUM(G117+'1'!G94)</f>
        <v>95</v>
      </c>
      <c r="I117" s="972"/>
      <c r="J117" s="974">
        <f>H117/DAY(B2)</f>
        <v>3.9583333333333335</v>
      </c>
      <c r="N117" s="1011"/>
      <c r="O117" s="848"/>
    </row>
    <row r="118" spans="1:15" s="979" customFormat="1">
      <c r="A118" s="1618" t="s">
        <v>201</v>
      </c>
      <c r="B118" s="1619"/>
      <c r="C118" s="977"/>
      <c r="D118" s="978"/>
      <c r="E118" s="976"/>
      <c r="F118" s="976"/>
      <c r="G118" s="976">
        <f>SUM(G115:G117)</f>
        <v>12</v>
      </c>
      <c r="H118" s="973">
        <f>SUM(G118+'1'!G96)</f>
        <v>84</v>
      </c>
      <c r="I118" s="976"/>
      <c r="J118" s="974">
        <f>H118/DAY(B2)</f>
        <v>3.5</v>
      </c>
      <c r="N118" s="1016"/>
      <c r="O118" s="848"/>
    </row>
    <row r="119" spans="1:15" s="771" customFormat="1">
      <c r="A119" s="1610" t="s">
        <v>226</v>
      </c>
      <c r="B119" s="1611"/>
      <c r="C119" s="980"/>
      <c r="D119" s="981" t="s">
        <v>143</v>
      </c>
      <c r="E119" s="982"/>
      <c r="F119" s="983"/>
      <c r="G119" s="983">
        <f>SUM(G19+G93)</f>
        <v>88</v>
      </c>
      <c r="H119" s="973">
        <f>SUM(G119+'1'!G97)</f>
        <v>100</v>
      </c>
      <c r="I119" s="982"/>
      <c r="J119" s="984">
        <f>H119/DAY(B2)</f>
        <v>4.166666666666667</v>
      </c>
      <c r="N119" s="1017"/>
      <c r="O119" s="848"/>
    </row>
    <row r="120" spans="1:15" s="771" customFormat="1">
      <c r="A120" s="1610" t="s">
        <v>227</v>
      </c>
      <c r="B120" s="1611"/>
      <c r="C120" s="980"/>
      <c r="D120" s="981" t="s">
        <v>143</v>
      </c>
      <c r="E120" s="982"/>
      <c r="F120" s="983"/>
      <c r="G120" s="983">
        <f>SUM(G96,G97,G98,G100,G101)</f>
        <v>84</v>
      </c>
      <c r="H120" s="973">
        <f>SUM(G120+'1'!G99)</f>
        <v>89</v>
      </c>
      <c r="I120" s="982"/>
      <c r="J120" s="984">
        <f>H120/DAY(B2)</f>
        <v>3.7083333333333335</v>
      </c>
      <c r="N120" s="1017"/>
      <c r="O120" s="848"/>
    </row>
    <row r="121" spans="1:15" s="771" customFormat="1">
      <c r="A121" s="1610" t="s">
        <v>228</v>
      </c>
      <c r="B121" s="1611"/>
      <c r="C121" s="980"/>
      <c r="D121" s="981" t="s">
        <v>143</v>
      </c>
      <c r="E121" s="982"/>
      <c r="F121" s="976"/>
      <c r="G121" s="976">
        <f>SUM(G113)</f>
        <v>80</v>
      </c>
      <c r="H121" s="973">
        <f>SUM(G121+'1'!G101)</f>
        <v>86</v>
      </c>
      <c r="I121" s="982"/>
      <c r="J121" s="984">
        <f>H121/DAY(B2)</f>
        <v>3.5833333333333335</v>
      </c>
      <c r="N121" s="1017"/>
      <c r="O121" s="848"/>
    </row>
    <row r="122" spans="1:15" s="893" customFormat="1">
      <c r="A122" s="1612"/>
      <c r="B122" s="1613"/>
      <c r="C122" s="975"/>
      <c r="D122" s="970"/>
      <c r="E122" s="970"/>
      <c r="F122" s="970"/>
      <c r="G122" s="970"/>
      <c r="H122" s="985"/>
      <c r="I122" s="970"/>
      <c r="J122" s="986"/>
      <c r="N122" s="1011"/>
      <c r="O122" s="848"/>
    </row>
    <row r="123" spans="1:15">
      <c r="A123" s="1628" t="s">
        <v>229</v>
      </c>
      <c r="B123" s="1629"/>
      <c r="C123" s="1630"/>
      <c r="D123" s="836"/>
      <c r="E123" s="836"/>
      <c r="F123" s="836"/>
      <c r="G123" s="868"/>
      <c r="H123" s="868"/>
      <c r="I123" s="868"/>
      <c r="J123" s="987"/>
      <c r="K123" s="942"/>
      <c r="L123" s="821"/>
      <c r="O123" s="848"/>
    </row>
    <row r="124" spans="1:15">
      <c r="A124" s="870" t="s">
        <v>230</v>
      </c>
      <c r="B124" s="871"/>
      <c r="C124" s="871"/>
      <c r="D124" s="841" t="s">
        <v>140</v>
      </c>
      <c r="E124" s="842">
        <f>'23'!F124</f>
        <v>830726.84</v>
      </c>
      <c r="F124" s="860">
        <v>830957</v>
      </c>
      <c r="G124" s="843">
        <f t="shared" ref="G124:G128" si="14">F124-E124</f>
        <v>230.1600000000326</v>
      </c>
      <c r="H124" s="844">
        <f>G124+'23'!H124</f>
        <v>4868.5400000000373</v>
      </c>
      <c r="I124" s="960"/>
      <c r="J124" s="846">
        <f>H124/DAY(B2)</f>
        <v>202.85583333333489</v>
      </c>
      <c r="K124" s="942"/>
      <c r="L124" s="821"/>
      <c r="O124" s="848"/>
    </row>
    <row r="125" spans="1:15">
      <c r="A125" s="870" t="s">
        <v>231</v>
      </c>
      <c r="B125" s="871"/>
      <c r="C125" s="871"/>
      <c r="D125" s="841" t="s">
        <v>140</v>
      </c>
      <c r="E125" s="842">
        <f>'23'!F125</f>
        <v>73583.399999999994</v>
      </c>
      <c r="F125" s="988">
        <v>73583.399999999994</v>
      </c>
      <c r="G125" s="843">
        <f t="shared" si="14"/>
        <v>0</v>
      </c>
      <c r="H125" s="844">
        <f>G125+'23'!H125</f>
        <v>0</v>
      </c>
      <c r="I125" s="960"/>
      <c r="J125" s="846">
        <f>H125/DAY(B2)</f>
        <v>0</v>
      </c>
      <c r="K125" s="942"/>
      <c r="L125" s="821"/>
      <c r="O125" s="848"/>
    </row>
    <row r="126" spans="1:15">
      <c r="A126" s="1639" t="s">
        <v>232</v>
      </c>
      <c r="B126" s="1640"/>
      <c r="C126" s="1641"/>
      <c r="D126" s="841" t="s">
        <v>140</v>
      </c>
      <c r="E126" s="842">
        <f>'23'!F126</f>
        <v>145965.84</v>
      </c>
      <c r="F126" s="860">
        <v>146037.63</v>
      </c>
      <c r="G126" s="843">
        <f t="shared" si="14"/>
        <v>71.790000000008149</v>
      </c>
      <c r="H126" s="844">
        <f>G126+'23'!H126</f>
        <v>1350.1900000000023</v>
      </c>
      <c r="I126" s="960"/>
      <c r="J126" s="846">
        <f>H126/DAY(B2)</f>
        <v>56.257916666666766</v>
      </c>
      <c r="K126" s="942"/>
      <c r="L126" s="821"/>
      <c r="O126" s="848"/>
    </row>
    <row r="127" spans="1:15">
      <c r="A127" s="989" t="s">
        <v>233</v>
      </c>
      <c r="B127" s="871"/>
      <c r="C127" s="871"/>
      <c r="D127" s="841" t="s">
        <v>140</v>
      </c>
      <c r="E127" s="842">
        <f>'23'!F127</f>
        <v>31404.2</v>
      </c>
      <c r="F127" s="988">
        <v>31404.2</v>
      </c>
      <c r="G127" s="843">
        <f t="shared" si="14"/>
        <v>0</v>
      </c>
      <c r="H127" s="844">
        <f>G127+'23'!H127</f>
        <v>0.2000000000007276</v>
      </c>
      <c r="I127" s="960"/>
      <c r="J127" s="846">
        <f>H127/DAY(B2)</f>
        <v>8.3333333333636492E-3</v>
      </c>
      <c r="K127" s="942"/>
      <c r="L127" s="821"/>
      <c r="O127" s="848"/>
    </row>
    <row r="128" spans="1:15">
      <c r="A128" s="989" t="s">
        <v>234</v>
      </c>
      <c r="B128" s="871"/>
      <c r="C128" s="871"/>
      <c r="D128" s="841" t="s">
        <v>140</v>
      </c>
      <c r="E128" s="842">
        <f>'23'!F128</f>
        <v>8970.6</v>
      </c>
      <c r="F128" s="988">
        <v>8970.6</v>
      </c>
      <c r="G128" s="843">
        <f t="shared" si="14"/>
        <v>0</v>
      </c>
      <c r="H128" s="844">
        <f>G128+'23'!H128</f>
        <v>0.8999999999996362</v>
      </c>
      <c r="I128" s="863"/>
      <c r="J128" s="846">
        <f>H128/DAY(B2)</f>
        <v>3.7499999999984844E-2</v>
      </c>
      <c r="K128" s="942"/>
      <c r="L128" s="821"/>
      <c r="O128" s="848"/>
    </row>
    <row r="129" spans="1:15">
      <c r="A129" s="989" t="s">
        <v>235</v>
      </c>
      <c r="B129" s="871"/>
      <c r="C129" s="871"/>
      <c r="D129" s="841"/>
      <c r="E129" s="842"/>
      <c r="F129" s="860"/>
      <c r="G129" s="843">
        <f>G15-SUM(G124:G128)</f>
        <v>208.74499999979162</v>
      </c>
      <c r="H129" s="844">
        <f>G129+'23'!H129</f>
        <v>1529.1999999998825</v>
      </c>
      <c r="I129" s="863"/>
      <c r="J129" s="846">
        <f>H129/DAY(B2)</f>
        <v>63.716666666661773</v>
      </c>
      <c r="K129" s="942"/>
      <c r="L129" s="821"/>
      <c r="O129" s="848"/>
    </row>
    <row r="130" spans="1:15">
      <c r="A130" s="990" t="s">
        <v>236</v>
      </c>
      <c r="B130" s="835"/>
      <c r="C130" s="835"/>
      <c r="D130" s="835"/>
      <c r="E130" s="835"/>
      <c r="F130" s="835"/>
      <c r="G130" s="991"/>
      <c r="H130" s="991"/>
      <c r="I130" s="991"/>
      <c r="J130" s="992"/>
      <c r="O130" s="848"/>
    </row>
    <row r="131" spans="1:15">
      <c r="A131" s="870" t="s">
        <v>237</v>
      </c>
      <c r="B131" s="871"/>
      <c r="C131" s="871"/>
      <c r="D131" s="841" t="s">
        <v>238</v>
      </c>
      <c r="E131" s="842">
        <f>'23'!F131</f>
        <v>0</v>
      </c>
      <c r="F131" s="872">
        <v>0</v>
      </c>
      <c r="G131" s="843">
        <f t="shared" ref="G131:G141" si="15">F131-E131</f>
        <v>0</v>
      </c>
      <c r="H131" s="844">
        <f>G131+'23'!H131</f>
        <v>0</v>
      </c>
      <c r="I131" s="863"/>
      <c r="J131" s="846">
        <f>H131/DAY(B2)</f>
        <v>0</v>
      </c>
      <c r="O131" s="848"/>
    </row>
    <row r="132" spans="1:15">
      <c r="A132" s="870" t="s">
        <v>239</v>
      </c>
      <c r="B132" s="871"/>
      <c r="C132" s="871"/>
      <c r="D132" s="841" t="s">
        <v>238</v>
      </c>
      <c r="E132" s="842">
        <f>'23'!F132</f>
        <v>0</v>
      </c>
      <c r="F132" s="872">
        <v>0</v>
      </c>
      <c r="G132" s="843">
        <f t="shared" si="15"/>
        <v>0</v>
      </c>
      <c r="H132" s="844">
        <f>G132+'23'!H132</f>
        <v>0</v>
      </c>
      <c r="I132" s="863"/>
      <c r="J132" s="846">
        <f>H132/DAY(B2)</f>
        <v>0</v>
      </c>
      <c r="O132" s="848"/>
    </row>
    <row r="133" spans="1:15">
      <c r="A133" s="870" t="s">
        <v>240</v>
      </c>
      <c r="B133" s="871"/>
      <c r="C133" s="871"/>
      <c r="D133" s="841" t="s">
        <v>238</v>
      </c>
      <c r="E133" s="1465">
        <f>'23'!F133</f>
        <v>40035.1</v>
      </c>
      <c r="F133" s="993">
        <v>40059.1</v>
      </c>
      <c r="G133" s="952">
        <f t="shared" si="15"/>
        <v>24</v>
      </c>
      <c r="H133" s="844">
        <f>G133+'23'!H133</f>
        <v>312.61999999999534</v>
      </c>
      <c r="I133" s="863"/>
      <c r="J133" s="846">
        <f>H133/DAY(B2)</f>
        <v>13.025833333333139</v>
      </c>
      <c r="O133" s="848"/>
    </row>
    <row r="134" spans="1:15">
      <c r="A134" s="870" t="s">
        <v>241</v>
      </c>
      <c r="B134" s="871"/>
      <c r="C134" s="871"/>
      <c r="D134" s="841" t="s">
        <v>238</v>
      </c>
      <c r="E134" s="1465">
        <f>'23'!F134</f>
        <v>300</v>
      </c>
      <c r="F134" s="993">
        <v>300</v>
      </c>
      <c r="G134" s="952">
        <f t="shared" si="15"/>
        <v>0</v>
      </c>
      <c r="H134" s="844">
        <f>G134+'23'!H134</f>
        <v>0</v>
      </c>
      <c r="I134" s="863">
        <f>G131+G132+G133+G134</f>
        <v>24</v>
      </c>
      <c r="J134" s="846">
        <f>H134/DAY(B2)</f>
        <v>0</v>
      </c>
      <c r="O134" s="848"/>
    </row>
    <row r="135" spans="1:15">
      <c r="A135" s="870" t="s">
        <v>242</v>
      </c>
      <c r="B135" s="871"/>
      <c r="C135" s="871"/>
      <c r="D135" s="841" t="s">
        <v>238</v>
      </c>
      <c r="E135" s="1465">
        <f>'23'!F135</f>
        <v>41661.39</v>
      </c>
      <c r="F135" s="993">
        <v>41661.39</v>
      </c>
      <c r="G135" s="952">
        <f t="shared" si="15"/>
        <v>0</v>
      </c>
      <c r="H135" s="844">
        <f>G135+'23'!H135</f>
        <v>24</v>
      </c>
      <c r="I135" s="863"/>
      <c r="J135" s="846">
        <f>H135/DAY(B2)</f>
        <v>1</v>
      </c>
      <c r="O135" s="848"/>
    </row>
    <row r="136" spans="1:15">
      <c r="A136" s="870" t="s">
        <v>243</v>
      </c>
      <c r="B136" s="871"/>
      <c r="C136" s="871"/>
      <c r="D136" s="841" t="s">
        <v>238</v>
      </c>
      <c r="E136" s="1465">
        <f>'23'!F136</f>
        <v>32582.93</v>
      </c>
      <c r="F136" s="993">
        <v>32582.93</v>
      </c>
      <c r="G136" s="952">
        <f t="shared" si="15"/>
        <v>0</v>
      </c>
      <c r="H136" s="844">
        <f>G136+'23'!H136</f>
        <v>13</v>
      </c>
      <c r="I136" s="863"/>
      <c r="J136" s="846">
        <f>H136/DAY(B2)</f>
        <v>0.54166666666666663</v>
      </c>
      <c r="O136" s="848"/>
    </row>
    <row r="137" spans="1:15">
      <c r="A137" s="870" t="s">
        <v>244</v>
      </c>
      <c r="B137" s="871"/>
      <c r="C137" s="871"/>
      <c r="D137" s="841" t="s">
        <v>238</v>
      </c>
      <c r="E137" s="1465">
        <f>'23'!F137</f>
        <v>22783.45</v>
      </c>
      <c r="F137" s="993">
        <v>22783.45</v>
      </c>
      <c r="G137" s="952">
        <f t="shared" si="15"/>
        <v>0</v>
      </c>
      <c r="H137" s="844">
        <f>G137+'23'!H137</f>
        <v>43.860000000000582</v>
      </c>
      <c r="I137" s="863">
        <f>G135+G136+G137</f>
        <v>0</v>
      </c>
      <c r="J137" s="846">
        <f>H137/DAY(B2)</f>
        <v>1.8275000000000243</v>
      </c>
      <c r="O137" s="848"/>
    </row>
    <row r="138" spans="1:15">
      <c r="A138" s="870" t="s">
        <v>245</v>
      </c>
      <c r="B138" s="871"/>
      <c r="C138" s="871"/>
      <c r="D138" s="841" t="s">
        <v>238</v>
      </c>
      <c r="E138" s="842">
        <f>'23'!F138</f>
        <v>25051.72</v>
      </c>
      <c r="F138" s="993">
        <v>25051.72</v>
      </c>
      <c r="G138" s="843">
        <f t="shared" si="15"/>
        <v>0</v>
      </c>
      <c r="H138" s="844">
        <f>G138+'23'!H138</f>
        <v>8</v>
      </c>
      <c r="I138" s="863"/>
      <c r="J138" s="846">
        <f>H138/DAY(B2)</f>
        <v>0.33333333333333331</v>
      </c>
      <c r="O138" s="848"/>
    </row>
    <row r="139" spans="1:15">
      <c r="A139" s="870" t="s">
        <v>246</v>
      </c>
      <c r="B139" s="871"/>
      <c r="C139" s="871"/>
      <c r="D139" s="841" t="s">
        <v>238</v>
      </c>
      <c r="E139" s="842">
        <f>'23'!F139</f>
        <v>70379.100000000006</v>
      </c>
      <c r="F139" s="993">
        <v>70389.350000000006</v>
      </c>
      <c r="G139" s="843">
        <f t="shared" si="15"/>
        <v>10.25</v>
      </c>
      <c r="H139" s="844">
        <f>G139+'23'!H139</f>
        <v>25.25</v>
      </c>
      <c r="I139" s="863">
        <f>G138+G139</f>
        <v>10.25</v>
      </c>
      <c r="J139" s="846">
        <f>H139/DAY(B2)</f>
        <v>1.0520833333333333</v>
      </c>
      <c r="O139" s="848"/>
    </row>
    <row r="140" spans="1:15">
      <c r="A140" s="870" t="s">
        <v>247</v>
      </c>
      <c r="B140" s="871"/>
      <c r="C140" s="871"/>
      <c r="D140" s="841" t="s">
        <v>238</v>
      </c>
      <c r="E140" s="842">
        <f>'23'!F140</f>
        <v>1793.19</v>
      </c>
      <c r="F140" s="872">
        <v>1801.71</v>
      </c>
      <c r="G140" s="843">
        <f t="shared" si="15"/>
        <v>8.5199999999999818</v>
      </c>
      <c r="H140" s="844">
        <f>G140+'23'!H140</f>
        <v>184.85000000000014</v>
      </c>
      <c r="I140" s="994"/>
      <c r="J140" s="846">
        <f>H140/DAY(B2)</f>
        <v>7.7020833333333387</v>
      </c>
      <c r="O140" s="848"/>
    </row>
    <row r="141" spans="1:15">
      <c r="A141" s="870" t="s">
        <v>248</v>
      </c>
      <c r="B141" s="871"/>
      <c r="C141" s="871"/>
      <c r="D141" s="841" t="s">
        <v>238</v>
      </c>
      <c r="E141" s="842">
        <f>'23'!F141</f>
        <v>4636.88</v>
      </c>
      <c r="F141" s="872">
        <v>4636.58</v>
      </c>
      <c r="G141" s="843">
        <f t="shared" si="15"/>
        <v>-0.3000000000001819</v>
      </c>
      <c r="H141" s="844">
        <f>G141+'23'!H141</f>
        <v>-0.42000000000007276</v>
      </c>
      <c r="I141" s="994"/>
      <c r="J141" s="846">
        <f>H141/DAY(B2)</f>
        <v>-1.750000000000303E-2</v>
      </c>
      <c r="O141" s="848"/>
    </row>
    <row r="142" spans="1:15">
      <c r="A142" s="1631" t="s">
        <v>249</v>
      </c>
      <c r="B142" s="1632"/>
      <c r="C142" s="836"/>
      <c r="D142" s="836"/>
      <c r="E142" s="836"/>
      <c r="F142" s="836"/>
      <c r="G142" s="868"/>
      <c r="H142" s="868"/>
      <c r="I142" s="868"/>
      <c r="J142" s="987"/>
      <c r="K142" s="942"/>
      <c r="L142" s="821"/>
      <c r="O142" s="848"/>
    </row>
    <row r="143" spans="1:15">
      <c r="A143" s="1633" t="s">
        <v>250</v>
      </c>
      <c r="B143" s="1634"/>
      <c r="C143" s="1635"/>
      <c r="D143" s="841" t="s">
        <v>131</v>
      </c>
      <c r="E143" s="841"/>
      <c r="F143" s="841"/>
      <c r="G143" s="844">
        <f>G35+G43+G49+G57</f>
        <v>4352.6800000000512</v>
      </c>
      <c r="H143" s="844">
        <f>G143+'23'!H143</f>
        <v>98787.710000000079</v>
      </c>
      <c r="I143" s="863"/>
      <c r="J143" s="846">
        <f>H143/DAY(B2)</f>
        <v>4116.1545833333366</v>
      </c>
      <c r="K143" s="942"/>
      <c r="L143" s="821"/>
      <c r="O143" s="848"/>
    </row>
    <row r="144" spans="1:15">
      <c r="A144" s="1633" t="s">
        <v>251</v>
      </c>
      <c r="B144" s="1634"/>
      <c r="C144" s="1635"/>
      <c r="D144" s="841" t="s">
        <v>24</v>
      </c>
      <c r="E144" s="828"/>
      <c r="F144" s="828"/>
      <c r="G144" s="995">
        <f>G143/G7</f>
        <v>0.26303963953728965</v>
      </c>
      <c r="H144" s="844">
        <f>G144+'23'!H144</f>
        <v>6.2828918582857449</v>
      </c>
      <c r="I144" s="996"/>
      <c r="J144" s="846">
        <f>H144/DAY(B2)</f>
        <v>0.26178716076190606</v>
      </c>
      <c r="K144" s="942"/>
      <c r="L144" s="821"/>
      <c r="O144" s="848"/>
    </row>
    <row r="145" spans="1:15">
      <c r="A145" s="1633" t="s">
        <v>252</v>
      </c>
      <c r="B145" s="1634"/>
      <c r="C145" s="1635"/>
      <c r="D145" s="841" t="s">
        <v>131</v>
      </c>
      <c r="E145" s="842"/>
      <c r="F145" s="842"/>
      <c r="G145" s="844">
        <f>G41+G42+G55+G56</f>
        <v>5182.0400000000445</v>
      </c>
      <c r="H145" s="844">
        <f>G145+'23'!H145</f>
        <v>118399.47000000003</v>
      </c>
      <c r="I145" s="863"/>
      <c r="J145" s="846">
        <f>H145/DAY(B2)</f>
        <v>4933.3112500000016</v>
      </c>
      <c r="K145" s="942"/>
      <c r="L145" s="821"/>
      <c r="O145" s="848"/>
    </row>
    <row r="146" spans="1:15">
      <c r="A146" s="1633" t="s">
        <v>253</v>
      </c>
      <c r="B146" s="1634"/>
      <c r="C146" s="1635"/>
      <c r="D146" s="841" t="s">
        <v>24</v>
      </c>
      <c r="E146" s="842"/>
      <c r="F146" s="842"/>
      <c r="G146" s="995">
        <f>G145/G7</f>
        <v>0.31315923377501037</v>
      </c>
      <c r="H146" s="844">
        <f>G146+'23'!H146</f>
        <v>7.5293286917685078</v>
      </c>
      <c r="I146" s="996"/>
      <c r="J146" s="846">
        <f>H146/DAY(B2)</f>
        <v>0.31372202882368783</v>
      </c>
      <c r="K146" s="942"/>
      <c r="L146" s="821"/>
      <c r="O146" s="848"/>
    </row>
    <row r="147" spans="1:15">
      <c r="A147" s="1633" t="s">
        <v>254</v>
      </c>
      <c r="B147" s="1634"/>
      <c r="C147" s="1635"/>
      <c r="D147" s="841" t="s">
        <v>131</v>
      </c>
      <c r="E147" s="842"/>
      <c r="F147" s="842"/>
      <c r="G147" s="844">
        <f>G39+G53</f>
        <v>2764.8800000000629</v>
      </c>
      <c r="H147" s="844">
        <f>G147+'23'!H147</f>
        <v>58500.540000000037</v>
      </c>
      <c r="I147" s="997"/>
      <c r="J147" s="846">
        <f>H147/DAY(B2)</f>
        <v>2437.5225000000014</v>
      </c>
      <c r="K147" s="942"/>
      <c r="L147" s="821"/>
      <c r="O147" s="848"/>
    </row>
    <row r="148" spans="1:15">
      <c r="A148" s="1633" t="s">
        <v>255</v>
      </c>
      <c r="B148" s="1634"/>
      <c r="C148" s="1635"/>
      <c r="D148" s="841" t="s">
        <v>24</v>
      </c>
      <c r="E148" s="842"/>
      <c r="F148" s="842"/>
      <c r="G148" s="995">
        <f>G147/G7</f>
        <v>0.16708626376482291</v>
      </c>
      <c r="H148" s="844">
        <f>G148+'23'!H148</f>
        <v>3.7168905174076152</v>
      </c>
      <c r="I148" s="997"/>
      <c r="J148" s="846">
        <f>H148/DAY(B2)</f>
        <v>0.15487043822531729</v>
      </c>
      <c r="O148" s="848"/>
    </row>
    <row r="149" spans="1:15">
      <c r="A149" s="1633" t="s">
        <v>256</v>
      </c>
      <c r="B149" s="1634"/>
      <c r="C149" s="1635"/>
      <c r="D149" s="841" t="s">
        <v>182</v>
      </c>
      <c r="E149" s="842"/>
      <c r="F149" s="842"/>
      <c r="G149" s="844">
        <f>G38+G52</f>
        <v>1238.2799999999988</v>
      </c>
      <c r="H149" s="844">
        <f>G149+'23'!H149</f>
        <v>28200.779999999941</v>
      </c>
      <c r="I149" s="863"/>
      <c r="J149" s="846">
        <f>H149/DAY(B2)</f>
        <v>1175.0324999999975</v>
      </c>
      <c r="K149" s="998"/>
      <c r="O149" s="848"/>
    </row>
    <row r="150" spans="1:15">
      <c r="A150" s="1633" t="s">
        <v>257</v>
      </c>
      <c r="B150" s="1634"/>
      <c r="C150" s="1635"/>
      <c r="D150" s="841" t="s">
        <v>24</v>
      </c>
      <c r="E150" s="842"/>
      <c r="F150" s="842"/>
      <c r="G150" s="995">
        <f>G149/G7</f>
        <v>7.4831305045680099E-2</v>
      </c>
      <c r="H150" s="844">
        <f>G150+'23'!H150</f>
        <v>1.7925854497552574</v>
      </c>
      <c r="I150" s="997"/>
      <c r="J150" s="846">
        <f>H150/DAY(B2)</f>
        <v>7.4691060406469056E-2</v>
      </c>
      <c r="O150" s="848"/>
    </row>
    <row r="151" spans="1:15">
      <c r="A151" s="1633" t="s">
        <v>258</v>
      </c>
      <c r="B151" s="1634"/>
      <c r="C151" s="1635"/>
      <c r="D151" s="841" t="s">
        <v>182</v>
      </c>
      <c r="E151" s="842"/>
      <c r="F151" s="842"/>
      <c r="G151" s="844">
        <f>G36+G50</f>
        <v>864.44000000000233</v>
      </c>
      <c r="H151" s="844">
        <f>G151+'23'!H151</f>
        <v>23829.590000000026</v>
      </c>
      <c r="I151" s="997"/>
      <c r="J151" s="846">
        <f>H151/DAY(B2)</f>
        <v>992.89958333333436</v>
      </c>
      <c r="O151" s="848"/>
    </row>
    <row r="152" spans="1:15">
      <c r="A152" s="1633" t="s">
        <v>259</v>
      </c>
      <c r="B152" s="1634"/>
      <c r="C152" s="1635"/>
      <c r="D152" s="841" t="s">
        <v>24</v>
      </c>
      <c r="E152" s="842"/>
      <c r="F152" s="842"/>
      <c r="G152" s="995">
        <f>G151/G7</f>
        <v>5.2239536561753355E-2</v>
      </c>
      <c r="H152" s="844">
        <f>G152+'23'!H152</f>
        <v>1.5100213451659064</v>
      </c>
      <c r="I152" s="863"/>
      <c r="J152" s="846">
        <f>H152/DAY(B2)</f>
        <v>6.2917556048579432E-2</v>
      </c>
      <c r="O152" s="848"/>
    </row>
    <row r="153" spans="1:15">
      <c r="A153" s="1633" t="s">
        <v>260</v>
      </c>
      <c r="B153" s="1634"/>
      <c r="C153" s="1635"/>
      <c r="D153" s="841" t="s">
        <v>182</v>
      </c>
      <c r="E153" s="842"/>
      <c r="F153" s="842"/>
      <c r="G153" s="844">
        <f>G37+G51</f>
        <v>1287.3700000000099</v>
      </c>
      <c r="H153" s="844">
        <f>G153+'23'!H153</f>
        <v>29927.75</v>
      </c>
      <c r="I153" s="863"/>
      <c r="J153" s="846">
        <f>H153/DAY(B2)</f>
        <v>1246.9895833333333</v>
      </c>
      <c r="O153" s="848"/>
    </row>
    <row r="154" spans="1:15" ht="21" thickBot="1">
      <c r="A154" s="1636" t="s">
        <v>261</v>
      </c>
      <c r="B154" s="1637"/>
      <c r="C154" s="1638"/>
      <c r="D154" s="999" t="s">
        <v>24</v>
      </c>
      <c r="E154" s="1000"/>
      <c r="F154" s="1000"/>
      <c r="G154" s="1001">
        <f>G153/G7</f>
        <v>7.779789480299934E-2</v>
      </c>
      <c r="H154" s="844">
        <f>G154+'23'!H154</f>
        <v>1.905865900986832</v>
      </c>
      <c r="I154" s="1002"/>
      <c r="J154" s="1003">
        <f>H154/DAY(B2)</f>
        <v>7.941107920778466E-2</v>
      </c>
      <c r="O154" s="848"/>
    </row>
    <row r="155" spans="1:15">
      <c r="A155" s="1004"/>
      <c r="B155" s="1004"/>
      <c r="C155" s="1004"/>
      <c r="D155" s="1004"/>
      <c r="E155" s="1004"/>
      <c r="F155" s="1004"/>
      <c r="G155" s="1004"/>
      <c r="H155" s="1005"/>
      <c r="I155" s="1004"/>
      <c r="J155" s="1006"/>
      <c r="O155" s="848"/>
    </row>
    <row r="161" spans="1:7">
      <c r="A161" s="994" t="s">
        <v>262</v>
      </c>
      <c r="B161" s="994"/>
      <c r="C161" s="994"/>
      <c r="D161" s="828" t="s">
        <v>186</v>
      </c>
      <c r="E161" s="842">
        <f>'23'!F161</f>
        <v>37780.239999999998</v>
      </c>
      <c r="F161" s="1018">
        <v>37863.18</v>
      </c>
      <c r="G161" s="843">
        <f t="shared" ref="G161:G164" si="16">F161-E161</f>
        <v>82.940000000002328</v>
      </c>
    </row>
    <row r="162" spans="1:7" ht="21.75" customHeight="1">
      <c r="A162" s="994" t="s">
        <v>263</v>
      </c>
      <c r="B162" s="994"/>
      <c r="C162" s="994"/>
      <c r="D162" s="828" t="s">
        <v>186</v>
      </c>
      <c r="E162" s="842">
        <f>'23'!F162</f>
        <v>91687.55</v>
      </c>
      <c r="F162" s="1018">
        <v>92088.62</v>
      </c>
      <c r="G162" s="843">
        <f t="shared" si="16"/>
        <v>401.06999999999243</v>
      </c>
    </row>
    <row r="163" spans="1:7" ht="21.75" customHeight="1">
      <c r="A163" s="994" t="s">
        <v>264</v>
      </c>
      <c r="B163" s="994"/>
      <c r="C163" s="994"/>
      <c r="D163" s="828" t="s">
        <v>186</v>
      </c>
      <c r="E163" s="842">
        <f>'23'!F163</f>
        <v>43301.7</v>
      </c>
      <c r="F163" s="1018">
        <v>43511.01</v>
      </c>
      <c r="G163" s="843">
        <f t="shared" si="16"/>
        <v>209.31000000000495</v>
      </c>
    </row>
    <row r="164" spans="1:7" ht="21.75" customHeight="1">
      <c r="A164" s="994" t="s">
        <v>265</v>
      </c>
      <c r="B164" s="994"/>
      <c r="C164" s="994"/>
      <c r="D164" s="828" t="s">
        <v>186</v>
      </c>
      <c r="E164" s="842">
        <f>'23'!F164</f>
        <v>6501.17</v>
      </c>
      <c r="F164" s="1018">
        <v>6509.7</v>
      </c>
      <c r="G164" s="843">
        <f t="shared" si="16"/>
        <v>8.5299999999997453</v>
      </c>
    </row>
    <row r="165" spans="1:7" ht="21.75" customHeight="1">
      <c r="A165" s="924" t="s">
        <v>98</v>
      </c>
      <c r="B165" s="924"/>
      <c r="C165" s="924"/>
      <c r="D165" s="828" t="s">
        <v>186</v>
      </c>
      <c r="E165" s="925">
        <f>E62</f>
        <v>20419</v>
      </c>
      <c r="F165" s="925">
        <f>F62</f>
        <v>20419</v>
      </c>
      <c r="G165" s="843">
        <f t="shared" ref="G165:G172" si="17">F165-E165</f>
        <v>0</v>
      </c>
    </row>
    <row r="166" spans="1:7" ht="21.75" customHeight="1">
      <c r="A166" s="924" t="s">
        <v>187</v>
      </c>
      <c r="B166" s="924"/>
      <c r="C166" s="924"/>
      <c r="D166" s="828" t="s">
        <v>186</v>
      </c>
      <c r="E166" s="925">
        <f t="shared" ref="E166:E172" si="18">E63</f>
        <v>2445.87</v>
      </c>
      <c r="F166" s="925">
        <f t="shared" ref="F166:F172" si="19">F63</f>
        <v>2449.7199999999998</v>
      </c>
      <c r="G166" s="843">
        <f t="shared" si="17"/>
        <v>3.8499999999999091</v>
      </c>
    </row>
    <row r="167" spans="1:7" ht="21.75" customHeight="1">
      <c r="A167" s="1609" t="s">
        <v>99</v>
      </c>
      <c r="B167" s="1609"/>
      <c r="C167" s="1609"/>
      <c r="D167" s="841" t="s">
        <v>186</v>
      </c>
      <c r="E167" s="925">
        <f t="shared" si="18"/>
        <v>158385.74</v>
      </c>
      <c r="F167" s="925">
        <f t="shared" si="19"/>
        <v>158599.99</v>
      </c>
      <c r="G167" s="843">
        <f t="shared" si="17"/>
        <v>214.25</v>
      </c>
    </row>
    <row r="168" spans="1:7" ht="21.75" customHeight="1">
      <c r="A168" s="1609" t="s">
        <v>100</v>
      </c>
      <c r="B168" s="1609"/>
      <c r="C168" s="1609"/>
      <c r="D168" s="841" t="s">
        <v>186</v>
      </c>
      <c r="E168" s="925">
        <f t="shared" si="18"/>
        <v>159251.1</v>
      </c>
      <c r="F168" s="925">
        <f t="shared" si="19"/>
        <v>159470.85</v>
      </c>
      <c r="G168" s="843">
        <f t="shared" si="17"/>
        <v>219.75</v>
      </c>
    </row>
    <row r="169" spans="1:7" ht="21.75" customHeight="1">
      <c r="A169" s="1609" t="s">
        <v>101</v>
      </c>
      <c r="B169" s="1609"/>
      <c r="C169" s="1609"/>
      <c r="D169" s="841" t="s">
        <v>186</v>
      </c>
      <c r="E169" s="925">
        <f t="shared" si="18"/>
        <v>54623.42</v>
      </c>
      <c r="F169" s="925">
        <f t="shared" si="19"/>
        <v>54926.18</v>
      </c>
      <c r="G169" s="843">
        <f t="shared" si="17"/>
        <v>302.76000000000204</v>
      </c>
    </row>
    <row r="170" spans="1:7">
      <c r="A170" s="1609" t="s">
        <v>102</v>
      </c>
      <c r="B170" s="1609"/>
      <c r="C170" s="1609"/>
      <c r="D170" s="841" t="s">
        <v>186</v>
      </c>
      <c r="E170" s="925">
        <f t="shared" si="18"/>
        <v>248708.17</v>
      </c>
      <c r="F170" s="925">
        <f t="shared" si="19"/>
        <v>249138.4</v>
      </c>
      <c r="G170" s="843">
        <f t="shared" si="17"/>
        <v>430.22999999998137</v>
      </c>
    </row>
    <row r="171" spans="1:7" ht="24" customHeight="1">
      <c r="A171" s="1609" t="s">
        <v>103</v>
      </c>
      <c r="B171" s="1609"/>
      <c r="C171" s="1609"/>
      <c r="D171" s="841" t="s">
        <v>186</v>
      </c>
      <c r="E171" s="925">
        <f t="shared" si="18"/>
        <v>85321</v>
      </c>
      <c r="F171" s="925">
        <f t="shared" si="19"/>
        <v>85321</v>
      </c>
      <c r="G171" s="843">
        <f t="shared" si="17"/>
        <v>0</v>
      </c>
    </row>
    <row r="172" spans="1:7">
      <c r="A172" s="1609" t="s">
        <v>104</v>
      </c>
      <c r="B172" s="1609"/>
      <c r="C172" s="1609"/>
      <c r="D172" s="841" t="s">
        <v>186</v>
      </c>
      <c r="E172" s="925">
        <f t="shared" si="18"/>
        <v>80895.100000000006</v>
      </c>
      <c r="F172" s="925">
        <f t="shared" si="19"/>
        <v>80980.38</v>
      </c>
      <c r="G172" s="843">
        <f t="shared" si="17"/>
        <v>85.279999999998836</v>
      </c>
    </row>
    <row r="173" spans="1:7">
      <c r="G173" s="1009">
        <f>SUM(G161:G172)</f>
        <v>1957.9699999999816</v>
      </c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zoomScale="70" zoomScaleNormal="49" zoomScaleSheetLayoutView="70" workbookViewId="0">
      <selection activeCell="H8" sqref="H8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2.44140625" style="1007" customWidth="1"/>
    <col min="4" max="4" width="13.6640625" style="1007" customWidth="1"/>
    <col min="5" max="5" width="28.109375" style="1007" customWidth="1"/>
    <col min="6" max="6" width="23.77734375" style="1504" customWidth="1"/>
    <col min="7" max="7" width="18.44140625" style="1007" customWidth="1"/>
    <col min="8" max="8" width="39.21875" style="1008" customWidth="1"/>
    <col min="9" max="9" width="12" style="1007" bestFit="1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8" style="808" bestFit="1" customWidth="1"/>
    <col min="16" max="16384" width="22.33203125" style="808"/>
  </cols>
  <sheetData>
    <row r="1" spans="1:15" ht="22.5">
      <c r="A1" s="1660" t="s">
        <v>116</v>
      </c>
      <c r="B1" s="1661"/>
      <c r="C1" s="1661"/>
      <c r="D1" s="1661"/>
      <c r="E1" s="1661"/>
      <c r="F1" s="1661"/>
      <c r="G1" s="1661"/>
      <c r="H1" s="1661"/>
      <c r="I1" s="1661"/>
      <c r="J1" s="1662"/>
    </row>
    <row r="2" spans="1:15">
      <c r="A2" s="809" t="s">
        <v>274</v>
      </c>
      <c r="B2" s="1080">
        <v>43976</v>
      </c>
      <c r="C2" s="810" t="s">
        <v>69</v>
      </c>
      <c r="D2" s="1023">
        <v>0.54</v>
      </c>
      <c r="E2" s="812"/>
      <c r="F2" s="1488"/>
      <c r="G2" s="812" t="s">
        <v>117</v>
      </c>
      <c r="H2" s="812" t="s">
        <v>6</v>
      </c>
      <c r="I2" s="812" t="s">
        <v>8</v>
      </c>
      <c r="J2" s="813" t="s">
        <v>118</v>
      </c>
    </row>
    <row r="3" spans="1:15">
      <c r="A3" s="814"/>
      <c r="B3" s="815"/>
      <c r="C3" s="810" t="s">
        <v>119</v>
      </c>
      <c r="D3" s="810">
        <v>31</v>
      </c>
      <c r="E3" s="1663" t="s">
        <v>120</v>
      </c>
      <c r="F3" s="1664"/>
      <c r="G3" s="817">
        <f>'1'!G3</f>
        <v>0</v>
      </c>
      <c r="H3" s="818">
        <f>'1'!H3</f>
        <v>0</v>
      </c>
      <c r="I3" s="818">
        <f>'1'!I3</f>
        <v>0</v>
      </c>
      <c r="J3" s="819">
        <f>'1'!J3</f>
        <v>0</v>
      </c>
      <c r="K3" s="820"/>
      <c r="L3" s="821"/>
    </row>
    <row r="4" spans="1:15">
      <c r="A4" s="822"/>
      <c r="B4" s="823"/>
      <c r="C4" s="810" t="s">
        <v>121</v>
      </c>
      <c r="D4" s="1023">
        <v>0.8</v>
      </c>
      <c r="E4" s="824"/>
      <c r="F4" s="1465"/>
      <c r="G4" s="824"/>
      <c r="H4" s="824"/>
      <c r="I4" s="825"/>
      <c r="J4" s="819"/>
      <c r="K4" s="826"/>
      <c r="L4" s="821"/>
    </row>
    <row r="5" spans="1:15">
      <c r="A5" s="827" t="s">
        <v>122</v>
      </c>
      <c r="B5" s="828"/>
      <c r="C5" s="828"/>
      <c r="D5" s="828" t="s">
        <v>123</v>
      </c>
      <c r="E5" s="829" t="s">
        <v>124</v>
      </c>
      <c r="F5" s="1489" t="s">
        <v>111</v>
      </c>
      <c r="G5" s="830" t="s">
        <v>125</v>
      </c>
      <c r="H5" s="831" t="s">
        <v>126</v>
      </c>
      <c r="I5" s="832" t="s">
        <v>127</v>
      </c>
      <c r="J5" s="833" t="s">
        <v>128</v>
      </c>
      <c r="K5" s="834"/>
      <c r="L5" s="821"/>
    </row>
    <row r="6" spans="1:15">
      <c r="A6" s="1657" t="s">
        <v>129</v>
      </c>
      <c r="B6" s="1658"/>
      <c r="C6" s="1659"/>
      <c r="D6" s="835"/>
      <c r="E6" s="835"/>
      <c r="F6" s="1488"/>
      <c r="G6" s="835"/>
      <c r="H6" s="836"/>
      <c r="I6" s="836"/>
      <c r="J6" s="837"/>
      <c r="K6" s="838"/>
      <c r="L6" s="821"/>
    </row>
    <row r="7" spans="1:15" ht="21" thickBot="1">
      <c r="A7" s="839" t="s">
        <v>130</v>
      </c>
      <c r="B7" s="840"/>
      <c r="C7" s="840"/>
      <c r="D7" s="841" t="s">
        <v>131</v>
      </c>
      <c r="E7" s="842">
        <f>'24'!F7</f>
        <v>222863.67</v>
      </c>
      <c r="F7" s="1465">
        <v>239099.07</v>
      </c>
      <c r="G7" s="843">
        <f>F7-E7</f>
        <v>16235.399999999994</v>
      </c>
      <c r="H7" s="844">
        <f>G7+'24'!H7</f>
        <v>394122.07000000007</v>
      </c>
      <c r="I7" s="845">
        <f>'1'!I7</f>
        <v>12000</v>
      </c>
      <c r="J7" s="846">
        <f>H7/DAY(B2)</f>
        <v>15764.882800000003</v>
      </c>
      <c r="K7" s="847"/>
      <c r="L7" s="821"/>
      <c r="N7" s="1021">
        <f>G7/G8</f>
        <v>0.99609547556175004</v>
      </c>
      <c r="O7" s="848"/>
    </row>
    <row r="8" spans="1:15" ht="21" thickBot="1">
      <c r="A8" s="849" t="s">
        <v>132</v>
      </c>
      <c r="B8" s="850"/>
      <c r="C8" s="851"/>
      <c r="D8" s="852" t="s">
        <v>25</v>
      </c>
      <c r="E8" s="842">
        <f>'24'!F8</f>
        <v>224411.63</v>
      </c>
      <c r="F8" s="1490">
        <v>240710.67</v>
      </c>
      <c r="G8" s="854">
        <f>F8-E8</f>
        <v>16299.040000000008</v>
      </c>
      <c r="H8" s="844">
        <f>G8+'24'!H8</f>
        <v>396469.67000000004</v>
      </c>
      <c r="I8" s="855">
        <f>'1'!I8</f>
        <v>12000</v>
      </c>
      <c r="J8" s="846">
        <f>H8/DAY(B2)</f>
        <v>15858.786800000002</v>
      </c>
      <c r="K8" s="847">
        <v>1375467</v>
      </c>
      <c r="L8" s="856">
        <v>1667461</v>
      </c>
      <c r="M8" s="857"/>
      <c r="O8" s="848"/>
    </row>
    <row r="9" spans="1:15">
      <c r="A9" s="858" t="s">
        <v>133</v>
      </c>
      <c r="B9" s="859"/>
      <c r="C9" s="859"/>
      <c r="D9" s="841" t="s">
        <v>131</v>
      </c>
      <c r="E9" s="842">
        <f>'24'!F9</f>
        <v>1356145.2</v>
      </c>
      <c r="F9" s="1491">
        <v>1371859.3</v>
      </c>
      <c r="G9" s="843">
        <f t="shared" ref="G9:G12" si="0">F9-E9</f>
        <v>15714.100000000093</v>
      </c>
      <c r="H9" s="844">
        <f>G9+'24'!H9</f>
        <v>381145.30000000005</v>
      </c>
      <c r="I9" s="861">
        <f>I8-J8</f>
        <v>-3858.7868000000017</v>
      </c>
      <c r="J9" s="846">
        <f>H9/DAY(B2)</f>
        <v>15245.812000000002</v>
      </c>
      <c r="K9" s="862"/>
      <c r="L9" s="821"/>
      <c r="O9" s="848"/>
    </row>
    <row r="10" spans="1:15">
      <c r="A10" s="839" t="s">
        <v>134</v>
      </c>
      <c r="B10" s="840"/>
      <c r="C10" s="840"/>
      <c r="D10" s="841" t="s">
        <v>131</v>
      </c>
      <c r="E10" s="842">
        <f>'24'!F10</f>
        <v>2322.58</v>
      </c>
      <c r="F10" s="1491">
        <v>2322.58</v>
      </c>
      <c r="G10" s="843">
        <f t="shared" si="0"/>
        <v>0</v>
      </c>
      <c r="H10" s="844">
        <f>G10+'24'!H10</f>
        <v>0</v>
      </c>
      <c r="I10" s="863"/>
      <c r="J10" s="846">
        <f>H10/DAY(B2)</f>
        <v>0</v>
      </c>
      <c r="K10" s="862"/>
      <c r="L10" s="821">
        <f>L8-K8</f>
        <v>291994</v>
      </c>
      <c r="O10" s="848"/>
    </row>
    <row r="11" spans="1:15">
      <c r="A11" s="839" t="s">
        <v>135</v>
      </c>
      <c r="B11" s="840"/>
      <c r="C11" s="840"/>
      <c r="D11" s="841" t="s">
        <v>131</v>
      </c>
      <c r="E11" s="842">
        <f>'5'!E11</f>
        <v>37000</v>
      </c>
      <c r="F11" s="1465">
        <v>37000</v>
      </c>
      <c r="G11" s="843">
        <f t="shared" si="0"/>
        <v>0</v>
      </c>
      <c r="H11" s="844">
        <f>G11+'24'!H11</f>
        <v>0</v>
      </c>
      <c r="I11" s="863"/>
      <c r="J11" s="846">
        <f>H11/DAY(B2)</f>
        <v>0</v>
      </c>
      <c r="K11" s="862"/>
      <c r="L11" s="821"/>
      <c r="N11" s="1022">
        <f>G7*N7</f>
        <v>16172.008483935231</v>
      </c>
      <c r="O11" s="848"/>
    </row>
    <row r="12" spans="1:15">
      <c r="A12" s="839" t="s">
        <v>136</v>
      </c>
      <c r="B12" s="840"/>
      <c r="C12" s="840"/>
      <c r="D12" s="841" t="s">
        <v>131</v>
      </c>
      <c r="E12" s="842">
        <f>'5'!E12</f>
        <v>40010</v>
      </c>
      <c r="F12" s="1491">
        <v>40010</v>
      </c>
      <c r="G12" s="843">
        <f t="shared" si="0"/>
        <v>0</v>
      </c>
      <c r="H12" s="844">
        <f>G12+'24'!H12</f>
        <v>0</v>
      </c>
      <c r="I12" s="863"/>
      <c r="J12" s="846">
        <f>H12/DAY(B2)</f>
        <v>0</v>
      </c>
      <c r="K12" s="862"/>
      <c r="L12" s="821"/>
      <c r="O12" s="848"/>
    </row>
    <row r="13" spans="1:15">
      <c r="A13" s="864" t="s">
        <v>137</v>
      </c>
      <c r="B13" s="865"/>
      <c r="C13" s="865"/>
      <c r="D13" s="841"/>
      <c r="E13" s="842"/>
      <c r="F13" s="1465"/>
      <c r="G13" s="866">
        <f>G9+G10+G11+G12</f>
        <v>15714.100000000093</v>
      </c>
      <c r="H13" s="844">
        <f>G13+'24'!H13</f>
        <v>366624.30000000005</v>
      </c>
      <c r="I13" s="867">
        <f>G7-G13</f>
        <v>521.29999999990105</v>
      </c>
      <c r="J13" s="846">
        <f>H13/DAY(B2)</f>
        <v>14664.972000000002</v>
      </c>
      <c r="K13" s="862"/>
      <c r="L13" s="821">
        <f>L10-H7</f>
        <v>-102128.07000000007</v>
      </c>
      <c r="O13" s="848"/>
    </row>
    <row r="14" spans="1:15">
      <c r="A14" s="1651" t="s">
        <v>138</v>
      </c>
      <c r="B14" s="1652"/>
      <c r="C14" s="1653"/>
      <c r="D14" s="836"/>
      <c r="E14" s="836"/>
      <c r="F14" s="941"/>
      <c r="G14" s="868"/>
      <c r="H14" s="836"/>
      <c r="I14" s="836"/>
      <c r="J14" s="837"/>
      <c r="K14" s="869"/>
      <c r="L14" s="821"/>
      <c r="O14" s="848"/>
    </row>
    <row r="15" spans="1:15">
      <c r="A15" s="870" t="s">
        <v>139</v>
      </c>
      <c r="B15" s="871"/>
      <c r="C15" s="871"/>
      <c r="D15" s="841" t="s">
        <v>140</v>
      </c>
      <c r="E15" s="842">
        <f>'24'!F15</f>
        <v>1680959.63</v>
      </c>
      <c r="F15" s="993">
        <v>1681634.919</v>
      </c>
      <c r="G15" s="1019">
        <f>(F15-E15)</f>
        <v>675.28900000010617</v>
      </c>
      <c r="H15" s="844">
        <f>G15+'24'!H15</f>
        <v>10977.918999999994</v>
      </c>
      <c r="I15" s="845">
        <f>'1'!I15</f>
        <v>800</v>
      </c>
      <c r="J15" s="846">
        <f>H15/DAY(B2)</f>
        <v>439.11675999999977</v>
      </c>
      <c r="K15" s="862"/>
      <c r="L15" s="821"/>
      <c r="O15" s="848"/>
    </row>
    <row r="16" spans="1:15">
      <c r="A16" s="873"/>
      <c r="B16" s="874"/>
      <c r="C16" s="874"/>
      <c r="D16" s="875"/>
      <c r="E16" s="876"/>
      <c r="F16" s="1491"/>
      <c r="G16" s="843"/>
      <c r="H16" s="877"/>
      <c r="I16" s="878">
        <f>I15-J15</f>
        <v>360.88324000000023</v>
      </c>
      <c r="J16" s="879"/>
      <c r="K16" s="862"/>
      <c r="L16" s="821"/>
      <c r="O16" s="848">
        <f>580-990</f>
        <v>-410</v>
      </c>
    </row>
    <row r="17" spans="1:15">
      <c r="A17" s="1651" t="s">
        <v>141</v>
      </c>
      <c r="B17" s="1652"/>
      <c r="C17" s="1653"/>
      <c r="D17" s="836"/>
      <c r="E17" s="836"/>
      <c r="F17" s="941"/>
      <c r="G17" s="880"/>
      <c r="H17" s="836"/>
      <c r="I17" s="836"/>
      <c r="J17" s="837"/>
      <c r="K17" s="862"/>
      <c r="L17" s="821"/>
      <c r="O17" s="1380">
        <f>O16*3</f>
        <v>-1230</v>
      </c>
    </row>
    <row r="18" spans="1:15">
      <c r="A18" s="1633" t="s">
        <v>142</v>
      </c>
      <c r="B18" s="1634"/>
      <c r="C18" s="1635"/>
      <c r="D18" s="841" t="s">
        <v>143</v>
      </c>
      <c r="E18" s="842">
        <f>'24'!F18</f>
        <v>5</v>
      </c>
      <c r="F18" s="993">
        <v>6</v>
      </c>
      <c r="G18" s="866">
        <f>F18*10</f>
        <v>60</v>
      </c>
      <c r="H18" s="844">
        <f>G18+'24'!H18</f>
        <v>960</v>
      </c>
      <c r="I18" s="845">
        <f>'1'!I18</f>
        <v>65</v>
      </c>
      <c r="J18" s="846">
        <f>H18/DAY(B2)</f>
        <v>38.4</v>
      </c>
      <c r="K18" s="862"/>
      <c r="L18" s="821"/>
      <c r="O18" s="848"/>
    </row>
    <row r="19" spans="1:15">
      <c r="A19" s="1633" t="s">
        <v>71</v>
      </c>
      <c r="B19" s="1634"/>
      <c r="C19" s="1635"/>
      <c r="D19" s="841" t="s">
        <v>143</v>
      </c>
      <c r="E19" s="842">
        <f>'24'!F19</f>
        <v>139202</v>
      </c>
      <c r="F19" s="993">
        <v>139262</v>
      </c>
      <c r="G19" s="843">
        <f t="shared" ref="G19" si="1">F19-E19</f>
        <v>60</v>
      </c>
      <c r="H19" s="844">
        <f>G19+'24'!H19</f>
        <v>1450</v>
      </c>
      <c r="I19" s="881"/>
      <c r="J19" s="846">
        <f>H19/DAY(B2)</f>
        <v>58</v>
      </c>
      <c r="K19" s="862"/>
      <c r="L19" s="821"/>
      <c r="O19" s="848"/>
    </row>
    <row r="20" spans="1:15">
      <c r="A20" s="864" t="s">
        <v>144</v>
      </c>
      <c r="B20" s="865"/>
      <c r="C20" s="865"/>
      <c r="D20" s="882"/>
      <c r="E20" s="882"/>
      <c r="F20" s="1492"/>
      <c r="G20" s="883">
        <f>G18+G19</f>
        <v>120</v>
      </c>
      <c r="H20" s="844">
        <f>G20+'24'!H20</f>
        <v>2410</v>
      </c>
      <c r="I20" s="884">
        <f>I18-J20</f>
        <v>-31.400000000000006</v>
      </c>
      <c r="J20" s="846">
        <f>H20/DAY(B2)</f>
        <v>96.4</v>
      </c>
      <c r="K20" s="862"/>
      <c r="L20" s="821"/>
      <c r="O20" s="848"/>
    </row>
    <row r="21" spans="1:15">
      <c r="A21" s="1651" t="s">
        <v>145</v>
      </c>
      <c r="B21" s="1652"/>
      <c r="C21" s="1653"/>
      <c r="D21" s="836"/>
      <c r="E21" s="836"/>
      <c r="F21" s="941"/>
      <c r="G21" s="868"/>
      <c r="H21" s="836"/>
      <c r="I21" s="836"/>
      <c r="J21" s="837"/>
      <c r="K21" s="862"/>
      <c r="L21" s="821"/>
      <c r="O21" s="848"/>
    </row>
    <row r="22" spans="1:15">
      <c r="A22" s="870" t="s">
        <v>146</v>
      </c>
      <c r="B22" s="871"/>
      <c r="C22" s="871"/>
      <c r="D22" s="841" t="s">
        <v>147</v>
      </c>
      <c r="E22" s="1378">
        <v>2970</v>
      </c>
      <c r="F22" s="993">
        <v>2970</v>
      </c>
      <c r="G22" s="1379">
        <f t="shared" ref="G22" si="2">(F22-E22)</f>
        <v>0</v>
      </c>
      <c r="H22" s="844">
        <f>G22+'24'!H22</f>
        <v>0</v>
      </c>
      <c r="I22" s="863"/>
      <c r="J22" s="846">
        <f>H22/DAY(B2)</f>
        <v>0</v>
      </c>
      <c r="K22" s="862"/>
      <c r="L22" s="821"/>
      <c r="O22" s="848"/>
    </row>
    <row r="23" spans="1:15">
      <c r="A23" s="870" t="s">
        <v>148</v>
      </c>
      <c r="B23" s="871"/>
      <c r="C23" s="871"/>
      <c r="D23" s="841" t="s">
        <v>147</v>
      </c>
      <c r="E23" s="872">
        <f>'24'!F23</f>
        <v>2000</v>
      </c>
      <c r="F23" s="993">
        <v>2000</v>
      </c>
      <c r="G23" s="866">
        <v>0</v>
      </c>
      <c r="H23" s="844">
        <f>G23+'24'!H23</f>
        <v>0</v>
      </c>
      <c r="I23" s="863"/>
      <c r="J23" s="846">
        <f>H23/DAY(B2)</f>
        <v>0</v>
      </c>
      <c r="K23" s="862"/>
      <c r="L23" s="821"/>
      <c r="O23" s="848"/>
    </row>
    <row r="24" spans="1:15">
      <c r="A24" s="885" t="s">
        <v>149</v>
      </c>
      <c r="B24" s="886"/>
      <c r="C24" s="886"/>
      <c r="D24" s="828" t="s">
        <v>147</v>
      </c>
      <c r="E24" s="872">
        <f>'24'!F24</f>
        <v>4970</v>
      </c>
      <c r="F24" s="1493">
        <v>4970</v>
      </c>
      <c r="G24" s="866">
        <v>0</v>
      </c>
      <c r="H24" s="844">
        <f>G24+'24'!H24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>
      <c r="A25" s="1657" t="s">
        <v>150</v>
      </c>
      <c r="B25" s="1658"/>
      <c r="C25" s="1659"/>
      <c r="D25" s="835"/>
      <c r="E25" s="835"/>
      <c r="F25" s="1488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>
      <c r="A26" s="894" t="s">
        <v>151</v>
      </c>
      <c r="B26" s="895"/>
      <c r="C26" s="896"/>
      <c r="D26" s="897" t="s">
        <v>152</v>
      </c>
      <c r="E26" s="898"/>
      <c r="F26" s="1494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22.5">
      <c r="A27" s="894" t="s">
        <v>6</v>
      </c>
      <c r="B27" s="895"/>
      <c r="C27" s="896"/>
      <c r="D27" s="901" t="s">
        <v>25</v>
      </c>
      <c r="E27" s="902">
        <f>G8</f>
        <v>16299.040000000008</v>
      </c>
      <c r="F27" s="1421">
        <v>9</v>
      </c>
      <c r="G27" s="904">
        <f>E27*F27</f>
        <v>146691.36000000007</v>
      </c>
      <c r="H27" s="844">
        <f>G27+'24'!H27</f>
        <v>3568227.03</v>
      </c>
      <c r="I27" s="905"/>
      <c r="J27" s="846">
        <f>H27/DAY(B2)</f>
        <v>142729.08119999999</v>
      </c>
      <c r="K27" s="862"/>
      <c r="L27" s="892"/>
      <c r="N27" s="1011"/>
      <c r="O27" s="848"/>
    </row>
    <row r="28" spans="1:15" s="893" customFormat="1" ht="22.5">
      <c r="A28" s="894" t="s">
        <v>153</v>
      </c>
      <c r="B28" s="895"/>
      <c r="C28" s="896"/>
      <c r="D28" s="901" t="s">
        <v>154</v>
      </c>
      <c r="E28" s="902">
        <f>G15</f>
        <v>675.28900000010617</v>
      </c>
      <c r="F28" s="1421">
        <v>51.45</v>
      </c>
      <c r="G28" s="904">
        <f>E28*F28</f>
        <v>34743.619050005465</v>
      </c>
      <c r="H28" s="844">
        <f>G28+'24'!H28</f>
        <v>554331.4115499995</v>
      </c>
      <c r="I28" s="906"/>
      <c r="J28" s="846">
        <f>H28/DAY(B2)</f>
        <v>22173.256461999979</v>
      </c>
      <c r="K28" s="862"/>
      <c r="L28" s="892"/>
      <c r="N28" s="1011"/>
      <c r="O28" s="848"/>
    </row>
    <row r="29" spans="1:15" s="893" customFormat="1">
      <c r="A29" s="894" t="s">
        <v>155</v>
      </c>
      <c r="B29" s="895"/>
      <c r="C29" s="896"/>
      <c r="D29" s="901" t="s">
        <v>156</v>
      </c>
      <c r="E29" s="902">
        <f>G24</f>
        <v>0</v>
      </c>
      <c r="F29" s="1495">
        <v>69</v>
      </c>
      <c r="G29" s="904">
        <f>E29*F29</f>
        <v>0</v>
      </c>
      <c r="H29" s="844">
        <f>G29+'24'!H29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>
      <c r="A30" s="894" t="s">
        <v>157</v>
      </c>
      <c r="B30" s="895"/>
      <c r="C30" s="896"/>
      <c r="D30" s="901" t="s">
        <v>158</v>
      </c>
      <c r="E30" s="902">
        <f>G19</f>
        <v>60</v>
      </c>
      <c r="F30" s="1495">
        <v>134</v>
      </c>
      <c r="G30" s="904">
        <f>E30*F30</f>
        <v>8040</v>
      </c>
      <c r="H30" s="844">
        <f>G30+'24'!H30</f>
        <v>194300</v>
      </c>
      <c r="I30" s="906"/>
      <c r="J30" s="846">
        <f>H30/DAY(B2)</f>
        <v>7772</v>
      </c>
      <c r="K30" s="862"/>
      <c r="L30" s="892"/>
      <c r="N30" s="1011"/>
      <c r="O30" s="848"/>
    </row>
    <row r="31" spans="1:15" s="893" customFormat="1">
      <c r="A31" s="894" t="s">
        <v>159</v>
      </c>
      <c r="B31" s="895"/>
      <c r="C31" s="896"/>
      <c r="D31" s="901" t="s">
        <v>143</v>
      </c>
      <c r="E31" s="902">
        <f>G18</f>
        <v>60</v>
      </c>
      <c r="F31" s="1495">
        <v>80</v>
      </c>
      <c r="G31" s="904">
        <f>E31*F31</f>
        <v>4800</v>
      </c>
      <c r="H31" s="844">
        <f>G31+'24'!H31</f>
        <v>76800</v>
      </c>
      <c r="I31" s="906"/>
      <c r="J31" s="846"/>
      <c r="K31" s="862"/>
      <c r="L31" s="892"/>
      <c r="N31" s="1011"/>
      <c r="O31" s="848"/>
    </row>
    <row r="32" spans="1:15" s="893" customFormat="1">
      <c r="A32" s="907" t="s">
        <v>160</v>
      </c>
      <c r="B32" s="908"/>
      <c r="C32" s="909"/>
      <c r="D32" s="910"/>
      <c r="E32" s="910"/>
      <c r="F32" s="1492"/>
      <c r="G32" s="911">
        <f>G27+G28+G29+G30+G31</f>
        <v>194274.97905000555</v>
      </c>
      <c r="H32" s="844">
        <f>G32+'24'!H32</f>
        <v>4393658.4415500006</v>
      </c>
      <c r="I32" s="912"/>
      <c r="J32" s="846">
        <f>H32/DAY(B2)</f>
        <v>175746.33766200003</v>
      </c>
      <c r="K32" s="862"/>
      <c r="L32" s="892"/>
      <c r="N32" s="1011"/>
      <c r="O32" s="848">
        <f>340*3</f>
        <v>1020</v>
      </c>
    </row>
    <row r="33" spans="1:15" ht="18.75">
      <c r="A33" s="1654" t="s">
        <v>161</v>
      </c>
      <c r="B33" s="1655"/>
      <c r="C33" s="1655"/>
      <c r="D33" s="1655"/>
      <c r="E33" s="1655"/>
      <c r="F33" s="1655"/>
      <c r="G33" s="1655"/>
      <c r="H33" s="1655"/>
      <c r="I33" s="1655"/>
      <c r="J33" s="1656"/>
      <c r="K33" s="862"/>
      <c r="L33" s="821"/>
      <c r="O33" s="848">
        <f>O32/3</f>
        <v>340</v>
      </c>
    </row>
    <row r="34" spans="1:15">
      <c r="A34" s="913" t="s">
        <v>162</v>
      </c>
      <c r="B34" s="914"/>
      <c r="C34" s="914"/>
      <c r="D34" s="836"/>
      <c r="E34" s="835"/>
      <c r="F34" s="1488"/>
      <c r="G34" s="836"/>
      <c r="H34" s="836"/>
      <c r="I34" s="836"/>
      <c r="J34" s="837"/>
      <c r="K34" s="862"/>
      <c r="L34" s="821"/>
      <c r="O34" s="848"/>
    </row>
    <row r="35" spans="1:15">
      <c r="A35" s="839" t="s">
        <v>163</v>
      </c>
      <c r="B35" s="840"/>
      <c r="C35" s="840"/>
      <c r="D35" s="841" t="s">
        <v>131</v>
      </c>
      <c r="E35" s="842">
        <f>'24'!F35</f>
        <v>933635.91</v>
      </c>
      <c r="F35" s="1466">
        <v>935746.79</v>
      </c>
      <c r="G35" s="843">
        <f t="shared" ref="G35:G46" si="3">F35-E35</f>
        <v>2110.8800000000047</v>
      </c>
      <c r="H35" s="844">
        <f>G35+'24'!H35</f>
        <v>49287.790000000037</v>
      </c>
      <c r="I35" s="842"/>
      <c r="J35" s="846">
        <f>H35/DAY(B2)</f>
        <v>1971.5116000000014</v>
      </c>
      <c r="K35" s="862"/>
      <c r="L35" s="821"/>
      <c r="O35" s="848"/>
    </row>
    <row r="36" spans="1:15">
      <c r="A36" s="839" t="s">
        <v>164</v>
      </c>
      <c r="B36" s="840"/>
      <c r="C36" s="840"/>
      <c r="D36" s="841" t="s">
        <v>131</v>
      </c>
      <c r="E36" s="842">
        <f>'24'!F36</f>
        <v>347065</v>
      </c>
      <c r="F36" s="1466">
        <v>347065</v>
      </c>
      <c r="G36" s="843">
        <f t="shared" si="3"/>
        <v>0</v>
      </c>
      <c r="H36" s="844">
        <f>G36+'24'!H36</f>
        <v>2457</v>
      </c>
      <c r="I36" s="842"/>
      <c r="J36" s="846">
        <f>H36/DAY(B2)</f>
        <v>98.28</v>
      </c>
      <c r="K36" s="862"/>
      <c r="L36" s="821"/>
      <c r="O36" s="848"/>
    </row>
    <row r="37" spans="1:15">
      <c r="A37" s="839" t="s">
        <v>165</v>
      </c>
      <c r="B37" s="840"/>
      <c r="C37" s="840"/>
      <c r="D37" s="841" t="s">
        <v>131</v>
      </c>
      <c r="E37" s="842">
        <f>'24'!F37</f>
        <v>125152.88</v>
      </c>
      <c r="F37" s="1466">
        <v>126400.73</v>
      </c>
      <c r="G37" s="843">
        <f t="shared" si="3"/>
        <v>1247.8499999999913</v>
      </c>
      <c r="H37" s="844">
        <f>G37+'24'!H37</f>
        <v>31175.729999999996</v>
      </c>
      <c r="I37" s="842"/>
      <c r="J37" s="846">
        <f>H37/DAY(B2)</f>
        <v>1247.0291999999999</v>
      </c>
      <c r="K37" s="862"/>
      <c r="L37" s="821"/>
      <c r="O37" s="848"/>
    </row>
    <row r="38" spans="1:15">
      <c r="A38" s="839" t="s">
        <v>166</v>
      </c>
      <c r="B38" s="840"/>
      <c r="C38" s="840"/>
      <c r="D38" s="841" t="s">
        <v>131</v>
      </c>
      <c r="E38" s="842">
        <f>'24'!F38</f>
        <v>147796.71</v>
      </c>
      <c r="F38" s="1489">
        <v>149009.04</v>
      </c>
      <c r="G38" s="843">
        <f t="shared" si="3"/>
        <v>1212.3300000000163</v>
      </c>
      <c r="H38" s="844">
        <f>G38+'24'!H38</f>
        <v>29413.040000000008</v>
      </c>
      <c r="I38" s="842"/>
      <c r="J38" s="846">
        <f>H38/DAY(B2)</f>
        <v>1176.5216000000003</v>
      </c>
      <c r="K38" s="862"/>
      <c r="L38" s="821"/>
      <c r="O38" s="848"/>
    </row>
    <row r="39" spans="1:15">
      <c r="A39" s="839" t="s">
        <v>167</v>
      </c>
      <c r="B39" s="840"/>
      <c r="C39" s="840"/>
      <c r="D39" s="841" t="s">
        <v>131</v>
      </c>
      <c r="E39" s="842">
        <f>'24'!F39</f>
        <v>292734.51</v>
      </c>
      <c r="F39" s="1466">
        <v>294778.27</v>
      </c>
      <c r="G39" s="843">
        <f t="shared" si="3"/>
        <v>2043.7600000000093</v>
      </c>
      <c r="H39" s="844">
        <f>G39+'24'!H39</f>
        <v>48125.270000000019</v>
      </c>
      <c r="I39" s="842"/>
      <c r="J39" s="846">
        <f>H39/DAY(B2)</f>
        <v>1925.0108000000007</v>
      </c>
      <c r="K39" s="862"/>
      <c r="L39" s="821"/>
      <c r="O39" s="848"/>
    </row>
    <row r="40" spans="1:15">
      <c r="A40" s="916" t="s">
        <v>168</v>
      </c>
      <c r="B40" s="917"/>
      <c r="C40" s="917"/>
      <c r="D40" s="841" t="s">
        <v>131</v>
      </c>
      <c r="E40" s="842">
        <f>'24'!F40</f>
        <v>686.48</v>
      </c>
      <c r="F40" s="1466">
        <v>686.48</v>
      </c>
      <c r="G40" s="843">
        <f t="shared" si="3"/>
        <v>0</v>
      </c>
      <c r="H40" s="844">
        <f>G40+'24'!H40</f>
        <v>686.25</v>
      </c>
      <c r="I40" s="842"/>
      <c r="J40" s="846">
        <f>H40/DAY(B2)</f>
        <v>27.45</v>
      </c>
      <c r="K40" s="869"/>
      <c r="L40" s="821"/>
      <c r="O40" s="848"/>
    </row>
    <row r="41" spans="1:15">
      <c r="A41" s="839" t="s">
        <v>169</v>
      </c>
      <c r="B41" s="840"/>
      <c r="C41" s="840"/>
      <c r="D41" s="841" t="s">
        <v>131</v>
      </c>
      <c r="E41" s="842">
        <f>'24'!F41</f>
        <v>240478.13</v>
      </c>
      <c r="F41" s="1466">
        <v>240478.13</v>
      </c>
      <c r="G41" s="843">
        <f t="shared" si="3"/>
        <v>0</v>
      </c>
      <c r="H41" s="844">
        <f>G41+'24'!H41</f>
        <v>58950.130000000005</v>
      </c>
      <c r="I41" s="842"/>
      <c r="J41" s="846">
        <f>H41/DAY(B2)</f>
        <v>2358.0052000000001</v>
      </c>
      <c r="K41" s="862"/>
      <c r="L41" s="821"/>
      <c r="O41" s="848"/>
    </row>
    <row r="42" spans="1:15">
      <c r="A42" s="839" t="s">
        <v>170</v>
      </c>
      <c r="B42" s="840"/>
      <c r="C42" s="840"/>
      <c r="D42" s="841" t="s">
        <v>131</v>
      </c>
      <c r="E42" s="842">
        <f>'24'!F42</f>
        <v>59198.97</v>
      </c>
      <c r="F42" s="1466">
        <v>59198.97</v>
      </c>
      <c r="G42" s="843">
        <f t="shared" si="3"/>
        <v>0</v>
      </c>
      <c r="H42" s="844">
        <f>G42+'24'!H42</f>
        <v>-1.0299999999988358</v>
      </c>
      <c r="I42" s="842"/>
      <c r="J42" s="846">
        <f>H42/DAY(B2)</f>
        <v>-4.1199999999953434E-2</v>
      </c>
      <c r="K42" s="862"/>
      <c r="L42" s="821"/>
      <c r="O42" s="848"/>
    </row>
    <row r="43" spans="1:15">
      <c r="A43" s="839" t="s">
        <v>171</v>
      </c>
      <c r="B43" s="840"/>
      <c r="C43" s="840"/>
      <c r="D43" s="841" t="s">
        <v>131</v>
      </c>
      <c r="E43" s="842">
        <f>'24'!F43</f>
        <v>1025857.8</v>
      </c>
      <c r="F43" s="1466">
        <v>1028056.5</v>
      </c>
      <c r="G43" s="843">
        <f t="shared" si="3"/>
        <v>2198.6999999999534</v>
      </c>
      <c r="H43" s="844">
        <f>G43+'24'!H43</f>
        <v>54098.5</v>
      </c>
      <c r="I43" s="842"/>
      <c r="J43" s="846">
        <f>H43/DAY(B2)</f>
        <v>2163.94</v>
      </c>
      <c r="K43" s="862"/>
      <c r="L43" s="821"/>
      <c r="O43" s="848"/>
    </row>
    <row r="44" spans="1:15">
      <c r="A44" s="839" t="s">
        <v>172</v>
      </c>
      <c r="B44" s="840"/>
      <c r="C44" s="840"/>
      <c r="D44" s="841" t="s">
        <v>131</v>
      </c>
      <c r="E44" s="842">
        <f>'24'!F44</f>
        <v>0</v>
      </c>
      <c r="F44" s="1466">
        <v>0</v>
      </c>
      <c r="G44" s="843">
        <f t="shared" si="3"/>
        <v>0</v>
      </c>
      <c r="H44" s="844">
        <f>G44+'24'!H44</f>
        <v>0</v>
      </c>
      <c r="I44" s="842"/>
      <c r="J44" s="846">
        <f>H44/DAY(B2)</f>
        <v>0</v>
      </c>
      <c r="K44" s="862"/>
      <c r="L44" s="821"/>
      <c r="O44" s="848"/>
    </row>
    <row r="45" spans="1:15">
      <c r="A45" s="839" t="s">
        <v>173</v>
      </c>
      <c r="B45" s="840"/>
      <c r="C45" s="840"/>
      <c r="D45" s="841" t="s">
        <v>131</v>
      </c>
      <c r="E45" s="842">
        <f>'24'!F45</f>
        <v>614</v>
      </c>
      <c r="F45" s="1466">
        <v>614</v>
      </c>
      <c r="G45" s="843">
        <f t="shared" si="3"/>
        <v>0</v>
      </c>
      <c r="H45" s="844">
        <f>G45+'24'!H45</f>
        <v>614</v>
      </c>
      <c r="I45" s="842"/>
      <c r="J45" s="846">
        <f>H45/DAY(B2)</f>
        <v>24.56</v>
      </c>
      <c r="K45" s="862"/>
      <c r="L45" s="821"/>
      <c r="O45" s="848"/>
    </row>
    <row r="46" spans="1:15">
      <c r="A46" s="839" t="s">
        <v>174</v>
      </c>
      <c r="B46" s="840"/>
      <c r="C46" s="840"/>
      <c r="D46" s="841" t="s">
        <v>131</v>
      </c>
      <c r="E46" s="842">
        <f>'24'!F46</f>
        <v>187</v>
      </c>
      <c r="F46" s="1466">
        <v>187</v>
      </c>
      <c r="G46" s="843">
        <f t="shared" si="3"/>
        <v>0</v>
      </c>
      <c r="H46" s="844">
        <f>G46+'24'!H46</f>
        <v>186.95</v>
      </c>
      <c r="I46" s="842"/>
      <c r="J46" s="846">
        <f>H46/DAY(B2)</f>
        <v>7.4779999999999998</v>
      </c>
      <c r="K46" s="862"/>
      <c r="L46" s="821"/>
      <c r="O46" s="848"/>
    </row>
    <row r="47" spans="1:15">
      <c r="A47" s="864" t="s">
        <v>175</v>
      </c>
      <c r="B47" s="865"/>
      <c r="C47" s="865"/>
      <c r="D47" s="832"/>
      <c r="E47" s="828"/>
      <c r="F47" s="1488"/>
      <c r="G47" s="866">
        <f>G35+G36+G37+G38+G39+G40+G41+G42+G43+G44+G45+G46</f>
        <v>8813.519999999975</v>
      </c>
      <c r="H47" s="844">
        <f>G47+'24'!H47</f>
        <v>274994.12000000005</v>
      </c>
      <c r="I47" s="842"/>
      <c r="J47" s="846">
        <f>H47/DAY(B2)</f>
        <v>10999.764800000003</v>
      </c>
      <c r="K47" s="862"/>
      <c r="L47" s="821"/>
      <c r="N47" s="1012"/>
      <c r="O47" s="848"/>
    </row>
    <row r="48" spans="1:15">
      <c r="A48" s="913" t="s">
        <v>176</v>
      </c>
      <c r="B48" s="914"/>
      <c r="C48" s="914"/>
      <c r="D48" s="836"/>
      <c r="E48" s="835"/>
      <c r="F48" s="1488"/>
      <c r="G48" s="836"/>
      <c r="H48" s="836"/>
      <c r="I48" s="836"/>
      <c r="J48" s="837"/>
      <c r="K48" s="862"/>
      <c r="L48" s="821"/>
      <c r="O48" s="848"/>
    </row>
    <row r="49" spans="1:15">
      <c r="A49" s="839" t="s">
        <v>163</v>
      </c>
      <c r="B49" s="918"/>
      <c r="C49" s="918"/>
      <c r="D49" s="841" t="s">
        <v>131</v>
      </c>
      <c r="E49" s="1465">
        <f>'24'!F49</f>
        <v>260732.13</v>
      </c>
      <c r="F49" s="1466">
        <v>260732.13</v>
      </c>
      <c r="G49" s="1019">
        <f t="shared" ref="G49:G58" si="4">F49-E49</f>
        <v>0</v>
      </c>
      <c r="H49" s="844">
        <f>G49+'24'!H49</f>
        <v>0</v>
      </c>
      <c r="I49" s="842"/>
      <c r="J49" s="846">
        <f>H49/DAY(B2)</f>
        <v>0</v>
      </c>
      <c r="K49" s="862"/>
      <c r="L49" s="821"/>
      <c r="O49" s="848"/>
    </row>
    <row r="50" spans="1:15">
      <c r="A50" s="839" t="s">
        <v>177</v>
      </c>
      <c r="B50" s="918"/>
      <c r="C50" s="918"/>
      <c r="D50" s="841" t="s">
        <v>131</v>
      </c>
      <c r="E50" s="842">
        <f>'24'!F50</f>
        <v>495908.59</v>
      </c>
      <c r="F50" s="1466">
        <v>496769.11</v>
      </c>
      <c r="G50" s="843">
        <f t="shared" si="4"/>
        <v>860.51999999996042</v>
      </c>
      <c r="H50" s="844">
        <f>G50+'24'!H50</f>
        <v>21294.109999999986</v>
      </c>
      <c r="I50" s="842"/>
      <c r="J50" s="846">
        <f>H50/DAY(B2)</f>
        <v>851.76439999999945</v>
      </c>
      <c r="K50" s="862"/>
      <c r="L50" s="821"/>
      <c r="O50" s="848"/>
    </row>
    <row r="51" spans="1:15">
      <c r="A51" s="839" t="s">
        <v>165</v>
      </c>
      <c r="B51" s="918"/>
      <c r="C51" s="918"/>
      <c r="D51" s="841" t="s">
        <v>131</v>
      </c>
      <c r="E51" s="842">
        <f>'24'!F51</f>
        <v>144639.87</v>
      </c>
      <c r="F51" s="1466">
        <v>144639.87</v>
      </c>
      <c r="G51" s="843">
        <f t="shared" si="4"/>
        <v>0</v>
      </c>
      <c r="H51" s="844">
        <f>G51+'24'!H51</f>
        <v>-0.13000000000465661</v>
      </c>
      <c r="I51" s="842"/>
      <c r="J51" s="846">
        <f>H51/DAY(B2)</f>
        <v>-5.2000000001862648E-3</v>
      </c>
      <c r="K51" s="862"/>
      <c r="L51" s="821"/>
      <c r="O51" s="848"/>
    </row>
    <row r="52" spans="1:15">
      <c r="A52" s="839" t="s">
        <v>178</v>
      </c>
      <c r="B52" s="918"/>
      <c r="C52" s="918"/>
      <c r="D52" s="841" t="s">
        <v>131</v>
      </c>
      <c r="E52" s="842">
        <f>'24'!F52</f>
        <v>539606.06999999995</v>
      </c>
      <c r="F52" s="1466">
        <v>539606.06999999995</v>
      </c>
      <c r="G52" s="843">
        <f t="shared" si="4"/>
        <v>0</v>
      </c>
      <c r="H52" s="844">
        <f>G52+'24'!H52</f>
        <v>0</v>
      </c>
      <c r="I52" s="842"/>
      <c r="J52" s="846">
        <f>H52/DAY(B2)</f>
        <v>0</v>
      </c>
      <c r="K52" s="862"/>
      <c r="L52" s="821"/>
      <c r="O52" s="848"/>
    </row>
    <row r="53" spans="1:15">
      <c r="A53" s="839" t="s">
        <v>167</v>
      </c>
      <c r="B53" s="918"/>
      <c r="C53" s="918"/>
      <c r="D53" s="841" t="s">
        <v>131</v>
      </c>
      <c r="E53" s="842">
        <f>'24'!F53</f>
        <v>428706.03</v>
      </c>
      <c r="F53" s="1466">
        <v>429230.87</v>
      </c>
      <c r="G53" s="843">
        <f t="shared" si="4"/>
        <v>524.8399999999674</v>
      </c>
      <c r="H53" s="844">
        <f>G53+'24'!H53</f>
        <v>12420.869999999995</v>
      </c>
      <c r="I53" s="842"/>
      <c r="J53" s="846">
        <f>H53/DAY(B2)</f>
        <v>496.8347999999998</v>
      </c>
      <c r="K53" s="862"/>
      <c r="L53" s="821"/>
      <c r="O53" s="848"/>
    </row>
    <row r="54" spans="1:15">
      <c r="A54" s="839" t="s">
        <v>179</v>
      </c>
      <c r="B54" s="918"/>
      <c r="C54" s="918"/>
      <c r="D54" s="841" t="s">
        <v>131</v>
      </c>
      <c r="E54" s="842">
        <f>'24'!F54</f>
        <v>13189.91</v>
      </c>
      <c r="F54" s="1466">
        <v>13269.62</v>
      </c>
      <c r="G54" s="843">
        <f t="shared" si="4"/>
        <v>79.710000000000946</v>
      </c>
      <c r="H54" s="844">
        <f>G54+'24'!H54</f>
        <v>5507.6200000000008</v>
      </c>
      <c r="I54" s="842"/>
      <c r="J54" s="846">
        <f>H54/DAY(B2)</f>
        <v>220.30480000000003</v>
      </c>
      <c r="K54" s="862"/>
      <c r="L54" s="821"/>
      <c r="O54" s="848"/>
    </row>
    <row r="55" spans="1:15">
      <c r="A55" s="839" t="s">
        <v>180</v>
      </c>
      <c r="B55" s="918"/>
      <c r="C55" s="918"/>
      <c r="D55" s="841" t="s">
        <v>131</v>
      </c>
      <c r="E55" s="842">
        <f>'24'!F55</f>
        <v>59204.73</v>
      </c>
      <c r="F55" s="1466">
        <v>64199.47</v>
      </c>
      <c r="G55" s="843">
        <f t="shared" si="4"/>
        <v>4994.739999999998</v>
      </c>
      <c r="H55" s="844">
        <f>G55+'24'!H55</f>
        <v>64199.47</v>
      </c>
      <c r="I55" s="842"/>
      <c r="J55" s="846">
        <f>H55/DAY(B2)</f>
        <v>2567.9787999999999</v>
      </c>
      <c r="K55" s="862"/>
      <c r="L55" s="821"/>
      <c r="O55" s="848"/>
    </row>
    <row r="56" spans="1:15">
      <c r="A56" s="839" t="s">
        <v>181</v>
      </c>
      <c r="B56" s="918"/>
      <c r="C56" s="918"/>
      <c r="D56" s="841" t="s">
        <v>182</v>
      </c>
      <c r="E56" s="842">
        <f>'24'!F56</f>
        <v>589534.11</v>
      </c>
      <c r="F56" s="1466">
        <v>589543.71</v>
      </c>
      <c r="G56" s="843">
        <f t="shared" si="4"/>
        <v>9.5999999999767169</v>
      </c>
      <c r="H56" s="844">
        <f>G56+'24'!H56</f>
        <v>255.34999999997672</v>
      </c>
      <c r="I56" s="842"/>
      <c r="J56" s="846">
        <f>H56/DAY(B2)</f>
        <v>10.213999999999068</v>
      </c>
      <c r="K56" s="838"/>
      <c r="L56" s="821"/>
      <c r="O56" s="848"/>
    </row>
    <row r="57" spans="1:15">
      <c r="A57" s="839" t="s">
        <v>171</v>
      </c>
      <c r="B57" s="918"/>
      <c r="C57" s="918"/>
      <c r="D57" s="841" t="s">
        <v>131</v>
      </c>
      <c r="E57" s="842">
        <f>'24'!F57</f>
        <v>7711</v>
      </c>
      <c r="F57" s="1466">
        <v>7711</v>
      </c>
      <c r="G57" s="843">
        <f t="shared" si="4"/>
        <v>0</v>
      </c>
      <c r="H57" s="844">
        <f>G57+'24'!H57</f>
        <v>0</v>
      </c>
      <c r="I57" s="842"/>
      <c r="J57" s="846">
        <f>H57/DAY(B2)</f>
        <v>0</v>
      </c>
      <c r="K57" s="862"/>
      <c r="L57" s="821"/>
      <c r="O57" s="848"/>
    </row>
    <row r="58" spans="1:15">
      <c r="A58" s="839" t="s">
        <v>183</v>
      </c>
      <c r="B58" s="918"/>
      <c r="C58" s="918"/>
      <c r="D58" s="841" t="s">
        <v>131</v>
      </c>
      <c r="E58" s="842">
        <f>'24'!F58</f>
        <v>48687.37</v>
      </c>
      <c r="F58" s="1466">
        <v>48931.51</v>
      </c>
      <c r="G58" s="843">
        <f t="shared" si="4"/>
        <v>244.13999999999942</v>
      </c>
      <c r="H58" s="844">
        <f>G58+'24'!H58</f>
        <v>2214.510000000002</v>
      </c>
      <c r="I58" s="842"/>
      <c r="J58" s="846">
        <f>H58/DAY(B2)</f>
        <v>88.580400000000083</v>
      </c>
      <c r="K58" s="862"/>
      <c r="L58" s="821"/>
      <c r="O58" s="848"/>
    </row>
    <row r="59" spans="1:15">
      <c r="A59" s="864" t="s">
        <v>175</v>
      </c>
      <c r="B59" s="865"/>
      <c r="C59" s="865"/>
      <c r="D59" s="828"/>
      <c r="E59" s="828"/>
      <c r="F59" s="1488"/>
      <c r="G59" s="866">
        <f>G49+G50+G51+G52+G53+G54+G55+G56+G57+G58</f>
        <v>6713.5499999999029</v>
      </c>
      <c r="H59" s="844">
        <f>G59+'24'!H59</f>
        <v>105891.86999999991</v>
      </c>
      <c r="I59" s="842">
        <f>G7-G60</f>
        <v>708.33000000011634</v>
      </c>
      <c r="J59" s="846">
        <f>H59/DAY(B2)</f>
        <v>4235.6747999999961</v>
      </c>
      <c r="K59" s="862"/>
      <c r="L59" s="821"/>
      <c r="O59" s="848"/>
    </row>
    <row r="60" spans="1:15">
      <c r="A60" s="839"/>
      <c r="B60" s="840"/>
      <c r="C60" s="840"/>
      <c r="D60" s="828" t="s">
        <v>184</v>
      </c>
      <c r="E60" s="828"/>
      <c r="F60" s="1488"/>
      <c r="G60" s="866">
        <f>G47+G59</f>
        <v>15527.069999999878</v>
      </c>
      <c r="H60" s="844">
        <f>G60+'24'!H60</f>
        <v>382469.88</v>
      </c>
      <c r="I60" s="842">
        <f>G13-G60</f>
        <v>187.0300000002153</v>
      </c>
      <c r="J60" s="846">
        <f>H60/DAY(B2)</f>
        <v>15298.7952</v>
      </c>
      <c r="K60" s="862"/>
      <c r="L60" s="821"/>
      <c r="O60" s="848"/>
    </row>
    <row r="61" spans="1:15">
      <c r="A61" s="919" t="s">
        <v>185</v>
      </c>
      <c r="B61" s="920"/>
      <c r="C61" s="920"/>
      <c r="D61" s="920"/>
      <c r="E61" s="921"/>
      <c r="F61" s="1496"/>
      <c r="G61" s="920"/>
      <c r="H61" s="920"/>
      <c r="I61" s="920"/>
      <c r="J61" s="922"/>
      <c r="K61" s="862"/>
      <c r="L61" s="821"/>
      <c r="O61" s="848"/>
    </row>
    <row r="62" spans="1:15">
      <c r="A62" s="923" t="s">
        <v>98</v>
      </c>
      <c r="B62" s="924"/>
      <c r="C62" s="924"/>
      <c r="D62" s="828" t="s">
        <v>186</v>
      </c>
      <c r="E62" s="842">
        <f>'24'!F62</f>
        <v>20419</v>
      </c>
      <c r="F62" s="1497">
        <v>20419</v>
      </c>
      <c r="G62" s="843">
        <f t="shared" ref="G62:G69" si="5">F62-E62</f>
        <v>0</v>
      </c>
      <c r="H62" s="844">
        <f>G62+'24'!H62</f>
        <v>0.18199999999706051</v>
      </c>
      <c r="I62" s="926"/>
      <c r="J62" s="846">
        <f>H62/DAY(B2)</f>
        <v>7.2799999998824205E-3</v>
      </c>
      <c r="K62" s="862"/>
      <c r="L62" s="821"/>
      <c r="O62" s="848"/>
    </row>
    <row r="63" spans="1:15">
      <c r="A63" s="923" t="s">
        <v>187</v>
      </c>
      <c r="B63" s="924"/>
      <c r="C63" s="924"/>
      <c r="D63" s="828" t="s">
        <v>186</v>
      </c>
      <c r="E63" s="842">
        <f>'24'!F63</f>
        <v>2449.7199999999998</v>
      </c>
      <c r="F63" s="1497">
        <v>2453.4699999999998</v>
      </c>
      <c r="G63" s="843">
        <f t="shared" si="5"/>
        <v>3.75</v>
      </c>
      <c r="H63" s="844">
        <f>G63+'24'!H63</f>
        <v>94.4699999999998</v>
      </c>
      <c r="I63" s="926"/>
      <c r="J63" s="846">
        <f>H63/DAY(B2)</f>
        <v>3.7787999999999919</v>
      </c>
      <c r="K63" s="862"/>
      <c r="L63" s="821"/>
      <c r="O63" s="848"/>
    </row>
    <row r="64" spans="1:15">
      <c r="A64" s="1639" t="s">
        <v>99</v>
      </c>
      <c r="B64" s="1640"/>
      <c r="C64" s="1641"/>
      <c r="D64" s="841" t="s">
        <v>186</v>
      </c>
      <c r="E64" s="842">
        <f>'24'!F64</f>
        <v>158599.99</v>
      </c>
      <c r="F64" s="993">
        <v>158798.06</v>
      </c>
      <c r="G64" s="843">
        <f t="shared" si="5"/>
        <v>198.07000000000698</v>
      </c>
      <c r="H64" s="844">
        <f>G64+'24'!H64</f>
        <v>5499.0599999999977</v>
      </c>
      <c r="I64" s="863"/>
      <c r="J64" s="846">
        <f>H64/DAY(B2)</f>
        <v>219.96239999999992</v>
      </c>
      <c r="K64" s="862"/>
      <c r="L64" s="821"/>
      <c r="O64" s="848"/>
    </row>
    <row r="65" spans="1:15">
      <c r="A65" s="1639" t="s">
        <v>100</v>
      </c>
      <c r="B65" s="1640"/>
      <c r="C65" s="1641"/>
      <c r="D65" s="841" t="s">
        <v>186</v>
      </c>
      <c r="E65" s="842">
        <f>'24'!F65</f>
        <v>159470.85</v>
      </c>
      <c r="F65" s="993">
        <v>159730</v>
      </c>
      <c r="G65" s="843">
        <f t="shared" si="5"/>
        <v>259.14999999999418</v>
      </c>
      <c r="H65" s="844">
        <f>G65+'24'!H65</f>
        <v>5131</v>
      </c>
      <c r="I65" s="881"/>
      <c r="J65" s="846">
        <f>H65/DAY(B2)</f>
        <v>205.24</v>
      </c>
      <c r="K65" s="862"/>
      <c r="L65" s="821"/>
      <c r="O65" s="848"/>
    </row>
    <row r="66" spans="1:15">
      <c r="A66" s="1639" t="s">
        <v>101</v>
      </c>
      <c r="B66" s="1640"/>
      <c r="C66" s="1641"/>
      <c r="D66" s="841" t="s">
        <v>186</v>
      </c>
      <c r="E66" s="842">
        <f>'24'!F66</f>
        <v>54926.18</v>
      </c>
      <c r="F66" s="993">
        <v>55178.79</v>
      </c>
      <c r="G66" s="843">
        <f t="shared" si="5"/>
        <v>252.61000000000058</v>
      </c>
      <c r="H66" s="844">
        <f>G66+'24'!H66</f>
        <v>6607.7900000000009</v>
      </c>
      <c r="I66" s="863"/>
      <c r="J66" s="846">
        <f>H66/DAY(B2)</f>
        <v>264.31160000000006</v>
      </c>
      <c r="K66" s="862"/>
      <c r="L66" s="821"/>
      <c r="O66" s="848"/>
    </row>
    <row r="67" spans="1:15">
      <c r="A67" s="1639" t="s">
        <v>102</v>
      </c>
      <c r="B67" s="1640"/>
      <c r="C67" s="1641"/>
      <c r="D67" s="841" t="s">
        <v>186</v>
      </c>
      <c r="E67" s="842">
        <f>'24'!F67</f>
        <v>249138.4</v>
      </c>
      <c r="F67" s="993">
        <v>249501.01</v>
      </c>
      <c r="G67" s="843">
        <f t="shared" si="5"/>
        <v>362.61000000001513</v>
      </c>
      <c r="H67" s="844">
        <f>G67+'24'!H67</f>
        <v>6327.0100000000093</v>
      </c>
      <c r="I67" s="881"/>
      <c r="J67" s="846">
        <f>H67/DAY(B2)</f>
        <v>253.08040000000037</v>
      </c>
      <c r="K67" s="869"/>
      <c r="L67" s="821"/>
      <c r="O67" s="848"/>
    </row>
    <row r="68" spans="1:15">
      <c r="A68" s="1639" t="s">
        <v>103</v>
      </c>
      <c r="B68" s="1640"/>
      <c r="C68" s="1641"/>
      <c r="D68" s="841" t="s">
        <v>186</v>
      </c>
      <c r="E68" s="842">
        <f>'24'!F68</f>
        <v>85321</v>
      </c>
      <c r="F68" s="993">
        <v>85321</v>
      </c>
      <c r="G68" s="843">
        <f t="shared" si="5"/>
        <v>0</v>
      </c>
      <c r="H68" s="844">
        <f>G68+'24'!H68</f>
        <v>0</v>
      </c>
      <c r="I68" s="927"/>
      <c r="J68" s="846">
        <f>H68/DAY(B2)</f>
        <v>0</v>
      </c>
      <c r="K68" s="928"/>
      <c r="L68" s="821"/>
      <c r="O68" s="848"/>
    </row>
    <row r="69" spans="1:15">
      <c r="A69" s="1639" t="s">
        <v>104</v>
      </c>
      <c r="B69" s="1640"/>
      <c r="C69" s="1641"/>
      <c r="D69" s="841" t="s">
        <v>186</v>
      </c>
      <c r="E69" s="842">
        <f>'24'!F69</f>
        <v>80980.38</v>
      </c>
      <c r="F69" s="993">
        <v>81051.97</v>
      </c>
      <c r="G69" s="843">
        <f t="shared" si="5"/>
        <v>71.589999999996508</v>
      </c>
      <c r="H69" s="844">
        <f>G69+'24'!H69</f>
        <v>2057.9700000000012</v>
      </c>
      <c r="I69" s="927"/>
      <c r="J69" s="846">
        <f>H69/DAY(B2)</f>
        <v>82.318800000000053</v>
      </c>
      <c r="K69" s="929"/>
      <c r="L69" s="821"/>
      <c r="O69" s="848"/>
    </row>
    <row r="70" spans="1:15">
      <c r="A70" s="1648" t="s">
        <v>188</v>
      </c>
      <c r="B70" s="1649"/>
      <c r="C70" s="1650"/>
      <c r="D70" s="841" t="s">
        <v>186</v>
      </c>
      <c r="E70" s="930"/>
      <c r="F70" s="1498"/>
      <c r="G70" s="931"/>
      <c r="H70" s="844">
        <f>G70+'13'!H70</f>
        <v>0</v>
      </c>
      <c r="I70" s="931"/>
      <c r="J70" s="932"/>
      <c r="K70" s="929"/>
      <c r="L70" s="821"/>
      <c r="O70" s="848"/>
    </row>
    <row r="71" spans="1:15" ht="22.5">
      <c r="A71" s="1645" t="s">
        <v>189</v>
      </c>
      <c r="B71" s="1646"/>
      <c r="C71" s="1646"/>
      <c r="D71" s="1646"/>
      <c r="E71" s="1646"/>
      <c r="F71" s="1646"/>
      <c r="G71" s="1646"/>
      <c r="H71" s="1646"/>
      <c r="I71" s="1646"/>
      <c r="J71" s="1647"/>
      <c r="K71" s="928"/>
      <c r="L71" s="821"/>
      <c r="O71" s="848"/>
    </row>
    <row r="72" spans="1:15">
      <c r="A72" s="1639" t="s">
        <v>190</v>
      </c>
      <c r="B72" s="1640"/>
      <c r="C72" s="1641"/>
      <c r="D72" s="841" t="s">
        <v>186</v>
      </c>
      <c r="E72" s="842">
        <f>'24'!F72</f>
        <v>855760</v>
      </c>
      <c r="F72" s="934">
        <v>855769</v>
      </c>
      <c r="G72" s="843">
        <f t="shared" ref="G72:G84" si="6">F72-E72</f>
        <v>9</v>
      </c>
      <c r="H72" s="844">
        <f>G72+'24'!H72</f>
        <v>297</v>
      </c>
      <c r="I72" s="863"/>
      <c r="J72" s="846">
        <f>H72/DAY(B2)</f>
        <v>11.88</v>
      </c>
      <c r="K72" s="929"/>
      <c r="L72" s="821"/>
      <c r="O72" s="848"/>
    </row>
    <row r="73" spans="1:15">
      <c r="A73" s="1639" t="s">
        <v>191</v>
      </c>
      <c r="B73" s="1640"/>
      <c r="C73" s="1641"/>
      <c r="D73" s="841" t="s">
        <v>186</v>
      </c>
      <c r="E73" s="842">
        <f>'24'!F73</f>
        <v>885901</v>
      </c>
      <c r="F73" s="934">
        <v>885915</v>
      </c>
      <c r="G73" s="843">
        <f t="shared" si="6"/>
        <v>14</v>
      </c>
      <c r="H73" s="844">
        <f>G73+'24'!H73</f>
        <v>219</v>
      </c>
      <c r="I73" s="863"/>
      <c r="J73" s="846">
        <f>H73/DAY(B2)</f>
        <v>8.76</v>
      </c>
      <c r="K73" s="928"/>
      <c r="L73" s="821"/>
      <c r="O73" s="848"/>
    </row>
    <row r="74" spans="1:15">
      <c r="A74" s="1639" t="s">
        <v>192</v>
      </c>
      <c r="B74" s="1640"/>
      <c r="C74" s="1641"/>
      <c r="D74" s="841" t="s">
        <v>186</v>
      </c>
      <c r="E74" s="842">
        <f>'24'!F74</f>
        <v>2539.6799999999998</v>
      </c>
      <c r="F74" s="934">
        <v>2545.79</v>
      </c>
      <c r="G74" s="843">
        <f t="shared" si="6"/>
        <v>6.1100000000001273</v>
      </c>
      <c r="H74" s="844">
        <f>G74+'24'!H74</f>
        <v>266.78999999999996</v>
      </c>
      <c r="I74" s="863"/>
      <c r="J74" s="846">
        <f>H74/DAY(B2)</f>
        <v>10.671599999999998</v>
      </c>
      <c r="K74" s="929"/>
      <c r="L74" s="821"/>
      <c r="O74" s="848"/>
    </row>
    <row r="75" spans="1:15">
      <c r="A75" s="1642" t="s">
        <v>193</v>
      </c>
      <c r="B75" s="1643"/>
      <c r="C75" s="1644"/>
      <c r="D75" s="841" t="s">
        <v>186</v>
      </c>
      <c r="E75" s="842">
        <f>'24'!F75</f>
        <v>12264.21</v>
      </c>
      <c r="F75" s="934">
        <v>12318.61</v>
      </c>
      <c r="G75" s="843">
        <f t="shared" si="6"/>
        <v>54.400000000001455</v>
      </c>
      <c r="H75" s="844">
        <f>G75+'24'!H75</f>
        <v>1348.6100000000006</v>
      </c>
      <c r="I75" s="863"/>
      <c r="J75" s="846">
        <f>H75/DAY(B2)</f>
        <v>53.944400000000023</v>
      </c>
      <c r="K75" s="928"/>
      <c r="L75" s="821"/>
      <c r="O75" s="848"/>
    </row>
    <row r="76" spans="1:15">
      <c r="A76" s="1642" t="s">
        <v>194</v>
      </c>
      <c r="B76" s="1643"/>
      <c r="C76" s="1644"/>
      <c r="D76" s="841" t="s">
        <v>186</v>
      </c>
      <c r="E76" s="842">
        <f>'24'!F76</f>
        <v>7028.83</v>
      </c>
      <c r="F76" s="934">
        <v>7085.85</v>
      </c>
      <c r="G76" s="843">
        <f t="shared" si="6"/>
        <v>57.020000000000437</v>
      </c>
      <c r="H76" s="844">
        <f>G76+'24'!H76</f>
        <v>1368.8999999999996</v>
      </c>
      <c r="I76" s="906"/>
      <c r="J76" s="846">
        <f>H76/DAY(B2)</f>
        <v>54.755999999999986</v>
      </c>
      <c r="K76" s="928"/>
      <c r="L76" s="821"/>
      <c r="O76" s="848"/>
    </row>
    <row r="77" spans="1:15">
      <c r="A77" s="1639" t="s">
        <v>195</v>
      </c>
      <c r="B77" s="1640"/>
      <c r="C77" s="1641"/>
      <c r="D77" s="841" t="s">
        <v>186</v>
      </c>
      <c r="E77" s="842">
        <f>'24'!F77</f>
        <v>702542</v>
      </c>
      <c r="F77" s="934">
        <v>702588</v>
      </c>
      <c r="G77" s="843">
        <f t="shared" si="6"/>
        <v>46</v>
      </c>
      <c r="H77" s="844">
        <f>G77+'24'!H77</f>
        <v>1026</v>
      </c>
      <c r="I77" s="906"/>
      <c r="J77" s="846">
        <f>H77/DAY(B2)</f>
        <v>41.04</v>
      </c>
      <c r="K77" s="928"/>
      <c r="L77" s="821"/>
      <c r="O77" s="848"/>
    </row>
    <row r="78" spans="1:15">
      <c r="A78" s="936" t="s">
        <v>196</v>
      </c>
      <c r="B78" s="1139"/>
      <c r="C78" s="1139"/>
      <c r="D78" s="841" t="s">
        <v>186</v>
      </c>
      <c r="E78" s="842">
        <f>'24'!F78</f>
        <v>672281</v>
      </c>
      <c r="F78" s="934">
        <v>672382</v>
      </c>
      <c r="G78" s="843">
        <f t="shared" si="6"/>
        <v>101</v>
      </c>
      <c r="H78" s="844">
        <f>G78+'24'!H78</f>
        <v>2357</v>
      </c>
      <c r="I78" s="906"/>
      <c r="J78" s="846">
        <f>H78/DAY(B2)</f>
        <v>94.28</v>
      </c>
      <c r="K78" s="928"/>
      <c r="L78" s="821"/>
      <c r="O78" s="848"/>
    </row>
    <row r="79" spans="1:15">
      <c r="A79" s="1642" t="s">
        <v>92</v>
      </c>
      <c r="B79" s="1643"/>
      <c r="C79" s="1644"/>
      <c r="D79" s="875" t="s">
        <v>186</v>
      </c>
      <c r="E79" s="842">
        <f>'24'!F79</f>
        <v>830054</v>
      </c>
      <c r="F79" s="934">
        <v>830175</v>
      </c>
      <c r="G79" s="843">
        <f t="shared" si="6"/>
        <v>121</v>
      </c>
      <c r="H79" s="844">
        <f>G79+'24'!H79</f>
        <v>2444</v>
      </c>
      <c r="I79" s="906"/>
      <c r="J79" s="846">
        <f>H79/DAY(B2)</f>
        <v>97.76</v>
      </c>
      <c r="K79" s="928"/>
      <c r="L79" s="821"/>
      <c r="O79" s="848"/>
    </row>
    <row r="80" spans="1:15">
      <c r="A80" s="1642" t="s">
        <v>197</v>
      </c>
      <c r="B80" s="1643"/>
      <c r="C80" s="1644"/>
      <c r="D80" s="875" t="s">
        <v>186</v>
      </c>
      <c r="E80" s="842">
        <f>'24'!F80</f>
        <v>525089.04</v>
      </c>
      <c r="F80" s="934">
        <v>525454.12</v>
      </c>
      <c r="G80" s="843">
        <f t="shared" si="6"/>
        <v>365.07999999995809</v>
      </c>
      <c r="H80" s="844">
        <f>G80+'24'!H80</f>
        <v>5993.1199999999953</v>
      </c>
      <c r="I80" s="906"/>
      <c r="J80" s="846">
        <f>H80/DAY(B2)</f>
        <v>239.72479999999982</v>
      </c>
      <c r="K80" s="928"/>
      <c r="L80" s="821"/>
      <c r="O80" s="848"/>
    </row>
    <row r="81" spans="1:15">
      <c r="A81" s="1642" t="s">
        <v>198</v>
      </c>
      <c r="B81" s="1643"/>
      <c r="C81" s="1644"/>
      <c r="D81" s="875" t="s">
        <v>186</v>
      </c>
      <c r="E81" s="842">
        <f>'24'!F81</f>
        <v>638300.04</v>
      </c>
      <c r="F81" s="934">
        <v>638389.16</v>
      </c>
      <c r="G81" s="843">
        <f t="shared" si="6"/>
        <v>89.119999999995343</v>
      </c>
      <c r="H81" s="844">
        <f>G81+'24'!H81</f>
        <v>1911.1600000000326</v>
      </c>
      <c r="I81" s="906"/>
      <c r="J81" s="846">
        <f>H81/DAY(B2)</f>
        <v>76.446400000001304</v>
      </c>
      <c r="K81" s="928"/>
      <c r="L81" s="821"/>
      <c r="O81" s="848"/>
    </row>
    <row r="82" spans="1:15">
      <c r="A82" s="1642" t="s">
        <v>93</v>
      </c>
      <c r="B82" s="1643"/>
      <c r="C82" s="1644"/>
      <c r="D82" s="876" t="s">
        <v>131</v>
      </c>
      <c r="E82" s="842">
        <f>'24'!F82</f>
        <v>108055.15</v>
      </c>
      <c r="F82" s="993">
        <v>108065.74</v>
      </c>
      <c r="G82" s="843">
        <f t="shared" si="6"/>
        <v>10.590000000011059</v>
      </c>
      <c r="H82" s="844">
        <f>G82+'24'!H82</f>
        <v>453.74000000000524</v>
      </c>
      <c r="I82" s="877"/>
      <c r="J82" s="846">
        <f>H82/DAY(B2)</f>
        <v>18.149600000000209</v>
      </c>
      <c r="K82" s="928"/>
      <c r="L82" s="821"/>
      <c r="N82" s="1010">
        <f>371*0.99</f>
        <v>367.29</v>
      </c>
      <c r="O82" s="848"/>
    </row>
    <row r="83" spans="1:15">
      <c r="A83" s="1642" t="s">
        <v>199</v>
      </c>
      <c r="B83" s="1643"/>
      <c r="C83" s="1644"/>
      <c r="D83" s="938" t="s">
        <v>131</v>
      </c>
      <c r="E83" s="842">
        <f>'24'!F83</f>
        <v>19231</v>
      </c>
      <c r="F83" s="1488">
        <v>19414</v>
      </c>
      <c r="G83" s="843">
        <f t="shared" si="6"/>
        <v>183</v>
      </c>
      <c r="H83" s="844">
        <f>G83+'24'!H83</f>
        <v>4643</v>
      </c>
      <c r="I83" s="866"/>
      <c r="J83" s="846">
        <f>H83/DAY(B2)</f>
        <v>185.72</v>
      </c>
      <c r="K83" s="869"/>
      <c r="L83" s="821"/>
      <c r="O83" s="848"/>
    </row>
    <row r="84" spans="1:15">
      <c r="A84" s="939" t="s">
        <v>200</v>
      </c>
      <c r="B84" s="940"/>
      <c r="C84" s="940"/>
      <c r="D84" s="860" t="s">
        <v>131</v>
      </c>
      <c r="E84" s="842">
        <f>'24'!F84</f>
        <v>494738</v>
      </c>
      <c r="F84" s="941">
        <v>495387</v>
      </c>
      <c r="G84" s="843">
        <f t="shared" si="6"/>
        <v>649</v>
      </c>
      <c r="H84" s="844">
        <f>G84+'24'!H84</f>
        <v>15254</v>
      </c>
      <c r="I84" s="866"/>
      <c r="J84" s="846">
        <f>H84/DAY(B2)</f>
        <v>610.16</v>
      </c>
      <c r="K84" s="942"/>
      <c r="L84" s="821"/>
      <c r="O84" s="848"/>
    </row>
    <row r="85" spans="1:15" s="946" customFormat="1">
      <c r="A85" s="943" t="s">
        <v>201</v>
      </c>
      <c r="B85" s="944"/>
      <c r="C85" s="944"/>
      <c r="D85" s="881"/>
      <c r="E85" s="842"/>
      <c r="F85" s="941"/>
      <c r="G85" s="844">
        <f xml:space="preserve"> SUM(G72:G84)</f>
        <v>1705.3199999999665</v>
      </c>
      <c r="H85" s="844">
        <f>G85+'24'!H85</f>
        <v>41091.270000000033</v>
      </c>
      <c r="I85" s="866"/>
      <c r="J85" s="846">
        <f>H85/DAY(B2)</f>
        <v>1643.6508000000013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182</v>
      </c>
      <c r="E86" s="842">
        <f>'24'!F86</f>
        <v>460712.84</v>
      </c>
      <c r="F86" s="950">
        <v>460736.84</v>
      </c>
      <c r="G86" s="951">
        <f t="shared" ref="G86:G91" si="7">F86-E86</f>
        <v>24</v>
      </c>
      <c r="H86" s="951">
        <f t="shared" ref="H86:H88" si="8">G86</f>
        <v>24</v>
      </c>
      <c r="I86" s="952"/>
      <c r="J86" s="953">
        <f>H86/DAY(B2)</f>
        <v>0.96</v>
      </c>
      <c r="K86" s="954"/>
      <c r="L86" s="955"/>
      <c r="N86" s="1014">
        <f>G86/0.995</f>
        <v>24.120603015075378</v>
      </c>
      <c r="O86" s="848"/>
    </row>
    <row r="87" spans="1:15" s="956" customFormat="1">
      <c r="A87" s="947" t="s">
        <v>95</v>
      </c>
      <c r="B87" s="948"/>
      <c r="C87" s="948"/>
      <c r="D87" s="949" t="s">
        <v>182</v>
      </c>
      <c r="E87" s="842">
        <f>'24'!F87</f>
        <v>81237.3</v>
      </c>
      <c r="F87" s="950">
        <v>81270.7</v>
      </c>
      <c r="G87" s="951">
        <f t="shared" si="7"/>
        <v>33.399999999994179</v>
      </c>
      <c r="H87" s="951">
        <f t="shared" si="8"/>
        <v>33.399999999994179</v>
      </c>
      <c r="I87" s="952"/>
      <c r="J87" s="953">
        <f>H87/DAY(B2)</f>
        <v>1.3359999999997672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182</v>
      </c>
      <c r="E88" s="842">
        <f>'24'!F88</f>
        <v>152832.03</v>
      </c>
      <c r="F88" s="950">
        <v>152855.96</v>
      </c>
      <c r="G88" s="951">
        <f t="shared" si="7"/>
        <v>23.929999999993015</v>
      </c>
      <c r="H88" s="951">
        <f t="shared" si="8"/>
        <v>23.929999999993015</v>
      </c>
      <c r="I88" s="952"/>
      <c r="J88" s="953">
        <f>H88/DAY(B2)</f>
        <v>0.95719999999972061</v>
      </c>
      <c r="K88" s="954"/>
      <c r="L88" s="955"/>
      <c r="N88" s="1014"/>
      <c r="O88" s="848"/>
    </row>
    <row r="89" spans="1:15" s="956" customFormat="1">
      <c r="A89" s="947" t="s">
        <v>203</v>
      </c>
      <c r="B89" s="948"/>
      <c r="C89" s="948"/>
      <c r="D89" s="949" t="s">
        <v>182</v>
      </c>
      <c r="E89" s="842">
        <f>'24'!F89</f>
        <v>65080.1</v>
      </c>
      <c r="F89" s="950">
        <v>65110</v>
      </c>
      <c r="G89" s="951">
        <f t="shared" si="7"/>
        <v>29.900000000001455</v>
      </c>
      <c r="H89" s="951">
        <f>G89</f>
        <v>29.900000000001455</v>
      </c>
      <c r="I89" s="952"/>
      <c r="J89" s="953">
        <f>H89/DAY(B2)</f>
        <v>1.1960000000000581</v>
      </c>
      <c r="K89" s="954"/>
      <c r="L89" s="955"/>
      <c r="N89" s="1020">
        <f>204/205</f>
        <v>0.99512195121951219</v>
      </c>
      <c r="O89" s="848"/>
    </row>
    <row r="90" spans="1:15" s="956" customFormat="1">
      <c r="A90" s="947" t="s">
        <v>203</v>
      </c>
      <c r="B90" s="948"/>
      <c r="C90" s="948"/>
      <c r="D90" s="949" t="s">
        <v>182</v>
      </c>
      <c r="E90" s="842">
        <f>'24'!F90</f>
        <v>3273.6</v>
      </c>
      <c r="F90" s="950">
        <v>3273.6</v>
      </c>
      <c r="G90" s="951">
        <f t="shared" si="7"/>
        <v>0</v>
      </c>
      <c r="H90" s="951">
        <f>G90</f>
        <v>0</v>
      </c>
      <c r="I90" s="952"/>
      <c r="J90" s="953">
        <f>H90/DAY(B2)</f>
        <v>0</v>
      </c>
      <c r="K90" s="954"/>
      <c r="L90" s="955"/>
      <c r="N90" s="1015"/>
      <c r="O90" s="848"/>
    </row>
    <row r="91" spans="1:15" s="1485" customFormat="1">
      <c r="A91" s="1479" t="s">
        <v>361</v>
      </c>
      <c r="B91" s="1480"/>
      <c r="C91" s="1480"/>
      <c r="D91" s="1481"/>
      <c r="E91" s="878">
        <f>'24'!F91</f>
        <v>27986.7</v>
      </c>
      <c r="F91" s="950">
        <v>27990</v>
      </c>
      <c r="G91" s="861">
        <f t="shared" si="7"/>
        <v>3.2999999999992724</v>
      </c>
      <c r="H91" s="861">
        <f>G91</f>
        <v>3.2999999999992724</v>
      </c>
      <c r="I91" s="1019"/>
      <c r="J91" s="1482"/>
      <c r="K91" s="1483"/>
      <c r="L91" s="1484"/>
      <c r="N91" s="1486"/>
      <c r="O91" s="1487"/>
    </row>
    <row r="92" spans="1:15" s="946" customFormat="1">
      <c r="A92" s="957" t="s">
        <v>204</v>
      </c>
      <c r="B92" s="836"/>
      <c r="C92" s="836"/>
      <c r="D92" s="836"/>
      <c r="E92" s="836"/>
      <c r="F92" s="941"/>
      <c r="G92" s="880"/>
      <c r="H92" s="836"/>
      <c r="I92" s="836"/>
      <c r="J92" s="837"/>
      <c r="K92" s="942"/>
      <c r="L92" s="945"/>
      <c r="N92" s="1013"/>
      <c r="O92" s="848"/>
    </row>
    <row r="93" spans="1:15">
      <c r="A93" s="1633" t="s">
        <v>205</v>
      </c>
      <c r="B93" s="1634"/>
      <c r="C93" s="1635"/>
      <c r="D93" s="841" t="s">
        <v>143</v>
      </c>
      <c r="E93" s="842">
        <f>'24'!F93</f>
        <v>245184</v>
      </c>
      <c r="F93" s="993">
        <v>245238</v>
      </c>
      <c r="G93" s="843">
        <f t="shared" ref="G93:G94" si="9">F93-E93</f>
        <v>54</v>
      </c>
      <c r="H93" s="844">
        <f>G93+'24'!H93</f>
        <v>814</v>
      </c>
      <c r="I93" s="863"/>
      <c r="J93" s="846">
        <f>H93/DAY(B2)</f>
        <v>32.56</v>
      </c>
      <c r="K93" s="869"/>
      <c r="L93" s="821"/>
      <c r="O93" s="848"/>
    </row>
    <row r="94" spans="1:15">
      <c r="A94" s="1633" t="s">
        <v>206</v>
      </c>
      <c r="B94" s="1634"/>
      <c r="C94" s="1635"/>
      <c r="D94" s="841" t="s">
        <v>143</v>
      </c>
      <c r="E94" s="842">
        <f>'24'!F94</f>
        <v>185520</v>
      </c>
      <c r="F94" s="993">
        <v>185617</v>
      </c>
      <c r="G94" s="843">
        <f t="shared" si="9"/>
        <v>97</v>
      </c>
      <c r="H94" s="844">
        <f>G94+'24'!H94</f>
        <v>2086</v>
      </c>
      <c r="I94" s="863"/>
      <c r="J94" s="846">
        <f>H94/DAY(B2)</f>
        <v>83.44</v>
      </c>
      <c r="K94" s="942"/>
      <c r="L94" s="821"/>
      <c r="O94" s="848"/>
    </row>
    <row r="95" spans="1:15">
      <c r="A95" s="1625" t="s">
        <v>207</v>
      </c>
      <c r="B95" s="1626"/>
      <c r="C95" s="1627"/>
      <c r="D95" s="841"/>
      <c r="E95" s="842">
        <f>'24'!F95</f>
        <v>0</v>
      </c>
      <c r="F95" s="993"/>
      <c r="G95" s="843">
        <f>G93+G94</f>
        <v>151</v>
      </c>
      <c r="H95" s="844">
        <f>G95+'24'!H95</f>
        <v>2753</v>
      </c>
      <c r="I95" s="863"/>
      <c r="J95" s="846">
        <f>H95/DAY(B2)</f>
        <v>110.12</v>
      </c>
      <c r="K95" s="942"/>
      <c r="L95" s="821"/>
      <c r="O95" s="848"/>
    </row>
    <row r="96" spans="1:15">
      <c r="A96" s="1633" t="s">
        <v>208</v>
      </c>
      <c r="B96" s="1634"/>
      <c r="C96" s="1635"/>
      <c r="D96" s="841" t="s">
        <v>143</v>
      </c>
      <c r="E96" s="842">
        <f>'24'!F96</f>
        <v>413924</v>
      </c>
      <c r="F96" s="993">
        <v>414002</v>
      </c>
      <c r="G96" s="843">
        <f t="shared" ref="G96:G101" si="10">F96-E96</f>
        <v>78</v>
      </c>
      <c r="H96" s="844">
        <f>G96+'24'!H96</f>
        <v>1116</v>
      </c>
      <c r="I96" s="863"/>
      <c r="J96" s="846">
        <f>H96/DAY(B2)</f>
        <v>44.64</v>
      </c>
      <c r="K96" s="942"/>
      <c r="L96" s="821"/>
      <c r="O96" s="848"/>
    </row>
    <row r="97" spans="1:15">
      <c r="A97" s="870" t="s">
        <v>209</v>
      </c>
      <c r="B97" s="871"/>
      <c r="C97" s="871"/>
      <c r="D97" s="841" t="s">
        <v>143</v>
      </c>
      <c r="E97" s="842">
        <f>'24'!F97</f>
        <v>102578</v>
      </c>
      <c r="F97" s="993">
        <v>102587</v>
      </c>
      <c r="G97" s="843">
        <f t="shared" si="10"/>
        <v>9</v>
      </c>
      <c r="H97" s="844">
        <f>G97+'24'!H97</f>
        <v>244</v>
      </c>
      <c r="I97" s="863"/>
      <c r="J97" s="846">
        <f>H97/DAY(B2)</f>
        <v>9.76</v>
      </c>
      <c r="K97" s="838"/>
      <c r="L97" s="821"/>
      <c r="O97" s="848"/>
    </row>
    <row r="98" spans="1:15">
      <c r="A98" s="870" t="s">
        <v>210</v>
      </c>
      <c r="B98" s="871"/>
      <c r="C98" s="871"/>
      <c r="D98" s="841" t="s">
        <v>143</v>
      </c>
      <c r="E98" s="842">
        <f>'24'!F98</f>
        <v>97796</v>
      </c>
      <c r="F98" s="993">
        <v>97809</v>
      </c>
      <c r="G98" s="843">
        <f t="shared" si="10"/>
        <v>13</v>
      </c>
      <c r="H98" s="844">
        <f>G98+'24'!H98</f>
        <v>382</v>
      </c>
      <c r="I98" s="863"/>
      <c r="J98" s="846">
        <f>H98/DAY(B2)</f>
        <v>15.28</v>
      </c>
      <c r="K98" s="958"/>
      <c r="L98" s="821"/>
      <c r="O98" s="848"/>
    </row>
    <row r="99" spans="1:15">
      <c r="A99" s="870" t="s">
        <v>211</v>
      </c>
      <c r="B99" s="871"/>
      <c r="C99" s="871"/>
      <c r="D99" s="841" t="s">
        <v>143</v>
      </c>
      <c r="E99" s="842">
        <f>'24'!F99</f>
        <v>149818</v>
      </c>
      <c r="F99" s="993">
        <v>149825</v>
      </c>
      <c r="G99" s="843">
        <f t="shared" si="10"/>
        <v>7</v>
      </c>
      <c r="H99" s="844">
        <f>G99+'24'!H99</f>
        <v>292</v>
      </c>
      <c r="I99" s="863"/>
      <c r="J99" s="846">
        <f>H99/DAY(B2)</f>
        <v>11.68</v>
      </c>
      <c r="K99" s="942"/>
      <c r="L99" s="821"/>
      <c r="O99" s="848"/>
    </row>
    <row r="100" spans="1:15">
      <c r="A100" s="870" t="s">
        <v>212</v>
      </c>
      <c r="B100" s="871"/>
      <c r="C100" s="871"/>
      <c r="D100" s="841" t="s">
        <v>143</v>
      </c>
      <c r="E100" s="842">
        <f>'24'!F100</f>
        <v>7328</v>
      </c>
      <c r="F100" s="993">
        <v>7334</v>
      </c>
      <c r="G100" s="843">
        <f t="shared" si="10"/>
        <v>6</v>
      </c>
      <c r="H100" s="844">
        <f>G100+'24'!H100</f>
        <v>149</v>
      </c>
      <c r="I100" s="863"/>
      <c r="J100" s="846">
        <f>H100/DAY(B2)</f>
        <v>5.96</v>
      </c>
      <c r="K100" s="942"/>
      <c r="L100" s="821"/>
      <c r="O100" s="848"/>
    </row>
    <row r="101" spans="1:15">
      <c r="A101" s="870" t="s">
        <v>213</v>
      </c>
      <c r="B101" s="871"/>
      <c r="C101" s="871"/>
      <c r="D101" s="841" t="s">
        <v>143</v>
      </c>
      <c r="E101" s="842">
        <f>'24'!F101</f>
        <v>5325</v>
      </c>
      <c r="F101" s="993">
        <v>5341</v>
      </c>
      <c r="G101" s="843">
        <f t="shared" si="10"/>
        <v>16</v>
      </c>
      <c r="H101" s="844">
        <f>G101+'24'!H101</f>
        <v>203</v>
      </c>
      <c r="I101" s="863"/>
      <c r="J101" s="846">
        <f>H101/DAY(B2)</f>
        <v>8.1199999999999992</v>
      </c>
      <c r="K101" s="942"/>
      <c r="L101" s="821"/>
      <c r="O101" s="848"/>
    </row>
    <row r="102" spans="1:15">
      <c r="A102" s="1625" t="s">
        <v>215</v>
      </c>
      <c r="B102" s="1626"/>
      <c r="C102" s="1627"/>
      <c r="D102" s="875"/>
      <c r="E102" s="875"/>
      <c r="F102" s="941"/>
      <c r="G102" s="959">
        <f>SUM(G96:G101)</f>
        <v>129</v>
      </c>
      <c r="H102" s="844">
        <f>G102+'24'!H102</f>
        <v>2386</v>
      </c>
      <c r="I102" s="960"/>
      <c r="J102" s="846">
        <f>H102/DAY(B2)</f>
        <v>95.44</v>
      </c>
      <c r="K102" s="942"/>
      <c r="L102" s="821"/>
      <c r="O102" s="848"/>
    </row>
    <row r="103" spans="1:15" s="893" customFormat="1">
      <c r="A103" s="961" t="s">
        <v>216</v>
      </c>
      <c r="B103" s="962"/>
      <c r="C103" s="962"/>
      <c r="D103" s="963"/>
      <c r="E103" s="964"/>
      <c r="F103" s="1499"/>
      <c r="G103" s="966"/>
      <c r="H103" s="967"/>
      <c r="I103" s="968"/>
      <c r="J103" s="969"/>
      <c r="N103" s="1011"/>
      <c r="O103" s="848"/>
    </row>
    <row r="104" spans="1:15" s="893" customFormat="1">
      <c r="A104" s="1622" t="s">
        <v>217</v>
      </c>
      <c r="B104" s="1623"/>
      <c r="C104" s="970"/>
      <c r="D104" s="971"/>
      <c r="E104" s="972"/>
      <c r="F104" s="976"/>
      <c r="G104" s="972"/>
      <c r="H104" s="973"/>
      <c r="I104" s="972"/>
      <c r="J104" s="974"/>
      <c r="N104" s="1011"/>
      <c r="O104" s="848"/>
    </row>
    <row r="105" spans="1:15" s="893" customFormat="1">
      <c r="A105" s="1616" t="s">
        <v>218</v>
      </c>
      <c r="B105" s="1617"/>
      <c r="C105" s="975"/>
      <c r="D105" s="971" t="s">
        <v>143</v>
      </c>
      <c r="E105" s="972">
        <f>'24'!F105</f>
        <v>7484</v>
      </c>
      <c r="F105" s="976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2.2799999999999998</v>
      </c>
      <c r="N105" s="1011"/>
      <c r="O105" s="848"/>
    </row>
    <row r="106" spans="1:15" s="893" customFormat="1">
      <c r="A106" s="1616" t="s">
        <v>77</v>
      </c>
      <c r="B106" s="1617"/>
      <c r="C106" s="975"/>
      <c r="D106" s="971" t="s">
        <v>143</v>
      </c>
      <c r="E106" s="972">
        <f>'24'!F106</f>
        <v>35907</v>
      </c>
      <c r="F106" s="976">
        <v>35923</v>
      </c>
      <c r="G106" s="972">
        <f t="shared" ref="G106:G107" si="11">F106-E106</f>
        <v>16</v>
      </c>
      <c r="H106" s="973">
        <f>SUM(G106+'1'!G77)</f>
        <v>66</v>
      </c>
      <c r="I106" s="972"/>
      <c r="J106" s="974">
        <f>H106/DAY(B2)</f>
        <v>2.64</v>
      </c>
      <c r="N106" s="1011"/>
      <c r="O106" s="848"/>
    </row>
    <row r="107" spans="1:15" s="893" customFormat="1">
      <c r="A107" s="1616" t="s">
        <v>78</v>
      </c>
      <c r="B107" s="1624"/>
      <c r="C107" s="1617"/>
      <c r="D107" s="971" t="s">
        <v>143</v>
      </c>
      <c r="E107" s="972">
        <f>'24'!F107</f>
        <v>19685</v>
      </c>
      <c r="F107" s="976">
        <v>19685</v>
      </c>
      <c r="G107" s="972">
        <f t="shared" si="11"/>
        <v>0</v>
      </c>
      <c r="H107" s="973">
        <f>SUM(G107+'1'!G78)</f>
        <v>124</v>
      </c>
      <c r="I107" s="972"/>
      <c r="J107" s="974">
        <f>H107/DAY(B2)</f>
        <v>4.96</v>
      </c>
      <c r="N107" s="1011"/>
      <c r="O107" s="848"/>
    </row>
    <row r="108" spans="1:15" s="893" customFormat="1">
      <c r="A108" s="1618" t="s">
        <v>201</v>
      </c>
      <c r="B108" s="1619"/>
      <c r="C108" s="975"/>
      <c r="D108" s="971"/>
      <c r="E108" s="972">
        <f>'24'!F108</f>
        <v>0</v>
      </c>
      <c r="F108" s="976"/>
      <c r="G108" s="972">
        <f>SUM(G105:G107)</f>
        <v>16</v>
      </c>
      <c r="H108" s="973">
        <f>SUM(G108+'1'!G79)</f>
        <v>205</v>
      </c>
      <c r="I108" s="972"/>
      <c r="J108" s="974">
        <f>H108/DAY(B2)</f>
        <v>8.1999999999999993</v>
      </c>
      <c r="N108" s="1011"/>
      <c r="O108" s="848"/>
    </row>
    <row r="109" spans="1:15" s="893" customFormat="1">
      <c r="A109" s="1614" t="s">
        <v>79</v>
      </c>
      <c r="B109" s="1615"/>
      <c r="C109" s="975"/>
      <c r="D109" s="971" t="s">
        <v>143</v>
      </c>
      <c r="E109" s="972">
        <f>'24'!F109</f>
        <v>0</v>
      </c>
      <c r="F109" s="976"/>
      <c r="G109" s="972"/>
      <c r="H109" s="973"/>
      <c r="I109" s="972"/>
      <c r="J109" s="974"/>
      <c r="N109" s="1011"/>
      <c r="O109" s="848"/>
    </row>
    <row r="110" spans="1:15" s="893" customFormat="1">
      <c r="A110" s="1616" t="s">
        <v>219</v>
      </c>
      <c r="B110" s="1617"/>
      <c r="C110" s="975"/>
      <c r="D110" s="971" t="s">
        <v>143</v>
      </c>
      <c r="E110" s="972">
        <f>'24'!F110</f>
        <v>62370</v>
      </c>
      <c r="F110" s="976">
        <v>62420</v>
      </c>
      <c r="G110" s="972">
        <f>F110-E110</f>
        <v>50</v>
      </c>
      <c r="H110" s="973">
        <f>SUM(G110+'1'!G81)</f>
        <v>131</v>
      </c>
      <c r="I110" s="972"/>
      <c r="J110" s="974">
        <f>H110/DAY(B2)</f>
        <v>5.24</v>
      </c>
      <c r="N110" s="1011"/>
      <c r="O110" s="848"/>
    </row>
    <row r="111" spans="1:15" s="893" customFormat="1">
      <c r="A111" s="1616" t="s">
        <v>220</v>
      </c>
      <c r="B111" s="1617"/>
      <c r="C111" s="975"/>
      <c r="D111" s="971" t="s">
        <v>143</v>
      </c>
      <c r="E111" s="972">
        <f>'24'!F111</f>
        <v>32518</v>
      </c>
      <c r="F111" s="976">
        <v>32518</v>
      </c>
      <c r="G111" s="972">
        <f t="shared" ref="G111:G112" si="12">F111-E111</f>
        <v>0</v>
      </c>
      <c r="H111" s="973">
        <f>SUM(G111+'1'!G82)</f>
        <v>12</v>
      </c>
      <c r="I111" s="972"/>
      <c r="J111" s="974">
        <f>H111/DAY(B2)</f>
        <v>0.48</v>
      </c>
      <c r="N111" s="1011"/>
      <c r="O111" s="848"/>
    </row>
    <row r="112" spans="1:15" s="893" customFormat="1">
      <c r="A112" s="1616" t="s">
        <v>221</v>
      </c>
      <c r="B112" s="1617"/>
      <c r="C112" s="975"/>
      <c r="D112" s="971" t="s">
        <v>143</v>
      </c>
      <c r="E112" s="972">
        <f>'24'!F112</f>
        <v>4527</v>
      </c>
      <c r="F112" s="976">
        <v>4543</v>
      </c>
      <c r="G112" s="972">
        <f t="shared" si="12"/>
        <v>16</v>
      </c>
      <c r="H112" s="973">
        <f>SUM(G112+'1'!G83)</f>
        <v>271</v>
      </c>
      <c r="I112" s="972"/>
      <c r="J112" s="974">
        <f>H112/DAY(B2)</f>
        <v>10.84</v>
      </c>
      <c r="N112" s="1011"/>
      <c r="O112" s="848"/>
    </row>
    <row r="113" spans="1:15" s="893" customFormat="1">
      <c r="A113" s="1620" t="s">
        <v>110</v>
      </c>
      <c r="B113" s="1621"/>
      <c r="C113" s="975"/>
      <c r="D113" s="971"/>
      <c r="E113" s="972">
        <f>'24'!F113</f>
        <v>0</v>
      </c>
      <c r="F113" s="976"/>
      <c r="G113" s="972">
        <f>SUM(G110:G112)</f>
        <v>66</v>
      </c>
      <c r="H113" s="973">
        <f>SUM(G113+'1'!G84)</f>
        <v>781</v>
      </c>
      <c r="I113" s="972"/>
      <c r="J113" s="974">
        <f>H113/DAY(B2)</f>
        <v>31.24</v>
      </c>
      <c r="N113" s="1011"/>
      <c r="O113" s="848"/>
    </row>
    <row r="114" spans="1:15" s="893" customFormat="1">
      <c r="A114" s="1614" t="s">
        <v>222</v>
      </c>
      <c r="B114" s="1615"/>
      <c r="C114" s="975"/>
      <c r="D114" s="971"/>
      <c r="E114" s="972">
        <f>'24'!F114</f>
        <v>0</v>
      </c>
      <c r="F114" s="976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>
      <c r="A115" s="1616" t="s">
        <v>223</v>
      </c>
      <c r="B115" s="1617"/>
      <c r="C115" s="977"/>
      <c r="D115" s="971" t="s">
        <v>143</v>
      </c>
      <c r="E115" s="972">
        <f>'24'!F115</f>
        <v>11444</v>
      </c>
      <c r="F115" s="976">
        <v>11452</v>
      </c>
      <c r="G115" s="976">
        <f>F115-E115</f>
        <v>8</v>
      </c>
      <c r="H115" s="973">
        <f>SUM(G115+'1'!G92)</f>
        <v>8</v>
      </c>
      <c r="I115" s="972"/>
      <c r="J115" s="974">
        <f>H115/DAY(B2)</f>
        <v>0.32</v>
      </c>
      <c r="N115" s="1011"/>
      <c r="O115" s="848"/>
    </row>
    <row r="116" spans="1:15" s="893" customFormat="1">
      <c r="A116" s="1616" t="s">
        <v>224</v>
      </c>
      <c r="B116" s="1617"/>
      <c r="C116" s="977"/>
      <c r="D116" s="971" t="s">
        <v>143</v>
      </c>
      <c r="E116" s="972">
        <f>'24'!F116</f>
        <v>8261</v>
      </c>
      <c r="F116" s="976">
        <v>8273</v>
      </c>
      <c r="G116" s="976">
        <f t="shared" ref="G116:G117" si="13">F116-E116</f>
        <v>12</v>
      </c>
      <c r="H116" s="973">
        <f>SUM(G116+'1'!G93)</f>
        <v>64</v>
      </c>
      <c r="I116" s="972"/>
      <c r="J116" s="974">
        <f>H116/DAY(B2)</f>
        <v>2.56</v>
      </c>
      <c r="N116" s="1011"/>
      <c r="O116" s="848"/>
    </row>
    <row r="117" spans="1:15" s="893" customFormat="1">
      <c r="A117" s="1616" t="s">
        <v>225</v>
      </c>
      <c r="B117" s="1617"/>
      <c r="C117" s="977"/>
      <c r="D117" s="971" t="s">
        <v>143</v>
      </c>
      <c r="E117" s="976"/>
      <c r="F117" s="976"/>
      <c r="G117" s="976">
        <f t="shared" si="13"/>
        <v>0</v>
      </c>
      <c r="H117" s="973">
        <f>SUM(G117+'1'!G94)</f>
        <v>95</v>
      </c>
      <c r="I117" s="972"/>
      <c r="J117" s="974">
        <f>H117/DAY(B2)</f>
        <v>3.8</v>
      </c>
      <c r="N117" s="1011"/>
      <c r="O117" s="848"/>
    </row>
    <row r="118" spans="1:15" s="979" customFormat="1">
      <c r="A118" s="1618" t="s">
        <v>201</v>
      </c>
      <c r="B118" s="1619"/>
      <c r="C118" s="977"/>
      <c r="D118" s="978"/>
      <c r="E118" s="976"/>
      <c r="F118" s="976"/>
      <c r="G118" s="976">
        <f>SUM(G115:G117)</f>
        <v>20</v>
      </c>
      <c r="H118" s="973">
        <f>SUM(G118+'1'!G96)</f>
        <v>92</v>
      </c>
      <c r="I118" s="976"/>
      <c r="J118" s="974">
        <f>H118/DAY(B2)</f>
        <v>3.68</v>
      </c>
      <c r="N118" s="1016"/>
      <c r="O118" s="848"/>
    </row>
    <row r="119" spans="1:15" s="771" customFormat="1">
      <c r="A119" s="1610" t="s">
        <v>226</v>
      </c>
      <c r="B119" s="1611"/>
      <c r="C119" s="980"/>
      <c r="D119" s="981" t="s">
        <v>143</v>
      </c>
      <c r="E119" s="982"/>
      <c r="F119" s="983"/>
      <c r="G119" s="983">
        <f>SUM(G19+G93)</f>
        <v>114</v>
      </c>
      <c r="H119" s="973">
        <f>SUM(G119+'1'!G97)</f>
        <v>126</v>
      </c>
      <c r="I119" s="982"/>
      <c r="J119" s="984">
        <f>H119/DAY(B2)</f>
        <v>5.04</v>
      </c>
      <c r="N119" s="1017"/>
      <c r="O119" s="848"/>
    </row>
    <row r="120" spans="1:15" s="771" customFormat="1">
      <c r="A120" s="1610" t="s">
        <v>227</v>
      </c>
      <c r="B120" s="1611"/>
      <c r="C120" s="980"/>
      <c r="D120" s="981" t="s">
        <v>143</v>
      </c>
      <c r="E120" s="982"/>
      <c r="F120" s="983"/>
      <c r="G120" s="983">
        <f>SUM(G96,G97,G98,G100,G101)</f>
        <v>122</v>
      </c>
      <c r="H120" s="973">
        <f>SUM(G120+'1'!G99)</f>
        <v>127</v>
      </c>
      <c r="I120" s="982"/>
      <c r="J120" s="984">
        <f>H120/DAY(B2)</f>
        <v>5.08</v>
      </c>
      <c r="N120" s="1017"/>
      <c r="O120" s="848"/>
    </row>
    <row r="121" spans="1:15" s="771" customFormat="1">
      <c r="A121" s="1610" t="s">
        <v>228</v>
      </c>
      <c r="B121" s="1611"/>
      <c r="C121" s="980"/>
      <c r="D121" s="981" t="s">
        <v>143</v>
      </c>
      <c r="E121" s="982"/>
      <c r="F121" s="976"/>
      <c r="G121" s="976">
        <f>SUM(G113)</f>
        <v>66</v>
      </c>
      <c r="H121" s="973">
        <f>SUM(G121+'1'!G101)</f>
        <v>72</v>
      </c>
      <c r="I121" s="982"/>
      <c r="J121" s="984">
        <f>H121/DAY(B2)</f>
        <v>2.88</v>
      </c>
      <c r="N121" s="1017"/>
      <c r="O121" s="848"/>
    </row>
    <row r="122" spans="1:15" s="893" customFormat="1">
      <c r="A122" s="1612"/>
      <c r="B122" s="1613"/>
      <c r="C122" s="975"/>
      <c r="D122" s="970"/>
      <c r="E122" s="970"/>
      <c r="F122" s="1500"/>
      <c r="G122" s="970"/>
      <c r="H122" s="985"/>
      <c r="I122" s="970"/>
      <c r="J122" s="986"/>
      <c r="N122" s="1011"/>
      <c r="O122" s="848"/>
    </row>
    <row r="123" spans="1:15">
      <c r="A123" s="1628" t="s">
        <v>229</v>
      </c>
      <c r="B123" s="1629"/>
      <c r="C123" s="1630"/>
      <c r="D123" s="836"/>
      <c r="E123" s="836"/>
      <c r="F123" s="941"/>
      <c r="G123" s="868"/>
      <c r="H123" s="868"/>
      <c r="I123" s="868"/>
      <c r="J123" s="987"/>
      <c r="K123" s="942"/>
      <c r="L123" s="821"/>
      <c r="O123" s="848"/>
    </row>
    <row r="124" spans="1:15">
      <c r="A124" s="870" t="s">
        <v>230</v>
      </c>
      <c r="B124" s="871"/>
      <c r="C124" s="871"/>
      <c r="D124" s="841" t="s">
        <v>140</v>
      </c>
      <c r="E124" s="842">
        <f>'24'!F124</f>
        <v>830957</v>
      </c>
      <c r="F124" s="1491">
        <v>831165.4</v>
      </c>
      <c r="G124" s="843">
        <f t="shared" ref="G124:G128" si="14">F124-E124</f>
        <v>208.40000000002328</v>
      </c>
      <c r="H124" s="844">
        <f>G124+'24'!H124</f>
        <v>5076.9400000000605</v>
      </c>
      <c r="I124" s="960"/>
      <c r="J124" s="846">
        <f>H124/DAY(B2)</f>
        <v>203.07760000000243</v>
      </c>
      <c r="K124" s="942"/>
      <c r="L124" s="821"/>
      <c r="O124" s="848"/>
    </row>
    <row r="125" spans="1:15">
      <c r="A125" s="870" t="s">
        <v>231</v>
      </c>
      <c r="B125" s="871"/>
      <c r="C125" s="871"/>
      <c r="D125" s="841" t="s">
        <v>140</v>
      </c>
      <c r="E125" s="842">
        <f>'24'!F125</f>
        <v>73583.399999999994</v>
      </c>
      <c r="F125" s="1491">
        <v>73583.399999999994</v>
      </c>
      <c r="G125" s="843">
        <f t="shared" si="14"/>
        <v>0</v>
      </c>
      <c r="H125" s="844">
        <f>G125+'24'!H125</f>
        <v>0</v>
      </c>
      <c r="I125" s="960"/>
      <c r="J125" s="846">
        <f>H125/DAY(B2)</f>
        <v>0</v>
      </c>
      <c r="K125" s="942"/>
      <c r="L125" s="821"/>
      <c r="O125" s="848"/>
    </row>
    <row r="126" spans="1:15">
      <c r="A126" s="1639" t="s">
        <v>232</v>
      </c>
      <c r="B126" s="1640"/>
      <c r="C126" s="1641"/>
      <c r="D126" s="841" t="s">
        <v>140</v>
      </c>
      <c r="E126" s="842">
        <f>'24'!F126</f>
        <v>146037.63</v>
      </c>
      <c r="F126" s="1491">
        <v>146111.75</v>
      </c>
      <c r="G126" s="843">
        <f t="shared" si="14"/>
        <v>74.119999999995343</v>
      </c>
      <c r="H126" s="844">
        <f>G126+'24'!H126</f>
        <v>1424.3099999999977</v>
      </c>
      <c r="I126" s="960"/>
      <c r="J126" s="846">
        <f>H126/DAY(B2)</f>
        <v>56.972399999999908</v>
      </c>
      <c r="K126" s="942"/>
      <c r="L126" s="821"/>
      <c r="O126" s="848"/>
    </row>
    <row r="127" spans="1:15">
      <c r="A127" s="989" t="s">
        <v>233</v>
      </c>
      <c r="B127" s="871"/>
      <c r="C127" s="871"/>
      <c r="D127" s="841" t="s">
        <v>140</v>
      </c>
      <c r="E127" s="842">
        <f>'24'!F127</f>
        <v>31404.2</v>
      </c>
      <c r="F127" s="1491">
        <v>31404.2</v>
      </c>
      <c r="G127" s="843">
        <f t="shared" si="14"/>
        <v>0</v>
      </c>
      <c r="H127" s="844">
        <f>G127+'24'!H127</f>
        <v>0.2000000000007276</v>
      </c>
      <c r="I127" s="960"/>
      <c r="J127" s="846">
        <f>H127/DAY(B2)</f>
        <v>8.0000000000291036E-3</v>
      </c>
      <c r="K127" s="942"/>
      <c r="L127" s="821"/>
      <c r="O127" s="848"/>
    </row>
    <row r="128" spans="1:15">
      <c r="A128" s="989" t="s">
        <v>234</v>
      </c>
      <c r="B128" s="871"/>
      <c r="C128" s="871"/>
      <c r="D128" s="841" t="s">
        <v>140</v>
      </c>
      <c r="E128" s="842">
        <f>'24'!F128</f>
        <v>8970.6</v>
      </c>
      <c r="F128" s="1491">
        <v>8970.6</v>
      </c>
      <c r="G128" s="843">
        <f t="shared" si="14"/>
        <v>0</v>
      </c>
      <c r="H128" s="844">
        <f>G128+'24'!H128</f>
        <v>0.8999999999996362</v>
      </c>
      <c r="I128" s="863"/>
      <c r="J128" s="846">
        <f>H128/DAY(B2)</f>
        <v>3.5999999999985446E-2</v>
      </c>
      <c r="K128" s="942"/>
      <c r="L128" s="821"/>
      <c r="O128" s="848"/>
    </row>
    <row r="129" spans="1:16">
      <c r="A129" s="989" t="s">
        <v>235</v>
      </c>
      <c r="B129" s="871"/>
      <c r="C129" s="871"/>
      <c r="D129" s="841"/>
      <c r="E129" s="842"/>
      <c r="F129" s="1491"/>
      <c r="G129" s="843">
        <f>G15-SUM(G124:G128)</f>
        <v>392.76900000008754</v>
      </c>
      <c r="H129" s="844">
        <f>G129+'24'!H129</f>
        <v>1921.96899999997</v>
      </c>
      <c r="I129" s="863"/>
      <c r="J129" s="846">
        <f>H129/DAY(B2)</f>
        <v>76.878759999998806</v>
      </c>
      <c r="K129" s="942"/>
      <c r="L129" s="821"/>
      <c r="O129" s="848"/>
    </row>
    <row r="130" spans="1:16">
      <c r="A130" s="990" t="s">
        <v>236</v>
      </c>
      <c r="B130" s="835"/>
      <c r="C130" s="835"/>
      <c r="D130" s="835"/>
      <c r="E130" s="835"/>
      <c r="F130" s="1488"/>
      <c r="G130" s="991"/>
      <c r="H130" s="991"/>
      <c r="I130" s="991"/>
      <c r="J130" s="992"/>
      <c r="O130" s="848"/>
    </row>
    <row r="131" spans="1:16">
      <c r="A131" s="870" t="s">
        <v>237</v>
      </c>
      <c r="B131" s="871"/>
      <c r="C131" s="871"/>
      <c r="D131" s="841" t="s">
        <v>238</v>
      </c>
      <c r="E131" s="842">
        <f>'24'!F131</f>
        <v>0</v>
      </c>
      <c r="F131" s="993">
        <v>0</v>
      </c>
      <c r="G131" s="843">
        <f t="shared" ref="G131:G141" si="15">F131-E131</f>
        <v>0</v>
      </c>
      <c r="H131" s="844">
        <f>G131+'24'!H131</f>
        <v>0</v>
      </c>
      <c r="I131" s="863"/>
      <c r="J131" s="846">
        <f>H131/DAY(B2)</f>
        <v>0</v>
      </c>
      <c r="O131" s="848"/>
    </row>
    <row r="132" spans="1:16">
      <c r="A132" s="870" t="s">
        <v>239</v>
      </c>
      <c r="B132" s="871"/>
      <c r="C132" s="871"/>
      <c r="D132" s="841" t="s">
        <v>238</v>
      </c>
      <c r="E132" s="842">
        <f>'24'!F132</f>
        <v>0</v>
      </c>
      <c r="F132" s="993">
        <v>0</v>
      </c>
      <c r="G132" s="843">
        <f t="shared" si="15"/>
        <v>0</v>
      </c>
      <c r="H132" s="844">
        <f>G132+'24'!H132</f>
        <v>0</v>
      </c>
      <c r="I132" s="863"/>
      <c r="J132" s="846">
        <f>H132/DAY(B2)</f>
        <v>0</v>
      </c>
      <c r="O132" s="848"/>
    </row>
    <row r="133" spans="1:16">
      <c r="A133" s="870" t="s">
        <v>240</v>
      </c>
      <c r="B133" s="871"/>
      <c r="C133" s="871"/>
      <c r="D133" s="841" t="s">
        <v>238</v>
      </c>
      <c r="E133" s="842">
        <f>'24'!F133</f>
        <v>40059.1</v>
      </c>
      <c r="F133" s="993">
        <v>40059.1</v>
      </c>
      <c r="G133" s="843">
        <f t="shared" si="15"/>
        <v>0</v>
      </c>
      <c r="H133" s="844">
        <f>G133+'24'!H133</f>
        <v>312.61999999999534</v>
      </c>
      <c r="I133" s="863"/>
      <c r="J133" s="846">
        <f>H133/DAY(B2)</f>
        <v>12.504799999999813</v>
      </c>
      <c r="O133" s="848"/>
      <c r="P133" s="808">
        <f>49-24</f>
        <v>25</v>
      </c>
    </row>
    <row r="134" spans="1:16">
      <c r="A134" s="870" t="s">
        <v>241</v>
      </c>
      <c r="B134" s="871"/>
      <c r="C134" s="871"/>
      <c r="D134" s="841" t="s">
        <v>238</v>
      </c>
      <c r="E134" s="842">
        <f>'24'!F134</f>
        <v>300</v>
      </c>
      <c r="F134" s="993">
        <v>300</v>
      </c>
      <c r="G134" s="843">
        <f t="shared" si="15"/>
        <v>0</v>
      </c>
      <c r="H134" s="844">
        <f>G134+'24'!H134</f>
        <v>0</v>
      </c>
      <c r="I134" s="863">
        <f>G131+G132+G133+G134</f>
        <v>0</v>
      </c>
      <c r="J134" s="846">
        <f>H134/DAY(B2)</f>
        <v>0</v>
      </c>
      <c r="O134" s="848"/>
    </row>
    <row r="135" spans="1:16">
      <c r="A135" s="870" t="s">
        <v>242</v>
      </c>
      <c r="B135" s="871"/>
      <c r="C135" s="871"/>
      <c r="D135" s="841" t="s">
        <v>238</v>
      </c>
      <c r="E135" s="842">
        <f>'24'!F135</f>
        <v>41661.39</v>
      </c>
      <c r="F135" s="993">
        <v>41685.300000000003</v>
      </c>
      <c r="G135" s="843">
        <f t="shared" si="15"/>
        <v>23.910000000003492</v>
      </c>
      <c r="H135" s="844">
        <f>G135+'24'!H135</f>
        <v>47.910000000003492</v>
      </c>
      <c r="I135" s="863"/>
      <c r="J135" s="846">
        <f>H135/DAY(B2)</f>
        <v>1.9164000000001398</v>
      </c>
      <c r="O135" s="848"/>
    </row>
    <row r="136" spans="1:16">
      <c r="A136" s="870" t="s">
        <v>243</v>
      </c>
      <c r="B136" s="871"/>
      <c r="C136" s="871"/>
      <c r="D136" s="841" t="s">
        <v>238</v>
      </c>
      <c r="E136" s="842">
        <f>'24'!F136</f>
        <v>32582.93</v>
      </c>
      <c r="F136" s="993">
        <v>32582.93</v>
      </c>
      <c r="G136" s="843">
        <f t="shared" si="15"/>
        <v>0</v>
      </c>
      <c r="H136" s="844">
        <f>G136+'24'!H136</f>
        <v>13</v>
      </c>
      <c r="I136" s="863"/>
      <c r="J136" s="846">
        <f>H136/DAY(B2)</f>
        <v>0.52</v>
      </c>
      <c r="O136" s="848"/>
    </row>
    <row r="137" spans="1:16">
      <c r="A137" s="870" t="s">
        <v>244</v>
      </c>
      <c r="B137" s="871"/>
      <c r="C137" s="871"/>
      <c r="D137" s="841" t="s">
        <v>238</v>
      </c>
      <c r="E137" s="842">
        <f>'24'!F137</f>
        <v>22783.45</v>
      </c>
      <c r="F137" s="993">
        <v>22791.35</v>
      </c>
      <c r="G137" s="843">
        <f t="shared" si="15"/>
        <v>7.8999999999978172</v>
      </c>
      <c r="H137" s="844">
        <f>G137+'24'!H137</f>
        <v>51.759999999998399</v>
      </c>
      <c r="I137" s="863">
        <f>G135+G136+G137</f>
        <v>31.81000000000131</v>
      </c>
      <c r="J137" s="846">
        <f>H137/DAY(B2)</f>
        <v>2.0703999999999358</v>
      </c>
      <c r="O137" s="848"/>
    </row>
    <row r="138" spans="1:16">
      <c r="A138" s="870" t="s">
        <v>245</v>
      </c>
      <c r="B138" s="871"/>
      <c r="C138" s="871"/>
      <c r="D138" s="841" t="s">
        <v>238</v>
      </c>
      <c r="E138" s="842">
        <f>'24'!F138</f>
        <v>25051.72</v>
      </c>
      <c r="F138" s="993">
        <v>25051.73</v>
      </c>
      <c r="G138" s="843">
        <f t="shared" si="15"/>
        <v>9.9999999983992893E-3</v>
      </c>
      <c r="H138" s="844">
        <f>G138+'24'!H138</f>
        <v>8.0099999999983993</v>
      </c>
      <c r="I138" s="863"/>
      <c r="J138" s="846">
        <f>H138/DAY(B2)</f>
        <v>0.32039999999993596</v>
      </c>
      <c r="O138" s="848"/>
    </row>
    <row r="139" spans="1:16">
      <c r="A139" s="870" t="s">
        <v>246</v>
      </c>
      <c r="B139" s="871"/>
      <c r="C139" s="871"/>
      <c r="D139" s="841" t="s">
        <v>238</v>
      </c>
      <c r="E139" s="842">
        <f>'24'!F139</f>
        <v>70389.350000000006</v>
      </c>
      <c r="F139" s="993">
        <v>70389.350000000006</v>
      </c>
      <c r="G139" s="843">
        <f t="shared" si="15"/>
        <v>0</v>
      </c>
      <c r="H139" s="844">
        <f>G139+'24'!H139</f>
        <v>25.25</v>
      </c>
      <c r="I139" s="863">
        <f>G138+G139</f>
        <v>9.9999999983992893E-3</v>
      </c>
      <c r="J139" s="846">
        <f>H139/DAY(B2)</f>
        <v>1.01</v>
      </c>
      <c r="O139" s="848"/>
    </row>
    <row r="140" spans="1:16">
      <c r="A140" s="870" t="s">
        <v>247</v>
      </c>
      <c r="B140" s="871"/>
      <c r="C140" s="871"/>
      <c r="D140" s="841" t="s">
        <v>238</v>
      </c>
      <c r="E140" s="842">
        <f>'24'!F140</f>
        <v>1801.71</v>
      </c>
      <c r="F140" s="993">
        <v>1809.4</v>
      </c>
      <c r="G140" s="843">
        <f t="shared" si="15"/>
        <v>7.6900000000000546</v>
      </c>
      <c r="H140" s="844">
        <f>G140+'24'!H140</f>
        <v>192.54000000000019</v>
      </c>
      <c r="I140" s="994"/>
      <c r="J140" s="846">
        <f>H140/DAY(B2)</f>
        <v>7.701600000000008</v>
      </c>
      <c r="O140" s="848"/>
    </row>
    <row r="141" spans="1:16">
      <c r="A141" s="870" t="s">
        <v>248</v>
      </c>
      <c r="B141" s="871"/>
      <c r="C141" s="871"/>
      <c r="D141" s="841" t="s">
        <v>238</v>
      </c>
      <c r="E141" s="842">
        <f>'24'!F141</f>
        <v>4636.58</v>
      </c>
      <c r="F141" s="993">
        <v>4636.88</v>
      </c>
      <c r="G141" s="843">
        <f t="shared" si="15"/>
        <v>0.3000000000001819</v>
      </c>
      <c r="H141" s="844">
        <f>G141+'24'!H141</f>
        <v>-0.11999999999989086</v>
      </c>
      <c r="I141" s="994"/>
      <c r="J141" s="846">
        <f>H141/DAY(B2)</f>
        <v>-4.7999999999956341E-3</v>
      </c>
      <c r="O141" s="848"/>
    </row>
    <row r="142" spans="1:16">
      <c r="A142" s="1631" t="s">
        <v>249</v>
      </c>
      <c r="B142" s="1632"/>
      <c r="C142" s="836"/>
      <c r="D142" s="836"/>
      <c r="E142" s="836"/>
      <c r="F142" s="941"/>
      <c r="G142" s="868"/>
      <c r="H142" s="868"/>
      <c r="I142" s="868"/>
      <c r="J142" s="987"/>
      <c r="K142" s="942"/>
      <c r="L142" s="821"/>
      <c r="O142" s="848"/>
    </row>
    <row r="143" spans="1:16">
      <c r="A143" s="1633" t="s">
        <v>250</v>
      </c>
      <c r="B143" s="1634"/>
      <c r="C143" s="1635"/>
      <c r="D143" s="841" t="s">
        <v>131</v>
      </c>
      <c r="E143" s="841"/>
      <c r="F143" s="941"/>
      <c r="G143" s="844">
        <f>G35+G43+G49+G57</f>
        <v>4309.5799999999581</v>
      </c>
      <c r="H143" s="844">
        <f>G143+'24'!H143</f>
        <v>103097.29000000004</v>
      </c>
      <c r="I143" s="863"/>
      <c r="J143" s="846">
        <f>H143/DAY(B2)</f>
        <v>4123.8916000000017</v>
      </c>
      <c r="K143" s="942"/>
      <c r="L143" s="821"/>
      <c r="O143" s="848"/>
    </row>
    <row r="144" spans="1:16">
      <c r="A144" s="1633" t="s">
        <v>251</v>
      </c>
      <c r="B144" s="1634"/>
      <c r="C144" s="1635"/>
      <c r="D144" s="841" t="s">
        <v>24</v>
      </c>
      <c r="E144" s="828"/>
      <c r="F144" s="1488"/>
      <c r="G144" s="995">
        <f>G143/G7</f>
        <v>0.26544341377483521</v>
      </c>
      <c r="H144" s="844">
        <f>G144+'24'!H144</f>
        <v>6.5483352720605801</v>
      </c>
      <c r="I144" s="996"/>
      <c r="J144" s="846">
        <f>H144/DAY(B2)</f>
        <v>0.26193341088242322</v>
      </c>
      <c r="K144" s="942"/>
      <c r="L144" s="821"/>
      <c r="O144" s="848"/>
    </row>
    <row r="145" spans="1:15">
      <c r="A145" s="1633" t="s">
        <v>252</v>
      </c>
      <c r="B145" s="1634"/>
      <c r="C145" s="1635"/>
      <c r="D145" s="841" t="s">
        <v>131</v>
      </c>
      <c r="E145" s="842"/>
      <c r="F145" s="1465"/>
      <c r="G145" s="844">
        <f>G41+G42+G55+G56</f>
        <v>5004.3399999999747</v>
      </c>
      <c r="H145" s="844">
        <f>G145+'24'!H145</f>
        <v>123403.81</v>
      </c>
      <c r="I145" s="863"/>
      <c r="J145" s="846">
        <f>H145/DAY(B2)</f>
        <v>4936.1523999999999</v>
      </c>
      <c r="K145" s="942"/>
      <c r="L145" s="821"/>
      <c r="O145" s="848"/>
    </row>
    <row r="146" spans="1:15">
      <c r="A146" s="1633" t="s">
        <v>253</v>
      </c>
      <c r="B146" s="1634"/>
      <c r="C146" s="1635"/>
      <c r="D146" s="841" t="s">
        <v>24</v>
      </c>
      <c r="E146" s="842"/>
      <c r="F146" s="1465"/>
      <c r="G146" s="995">
        <f>G145/G7</f>
        <v>0.30823632309644211</v>
      </c>
      <c r="H146" s="844">
        <f>G146+'24'!H146</f>
        <v>7.8375650148649498</v>
      </c>
      <c r="I146" s="996"/>
      <c r="J146" s="846">
        <f>H146/DAY(B2)</f>
        <v>0.313502600594598</v>
      </c>
      <c r="K146" s="942"/>
      <c r="L146" s="821"/>
      <c r="O146" s="848"/>
    </row>
    <row r="147" spans="1:15">
      <c r="A147" s="1633" t="s">
        <v>254</v>
      </c>
      <c r="B147" s="1634"/>
      <c r="C147" s="1635"/>
      <c r="D147" s="841" t="s">
        <v>131</v>
      </c>
      <c r="E147" s="842"/>
      <c r="F147" s="1465"/>
      <c r="G147" s="844">
        <f>G39+G53</f>
        <v>2568.5999999999767</v>
      </c>
      <c r="H147" s="844">
        <f>G147+'24'!H147</f>
        <v>61069.140000000014</v>
      </c>
      <c r="I147" s="997"/>
      <c r="J147" s="846">
        <f>H147/DAY(B2)</f>
        <v>2442.7656000000006</v>
      </c>
      <c r="K147" s="942"/>
      <c r="L147" s="821"/>
      <c r="O147" s="848"/>
    </row>
    <row r="148" spans="1:15">
      <c r="A148" s="1633" t="s">
        <v>255</v>
      </c>
      <c r="B148" s="1634"/>
      <c r="C148" s="1635"/>
      <c r="D148" s="841" t="s">
        <v>24</v>
      </c>
      <c r="E148" s="842"/>
      <c r="F148" s="1465"/>
      <c r="G148" s="995">
        <f>G147/G7</f>
        <v>0.15820983776192626</v>
      </c>
      <c r="H148" s="844">
        <f>G148+'24'!H148</f>
        <v>3.8751003551695415</v>
      </c>
      <c r="I148" s="997"/>
      <c r="J148" s="846">
        <f>H148/DAY(B2)</f>
        <v>0.15500401420678167</v>
      </c>
      <c r="O148" s="848"/>
    </row>
    <row r="149" spans="1:15">
      <c r="A149" s="1633" t="s">
        <v>256</v>
      </c>
      <c r="B149" s="1634"/>
      <c r="C149" s="1635"/>
      <c r="D149" s="841" t="s">
        <v>182</v>
      </c>
      <c r="E149" s="842"/>
      <c r="F149" s="1465"/>
      <c r="G149" s="844">
        <f>G38+G52</f>
        <v>1212.3300000000163</v>
      </c>
      <c r="H149" s="844">
        <f>G149+'24'!H149</f>
        <v>29413.109999999957</v>
      </c>
      <c r="I149" s="863"/>
      <c r="J149" s="846">
        <f>H149/DAY(B2)</f>
        <v>1176.5243999999982</v>
      </c>
      <c r="K149" s="998"/>
      <c r="O149" s="848"/>
    </row>
    <row r="150" spans="1:15">
      <c r="A150" s="1633" t="s">
        <v>257</v>
      </c>
      <c r="B150" s="1634"/>
      <c r="C150" s="1635"/>
      <c r="D150" s="841" t="s">
        <v>24</v>
      </c>
      <c r="E150" s="842"/>
      <c r="F150" s="1465"/>
      <c r="G150" s="995">
        <f>G149/G7</f>
        <v>7.4672013008611843E-2</v>
      </c>
      <c r="H150" s="844">
        <f>G150+'24'!H150</f>
        <v>1.8672574627638692</v>
      </c>
      <c r="I150" s="997"/>
      <c r="J150" s="846">
        <f>H150/DAY(B2)</f>
        <v>7.4690298510554767E-2</v>
      </c>
      <c r="O150" s="848"/>
    </row>
    <row r="151" spans="1:15">
      <c r="A151" s="1633" t="s">
        <v>258</v>
      </c>
      <c r="B151" s="1634"/>
      <c r="C151" s="1635"/>
      <c r="D151" s="841" t="s">
        <v>182</v>
      </c>
      <c r="E151" s="842"/>
      <c r="F151" s="1465"/>
      <c r="G151" s="844">
        <f>G36+G50</f>
        <v>860.51999999996042</v>
      </c>
      <c r="H151" s="844">
        <f>G151+'24'!H151</f>
        <v>24690.109999999986</v>
      </c>
      <c r="I151" s="997"/>
      <c r="J151" s="846">
        <f>H151/DAY(B2)</f>
        <v>987.60439999999949</v>
      </c>
      <c r="O151" s="848"/>
    </row>
    <row r="152" spans="1:15">
      <c r="A152" s="1633" t="s">
        <v>259</v>
      </c>
      <c r="B152" s="1634"/>
      <c r="C152" s="1635"/>
      <c r="D152" s="841" t="s">
        <v>24</v>
      </c>
      <c r="E152" s="842"/>
      <c r="F152" s="1465"/>
      <c r="G152" s="995">
        <f>G151/G7</f>
        <v>5.3002697808490137E-2</v>
      </c>
      <c r="H152" s="844">
        <f>G152+'24'!H152</f>
        <v>1.5630240429743965</v>
      </c>
      <c r="I152" s="863"/>
      <c r="J152" s="846">
        <f>H152/DAY(B2)</f>
        <v>6.2520961718975865E-2</v>
      </c>
      <c r="O152" s="848"/>
    </row>
    <row r="153" spans="1:15">
      <c r="A153" s="1633" t="s">
        <v>260</v>
      </c>
      <c r="B153" s="1634"/>
      <c r="C153" s="1635"/>
      <c r="D153" s="841" t="s">
        <v>182</v>
      </c>
      <c r="E153" s="842"/>
      <c r="F153" s="1465"/>
      <c r="G153" s="844">
        <f>G37+G51</f>
        <v>1247.8499999999913</v>
      </c>
      <c r="H153" s="844">
        <f>G153+'24'!H153</f>
        <v>31175.599999999991</v>
      </c>
      <c r="I153" s="863"/>
      <c r="J153" s="846">
        <f>H153/DAY(B2)</f>
        <v>1247.0239999999997</v>
      </c>
      <c r="O153" s="848"/>
    </row>
    <row r="154" spans="1:15" ht="21" thickBot="1">
      <c r="A154" s="1636" t="s">
        <v>261</v>
      </c>
      <c r="B154" s="1637"/>
      <c r="C154" s="1638"/>
      <c r="D154" s="999" t="s">
        <v>24</v>
      </c>
      <c r="E154" s="1000"/>
      <c r="F154" s="1501"/>
      <c r="G154" s="1001">
        <f>G153/G7</f>
        <v>7.6859824827228876E-2</v>
      </c>
      <c r="H154" s="844">
        <f>G154+'24'!H154</f>
        <v>1.9827257258140609</v>
      </c>
      <c r="I154" s="1002"/>
      <c r="J154" s="1003">
        <f>H154/DAY(B2)</f>
        <v>7.9309029032562442E-2</v>
      </c>
      <c r="O154" s="848"/>
    </row>
    <row r="155" spans="1:15">
      <c r="A155" s="1004"/>
      <c r="B155" s="1004"/>
      <c r="C155" s="1004"/>
      <c r="D155" s="1004"/>
      <c r="E155" s="1004"/>
      <c r="F155" s="1502"/>
      <c r="G155" s="1004"/>
      <c r="H155" s="1005"/>
      <c r="I155" s="1004"/>
      <c r="J155" s="1006"/>
      <c r="O155" s="848"/>
    </row>
    <row r="161" spans="1:7">
      <c r="A161" s="994" t="s">
        <v>262</v>
      </c>
      <c r="B161" s="994"/>
      <c r="C161" s="994"/>
      <c r="D161" s="828" t="s">
        <v>186</v>
      </c>
      <c r="E161" s="842">
        <f>'24'!F161</f>
        <v>37863.18</v>
      </c>
      <c r="F161" s="1503">
        <v>37945.339999999997</v>
      </c>
      <c r="G161" s="843">
        <f t="shared" ref="G161:G164" si="16">F161-E161</f>
        <v>82.159999999996217</v>
      </c>
    </row>
    <row r="162" spans="1:7" ht="21.75" customHeight="1">
      <c r="A162" s="994" t="s">
        <v>263</v>
      </c>
      <c r="B162" s="994"/>
      <c r="C162" s="994"/>
      <c r="D162" s="828" t="s">
        <v>186</v>
      </c>
      <c r="E162" s="842">
        <f>'24'!F162</f>
        <v>92088.62</v>
      </c>
      <c r="F162" s="1503">
        <v>92482.99</v>
      </c>
      <c r="G162" s="843">
        <f t="shared" si="16"/>
        <v>394.3700000000099</v>
      </c>
    </row>
    <row r="163" spans="1:7" ht="21.75" customHeight="1">
      <c r="A163" s="994" t="s">
        <v>264</v>
      </c>
      <c r="B163" s="994"/>
      <c r="C163" s="994"/>
      <c r="D163" s="828" t="s">
        <v>186</v>
      </c>
      <c r="E163" s="842">
        <f>'24'!F163</f>
        <v>43511.01</v>
      </c>
      <c r="F163" s="1503">
        <v>43713.43</v>
      </c>
      <c r="G163" s="843">
        <f t="shared" si="16"/>
        <v>202.41999999999825</v>
      </c>
    </row>
    <row r="164" spans="1:7" ht="21.75" customHeight="1">
      <c r="A164" s="994" t="s">
        <v>265</v>
      </c>
      <c r="B164" s="994"/>
      <c r="C164" s="994"/>
      <c r="D164" s="828" t="s">
        <v>186</v>
      </c>
      <c r="E164" s="842">
        <f>'24'!F164</f>
        <v>6509.7</v>
      </c>
      <c r="F164" s="1503">
        <v>6516.74</v>
      </c>
      <c r="G164" s="843">
        <f t="shared" si="16"/>
        <v>7.0399999999999636</v>
      </c>
    </row>
    <row r="165" spans="1:7" ht="21.75" customHeight="1">
      <c r="A165" s="924" t="s">
        <v>98</v>
      </c>
      <c r="B165" s="924"/>
      <c r="C165" s="924"/>
      <c r="D165" s="828" t="s">
        <v>186</v>
      </c>
      <c r="E165" s="925">
        <f>E62</f>
        <v>20419</v>
      </c>
      <c r="F165" s="1497">
        <f>F62</f>
        <v>20419</v>
      </c>
      <c r="G165" s="843">
        <f t="shared" ref="G165:G172" si="17">F165-E165</f>
        <v>0</v>
      </c>
    </row>
    <row r="166" spans="1:7" ht="21.75" customHeight="1">
      <c r="A166" s="924" t="s">
        <v>187</v>
      </c>
      <c r="B166" s="924"/>
      <c r="C166" s="924"/>
      <c r="D166" s="828" t="s">
        <v>186</v>
      </c>
      <c r="E166" s="925">
        <f t="shared" ref="E166:E172" si="18">E63</f>
        <v>2449.7199999999998</v>
      </c>
      <c r="F166" s="1497">
        <f t="shared" ref="F166:F172" si="19">F63</f>
        <v>2453.4699999999998</v>
      </c>
      <c r="G166" s="843">
        <f t="shared" si="17"/>
        <v>3.75</v>
      </c>
    </row>
    <row r="167" spans="1:7" ht="21.75" customHeight="1">
      <c r="A167" s="1609" t="s">
        <v>99</v>
      </c>
      <c r="B167" s="1609"/>
      <c r="C167" s="1609"/>
      <c r="D167" s="841" t="s">
        <v>186</v>
      </c>
      <c r="E167" s="925">
        <f t="shared" si="18"/>
        <v>158599.99</v>
      </c>
      <c r="F167" s="1497">
        <f t="shared" si="19"/>
        <v>158798.06</v>
      </c>
      <c r="G167" s="843">
        <f t="shared" si="17"/>
        <v>198.07000000000698</v>
      </c>
    </row>
    <row r="168" spans="1:7" ht="21.75" customHeight="1">
      <c r="A168" s="1609" t="s">
        <v>100</v>
      </c>
      <c r="B168" s="1609"/>
      <c r="C168" s="1609"/>
      <c r="D168" s="841" t="s">
        <v>186</v>
      </c>
      <c r="E168" s="925">
        <f t="shared" si="18"/>
        <v>159470.85</v>
      </c>
      <c r="F168" s="1497">
        <f t="shared" si="19"/>
        <v>159730</v>
      </c>
      <c r="G168" s="843">
        <f t="shared" si="17"/>
        <v>259.14999999999418</v>
      </c>
    </row>
    <row r="169" spans="1:7" ht="21.75" customHeight="1">
      <c r="A169" s="1609" t="s">
        <v>101</v>
      </c>
      <c r="B169" s="1609"/>
      <c r="C169" s="1609"/>
      <c r="D169" s="841" t="s">
        <v>186</v>
      </c>
      <c r="E169" s="925">
        <f t="shared" si="18"/>
        <v>54926.18</v>
      </c>
      <c r="F169" s="1497">
        <f t="shared" si="19"/>
        <v>55178.79</v>
      </c>
      <c r="G169" s="843">
        <f t="shared" si="17"/>
        <v>252.61000000000058</v>
      </c>
    </row>
    <row r="170" spans="1:7">
      <c r="A170" s="1609" t="s">
        <v>102</v>
      </c>
      <c r="B170" s="1609"/>
      <c r="C170" s="1609"/>
      <c r="D170" s="841" t="s">
        <v>186</v>
      </c>
      <c r="E170" s="925">
        <f t="shared" si="18"/>
        <v>249138.4</v>
      </c>
      <c r="F170" s="1497">
        <f t="shared" si="19"/>
        <v>249501.01</v>
      </c>
      <c r="G170" s="843">
        <f t="shared" si="17"/>
        <v>362.61000000001513</v>
      </c>
    </row>
    <row r="171" spans="1:7" ht="24" customHeight="1">
      <c r="A171" s="1609" t="s">
        <v>103</v>
      </c>
      <c r="B171" s="1609"/>
      <c r="C171" s="1609"/>
      <c r="D171" s="841" t="s">
        <v>186</v>
      </c>
      <c r="E171" s="925">
        <f t="shared" si="18"/>
        <v>85321</v>
      </c>
      <c r="F171" s="1497">
        <f t="shared" si="19"/>
        <v>85321</v>
      </c>
      <c r="G171" s="843">
        <f t="shared" si="17"/>
        <v>0</v>
      </c>
    </row>
    <row r="172" spans="1:7">
      <c r="A172" s="1609" t="s">
        <v>104</v>
      </c>
      <c r="B172" s="1609"/>
      <c r="C172" s="1609"/>
      <c r="D172" s="841" t="s">
        <v>186</v>
      </c>
      <c r="E172" s="925">
        <f t="shared" si="18"/>
        <v>80980.38</v>
      </c>
      <c r="F172" s="1497">
        <f t="shared" si="19"/>
        <v>81051.97</v>
      </c>
      <c r="G172" s="843">
        <f t="shared" si="17"/>
        <v>71.589999999996508</v>
      </c>
    </row>
    <row r="173" spans="1:7">
      <c r="G173" s="1009">
        <f>SUM(G161:G172)</f>
        <v>1833.7700000000177</v>
      </c>
    </row>
    <row r="17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SheetLayoutView="70" workbookViewId="0">
      <selection activeCell="H8" sqref="H8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2.44140625" style="1007" customWidth="1"/>
    <col min="4" max="4" width="13.6640625" style="1007" customWidth="1"/>
    <col min="5" max="5" width="28.109375" style="1007" customWidth="1"/>
    <col min="6" max="6" width="23.77734375" style="1007" customWidth="1"/>
    <col min="7" max="7" width="19.88671875" style="1007" customWidth="1"/>
    <col min="8" max="8" width="39.21875" style="1008" customWidth="1"/>
    <col min="9" max="9" width="12" style="1007" bestFit="1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6.77734375" style="808" bestFit="1" customWidth="1"/>
    <col min="16" max="16384" width="22.33203125" style="808"/>
  </cols>
  <sheetData>
    <row r="1" spans="1:15" ht="20.100000000000001" customHeight="1">
      <c r="A1" s="1660" t="s">
        <v>116</v>
      </c>
      <c r="B1" s="1661"/>
      <c r="C1" s="1661"/>
      <c r="D1" s="1661"/>
      <c r="E1" s="1661"/>
      <c r="F1" s="1661"/>
      <c r="G1" s="1661"/>
      <c r="H1" s="1661"/>
      <c r="I1" s="1661"/>
      <c r="J1" s="1662"/>
    </row>
    <row r="2" spans="1:15" ht="30.75" customHeight="1">
      <c r="A2" s="809" t="s">
        <v>340</v>
      </c>
      <c r="B2" s="1080">
        <v>43947</v>
      </c>
      <c r="C2" s="810" t="s">
        <v>69</v>
      </c>
      <c r="D2" s="1023">
        <v>0.54</v>
      </c>
      <c r="E2" s="812"/>
      <c r="F2" s="812"/>
      <c r="G2" s="812" t="s">
        <v>117</v>
      </c>
      <c r="H2" s="812" t="s">
        <v>6</v>
      </c>
      <c r="I2" s="812" t="s">
        <v>8</v>
      </c>
      <c r="J2" s="813" t="s">
        <v>118</v>
      </c>
    </row>
    <row r="3" spans="1:15" ht="20.100000000000001" customHeight="1">
      <c r="A3" s="814"/>
      <c r="B3" s="815"/>
      <c r="C3" s="810" t="s">
        <v>119</v>
      </c>
      <c r="D3" s="810">
        <v>28</v>
      </c>
      <c r="E3" s="1663" t="s">
        <v>120</v>
      </c>
      <c r="F3" s="1664"/>
      <c r="G3" s="817"/>
      <c r="H3" s="818"/>
      <c r="I3" s="818"/>
      <c r="J3" s="819"/>
      <c r="K3" s="820"/>
      <c r="L3" s="821"/>
    </row>
    <row r="4" spans="1:15" ht="20.100000000000001" customHeight="1">
      <c r="A4" s="822"/>
      <c r="B4" s="823"/>
      <c r="C4" s="810" t="s">
        <v>121</v>
      </c>
      <c r="D4" s="1023">
        <v>0.74</v>
      </c>
      <c r="E4" s="824"/>
      <c r="F4" s="824"/>
      <c r="G4" s="824"/>
      <c r="H4" s="824"/>
      <c r="I4" s="825"/>
      <c r="J4" s="819"/>
      <c r="K4" s="826"/>
      <c r="L4" s="821"/>
    </row>
    <row r="5" spans="1:15" ht="22.5" customHeight="1">
      <c r="A5" s="827" t="s">
        <v>122</v>
      </c>
      <c r="B5" s="828"/>
      <c r="C5" s="828"/>
      <c r="D5" s="828" t="s">
        <v>123</v>
      </c>
      <c r="E5" s="829" t="s">
        <v>124</v>
      </c>
      <c r="F5" s="829" t="s">
        <v>111</v>
      </c>
      <c r="G5" s="830" t="s">
        <v>125</v>
      </c>
      <c r="H5" s="831" t="s">
        <v>126</v>
      </c>
      <c r="I5" s="832" t="s">
        <v>127</v>
      </c>
      <c r="J5" s="833" t="s">
        <v>128</v>
      </c>
      <c r="K5" s="834"/>
      <c r="L5" s="821"/>
    </row>
    <row r="6" spans="1:15" ht="20.100000000000001" customHeight="1">
      <c r="A6" s="1657" t="s">
        <v>129</v>
      </c>
      <c r="B6" s="1658"/>
      <c r="C6" s="1659"/>
      <c r="D6" s="835"/>
      <c r="E6" s="835"/>
      <c r="F6" s="835"/>
      <c r="G6" s="835"/>
      <c r="H6" s="836"/>
      <c r="I6" s="836"/>
      <c r="J6" s="837"/>
      <c r="K6" s="838"/>
      <c r="L6" s="821"/>
    </row>
    <row r="7" spans="1:15" ht="25.5" customHeight="1" thickBot="1">
      <c r="A7" s="839" t="s">
        <v>130</v>
      </c>
      <c r="B7" s="840"/>
      <c r="C7" s="840"/>
      <c r="D7" s="841" t="s">
        <v>131</v>
      </c>
      <c r="E7" s="842">
        <f>'25'!F7</f>
        <v>239099.07</v>
      </c>
      <c r="F7" s="842">
        <v>258323.63</v>
      </c>
      <c r="G7" s="843">
        <f>F7-E7</f>
        <v>19224.559999999998</v>
      </c>
      <c r="H7" s="844">
        <f>G7+'25'!H7</f>
        <v>413346.63000000006</v>
      </c>
      <c r="I7" s="845">
        <f>'1'!I7</f>
        <v>12000</v>
      </c>
      <c r="J7" s="846">
        <f>H7/DAY(B2)</f>
        <v>15897.94730769231</v>
      </c>
      <c r="K7" s="847"/>
      <c r="L7" s="821"/>
      <c r="N7" s="1021"/>
      <c r="O7" s="848"/>
    </row>
    <row r="8" spans="1:15" ht="20.100000000000001" customHeight="1" thickBot="1">
      <c r="A8" s="849" t="s">
        <v>132</v>
      </c>
      <c r="B8" s="850"/>
      <c r="C8" s="851"/>
      <c r="D8" s="852" t="s">
        <v>25</v>
      </c>
      <c r="E8" s="842">
        <f>'25'!F8</f>
        <v>240710.67</v>
      </c>
      <c r="F8" s="853">
        <v>260072.39</v>
      </c>
      <c r="G8" s="854">
        <f>F8-E8</f>
        <v>19361.72</v>
      </c>
      <c r="H8" s="844">
        <f>G8+'25'!H8</f>
        <v>415831.39</v>
      </c>
      <c r="I8" s="855">
        <f>'1'!I8</f>
        <v>12000</v>
      </c>
      <c r="J8" s="846">
        <f>H8/DAY(B2)</f>
        <v>15993.515000000001</v>
      </c>
      <c r="K8" s="847"/>
      <c r="L8" s="856"/>
      <c r="M8" s="857"/>
      <c r="O8" s="848"/>
    </row>
    <row r="9" spans="1:15" ht="20.100000000000001" customHeight="1">
      <c r="A9" s="858" t="s">
        <v>133</v>
      </c>
      <c r="B9" s="859"/>
      <c r="C9" s="859"/>
      <c r="D9" s="841" t="s">
        <v>131</v>
      </c>
      <c r="E9" s="842">
        <f>'25'!F9</f>
        <v>1371859.3</v>
      </c>
      <c r="F9" s="860">
        <v>1390471.6</v>
      </c>
      <c r="G9" s="843">
        <f>F9-E9</f>
        <v>18612.300000000047</v>
      </c>
      <c r="H9" s="844">
        <f>G9+'25'!H9</f>
        <v>399757.60000000009</v>
      </c>
      <c r="I9" s="861">
        <f>I8-J8</f>
        <v>-3993.5150000000012</v>
      </c>
      <c r="J9" s="846">
        <f>H9/DAY(B2)</f>
        <v>15375.292307692311</v>
      </c>
      <c r="K9" s="862"/>
      <c r="L9" s="821"/>
      <c r="O9" s="848"/>
    </row>
    <row r="10" spans="1:15" ht="20.100000000000001" customHeight="1">
      <c r="A10" s="839" t="s">
        <v>134</v>
      </c>
      <c r="B10" s="840"/>
      <c r="C10" s="840"/>
      <c r="D10" s="841" t="s">
        <v>131</v>
      </c>
      <c r="E10" s="842">
        <f>'25'!F10</f>
        <v>2322.58</v>
      </c>
      <c r="F10" s="860">
        <v>2322.58</v>
      </c>
      <c r="G10" s="843">
        <f t="shared" ref="G10:G12" si="0">F10-E10</f>
        <v>0</v>
      </c>
      <c r="H10" s="844">
        <f>G10+'25'!H10</f>
        <v>0</v>
      </c>
      <c r="I10" s="863"/>
      <c r="J10" s="846">
        <f>H10/DAY(B2)</f>
        <v>0</v>
      </c>
      <c r="K10" s="862"/>
      <c r="L10" s="821"/>
      <c r="O10" s="848"/>
    </row>
    <row r="11" spans="1:15" ht="20.100000000000001" customHeight="1">
      <c r="A11" s="839" t="s">
        <v>135</v>
      </c>
      <c r="B11" s="840"/>
      <c r="C11" s="840"/>
      <c r="D11" s="841" t="s">
        <v>131</v>
      </c>
      <c r="E11" s="842">
        <f>'5'!E11</f>
        <v>37000</v>
      </c>
      <c r="F11" s="842">
        <v>37000</v>
      </c>
      <c r="G11" s="843">
        <f t="shared" si="0"/>
        <v>0</v>
      </c>
      <c r="H11" s="844">
        <f>G11+'25'!H11</f>
        <v>0</v>
      </c>
      <c r="I11" s="863"/>
      <c r="J11" s="846">
        <f>H11/DAY(B2)</f>
        <v>0</v>
      </c>
      <c r="K11" s="862"/>
      <c r="L11" s="821">
        <v>1375467</v>
      </c>
      <c r="N11" s="1022"/>
      <c r="O11" s="848"/>
    </row>
    <row r="12" spans="1:15" ht="20.100000000000001" customHeight="1">
      <c r="A12" s="839" t="s">
        <v>136</v>
      </c>
      <c r="B12" s="840"/>
      <c r="C12" s="840"/>
      <c r="D12" s="841" t="s">
        <v>131</v>
      </c>
      <c r="E12" s="842">
        <f>'5'!E12</f>
        <v>40010</v>
      </c>
      <c r="F12" s="860">
        <v>40010</v>
      </c>
      <c r="G12" s="843">
        <f t="shared" si="0"/>
        <v>0</v>
      </c>
      <c r="H12" s="844">
        <f>G12+'25'!H12</f>
        <v>0</v>
      </c>
      <c r="I12" s="863"/>
      <c r="J12" s="846">
        <f>H12/DAY(B2)</f>
        <v>0</v>
      </c>
      <c r="K12" s="862"/>
      <c r="L12" s="821"/>
      <c r="O12" s="848"/>
    </row>
    <row r="13" spans="1:15" ht="20.100000000000001" customHeight="1">
      <c r="A13" s="864" t="s">
        <v>137</v>
      </c>
      <c r="B13" s="865"/>
      <c r="C13" s="865"/>
      <c r="D13" s="841"/>
      <c r="E13" s="842"/>
      <c r="F13" s="842"/>
      <c r="G13" s="866">
        <f>G9+G10+G11+G12</f>
        <v>18612.300000000047</v>
      </c>
      <c r="H13" s="844">
        <f>G13+'25'!H13</f>
        <v>385236.60000000009</v>
      </c>
      <c r="I13" s="867">
        <f>G7-G13</f>
        <v>612.25999999995111</v>
      </c>
      <c r="J13" s="846">
        <f>H13/DAY(B2)</f>
        <v>14816.792307692311</v>
      </c>
      <c r="K13" s="862"/>
      <c r="L13" s="821"/>
      <c r="O13" s="848"/>
    </row>
    <row r="14" spans="1:15" ht="28.5" customHeight="1">
      <c r="A14" s="1651" t="s">
        <v>138</v>
      </c>
      <c r="B14" s="1652"/>
      <c r="C14" s="1653"/>
      <c r="D14" s="836"/>
      <c r="E14" s="836"/>
      <c r="F14" s="836"/>
      <c r="G14" s="868"/>
      <c r="H14" s="836"/>
      <c r="I14" s="836"/>
      <c r="J14" s="837"/>
      <c r="K14" s="869"/>
      <c r="L14" s="821">
        <v>1679344</v>
      </c>
      <c r="O14" s="848"/>
    </row>
    <row r="15" spans="1:15">
      <c r="A15" s="870" t="s">
        <v>139</v>
      </c>
      <c r="B15" s="871"/>
      <c r="C15" s="871"/>
      <c r="D15" s="841" t="s">
        <v>140</v>
      </c>
      <c r="E15" s="842">
        <f>'25'!F15</f>
        <v>1681634.919</v>
      </c>
      <c r="F15" s="872">
        <v>1682009</v>
      </c>
      <c r="G15" s="1019">
        <f>(F15-E15)</f>
        <v>374.08100000000559</v>
      </c>
      <c r="H15" s="844">
        <f>G15+'25'!H15</f>
        <v>11352</v>
      </c>
      <c r="I15" s="845">
        <f>'1'!I15</f>
        <v>800</v>
      </c>
      <c r="J15" s="846">
        <f>H15/DAY(B2)</f>
        <v>436.61538461538464</v>
      </c>
      <c r="K15" s="862"/>
      <c r="L15" s="821"/>
      <c r="O15" s="848"/>
    </row>
    <row r="16" spans="1:15" ht="20.100000000000001" customHeight="1">
      <c r="A16" s="873"/>
      <c r="B16" s="874"/>
      <c r="C16" s="874"/>
      <c r="D16" s="875"/>
      <c r="E16" s="876"/>
      <c r="F16" s="876"/>
      <c r="G16" s="843"/>
      <c r="H16" s="877"/>
      <c r="I16" s="878">
        <f>I15-J15</f>
        <v>363.38461538461536</v>
      </c>
      <c r="J16" s="879"/>
      <c r="K16" s="862"/>
      <c r="L16" s="821">
        <f>L14-L11</f>
        <v>303877</v>
      </c>
      <c r="O16" s="848"/>
    </row>
    <row r="17" spans="1:15" ht="20.100000000000001" customHeight="1">
      <c r="A17" s="1651" t="s">
        <v>141</v>
      </c>
      <c r="B17" s="1652"/>
      <c r="C17" s="1653"/>
      <c r="D17" s="836"/>
      <c r="E17" s="836"/>
      <c r="F17" s="836"/>
      <c r="G17" s="880"/>
      <c r="H17" s="836"/>
      <c r="I17" s="836"/>
      <c r="J17" s="837"/>
      <c r="K17" s="862"/>
      <c r="L17" s="821"/>
      <c r="O17" s="848"/>
    </row>
    <row r="18" spans="1:15" ht="20.100000000000001" customHeight="1">
      <c r="A18" s="1633" t="s">
        <v>142</v>
      </c>
      <c r="B18" s="1634"/>
      <c r="C18" s="1635"/>
      <c r="D18" s="841" t="s">
        <v>143</v>
      </c>
      <c r="E18" s="842">
        <f>'25'!F18</f>
        <v>6</v>
      </c>
      <c r="F18" s="872">
        <v>6</v>
      </c>
      <c r="G18" s="866">
        <f>F18*10</f>
        <v>60</v>
      </c>
      <c r="H18" s="844">
        <f>G18+'25'!H18</f>
        <v>1020</v>
      </c>
      <c r="I18" s="845">
        <f>'1'!I18</f>
        <v>65</v>
      </c>
      <c r="J18" s="846">
        <f>H18/DAY(B2)</f>
        <v>39.230769230769234</v>
      </c>
      <c r="K18" s="862"/>
      <c r="L18" s="821"/>
      <c r="O18" s="848"/>
    </row>
    <row r="19" spans="1:15" ht="20.100000000000001" customHeight="1">
      <c r="A19" s="1633" t="s">
        <v>71</v>
      </c>
      <c r="B19" s="1634"/>
      <c r="C19" s="1635"/>
      <c r="D19" s="841" t="s">
        <v>143</v>
      </c>
      <c r="E19" s="842">
        <f>'25'!F19</f>
        <v>139262</v>
      </c>
      <c r="F19" s="872">
        <v>139315</v>
      </c>
      <c r="G19" s="843">
        <f t="shared" ref="G19" si="1">F19-E19</f>
        <v>53</v>
      </c>
      <c r="H19" s="844">
        <f>G19+'25'!H19</f>
        <v>1503</v>
      </c>
      <c r="I19" s="881"/>
      <c r="J19" s="846">
        <f>H19/DAY(B2)</f>
        <v>57.807692307692307</v>
      </c>
      <c r="K19" s="862"/>
      <c r="L19" s="821">
        <f>L16/26</f>
        <v>11687.576923076924</v>
      </c>
      <c r="O19" s="848"/>
    </row>
    <row r="20" spans="1:15" ht="20.100000000000001" customHeight="1">
      <c r="A20" s="864" t="s">
        <v>144</v>
      </c>
      <c r="B20" s="865"/>
      <c r="C20" s="865"/>
      <c r="D20" s="882"/>
      <c r="E20" s="882"/>
      <c r="F20" s="882"/>
      <c r="G20" s="883">
        <f>G18+G19</f>
        <v>113</v>
      </c>
      <c r="H20" s="844">
        <f>G20+'25'!H20</f>
        <v>2523</v>
      </c>
      <c r="I20" s="884">
        <f>I18-J20</f>
        <v>-32.038461538461533</v>
      </c>
      <c r="J20" s="846">
        <f>H20/DAY(B2)</f>
        <v>97.038461538461533</v>
      </c>
      <c r="K20" s="862"/>
      <c r="L20" s="821"/>
      <c r="O20" s="848"/>
    </row>
    <row r="21" spans="1:15" ht="20.100000000000001" customHeight="1">
      <c r="A21" s="1651" t="s">
        <v>145</v>
      </c>
      <c r="B21" s="1652"/>
      <c r="C21" s="1653"/>
      <c r="D21" s="836"/>
      <c r="E21" s="836"/>
      <c r="F21" s="836"/>
      <c r="G21" s="868"/>
      <c r="H21" s="836"/>
      <c r="I21" s="836"/>
      <c r="J21" s="837"/>
      <c r="K21" s="862"/>
      <c r="L21" s="821" t="e">
        <f>#REF!/G11</f>
        <v>#REF!</v>
      </c>
      <c r="O21" s="848"/>
    </row>
    <row r="22" spans="1:15" ht="20.100000000000001" customHeight="1">
      <c r="A22" s="870" t="s">
        <v>146</v>
      </c>
      <c r="B22" s="871"/>
      <c r="C22" s="871"/>
      <c r="D22" s="841" t="s">
        <v>147</v>
      </c>
      <c r="E22" s="872">
        <f>'25'!F22</f>
        <v>2970</v>
      </c>
      <c r="F22" s="872">
        <v>2970</v>
      </c>
      <c r="G22" s="866">
        <f t="shared" ref="G22:G23" si="2">E22-F22</f>
        <v>0</v>
      </c>
      <c r="H22" s="844">
        <f>G22+'25'!H22</f>
        <v>0</v>
      </c>
      <c r="I22" s="863"/>
      <c r="J22" s="846">
        <f>H22/DAY(B2)</f>
        <v>0</v>
      </c>
      <c r="K22" s="862"/>
      <c r="L22" s="821"/>
      <c r="O22" s="848"/>
    </row>
    <row r="23" spans="1:15" ht="20.100000000000001" customHeight="1">
      <c r="A23" s="870" t="s">
        <v>148</v>
      </c>
      <c r="B23" s="871"/>
      <c r="C23" s="871"/>
      <c r="D23" s="841" t="s">
        <v>147</v>
      </c>
      <c r="E23" s="872">
        <f>'25'!F23</f>
        <v>2000</v>
      </c>
      <c r="F23" s="872">
        <v>2000</v>
      </c>
      <c r="G23" s="866">
        <f t="shared" si="2"/>
        <v>0</v>
      </c>
      <c r="H23" s="844">
        <f>G23+'25'!H23</f>
        <v>0</v>
      </c>
      <c r="I23" s="863"/>
      <c r="J23" s="846">
        <f>H23/DAY(B2)</f>
        <v>0</v>
      </c>
      <c r="K23" s="862"/>
      <c r="L23" s="821"/>
      <c r="O23" s="848"/>
    </row>
    <row r="24" spans="1:15" ht="20.100000000000001" customHeight="1">
      <c r="A24" s="885" t="s">
        <v>149</v>
      </c>
      <c r="B24" s="886"/>
      <c r="C24" s="886"/>
      <c r="D24" s="828" t="s">
        <v>147</v>
      </c>
      <c r="E24" s="872">
        <f>'25'!F24</f>
        <v>4970</v>
      </c>
      <c r="F24" s="887">
        <v>4970</v>
      </c>
      <c r="G24" s="866">
        <f>E24-F24</f>
        <v>0</v>
      </c>
      <c r="H24" s="844">
        <f>G24+'25'!H24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 ht="18.75" customHeight="1">
      <c r="A25" s="1657" t="s">
        <v>150</v>
      </c>
      <c r="B25" s="1658"/>
      <c r="C25" s="1659"/>
      <c r="D25" s="835"/>
      <c r="E25" s="835"/>
      <c r="F25" s="835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 ht="18.75" customHeight="1">
      <c r="A26" s="894" t="s">
        <v>151</v>
      </c>
      <c r="B26" s="895"/>
      <c r="C26" s="896"/>
      <c r="D26" s="897" t="s">
        <v>152</v>
      </c>
      <c r="E26" s="898"/>
      <c r="F26" s="898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18.75" customHeight="1">
      <c r="A27" s="894" t="s">
        <v>6</v>
      </c>
      <c r="B27" s="895"/>
      <c r="C27" s="896"/>
      <c r="D27" s="901" t="s">
        <v>25</v>
      </c>
      <c r="E27" s="902">
        <f>G8</f>
        <v>19361.72</v>
      </c>
      <c r="F27" s="501">
        <v>9</v>
      </c>
      <c r="G27" s="904">
        <f>E27*F27</f>
        <v>174255.48</v>
      </c>
      <c r="H27" s="844">
        <f>G27+'25'!H27</f>
        <v>3742482.51</v>
      </c>
      <c r="I27" s="905"/>
      <c r="J27" s="846">
        <f>H27/DAY(B2)</f>
        <v>143941.63499999998</v>
      </c>
      <c r="K27" s="862"/>
      <c r="L27" s="892"/>
      <c r="N27" s="1011"/>
      <c r="O27" s="848"/>
    </row>
    <row r="28" spans="1:15" s="893" customFormat="1" ht="18.75" customHeight="1">
      <c r="A28" s="894" t="s">
        <v>153</v>
      </c>
      <c r="B28" s="895"/>
      <c r="C28" s="896"/>
      <c r="D28" s="901" t="s">
        <v>154</v>
      </c>
      <c r="E28" s="902">
        <f>G15</f>
        <v>374.08100000000559</v>
      </c>
      <c r="F28" s="501">
        <v>51.45</v>
      </c>
      <c r="G28" s="904">
        <f>E28*F28</f>
        <v>19246.467450000287</v>
      </c>
      <c r="H28" s="844">
        <f>G28+'25'!H28</f>
        <v>573577.87899999972</v>
      </c>
      <c r="I28" s="906"/>
      <c r="J28" s="846">
        <f>H28/DAY(B2)</f>
        <v>22060.687653846144</v>
      </c>
      <c r="K28" s="862"/>
      <c r="L28" s="892"/>
      <c r="N28" s="1011"/>
      <c r="O28" s="848"/>
    </row>
    <row r="29" spans="1:15" s="893" customFormat="1" ht="18.75" customHeight="1">
      <c r="A29" s="894" t="s">
        <v>155</v>
      </c>
      <c r="B29" s="895"/>
      <c r="C29" s="896"/>
      <c r="D29" s="901" t="s">
        <v>156</v>
      </c>
      <c r="E29" s="902">
        <f>G16</f>
        <v>0</v>
      </c>
      <c r="F29" s="903">
        <v>69</v>
      </c>
      <c r="G29" s="904">
        <f>E29*F29</f>
        <v>0</v>
      </c>
      <c r="H29" s="844">
        <f>G29+'25'!H29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 ht="18.75" customHeight="1">
      <c r="A30" s="894" t="s">
        <v>157</v>
      </c>
      <c r="B30" s="895"/>
      <c r="C30" s="896"/>
      <c r="D30" s="901" t="s">
        <v>158</v>
      </c>
      <c r="E30" s="902">
        <f>G19</f>
        <v>53</v>
      </c>
      <c r="F30" s="903">
        <v>134</v>
      </c>
      <c r="G30" s="904">
        <f>E30*F30</f>
        <v>7102</v>
      </c>
      <c r="H30" s="844">
        <f>G30+'25'!H30</f>
        <v>201402</v>
      </c>
      <c r="I30" s="906"/>
      <c r="J30" s="846">
        <f>H30/DAY(B2)</f>
        <v>7746.2307692307695</v>
      </c>
      <c r="K30" s="862"/>
      <c r="L30" s="892"/>
      <c r="N30" s="1011"/>
      <c r="O30" s="848"/>
    </row>
    <row r="31" spans="1:15" s="893" customFormat="1" ht="18.75" customHeight="1">
      <c r="A31" s="894" t="s">
        <v>159</v>
      </c>
      <c r="B31" s="895"/>
      <c r="C31" s="896"/>
      <c r="D31" s="901" t="s">
        <v>143</v>
      </c>
      <c r="E31" s="902">
        <f>G18</f>
        <v>60</v>
      </c>
      <c r="F31" s="903">
        <v>80</v>
      </c>
      <c r="G31" s="904">
        <f>E31*F31</f>
        <v>4800</v>
      </c>
      <c r="H31" s="844">
        <f>G31+'25'!H31</f>
        <v>81600</v>
      </c>
      <c r="I31" s="906"/>
      <c r="J31" s="846"/>
      <c r="K31" s="862"/>
      <c r="L31" s="892"/>
      <c r="N31" s="1011"/>
      <c r="O31" s="848"/>
    </row>
    <row r="32" spans="1:15" s="893" customFormat="1" ht="18.75" customHeight="1">
      <c r="A32" s="907" t="s">
        <v>160</v>
      </c>
      <c r="B32" s="908"/>
      <c r="C32" s="909"/>
      <c r="D32" s="910"/>
      <c r="E32" s="910"/>
      <c r="F32" s="910"/>
      <c r="G32" s="911">
        <f>G27+G28+G29+G30+G31</f>
        <v>205403.9474500003</v>
      </c>
      <c r="H32" s="844">
        <f>G32+'25'!H32</f>
        <v>4599062.3890000004</v>
      </c>
      <c r="I32" s="912"/>
      <c r="J32" s="846">
        <f>H32/DAY(B2)</f>
        <v>176887.01496153849</v>
      </c>
      <c r="K32" s="862"/>
      <c r="L32" s="892"/>
      <c r="N32" s="1011"/>
      <c r="O32" s="848"/>
    </row>
    <row r="33" spans="1:15" ht="20.100000000000001" customHeight="1">
      <c r="A33" s="1654" t="s">
        <v>161</v>
      </c>
      <c r="B33" s="1655"/>
      <c r="C33" s="1655"/>
      <c r="D33" s="1655"/>
      <c r="E33" s="1655"/>
      <c r="F33" s="1655"/>
      <c r="G33" s="1655"/>
      <c r="H33" s="1655"/>
      <c r="I33" s="1655"/>
      <c r="J33" s="1656"/>
      <c r="K33" s="862"/>
      <c r="L33" s="821"/>
      <c r="O33" s="848"/>
    </row>
    <row r="34" spans="1:15" ht="20.100000000000001" customHeight="1">
      <c r="A34" s="913" t="s">
        <v>162</v>
      </c>
      <c r="B34" s="914"/>
      <c r="C34" s="914"/>
      <c r="D34" s="836"/>
      <c r="E34" s="835"/>
      <c r="F34" s="835"/>
      <c r="G34" s="836"/>
      <c r="H34" s="836"/>
      <c r="I34" s="836"/>
      <c r="J34" s="837"/>
      <c r="K34" s="862"/>
      <c r="L34" s="821"/>
      <c r="O34" s="848"/>
    </row>
    <row r="35" spans="1:15" ht="20.100000000000001" customHeight="1">
      <c r="A35" s="839" t="s">
        <v>163</v>
      </c>
      <c r="B35" s="840"/>
      <c r="C35" s="840"/>
      <c r="D35" s="841" t="s">
        <v>131</v>
      </c>
      <c r="E35" s="842">
        <f>'25'!F35</f>
        <v>935746.79</v>
      </c>
      <c r="F35" s="915">
        <v>938391.75</v>
      </c>
      <c r="G35" s="843">
        <f t="shared" ref="G35:G46" si="3">F35-E35</f>
        <v>2644.9599999999627</v>
      </c>
      <c r="H35" s="844">
        <f>G35+'25'!H35</f>
        <v>51932.75</v>
      </c>
      <c r="I35" s="842"/>
      <c r="J35" s="846">
        <f>H35/DAY(B2)</f>
        <v>1997.4134615384614</v>
      </c>
      <c r="K35" s="862"/>
      <c r="L35" s="821"/>
      <c r="O35" s="848"/>
    </row>
    <row r="36" spans="1:15" ht="20.100000000000001" customHeight="1">
      <c r="A36" s="839" t="s">
        <v>164</v>
      </c>
      <c r="B36" s="840"/>
      <c r="C36" s="840"/>
      <c r="D36" s="841" t="s">
        <v>131</v>
      </c>
      <c r="E36" s="842">
        <f>'25'!F36</f>
        <v>347065</v>
      </c>
      <c r="F36" s="915">
        <v>347065</v>
      </c>
      <c r="G36" s="843">
        <f t="shared" si="3"/>
        <v>0</v>
      </c>
      <c r="H36" s="844">
        <f>G36+'25'!H36</f>
        <v>2457</v>
      </c>
      <c r="I36" s="842"/>
      <c r="J36" s="846">
        <f>H36/DAY(B2)</f>
        <v>94.5</v>
      </c>
      <c r="K36" s="862"/>
      <c r="L36" s="821"/>
      <c r="O36" s="848"/>
    </row>
    <row r="37" spans="1:15" ht="20.100000000000001" customHeight="1">
      <c r="A37" s="839" t="s">
        <v>165</v>
      </c>
      <c r="B37" s="840"/>
      <c r="C37" s="840"/>
      <c r="D37" s="841" t="s">
        <v>131</v>
      </c>
      <c r="E37" s="842">
        <f>'25'!F37</f>
        <v>126400.73</v>
      </c>
      <c r="F37" s="915">
        <v>127744.73</v>
      </c>
      <c r="G37" s="843">
        <f t="shared" si="3"/>
        <v>1344</v>
      </c>
      <c r="H37" s="844">
        <f>G37+'25'!H37</f>
        <v>32519.729999999996</v>
      </c>
      <c r="I37" s="842"/>
      <c r="J37" s="846">
        <f>H37/DAY(B2)</f>
        <v>1250.758846153846</v>
      </c>
      <c r="K37" s="862"/>
      <c r="L37" s="821"/>
      <c r="O37" s="848"/>
    </row>
    <row r="38" spans="1:15" ht="20.100000000000001" customHeight="1">
      <c r="A38" s="839" t="s">
        <v>166</v>
      </c>
      <c r="B38" s="840"/>
      <c r="C38" s="840"/>
      <c r="D38" s="841" t="s">
        <v>131</v>
      </c>
      <c r="E38" s="842">
        <f>'25'!F38</f>
        <v>149009.04</v>
      </c>
      <c r="F38" s="831">
        <v>150235.39000000001</v>
      </c>
      <c r="G38" s="843">
        <f t="shared" si="3"/>
        <v>1226.3500000000058</v>
      </c>
      <c r="H38" s="844">
        <f>G38+'25'!H38</f>
        <v>30639.390000000014</v>
      </c>
      <c r="I38" s="842"/>
      <c r="J38" s="846">
        <f>H38/DAY(B2)</f>
        <v>1178.4380769230775</v>
      </c>
      <c r="K38" s="862"/>
      <c r="L38" s="821"/>
      <c r="O38" s="848"/>
    </row>
    <row r="39" spans="1:15" ht="20.100000000000001" customHeight="1">
      <c r="A39" s="839" t="s">
        <v>167</v>
      </c>
      <c r="B39" s="840"/>
      <c r="C39" s="840"/>
      <c r="D39" s="841" t="s">
        <v>131</v>
      </c>
      <c r="E39" s="842">
        <f>'25'!F39</f>
        <v>294778.27</v>
      </c>
      <c r="F39" s="915">
        <v>296927.46999999997</v>
      </c>
      <c r="G39" s="843">
        <f t="shared" si="3"/>
        <v>2149.1999999999534</v>
      </c>
      <c r="H39" s="844">
        <f>G39+'25'!H39</f>
        <v>50274.469999999972</v>
      </c>
      <c r="I39" s="842"/>
      <c r="J39" s="846">
        <f>H39/DAY(B2)</f>
        <v>1933.6334615384606</v>
      </c>
      <c r="K39" s="862"/>
      <c r="L39" s="821"/>
      <c r="O39" s="848"/>
    </row>
    <row r="40" spans="1:15" ht="20.100000000000001" customHeight="1">
      <c r="A40" s="916" t="s">
        <v>168</v>
      </c>
      <c r="B40" s="917"/>
      <c r="C40" s="917"/>
      <c r="D40" s="841" t="s">
        <v>131</v>
      </c>
      <c r="E40" s="842">
        <f>'25'!F40</f>
        <v>686.48</v>
      </c>
      <c r="F40" s="915">
        <v>888.99</v>
      </c>
      <c r="G40" s="843">
        <f t="shared" si="3"/>
        <v>202.51</v>
      </c>
      <c r="H40" s="844">
        <f>G40+'25'!H40</f>
        <v>888.76</v>
      </c>
      <c r="I40" s="842"/>
      <c r="J40" s="846">
        <f>H40/DAY(B2)</f>
        <v>34.183076923076925</v>
      </c>
      <c r="K40" s="869"/>
      <c r="L40" s="821"/>
      <c r="O40" s="848"/>
    </row>
    <row r="41" spans="1:15" ht="20.100000000000001" customHeight="1">
      <c r="A41" s="839" t="s">
        <v>169</v>
      </c>
      <c r="B41" s="840"/>
      <c r="C41" s="840"/>
      <c r="D41" s="841" t="s">
        <v>131</v>
      </c>
      <c r="E41" s="842">
        <f>'25'!F41</f>
        <v>240478.13</v>
      </c>
      <c r="F41" s="915">
        <v>240478.13</v>
      </c>
      <c r="G41" s="843">
        <f t="shared" si="3"/>
        <v>0</v>
      </c>
      <c r="H41" s="844">
        <f>G41+'25'!H41</f>
        <v>58950.130000000005</v>
      </c>
      <c r="I41" s="842"/>
      <c r="J41" s="846">
        <f>H41/DAY(B2)</f>
        <v>2267.3126923076925</v>
      </c>
      <c r="K41" s="862"/>
      <c r="L41" s="821"/>
      <c r="O41" s="848"/>
    </row>
    <row r="42" spans="1:15" ht="20.100000000000001" customHeight="1">
      <c r="A42" s="839" t="s">
        <v>170</v>
      </c>
      <c r="B42" s="840"/>
      <c r="C42" s="840"/>
      <c r="D42" s="841" t="s">
        <v>131</v>
      </c>
      <c r="E42" s="842">
        <f>'25'!F42</f>
        <v>59198.97</v>
      </c>
      <c r="F42" s="915">
        <v>59198.97</v>
      </c>
      <c r="G42" s="843">
        <f t="shared" si="3"/>
        <v>0</v>
      </c>
      <c r="H42" s="844">
        <f>G42+'25'!H42</f>
        <v>-1.0299999999988358</v>
      </c>
      <c r="I42" s="842"/>
      <c r="J42" s="846">
        <f>H42/DAY(B2)</f>
        <v>-3.9615384615339838E-2</v>
      </c>
      <c r="K42" s="862"/>
      <c r="L42" s="821"/>
      <c r="N42" s="1012">
        <f>3450-G42</f>
        <v>3450</v>
      </c>
      <c r="O42" s="848"/>
    </row>
    <row r="43" spans="1:15" ht="20.100000000000001" customHeight="1">
      <c r="A43" s="839" t="s">
        <v>171</v>
      </c>
      <c r="B43" s="840"/>
      <c r="C43" s="840"/>
      <c r="D43" s="841" t="s">
        <v>131</v>
      </c>
      <c r="E43" s="842">
        <f>'25'!F43</f>
        <v>1028056.5</v>
      </c>
      <c r="F43" s="915">
        <v>1030659.3</v>
      </c>
      <c r="G43" s="843">
        <f t="shared" si="3"/>
        <v>2602.8000000000466</v>
      </c>
      <c r="H43" s="844">
        <f>G43+'25'!H43</f>
        <v>56701.300000000047</v>
      </c>
      <c r="I43" s="842"/>
      <c r="J43" s="846">
        <f>H43/DAY(B2)</f>
        <v>2180.8192307692325</v>
      </c>
      <c r="K43" s="862"/>
      <c r="L43" s="821"/>
      <c r="O43" s="848"/>
    </row>
    <row r="44" spans="1:15" ht="20.100000000000001" customHeight="1">
      <c r="A44" s="839" t="s">
        <v>172</v>
      </c>
      <c r="B44" s="840"/>
      <c r="C44" s="840"/>
      <c r="D44" s="841" t="s">
        <v>131</v>
      </c>
      <c r="E44" s="842">
        <f>'25'!F44</f>
        <v>0</v>
      </c>
      <c r="F44" s="915">
        <v>0</v>
      </c>
      <c r="G44" s="843">
        <f t="shared" si="3"/>
        <v>0</v>
      </c>
      <c r="H44" s="844">
        <f>G44+'25'!H44</f>
        <v>0</v>
      </c>
      <c r="I44" s="842"/>
      <c r="J44" s="846">
        <f>H44/DAY(B2)</f>
        <v>0</v>
      </c>
      <c r="K44" s="862"/>
      <c r="L44" s="821"/>
      <c r="O44" s="848"/>
    </row>
    <row r="45" spans="1:15" ht="20.100000000000001" customHeight="1">
      <c r="A45" s="839" t="s">
        <v>173</v>
      </c>
      <c r="B45" s="840"/>
      <c r="C45" s="840"/>
      <c r="D45" s="841" t="s">
        <v>131</v>
      </c>
      <c r="E45" s="842">
        <f>'25'!F45</f>
        <v>614</v>
      </c>
      <c r="F45" s="915">
        <v>614</v>
      </c>
      <c r="G45" s="843">
        <f t="shared" si="3"/>
        <v>0</v>
      </c>
      <c r="H45" s="844">
        <f>G45+'25'!H45</f>
        <v>614</v>
      </c>
      <c r="I45" s="842"/>
      <c r="J45" s="846">
        <f>H45/DAY(B2)</f>
        <v>23.615384615384617</v>
      </c>
      <c r="K45" s="862"/>
      <c r="L45" s="821"/>
      <c r="O45" s="848"/>
    </row>
    <row r="46" spans="1:15" ht="20.100000000000001" customHeight="1">
      <c r="A46" s="839" t="s">
        <v>174</v>
      </c>
      <c r="B46" s="840"/>
      <c r="C46" s="840"/>
      <c r="D46" s="841" t="s">
        <v>131</v>
      </c>
      <c r="E46" s="842">
        <f>'25'!F46</f>
        <v>187</v>
      </c>
      <c r="F46" s="915">
        <v>187</v>
      </c>
      <c r="G46" s="843">
        <f t="shared" si="3"/>
        <v>0</v>
      </c>
      <c r="H46" s="844">
        <f>G46+'25'!H46</f>
        <v>186.95</v>
      </c>
      <c r="I46" s="842"/>
      <c r="J46" s="846">
        <f>H46/DAY(B2)</f>
        <v>7.1903846153846152</v>
      </c>
      <c r="K46" s="862"/>
      <c r="L46" s="821"/>
      <c r="O46" s="848"/>
    </row>
    <row r="47" spans="1:15" ht="20.100000000000001" customHeight="1">
      <c r="A47" s="864" t="s">
        <v>175</v>
      </c>
      <c r="B47" s="865"/>
      <c r="C47" s="865"/>
      <c r="D47" s="832"/>
      <c r="E47" s="828"/>
      <c r="F47" s="828"/>
      <c r="G47" s="866">
        <f>G35+G36+G37+G38+G39+G40+G41+G42+G43+G44+G45+G46</f>
        <v>10169.819999999969</v>
      </c>
      <c r="H47" s="844">
        <f>G47+'25'!H47</f>
        <v>285163.94</v>
      </c>
      <c r="I47" s="842"/>
      <c r="J47" s="846">
        <f>H47/DAY(B2)</f>
        <v>10967.843846153846</v>
      </c>
      <c r="K47" s="862"/>
      <c r="L47" s="821"/>
      <c r="N47" s="1012"/>
      <c r="O47" s="848"/>
    </row>
    <row r="48" spans="1:15" ht="20.100000000000001" customHeight="1">
      <c r="A48" s="913" t="s">
        <v>176</v>
      </c>
      <c r="B48" s="914"/>
      <c r="C48" s="914"/>
      <c r="D48" s="836"/>
      <c r="E48" s="835"/>
      <c r="F48" s="835"/>
      <c r="G48" s="836"/>
      <c r="H48" s="836"/>
      <c r="I48" s="836"/>
      <c r="J48" s="837"/>
      <c r="K48" s="862"/>
      <c r="L48" s="821"/>
      <c r="O48" s="848"/>
    </row>
    <row r="49" spans="1:15" ht="20.100000000000001" customHeight="1">
      <c r="A49" s="839" t="s">
        <v>163</v>
      </c>
      <c r="B49" s="918"/>
      <c r="C49" s="918"/>
      <c r="D49" s="841" t="s">
        <v>131</v>
      </c>
      <c r="E49" s="842">
        <f>'25'!F49</f>
        <v>260732.13</v>
      </c>
      <c r="F49" s="915">
        <v>260732.13</v>
      </c>
      <c r="G49" s="843">
        <f t="shared" ref="G49:G58" si="4">F49-E49</f>
        <v>0</v>
      </c>
      <c r="H49" s="844">
        <f>G49+'25'!H49</f>
        <v>0</v>
      </c>
      <c r="I49" s="842"/>
      <c r="J49" s="846">
        <f>H49/DAY(B2)</f>
        <v>0</v>
      </c>
      <c r="K49" s="862"/>
      <c r="L49" s="821"/>
      <c r="O49" s="848"/>
    </row>
    <row r="50" spans="1:15" ht="20.100000000000001" customHeight="1">
      <c r="A50" s="839" t="s">
        <v>177</v>
      </c>
      <c r="B50" s="918"/>
      <c r="C50" s="918"/>
      <c r="D50" s="841" t="s">
        <v>131</v>
      </c>
      <c r="E50" s="842">
        <f>'25'!F50</f>
        <v>496769.11</v>
      </c>
      <c r="F50" s="915">
        <v>498182.83</v>
      </c>
      <c r="G50" s="843">
        <f t="shared" si="4"/>
        <v>1413.7200000000303</v>
      </c>
      <c r="H50" s="844">
        <f>G50+'25'!H50</f>
        <v>22707.830000000016</v>
      </c>
      <c r="I50" s="842"/>
      <c r="J50" s="846">
        <f>H50/DAY(B2)</f>
        <v>873.37807692307751</v>
      </c>
      <c r="K50" s="862"/>
      <c r="L50" s="821"/>
      <c r="O50" s="848"/>
    </row>
    <row r="51" spans="1:15" ht="20.100000000000001" customHeight="1">
      <c r="A51" s="839" t="s">
        <v>165</v>
      </c>
      <c r="B51" s="918"/>
      <c r="C51" s="918"/>
      <c r="D51" s="841" t="s">
        <v>131</v>
      </c>
      <c r="E51" s="842">
        <f>'25'!F51</f>
        <v>144639.87</v>
      </c>
      <c r="F51" s="915">
        <v>144639.87</v>
      </c>
      <c r="G51" s="843">
        <f t="shared" si="4"/>
        <v>0</v>
      </c>
      <c r="H51" s="844">
        <f>G51+'25'!H51</f>
        <v>-0.13000000000465661</v>
      </c>
      <c r="I51" s="842"/>
      <c r="J51" s="846">
        <f>H51/DAY(B2)</f>
        <v>-5.0000000001791008E-3</v>
      </c>
      <c r="K51" s="862"/>
      <c r="L51" s="821"/>
      <c r="O51" s="848"/>
    </row>
    <row r="52" spans="1:15" ht="20.100000000000001" customHeight="1">
      <c r="A52" s="839" t="s">
        <v>178</v>
      </c>
      <c r="B52" s="918"/>
      <c r="C52" s="918"/>
      <c r="D52" s="841" t="s">
        <v>131</v>
      </c>
      <c r="E52" s="842">
        <f>'25'!F52</f>
        <v>539606.06999999995</v>
      </c>
      <c r="F52" s="915">
        <v>539606.06999999995</v>
      </c>
      <c r="G52" s="843">
        <f t="shared" si="4"/>
        <v>0</v>
      </c>
      <c r="H52" s="844">
        <f>G52+'25'!H52</f>
        <v>0</v>
      </c>
      <c r="I52" s="842"/>
      <c r="J52" s="846">
        <f>H52/DAY(B2)</f>
        <v>0</v>
      </c>
      <c r="K52" s="862"/>
      <c r="L52" s="821"/>
      <c r="O52" s="848"/>
    </row>
    <row r="53" spans="1:15" ht="20.100000000000001" customHeight="1">
      <c r="A53" s="839" t="s">
        <v>167</v>
      </c>
      <c r="B53" s="918"/>
      <c r="C53" s="918"/>
      <c r="D53" s="841" t="s">
        <v>131</v>
      </c>
      <c r="E53" s="842">
        <f>'25'!F53</f>
        <v>429230.87</v>
      </c>
      <c r="F53" s="915">
        <v>429772.55</v>
      </c>
      <c r="G53" s="843">
        <f t="shared" si="4"/>
        <v>541.67999999999302</v>
      </c>
      <c r="H53" s="844">
        <f>G53+'25'!H53</f>
        <v>12962.549999999988</v>
      </c>
      <c r="I53" s="842"/>
      <c r="J53" s="846">
        <f>H53/DAY(B2)</f>
        <v>498.55961538461492</v>
      </c>
      <c r="K53" s="862"/>
      <c r="L53" s="821"/>
      <c r="O53" s="848"/>
    </row>
    <row r="54" spans="1:15" ht="20.100000000000001" customHeight="1">
      <c r="A54" s="839" t="s">
        <v>179</v>
      </c>
      <c r="B54" s="918"/>
      <c r="C54" s="918"/>
      <c r="D54" s="841" t="s">
        <v>131</v>
      </c>
      <c r="E54" s="842">
        <f>'25'!F54</f>
        <v>13269.62</v>
      </c>
      <c r="F54" s="915">
        <v>13353</v>
      </c>
      <c r="G54" s="843">
        <f t="shared" si="4"/>
        <v>83.3799999999992</v>
      </c>
      <c r="H54" s="844">
        <f>G54+'25'!H54</f>
        <v>5591</v>
      </c>
      <c r="I54" s="842"/>
      <c r="J54" s="846">
        <f>H54/DAY(B2)</f>
        <v>215.03846153846155</v>
      </c>
      <c r="K54" s="862"/>
      <c r="L54" s="821"/>
      <c r="O54" s="848"/>
    </row>
    <row r="55" spans="1:15" ht="20.100000000000001" customHeight="1">
      <c r="A55" s="839" t="s">
        <v>180</v>
      </c>
      <c r="B55" s="918"/>
      <c r="C55" s="918"/>
      <c r="D55" s="841" t="s">
        <v>131</v>
      </c>
      <c r="E55" s="842">
        <f>'25'!F55</f>
        <v>64199.47</v>
      </c>
      <c r="F55" s="915">
        <v>68110.679999999993</v>
      </c>
      <c r="G55" s="843">
        <f t="shared" si="4"/>
        <v>3911.2099999999919</v>
      </c>
      <c r="H55" s="844">
        <f>G55+'25'!H55</f>
        <v>68110.679999999993</v>
      </c>
      <c r="I55" s="842"/>
      <c r="J55" s="846">
        <f>H55/DAY(B2)</f>
        <v>2619.6415384615384</v>
      </c>
      <c r="K55" s="862"/>
      <c r="L55" s="821"/>
      <c r="O55" s="848"/>
    </row>
    <row r="56" spans="1:15" ht="20.100000000000001" customHeight="1">
      <c r="A56" s="839" t="s">
        <v>181</v>
      </c>
      <c r="B56" s="918"/>
      <c r="C56" s="918"/>
      <c r="D56" s="841" t="s">
        <v>182</v>
      </c>
      <c r="E56" s="842">
        <f>'25'!F56</f>
        <v>589543.71</v>
      </c>
      <c r="F56" s="915">
        <v>591627.75</v>
      </c>
      <c r="G56" s="843">
        <f t="shared" si="4"/>
        <v>2084.0400000000373</v>
      </c>
      <c r="H56" s="844">
        <f>G56+'25'!H56</f>
        <v>2339.390000000014</v>
      </c>
      <c r="I56" s="842"/>
      <c r="J56" s="846">
        <f>H56/DAY(B2)</f>
        <v>89.976538461538993</v>
      </c>
      <c r="K56" s="838"/>
      <c r="L56" s="821"/>
      <c r="O56" s="848"/>
    </row>
    <row r="57" spans="1:15" ht="20.100000000000001" customHeight="1">
      <c r="A57" s="839" t="s">
        <v>171</v>
      </c>
      <c r="B57" s="918"/>
      <c r="C57" s="918"/>
      <c r="D57" s="841" t="s">
        <v>131</v>
      </c>
      <c r="E57" s="842">
        <f>'25'!F57</f>
        <v>7711</v>
      </c>
      <c r="F57" s="915">
        <v>7711</v>
      </c>
      <c r="G57" s="843">
        <f t="shared" si="4"/>
        <v>0</v>
      </c>
      <c r="H57" s="844">
        <f>G57+'25'!H57</f>
        <v>0</v>
      </c>
      <c r="I57" s="842"/>
      <c r="J57" s="846">
        <f>H57/DAY(B2)</f>
        <v>0</v>
      </c>
      <c r="K57" s="862"/>
      <c r="L57" s="821"/>
      <c r="O57" s="848"/>
    </row>
    <row r="58" spans="1:15" ht="20.100000000000001" customHeight="1">
      <c r="A58" s="839" t="s">
        <v>183</v>
      </c>
      <c r="B58" s="918"/>
      <c r="C58" s="918"/>
      <c r="D58" s="841" t="s">
        <v>131</v>
      </c>
      <c r="E58" s="842">
        <f>'25'!F58</f>
        <v>48931.51</v>
      </c>
      <c r="F58" s="915">
        <v>48968.68</v>
      </c>
      <c r="G58" s="843">
        <f t="shared" si="4"/>
        <v>37.169999999998254</v>
      </c>
      <c r="H58" s="844">
        <f>G58+'25'!H58</f>
        <v>2251.6800000000003</v>
      </c>
      <c r="I58" s="842"/>
      <c r="J58" s="846">
        <f>H58/DAY(B2)</f>
        <v>86.603076923076941</v>
      </c>
      <c r="K58" s="862"/>
      <c r="L58" s="821"/>
      <c r="O58" s="848"/>
    </row>
    <row r="59" spans="1:15" ht="20.100000000000001" customHeight="1">
      <c r="A59" s="864" t="s">
        <v>175</v>
      </c>
      <c r="B59" s="865"/>
      <c r="C59" s="865"/>
      <c r="D59" s="828"/>
      <c r="E59" s="828"/>
      <c r="F59" s="828"/>
      <c r="G59" s="866">
        <f>G49+G50+G51+G52+G53+G54+G55+G56+G57+G58</f>
        <v>8071.2000000000498</v>
      </c>
      <c r="H59" s="844">
        <f>G59+'25'!H59</f>
        <v>113963.06999999996</v>
      </c>
      <c r="I59" s="842">
        <f>G7-G60</f>
        <v>983.53999999997905</v>
      </c>
      <c r="J59" s="846">
        <f>H59/DAY(B2)</f>
        <v>4383.1949999999988</v>
      </c>
      <c r="K59" s="862"/>
      <c r="L59" s="821"/>
      <c r="O59" s="848"/>
    </row>
    <row r="60" spans="1:15" ht="20.100000000000001" customHeight="1">
      <c r="A60" s="839"/>
      <c r="B60" s="840"/>
      <c r="C60" s="840"/>
      <c r="D60" s="828" t="s">
        <v>184</v>
      </c>
      <c r="E60" s="828"/>
      <c r="F60" s="828"/>
      <c r="G60" s="866">
        <f>G47+G59</f>
        <v>18241.020000000019</v>
      </c>
      <c r="H60" s="844">
        <f>G60+'25'!H60</f>
        <v>400710.9</v>
      </c>
      <c r="I60" s="842">
        <f>G13-G60</f>
        <v>371.28000000002794</v>
      </c>
      <c r="J60" s="846">
        <f>H60/DAY(B2)</f>
        <v>15411.957692307693</v>
      </c>
      <c r="K60" s="862"/>
      <c r="L60" s="821"/>
      <c r="O60" s="848"/>
    </row>
    <row r="61" spans="1:15" ht="20.100000000000001" customHeight="1">
      <c r="A61" s="919" t="s">
        <v>185</v>
      </c>
      <c r="B61" s="920"/>
      <c r="C61" s="920"/>
      <c r="D61" s="920"/>
      <c r="E61" s="921"/>
      <c r="F61" s="921"/>
      <c r="G61" s="920"/>
      <c r="H61" s="920"/>
      <c r="I61" s="920"/>
      <c r="J61" s="922"/>
      <c r="K61" s="862"/>
      <c r="L61" s="821"/>
      <c r="O61" s="848"/>
    </row>
    <row r="62" spans="1:15" ht="20.100000000000001" customHeight="1">
      <c r="A62" s="923" t="s">
        <v>98</v>
      </c>
      <c r="B62" s="924"/>
      <c r="C62" s="924"/>
      <c r="D62" s="828" t="s">
        <v>186</v>
      </c>
      <c r="E62" s="842">
        <f>'25'!F62</f>
        <v>20419</v>
      </c>
      <c r="F62" s="925">
        <v>20419</v>
      </c>
      <c r="G62" s="843">
        <f t="shared" ref="G62:G69" si="5">F62-E62</f>
        <v>0</v>
      </c>
      <c r="H62" s="844">
        <f>G62+'25'!H62</f>
        <v>0.18199999999706051</v>
      </c>
      <c r="I62" s="926"/>
      <c r="J62" s="846">
        <f>H62/DAY(B2)</f>
        <v>6.999999999886943E-3</v>
      </c>
      <c r="K62" s="862"/>
      <c r="L62" s="821"/>
      <c r="O62" s="848"/>
    </row>
    <row r="63" spans="1:15" ht="20.100000000000001" customHeight="1">
      <c r="A63" s="923" t="s">
        <v>187</v>
      </c>
      <c r="B63" s="924"/>
      <c r="C63" s="924"/>
      <c r="D63" s="828" t="s">
        <v>186</v>
      </c>
      <c r="E63" s="842">
        <f>'25'!F63</f>
        <v>2453.4699999999998</v>
      </c>
      <c r="F63" s="925">
        <v>2457.1</v>
      </c>
      <c r="G63" s="843">
        <f t="shared" si="5"/>
        <v>3.6300000000001091</v>
      </c>
      <c r="H63" s="844">
        <f>G63+'25'!H63</f>
        <v>98.099999999999909</v>
      </c>
      <c r="I63" s="926"/>
      <c r="J63" s="846">
        <f>H63/DAY(B2)</f>
        <v>3.7730769230769194</v>
      </c>
      <c r="K63" s="862"/>
      <c r="L63" s="821"/>
      <c r="O63" s="848"/>
    </row>
    <row r="64" spans="1:15" ht="20.100000000000001" customHeight="1">
      <c r="A64" s="1639" t="s">
        <v>99</v>
      </c>
      <c r="B64" s="1640"/>
      <c r="C64" s="1641"/>
      <c r="D64" s="841" t="s">
        <v>186</v>
      </c>
      <c r="E64" s="842">
        <f>'25'!F64</f>
        <v>158798.06</v>
      </c>
      <c r="F64" s="872">
        <v>158972.70000000001</v>
      </c>
      <c r="G64" s="843">
        <f t="shared" si="5"/>
        <v>174.64000000001397</v>
      </c>
      <c r="H64" s="844">
        <f>G64+'25'!H64</f>
        <v>5673.7000000000116</v>
      </c>
      <c r="I64" s="863"/>
      <c r="J64" s="846">
        <f>H64/DAY(B2)</f>
        <v>218.21923076923122</v>
      </c>
      <c r="K64" s="862"/>
      <c r="L64" s="821"/>
      <c r="O64" s="848"/>
    </row>
    <row r="65" spans="1:15" ht="20.100000000000001" customHeight="1">
      <c r="A65" s="1639" t="s">
        <v>100</v>
      </c>
      <c r="B65" s="1640"/>
      <c r="C65" s="1641"/>
      <c r="D65" s="841" t="s">
        <v>186</v>
      </c>
      <c r="E65" s="842">
        <f>'25'!F65</f>
        <v>159730</v>
      </c>
      <c r="F65" s="872">
        <v>159915.88</v>
      </c>
      <c r="G65" s="843">
        <f t="shared" si="5"/>
        <v>185.88000000000466</v>
      </c>
      <c r="H65" s="844">
        <f>G65+'25'!H65</f>
        <v>5316.8800000000047</v>
      </c>
      <c r="I65" s="881"/>
      <c r="J65" s="846">
        <f>H65/DAY(B2)</f>
        <v>204.49538461538481</v>
      </c>
      <c r="K65" s="862"/>
      <c r="L65" s="821"/>
      <c r="O65" s="848"/>
    </row>
    <row r="66" spans="1:15" ht="20.100000000000001" customHeight="1">
      <c r="A66" s="1639" t="s">
        <v>101</v>
      </c>
      <c r="B66" s="1640"/>
      <c r="C66" s="1641"/>
      <c r="D66" s="841" t="s">
        <v>186</v>
      </c>
      <c r="E66" s="842">
        <f>'25'!F66</f>
        <v>55178.79</v>
      </c>
      <c r="F66" s="872">
        <v>55424.42</v>
      </c>
      <c r="G66" s="843">
        <f t="shared" si="5"/>
        <v>245.62999999999738</v>
      </c>
      <c r="H66" s="844">
        <f>G66+'25'!H66</f>
        <v>6853.4199999999983</v>
      </c>
      <c r="I66" s="863"/>
      <c r="J66" s="846">
        <f>H66/DAY(B2)</f>
        <v>263.59307692307686</v>
      </c>
      <c r="K66" s="862"/>
      <c r="L66" s="821"/>
      <c r="O66" s="848"/>
    </row>
    <row r="67" spans="1:15" ht="20.100000000000001" customHeight="1">
      <c r="A67" s="1639" t="s">
        <v>102</v>
      </c>
      <c r="B67" s="1640"/>
      <c r="C67" s="1641"/>
      <c r="D67" s="841" t="s">
        <v>186</v>
      </c>
      <c r="E67" s="842">
        <f>'25'!F67</f>
        <v>249501.01</v>
      </c>
      <c r="F67" s="872">
        <v>249886.57</v>
      </c>
      <c r="G67" s="843">
        <f t="shared" si="5"/>
        <v>385.55999999999767</v>
      </c>
      <c r="H67" s="844">
        <f>G67+'25'!H67</f>
        <v>6712.570000000007</v>
      </c>
      <c r="I67" s="881"/>
      <c r="J67" s="846">
        <f>H67/DAY(B2)</f>
        <v>258.1757692307695</v>
      </c>
      <c r="K67" s="869"/>
      <c r="L67" s="821"/>
      <c r="O67" s="848"/>
    </row>
    <row r="68" spans="1:15" ht="20.100000000000001" customHeight="1">
      <c r="A68" s="1639" t="s">
        <v>103</v>
      </c>
      <c r="B68" s="1640"/>
      <c r="C68" s="1641"/>
      <c r="D68" s="841" t="s">
        <v>186</v>
      </c>
      <c r="E68" s="842">
        <f>'25'!F68</f>
        <v>85321</v>
      </c>
      <c r="F68" s="872">
        <v>85321</v>
      </c>
      <c r="G68" s="843">
        <f t="shared" si="5"/>
        <v>0</v>
      </c>
      <c r="H68" s="844">
        <f>G68+'25'!H68</f>
        <v>0</v>
      </c>
      <c r="I68" s="927"/>
      <c r="J68" s="846">
        <f>H68/DAY(B2)</f>
        <v>0</v>
      </c>
      <c r="K68" s="928"/>
      <c r="L68" s="821"/>
      <c r="O68" s="848"/>
    </row>
    <row r="69" spans="1:15" ht="20.100000000000001" customHeight="1">
      <c r="A69" s="1639" t="s">
        <v>104</v>
      </c>
      <c r="B69" s="1640"/>
      <c r="C69" s="1641"/>
      <c r="D69" s="841" t="s">
        <v>186</v>
      </c>
      <c r="E69" s="842">
        <f>'25'!F69</f>
        <v>81051.97</v>
      </c>
      <c r="F69" s="872">
        <v>81191.509999999995</v>
      </c>
      <c r="G69" s="843">
        <f t="shared" si="5"/>
        <v>139.5399999999936</v>
      </c>
      <c r="H69" s="844">
        <f>G69+'25'!H69</f>
        <v>2197.5099999999948</v>
      </c>
      <c r="I69" s="927"/>
      <c r="J69" s="846">
        <f>H69/DAY(B2)</f>
        <v>84.519615384615179</v>
      </c>
      <c r="K69" s="929"/>
      <c r="L69" s="821"/>
      <c r="O69" s="848"/>
    </row>
    <row r="70" spans="1:15" ht="20.100000000000001" customHeight="1">
      <c r="A70" s="1648" t="s">
        <v>188</v>
      </c>
      <c r="B70" s="1649"/>
      <c r="C70" s="1650"/>
      <c r="D70" s="841" t="s">
        <v>186</v>
      </c>
      <c r="E70" s="930"/>
      <c r="F70" s="931"/>
      <c r="G70" s="931"/>
      <c r="H70" s="844">
        <f>G70+'13'!H70</f>
        <v>0</v>
      </c>
      <c r="I70" s="931"/>
      <c r="J70" s="932"/>
      <c r="K70" s="929"/>
      <c r="L70" s="821"/>
      <c r="O70" s="848"/>
    </row>
    <row r="71" spans="1:15" ht="20.100000000000001" customHeight="1">
      <c r="A71" s="1645" t="s">
        <v>189</v>
      </c>
      <c r="B71" s="1646"/>
      <c r="C71" s="1646"/>
      <c r="D71" s="1646"/>
      <c r="E71" s="1646"/>
      <c r="F71" s="1646"/>
      <c r="G71" s="1646"/>
      <c r="H71" s="1646"/>
      <c r="I71" s="1646"/>
      <c r="J71" s="1647"/>
      <c r="K71" s="928"/>
      <c r="L71" s="821"/>
      <c r="O71" s="848"/>
    </row>
    <row r="72" spans="1:15" ht="20.100000000000001" customHeight="1">
      <c r="A72" s="1639" t="s">
        <v>190</v>
      </c>
      <c r="B72" s="1640"/>
      <c r="C72" s="1641"/>
      <c r="D72" s="841" t="s">
        <v>186</v>
      </c>
      <c r="E72" s="842">
        <f>'25'!F72</f>
        <v>855769</v>
      </c>
      <c r="F72" s="933">
        <v>855782</v>
      </c>
      <c r="G72" s="843">
        <f t="shared" ref="G72:G84" si="6">F72-E72</f>
        <v>13</v>
      </c>
      <c r="H72" s="844">
        <f>G72+'25'!H72</f>
        <v>310</v>
      </c>
      <c r="I72" s="863"/>
      <c r="J72" s="846">
        <f>H72/DAY(B2)</f>
        <v>11.923076923076923</v>
      </c>
      <c r="K72" s="929"/>
      <c r="L72" s="821"/>
      <c r="O72" s="848"/>
    </row>
    <row r="73" spans="1:15" ht="20.100000000000001" customHeight="1">
      <c r="A73" s="1639" t="s">
        <v>191</v>
      </c>
      <c r="B73" s="1640"/>
      <c r="C73" s="1641"/>
      <c r="D73" s="841" t="s">
        <v>186</v>
      </c>
      <c r="E73" s="842">
        <f>'25'!F73</f>
        <v>885915</v>
      </c>
      <c r="F73" s="934">
        <v>885932</v>
      </c>
      <c r="G73" s="843">
        <f t="shared" si="6"/>
        <v>17</v>
      </c>
      <c r="H73" s="844">
        <f>G73+'25'!H73</f>
        <v>236</v>
      </c>
      <c r="I73" s="863"/>
      <c r="J73" s="846">
        <f>H73/DAY(B2)</f>
        <v>9.0769230769230766</v>
      </c>
      <c r="K73" s="928"/>
      <c r="L73" s="821"/>
      <c r="O73" s="848"/>
    </row>
    <row r="74" spans="1:15" ht="20.100000000000001" customHeight="1">
      <c r="A74" s="1639" t="s">
        <v>192</v>
      </c>
      <c r="B74" s="1640"/>
      <c r="C74" s="1641"/>
      <c r="D74" s="841" t="s">
        <v>186</v>
      </c>
      <c r="E74" s="842">
        <f>'25'!F74</f>
        <v>2545.79</v>
      </c>
      <c r="F74" s="935">
        <v>2553.0700000000002</v>
      </c>
      <c r="G74" s="843">
        <f t="shared" si="6"/>
        <v>7.2800000000002001</v>
      </c>
      <c r="H74" s="844">
        <f>G74+'25'!H74</f>
        <v>274.07000000000016</v>
      </c>
      <c r="I74" s="863"/>
      <c r="J74" s="846">
        <f>H74/DAY(B2)</f>
        <v>10.541153846153852</v>
      </c>
      <c r="K74" s="929"/>
      <c r="L74" s="821"/>
      <c r="O74" s="848"/>
    </row>
    <row r="75" spans="1:15" ht="20.100000000000001" customHeight="1">
      <c r="A75" s="1642" t="s">
        <v>193</v>
      </c>
      <c r="B75" s="1643"/>
      <c r="C75" s="1644"/>
      <c r="D75" s="841" t="s">
        <v>186</v>
      </c>
      <c r="E75" s="842">
        <f>'25'!F75</f>
        <v>12318.61</v>
      </c>
      <c r="F75" s="935">
        <v>12387.5</v>
      </c>
      <c r="G75" s="843">
        <f t="shared" si="6"/>
        <v>68.889999999999418</v>
      </c>
      <c r="H75" s="844">
        <f>G75+'25'!H75</f>
        <v>1417.5</v>
      </c>
      <c r="I75" s="863"/>
      <c r="J75" s="846">
        <f>H75/DAY(B2)</f>
        <v>54.519230769230766</v>
      </c>
      <c r="K75" s="928"/>
      <c r="L75" s="821"/>
      <c r="O75" s="848"/>
    </row>
    <row r="76" spans="1:15" ht="20.100000000000001" customHeight="1">
      <c r="A76" s="1642" t="s">
        <v>194</v>
      </c>
      <c r="B76" s="1643"/>
      <c r="C76" s="1644"/>
      <c r="D76" s="841" t="s">
        <v>186</v>
      </c>
      <c r="E76" s="842">
        <f>'25'!F76</f>
        <v>7085.85</v>
      </c>
      <c r="F76" s="934">
        <v>7139</v>
      </c>
      <c r="G76" s="843">
        <f t="shared" si="6"/>
        <v>53.149999999999636</v>
      </c>
      <c r="H76" s="844">
        <f>G76+'25'!H76</f>
        <v>1422.0499999999993</v>
      </c>
      <c r="I76" s="906"/>
      <c r="J76" s="846">
        <f>H76/DAY(B2)</f>
        <v>54.694230769230742</v>
      </c>
      <c r="K76" s="928"/>
      <c r="L76" s="821"/>
      <c r="O76" s="848"/>
    </row>
    <row r="77" spans="1:15" ht="20.100000000000001" customHeight="1">
      <c r="A77" s="1639" t="s">
        <v>195</v>
      </c>
      <c r="B77" s="1640"/>
      <c r="C77" s="1641"/>
      <c r="D77" s="841" t="s">
        <v>186</v>
      </c>
      <c r="E77" s="842">
        <f>'25'!F77</f>
        <v>702588</v>
      </c>
      <c r="F77" s="934">
        <v>702629</v>
      </c>
      <c r="G77" s="843">
        <f t="shared" si="6"/>
        <v>41</v>
      </c>
      <c r="H77" s="844">
        <f>G77+'25'!H77</f>
        <v>1067</v>
      </c>
      <c r="I77" s="906"/>
      <c r="J77" s="846">
        <f>H77/DAY(B2)</f>
        <v>41.03846153846154</v>
      </c>
      <c r="K77" s="928"/>
      <c r="L77" s="821"/>
      <c r="O77" s="848"/>
    </row>
    <row r="78" spans="1:15" ht="18.75" customHeight="1">
      <c r="A78" s="936" t="s">
        <v>196</v>
      </c>
      <c r="B78" s="1139"/>
      <c r="C78" s="1139"/>
      <c r="D78" s="841" t="s">
        <v>186</v>
      </c>
      <c r="E78" s="842">
        <f>'25'!F78</f>
        <v>672382</v>
      </c>
      <c r="F78" s="935">
        <v>672391</v>
      </c>
      <c r="G78" s="843">
        <f t="shared" si="6"/>
        <v>9</v>
      </c>
      <c r="H78" s="844">
        <f>G78+'25'!H78</f>
        <v>2366</v>
      </c>
      <c r="I78" s="906"/>
      <c r="J78" s="846">
        <f>H78/DAY(B2)</f>
        <v>91</v>
      </c>
      <c r="K78" s="928"/>
      <c r="L78" s="821"/>
      <c r="O78" s="848"/>
    </row>
    <row r="79" spans="1:15" ht="20.100000000000001" customHeight="1">
      <c r="A79" s="1642" t="s">
        <v>92</v>
      </c>
      <c r="B79" s="1643"/>
      <c r="C79" s="1644"/>
      <c r="D79" s="875" t="s">
        <v>186</v>
      </c>
      <c r="E79" s="842">
        <f>'25'!F79</f>
        <v>830175</v>
      </c>
      <c r="F79" s="935">
        <v>830307</v>
      </c>
      <c r="G79" s="843">
        <f t="shared" si="6"/>
        <v>132</v>
      </c>
      <c r="H79" s="844">
        <f>G79+'25'!H79</f>
        <v>2576</v>
      </c>
      <c r="I79" s="906"/>
      <c r="J79" s="846">
        <f>H79/DAY(B2)</f>
        <v>99.07692307692308</v>
      </c>
      <c r="K79" s="928"/>
      <c r="L79" s="821"/>
      <c r="O79" s="848"/>
    </row>
    <row r="80" spans="1:15" ht="20.100000000000001" customHeight="1">
      <c r="A80" s="1642" t="s">
        <v>197</v>
      </c>
      <c r="B80" s="1643"/>
      <c r="C80" s="1644"/>
      <c r="D80" s="875" t="s">
        <v>186</v>
      </c>
      <c r="E80" s="842">
        <f>'25'!F80</f>
        <v>525454.12</v>
      </c>
      <c r="F80" s="1234">
        <v>525838.04</v>
      </c>
      <c r="G80" s="843">
        <f t="shared" si="6"/>
        <v>383.92000000004191</v>
      </c>
      <c r="H80" s="844">
        <f>G80+'25'!H80</f>
        <v>6377.0400000000373</v>
      </c>
      <c r="I80" s="906"/>
      <c r="J80" s="846">
        <f>H80/DAY(B2)</f>
        <v>245.27076923077067</v>
      </c>
      <c r="K80" s="928"/>
      <c r="L80" s="821"/>
      <c r="O80" s="848"/>
    </row>
    <row r="81" spans="1:15" ht="20.100000000000001" customHeight="1">
      <c r="A81" s="1642" t="s">
        <v>198</v>
      </c>
      <c r="B81" s="1643"/>
      <c r="C81" s="1644"/>
      <c r="D81" s="875" t="s">
        <v>186</v>
      </c>
      <c r="E81" s="842">
        <f>'25'!F81</f>
        <v>638389.16</v>
      </c>
      <c r="F81" s="934">
        <v>638467.72</v>
      </c>
      <c r="G81" s="843">
        <f t="shared" si="6"/>
        <v>78.559999999939464</v>
      </c>
      <c r="H81" s="844">
        <f>G81+'25'!H81</f>
        <v>1989.7199999999721</v>
      </c>
      <c r="I81" s="906"/>
      <c r="J81" s="846">
        <f>H81/DAY(B2)</f>
        <v>76.52769230769124</v>
      </c>
      <c r="K81" s="928"/>
      <c r="L81" s="821"/>
      <c r="O81" s="848"/>
    </row>
    <row r="82" spans="1:15" ht="20.100000000000001" customHeight="1">
      <c r="A82" s="1642" t="s">
        <v>93</v>
      </c>
      <c r="B82" s="1643"/>
      <c r="C82" s="1644"/>
      <c r="D82" s="876" t="s">
        <v>131</v>
      </c>
      <c r="E82" s="842">
        <f>'25'!F82</f>
        <v>108065.74</v>
      </c>
      <c r="F82" s="937">
        <v>108076.42</v>
      </c>
      <c r="G82" s="843">
        <f t="shared" si="6"/>
        <v>10.679999999993015</v>
      </c>
      <c r="H82" s="844">
        <f>G82+'25'!H82</f>
        <v>464.41999999999825</v>
      </c>
      <c r="I82" s="877"/>
      <c r="J82" s="846">
        <f>H82/DAY(B2)</f>
        <v>17.862307692307624</v>
      </c>
      <c r="K82" s="928"/>
      <c r="L82" s="821"/>
      <c r="O82" s="848"/>
    </row>
    <row r="83" spans="1:15" ht="20.100000000000001" customHeight="1">
      <c r="A83" s="1642" t="s">
        <v>199</v>
      </c>
      <c r="B83" s="1643"/>
      <c r="C83" s="1644"/>
      <c r="D83" s="938" t="s">
        <v>131</v>
      </c>
      <c r="E83" s="842">
        <f>'25'!F83</f>
        <v>19414</v>
      </c>
      <c r="F83" s="828">
        <v>19604</v>
      </c>
      <c r="G83" s="843">
        <f t="shared" si="6"/>
        <v>190</v>
      </c>
      <c r="H83" s="844">
        <f>G83+'25'!H83</f>
        <v>4833</v>
      </c>
      <c r="I83" s="866"/>
      <c r="J83" s="846">
        <f>H83/DAY(B2)</f>
        <v>185.88461538461539</v>
      </c>
      <c r="K83" s="869"/>
      <c r="L83" s="821"/>
      <c r="O83" s="848"/>
    </row>
    <row r="84" spans="1:15" ht="20.100000000000001" customHeight="1">
      <c r="A84" s="939" t="s">
        <v>200</v>
      </c>
      <c r="B84" s="940"/>
      <c r="C84" s="940"/>
      <c r="D84" s="860" t="s">
        <v>131</v>
      </c>
      <c r="E84" s="842">
        <f>'25'!F84</f>
        <v>495387</v>
      </c>
      <c r="F84" s="941">
        <v>496173</v>
      </c>
      <c r="G84" s="843">
        <f t="shared" si="6"/>
        <v>786</v>
      </c>
      <c r="H84" s="844">
        <f>G84+'25'!H84</f>
        <v>16040</v>
      </c>
      <c r="I84" s="866"/>
      <c r="J84" s="846">
        <f>H84/DAY(B2)</f>
        <v>616.92307692307691</v>
      </c>
      <c r="K84" s="942"/>
      <c r="L84" s="821"/>
      <c r="O84" s="848"/>
    </row>
    <row r="85" spans="1:15" s="946" customFormat="1" ht="20.100000000000001" customHeight="1">
      <c r="A85" s="943" t="s">
        <v>201</v>
      </c>
      <c r="B85" s="944"/>
      <c r="C85" s="944"/>
      <c r="D85" s="881"/>
      <c r="E85" s="842">
        <f>'25'!F85</f>
        <v>0</v>
      </c>
      <c r="F85" s="841"/>
      <c r="G85" s="844">
        <f xml:space="preserve"> SUM(G72:G84)</f>
        <v>1790.4799999999736</v>
      </c>
      <c r="H85" s="844">
        <f>G85+'25'!H85</f>
        <v>42881.750000000007</v>
      </c>
      <c r="I85" s="866"/>
      <c r="J85" s="846">
        <f>H85/DAY(B2)</f>
        <v>1649.2980769230771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182</v>
      </c>
      <c r="E86" s="842">
        <f>'25'!F86</f>
        <v>460736.84</v>
      </c>
      <c r="F86" s="950">
        <v>460767.32</v>
      </c>
      <c r="G86" s="951">
        <f t="shared" ref="G86:G91" si="7">F86-E86</f>
        <v>30.479999999981374</v>
      </c>
      <c r="H86" s="951">
        <f t="shared" ref="H86:H88" si="8">G86</f>
        <v>30.479999999981374</v>
      </c>
      <c r="I86" s="952"/>
      <c r="J86" s="953">
        <f>H86/DAY(B2)</f>
        <v>1.172307692306976</v>
      </c>
      <c r="K86" s="954"/>
      <c r="L86" s="955"/>
      <c r="N86" s="1014"/>
      <c r="O86" s="848"/>
    </row>
    <row r="87" spans="1:15" s="956" customFormat="1">
      <c r="A87" s="947" t="s">
        <v>95</v>
      </c>
      <c r="B87" s="948"/>
      <c r="C87" s="948"/>
      <c r="D87" s="949" t="s">
        <v>182</v>
      </c>
      <c r="E87" s="842">
        <f>'25'!F87</f>
        <v>81270.7</v>
      </c>
      <c r="F87" s="1286">
        <v>81289.5</v>
      </c>
      <c r="G87" s="951">
        <f t="shared" si="7"/>
        <v>18.80000000000291</v>
      </c>
      <c r="H87" s="951">
        <f t="shared" si="8"/>
        <v>18.80000000000291</v>
      </c>
      <c r="I87" s="952"/>
      <c r="J87" s="953">
        <f>H87/DAY(B2)</f>
        <v>0.72307692307703497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182</v>
      </c>
      <c r="E88" s="842">
        <f>'25'!F88</f>
        <v>152855.96</v>
      </c>
      <c r="F88" s="950">
        <v>152878.01</v>
      </c>
      <c r="G88" s="951">
        <f t="shared" si="7"/>
        <v>22.050000000017462</v>
      </c>
      <c r="H88" s="951">
        <f t="shared" si="8"/>
        <v>22.050000000017462</v>
      </c>
      <c r="I88" s="952"/>
      <c r="J88" s="953">
        <f>H88/DAY(B2)</f>
        <v>0.84807692307759475</v>
      </c>
      <c r="K88" s="954"/>
      <c r="L88" s="955"/>
      <c r="N88" s="1014"/>
      <c r="O88" s="848"/>
    </row>
    <row r="89" spans="1:15" s="956" customFormat="1">
      <c r="A89" s="947" t="s">
        <v>203</v>
      </c>
      <c r="B89" s="948"/>
      <c r="C89" s="948"/>
      <c r="D89" s="949" t="s">
        <v>182</v>
      </c>
      <c r="E89" s="842">
        <f>'25'!F89</f>
        <v>65110</v>
      </c>
      <c r="F89" s="950">
        <v>65120.4</v>
      </c>
      <c r="G89" s="951">
        <f t="shared" si="7"/>
        <v>10.400000000001455</v>
      </c>
      <c r="H89" s="951">
        <f>G89</f>
        <v>10.400000000001455</v>
      </c>
      <c r="I89" s="952"/>
      <c r="J89" s="953">
        <f>H89/DAY(B2)</f>
        <v>0.40000000000005598</v>
      </c>
      <c r="K89" s="954"/>
      <c r="L89" s="955"/>
      <c r="N89" s="1020"/>
      <c r="O89" s="848"/>
    </row>
    <row r="90" spans="1:15" s="956" customFormat="1">
      <c r="A90" s="947" t="s">
        <v>203</v>
      </c>
      <c r="B90" s="948"/>
      <c r="C90" s="948"/>
      <c r="D90" s="949" t="s">
        <v>182</v>
      </c>
      <c r="E90" s="842">
        <f>'25'!F90</f>
        <v>3273.6</v>
      </c>
      <c r="F90" s="950">
        <v>3273.6</v>
      </c>
      <c r="G90" s="951">
        <f t="shared" si="7"/>
        <v>0</v>
      </c>
      <c r="H90" s="951">
        <f>G90</f>
        <v>0</v>
      </c>
      <c r="I90" s="952"/>
      <c r="J90" s="953">
        <f>H90/DAY(B2)</f>
        <v>0</v>
      </c>
      <c r="K90" s="954"/>
      <c r="L90" s="955"/>
      <c r="N90" s="1015"/>
      <c r="O90" s="848"/>
    </row>
    <row r="91" spans="1:15" s="738" customFormat="1" ht="29.25">
      <c r="A91" s="733" t="s">
        <v>361</v>
      </c>
      <c r="B91" s="734"/>
      <c r="C91" s="734"/>
      <c r="D91" s="735"/>
      <c r="E91" s="842">
        <f>'25'!F91</f>
        <v>27990</v>
      </c>
      <c r="F91" s="950">
        <v>28000.92</v>
      </c>
      <c r="G91" s="708">
        <f t="shared" si="7"/>
        <v>10.919999999998254</v>
      </c>
      <c r="H91" s="708">
        <f>G91</f>
        <v>10.919999999998254</v>
      </c>
      <c r="I91" s="655"/>
      <c r="J91" s="710"/>
      <c r="K91" s="736"/>
      <c r="L91" s="737"/>
      <c r="N91" s="780"/>
      <c r="O91" s="382"/>
    </row>
    <row r="92" spans="1:15" s="946" customFormat="1" ht="20.100000000000001" customHeight="1">
      <c r="A92" s="957" t="s">
        <v>204</v>
      </c>
      <c r="B92" s="836"/>
      <c r="C92" s="836"/>
      <c r="D92" s="836"/>
      <c r="E92" s="836"/>
      <c r="F92" s="836"/>
      <c r="G92" s="880"/>
      <c r="H92" s="836"/>
      <c r="I92" s="836"/>
      <c r="J92" s="837"/>
      <c r="K92" s="942"/>
      <c r="L92" s="945"/>
      <c r="N92" s="1013"/>
      <c r="O92" s="848"/>
    </row>
    <row r="93" spans="1:15" ht="20.100000000000001" customHeight="1">
      <c r="A93" s="1633" t="s">
        <v>205</v>
      </c>
      <c r="B93" s="1634"/>
      <c r="C93" s="1635"/>
      <c r="D93" s="841" t="s">
        <v>143</v>
      </c>
      <c r="E93" s="842">
        <f>'25'!F93</f>
        <v>245238</v>
      </c>
      <c r="F93" s="872">
        <v>245276</v>
      </c>
      <c r="G93" s="843">
        <f t="shared" ref="G93:G94" si="9">F93-E93</f>
        <v>38</v>
      </c>
      <c r="H93" s="844">
        <f>G93+'25'!H93</f>
        <v>852</v>
      </c>
      <c r="I93" s="863"/>
      <c r="J93" s="846">
        <f>H93/DAY(B2)</f>
        <v>32.769230769230766</v>
      </c>
      <c r="K93" s="869"/>
      <c r="L93" s="821"/>
      <c r="O93" s="848"/>
    </row>
    <row r="94" spans="1:15" ht="20.100000000000001" customHeight="1">
      <c r="A94" s="1633" t="s">
        <v>206</v>
      </c>
      <c r="B94" s="1634"/>
      <c r="C94" s="1635"/>
      <c r="D94" s="841" t="s">
        <v>143</v>
      </c>
      <c r="E94" s="842">
        <f>'25'!F94</f>
        <v>185617</v>
      </c>
      <c r="F94" s="872">
        <v>185696</v>
      </c>
      <c r="G94" s="843">
        <f t="shared" si="9"/>
        <v>79</v>
      </c>
      <c r="H94" s="844">
        <f>G94+'25'!H94</f>
        <v>2165</v>
      </c>
      <c r="I94" s="863"/>
      <c r="J94" s="846">
        <f>H94/DAY(B2)</f>
        <v>83.269230769230774</v>
      </c>
      <c r="K94" s="942"/>
      <c r="L94" s="821"/>
      <c r="O94" s="848"/>
    </row>
    <row r="95" spans="1:15" ht="20.100000000000001" customHeight="1">
      <c r="A95" s="1625" t="s">
        <v>207</v>
      </c>
      <c r="B95" s="1626"/>
      <c r="C95" s="1627"/>
      <c r="D95" s="841"/>
      <c r="E95" s="842">
        <f>'25'!F95</f>
        <v>0</v>
      </c>
      <c r="F95" s="872"/>
      <c r="G95" s="843">
        <f>G93+G94</f>
        <v>117</v>
      </c>
      <c r="H95" s="844">
        <f>G95+'25'!H95</f>
        <v>2870</v>
      </c>
      <c r="I95" s="863"/>
      <c r="J95" s="846">
        <f>H95/DAY(B2)</f>
        <v>110.38461538461539</v>
      </c>
      <c r="K95" s="942"/>
      <c r="L95" s="821"/>
      <c r="O95" s="848"/>
    </row>
    <row r="96" spans="1:15" ht="20.100000000000001" customHeight="1">
      <c r="A96" s="1633" t="s">
        <v>208</v>
      </c>
      <c r="B96" s="1634"/>
      <c r="C96" s="1635"/>
      <c r="D96" s="841" t="s">
        <v>143</v>
      </c>
      <c r="E96" s="842">
        <f>'25'!F96</f>
        <v>414002</v>
      </c>
      <c r="F96" s="872">
        <v>414045</v>
      </c>
      <c r="G96" s="843">
        <f t="shared" ref="G96:G101" si="10">F96-E96</f>
        <v>43</v>
      </c>
      <c r="H96" s="844">
        <f>G96+'25'!H96</f>
        <v>1159</v>
      </c>
      <c r="I96" s="863"/>
      <c r="J96" s="846">
        <f>H96/DAY(B2)</f>
        <v>44.57692307692308</v>
      </c>
      <c r="K96" s="942"/>
      <c r="L96" s="821"/>
      <c r="O96" s="848"/>
    </row>
    <row r="97" spans="1:15" ht="20.100000000000001" customHeight="1">
      <c r="A97" s="870" t="s">
        <v>209</v>
      </c>
      <c r="B97" s="871"/>
      <c r="C97" s="871"/>
      <c r="D97" s="841" t="s">
        <v>143</v>
      </c>
      <c r="E97" s="842">
        <f>'25'!F97</f>
        <v>102587</v>
      </c>
      <c r="F97" s="872">
        <v>102596</v>
      </c>
      <c r="G97" s="843">
        <f t="shared" si="10"/>
        <v>9</v>
      </c>
      <c r="H97" s="844">
        <f>G97+'25'!H97</f>
        <v>253</v>
      </c>
      <c r="I97" s="863"/>
      <c r="J97" s="846">
        <f>H97/DAY(B2)</f>
        <v>9.7307692307692299</v>
      </c>
      <c r="K97" s="838"/>
      <c r="L97" s="821"/>
      <c r="O97" s="848"/>
    </row>
    <row r="98" spans="1:15" ht="20.100000000000001" customHeight="1">
      <c r="A98" s="870" t="s">
        <v>210</v>
      </c>
      <c r="B98" s="871"/>
      <c r="C98" s="871"/>
      <c r="D98" s="841" t="s">
        <v>143</v>
      </c>
      <c r="E98" s="842">
        <f>'25'!F98</f>
        <v>97809</v>
      </c>
      <c r="F98" s="872">
        <v>97827</v>
      </c>
      <c r="G98" s="843">
        <f t="shared" si="10"/>
        <v>18</v>
      </c>
      <c r="H98" s="844">
        <f>G98+'25'!H98</f>
        <v>400</v>
      </c>
      <c r="I98" s="863"/>
      <c r="J98" s="846">
        <f>H98/DAY(B2)</f>
        <v>15.384615384615385</v>
      </c>
      <c r="K98" s="958"/>
      <c r="L98" s="821"/>
      <c r="O98" s="848"/>
    </row>
    <row r="99" spans="1:15" ht="20.100000000000001" customHeight="1">
      <c r="A99" s="870" t="s">
        <v>211</v>
      </c>
      <c r="B99" s="871"/>
      <c r="C99" s="871"/>
      <c r="D99" s="841" t="s">
        <v>143</v>
      </c>
      <c r="E99" s="842">
        <f>'25'!F99</f>
        <v>149825</v>
      </c>
      <c r="F99" s="872">
        <v>149830</v>
      </c>
      <c r="G99" s="843">
        <f t="shared" si="10"/>
        <v>5</v>
      </c>
      <c r="H99" s="844">
        <f>G99+'25'!H99</f>
        <v>297</v>
      </c>
      <c r="I99" s="863"/>
      <c r="J99" s="846">
        <f>H99/DAY(B2)</f>
        <v>11.423076923076923</v>
      </c>
      <c r="K99" s="942"/>
      <c r="L99" s="821"/>
      <c r="O99" s="848"/>
    </row>
    <row r="100" spans="1:15" ht="20.100000000000001" customHeight="1">
      <c r="A100" s="870" t="s">
        <v>212</v>
      </c>
      <c r="B100" s="871"/>
      <c r="C100" s="871"/>
      <c r="D100" s="841" t="s">
        <v>143</v>
      </c>
      <c r="E100" s="842">
        <f>'25'!F100</f>
        <v>7334</v>
      </c>
      <c r="F100" s="872">
        <v>7338</v>
      </c>
      <c r="G100" s="843">
        <f t="shared" si="10"/>
        <v>4</v>
      </c>
      <c r="H100" s="844">
        <f>G100+'25'!H100</f>
        <v>153</v>
      </c>
      <c r="I100" s="863"/>
      <c r="J100" s="846">
        <f>H100/DAY(B2)</f>
        <v>5.884615384615385</v>
      </c>
      <c r="K100" s="942"/>
      <c r="L100" s="821"/>
      <c r="O100" s="848"/>
    </row>
    <row r="101" spans="1:15" ht="20.100000000000001" customHeight="1">
      <c r="A101" s="870" t="s">
        <v>213</v>
      </c>
      <c r="B101" s="871"/>
      <c r="C101" s="871"/>
      <c r="D101" s="841" t="s">
        <v>143</v>
      </c>
      <c r="E101" s="842">
        <f>'25'!F101</f>
        <v>5341</v>
      </c>
      <c r="F101" s="872">
        <v>5347</v>
      </c>
      <c r="G101" s="843">
        <f t="shared" si="10"/>
        <v>6</v>
      </c>
      <c r="H101" s="844">
        <f>G101+'25'!H101</f>
        <v>209</v>
      </c>
      <c r="I101" s="863"/>
      <c r="J101" s="846">
        <f>H101/DAY(B2)</f>
        <v>8.0384615384615383</v>
      </c>
      <c r="K101" s="942"/>
      <c r="L101" s="821"/>
      <c r="O101" s="848"/>
    </row>
    <row r="102" spans="1:15" ht="20.100000000000001" customHeight="1">
      <c r="A102" s="1625" t="s">
        <v>215</v>
      </c>
      <c r="B102" s="1626"/>
      <c r="C102" s="1627"/>
      <c r="D102" s="875"/>
      <c r="E102" s="875"/>
      <c r="F102" s="875"/>
      <c r="G102" s="959">
        <f>SUM(G96:G101)</f>
        <v>85</v>
      </c>
      <c r="H102" s="844">
        <f>G102+'25'!H102</f>
        <v>2471</v>
      </c>
      <c r="I102" s="960"/>
      <c r="J102" s="846">
        <f>H102/DAY(B2)</f>
        <v>95.038461538461533</v>
      </c>
      <c r="K102" s="942"/>
      <c r="L102" s="821"/>
      <c r="O102" s="848"/>
    </row>
    <row r="103" spans="1:15" s="893" customFormat="1" ht="25.5" customHeight="1">
      <c r="A103" s="961" t="s">
        <v>216</v>
      </c>
      <c r="B103" s="962"/>
      <c r="C103" s="962"/>
      <c r="D103" s="963"/>
      <c r="E103" s="964"/>
      <c r="F103" s="965"/>
      <c r="G103" s="966"/>
      <c r="H103" s="967"/>
      <c r="I103" s="968"/>
      <c r="J103" s="969"/>
      <c r="N103" s="1011"/>
      <c r="O103" s="848"/>
    </row>
    <row r="104" spans="1:15" s="893" customFormat="1" ht="21.75" customHeight="1">
      <c r="A104" s="1622" t="s">
        <v>217</v>
      </c>
      <c r="B104" s="1623"/>
      <c r="C104" s="970"/>
      <c r="D104" s="971"/>
      <c r="E104" s="972"/>
      <c r="F104" s="972"/>
      <c r="G104" s="972"/>
      <c r="H104" s="973"/>
      <c r="I104" s="972"/>
      <c r="J104" s="974"/>
      <c r="N104" s="1011"/>
      <c r="O104" s="848"/>
    </row>
    <row r="105" spans="1:15" s="893" customFormat="1" ht="21.75" customHeight="1">
      <c r="A105" s="1616" t="s">
        <v>218</v>
      </c>
      <c r="B105" s="1617"/>
      <c r="C105" s="975"/>
      <c r="D105" s="971" t="s">
        <v>143</v>
      </c>
      <c r="E105" s="972">
        <f>'25'!F105</f>
        <v>7484</v>
      </c>
      <c r="F105" s="972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2.1923076923076925</v>
      </c>
      <c r="N105" s="1011"/>
      <c r="O105" s="848"/>
    </row>
    <row r="106" spans="1:15" s="893" customFormat="1" ht="21.75" customHeight="1">
      <c r="A106" s="1616" t="s">
        <v>77</v>
      </c>
      <c r="B106" s="1617"/>
      <c r="C106" s="975"/>
      <c r="D106" s="971" t="s">
        <v>143</v>
      </c>
      <c r="E106" s="972">
        <f>'25'!F106</f>
        <v>35923</v>
      </c>
      <c r="F106" s="976">
        <v>35924</v>
      </c>
      <c r="G106" s="972">
        <f t="shared" ref="G106:G107" si="11">F106-E106</f>
        <v>1</v>
      </c>
      <c r="H106" s="973">
        <f>SUM(G106+'1'!G77)</f>
        <v>51</v>
      </c>
      <c r="I106" s="972"/>
      <c r="J106" s="974">
        <f>H106/DAY(B2)</f>
        <v>1.9615384615384615</v>
      </c>
      <c r="N106" s="1011"/>
      <c r="O106" s="848"/>
    </row>
    <row r="107" spans="1:15" s="893" customFormat="1" ht="21.75" customHeight="1">
      <c r="A107" s="1616" t="s">
        <v>78</v>
      </c>
      <c r="B107" s="1624"/>
      <c r="C107" s="1617"/>
      <c r="D107" s="971" t="s">
        <v>143</v>
      </c>
      <c r="E107" s="972">
        <f>'25'!F107</f>
        <v>19685</v>
      </c>
      <c r="F107" s="972">
        <v>19692</v>
      </c>
      <c r="G107" s="972">
        <f t="shared" si="11"/>
        <v>7</v>
      </c>
      <c r="H107" s="973">
        <f>SUM(G107+'1'!G78)</f>
        <v>131</v>
      </c>
      <c r="I107" s="972"/>
      <c r="J107" s="974">
        <f>H107/DAY(B2)</f>
        <v>5.0384615384615383</v>
      </c>
      <c r="N107" s="1011"/>
      <c r="O107" s="848"/>
    </row>
    <row r="108" spans="1:15" s="893" customFormat="1" ht="21.75" customHeight="1">
      <c r="A108" s="1618" t="s">
        <v>201</v>
      </c>
      <c r="B108" s="1619"/>
      <c r="C108" s="975"/>
      <c r="D108" s="971"/>
      <c r="E108" s="972">
        <f>'25'!F108</f>
        <v>0</v>
      </c>
      <c r="F108" s="972"/>
      <c r="G108" s="972">
        <f>SUM(G105:G107)</f>
        <v>8</v>
      </c>
      <c r="H108" s="973">
        <f>SUM(G108+'1'!G79)</f>
        <v>197</v>
      </c>
      <c r="I108" s="972"/>
      <c r="J108" s="974">
        <f>H108/DAY(B2)</f>
        <v>7.5769230769230766</v>
      </c>
      <c r="N108" s="1011"/>
      <c r="O108" s="848"/>
    </row>
    <row r="109" spans="1:15" s="893" customFormat="1" ht="21.75" customHeight="1">
      <c r="A109" s="1614" t="s">
        <v>79</v>
      </c>
      <c r="B109" s="1615"/>
      <c r="C109" s="975"/>
      <c r="D109" s="971" t="s">
        <v>143</v>
      </c>
      <c r="E109" s="972">
        <f>'25'!F109</f>
        <v>0</v>
      </c>
      <c r="F109" s="972"/>
      <c r="G109" s="972"/>
      <c r="H109" s="973"/>
      <c r="I109" s="972"/>
      <c r="J109" s="974"/>
      <c r="N109" s="1011"/>
      <c r="O109" s="848"/>
    </row>
    <row r="110" spans="1:15" s="893" customFormat="1" ht="21.75" customHeight="1">
      <c r="A110" s="1616" t="s">
        <v>219</v>
      </c>
      <c r="B110" s="1617"/>
      <c r="C110" s="975"/>
      <c r="D110" s="971" t="s">
        <v>143</v>
      </c>
      <c r="E110" s="972">
        <f>'25'!F110</f>
        <v>62420</v>
      </c>
      <c r="F110" s="972">
        <v>62518</v>
      </c>
      <c r="G110" s="972">
        <f>F110-E110</f>
        <v>98</v>
      </c>
      <c r="H110" s="973">
        <f>SUM(G110+'1'!G81)</f>
        <v>179</v>
      </c>
      <c r="I110" s="972"/>
      <c r="J110" s="974">
        <f>H110/DAY(B2)</f>
        <v>6.884615384615385</v>
      </c>
      <c r="N110" s="1011"/>
      <c r="O110" s="848"/>
    </row>
    <row r="111" spans="1:15" s="893" customFormat="1" ht="21.75" customHeight="1">
      <c r="A111" s="1616" t="s">
        <v>220</v>
      </c>
      <c r="B111" s="1617"/>
      <c r="C111" s="975"/>
      <c r="D111" s="971" t="s">
        <v>143</v>
      </c>
      <c r="E111" s="972">
        <f>'25'!F111</f>
        <v>32518</v>
      </c>
      <c r="F111" s="972">
        <v>32542</v>
      </c>
      <c r="G111" s="972">
        <f t="shared" ref="G111:G112" si="12">F111-E111</f>
        <v>24</v>
      </c>
      <c r="H111" s="973">
        <f>SUM(G111+'1'!G82)</f>
        <v>36</v>
      </c>
      <c r="I111" s="972"/>
      <c r="J111" s="974">
        <f>H111/DAY(B2)</f>
        <v>1.3846153846153846</v>
      </c>
      <c r="N111" s="1011"/>
      <c r="O111" s="848"/>
    </row>
    <row r="112" spans="1:15" s="893" customFormat="1" ht="21.75" customHeight="1">
      <c r="A112" s="1616" t="s">
        <v>221</v>
      </c>
      <c r="B112" s="1617"/>
      <c r="C112" s="975"/>
      <c r="D112" s="971" t="s">
        <v>143</v>
      </c>
      <c r="E112" s="972">
        <f>'25'!F112</f>
        <v>4543</v>
      </c>
      <c r="F112" s="972">
        <v>4543</v>
      </c>
      <c r="G112" s="972">
        <f t="shared" si="12"/>
        <v>0</v>
      </c>
      <c r="H112" s="973">
        <f>SUM(G112+'1'!G83)</f>
        <v>255</v>
      </c>
      <c r="I112" s="972"/>
      <c r="J112" s="974">
        <f>H112/DAY(B2)</f>
        <v>9.8076923076923084</v>
      </c>
      <c r="N112" s="1011"/>
      <c r="O112" s="848"/>
    </row>
    <row r="113" spans="1:15" s="893" customFormat="1" ht="21.75" customHeight="1">
      <c r="A113" s="1620" t="s">
        <v>110</v>
      </c>
      <c r="B113" s="1621"/>
      <c r="C113" s="975"/>
      <c r="D113" s="971"/>
      <c r="E113" s="972">
        <f>'25'!F113</f>
        <v>0</v>
      </c>
      <c r="F113" s="972"/>
      <c r="G113" s="972">
        <f>SUM(G110:G112)</f>
        <v>122</v>
      </c>
      <c r="H113" s="973">
        <f>SUM(G113+'1'!G84)</f>
        <v>837</v>
      </c>
      <c r="I113" s="972"/>
      <c r="J113" s="974">
        <f>H113/DAY(B2)</f>
        <v>32.192307692307693</v>
      </c>
      <c r="N113" s="1011"/>
      <c r="O113" s="848"/>
    </row>
    <row r="114" spans="1:15" s="893" customFormat="1" ht="21.75" customHeight="1">
      <c r="A114" s="1614" t="s">
        <v>222</v>
      </c>
      <c r="B114" s="1615"/>
      <c r="C114" s="975"/>
      <c r="D114" s="971"/>
      <c r="E114" s="972">
        <f>'25'!F114</f>
        <v>0</v>
      </c>
      <c r="F114" s="972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 ht="21.75" customHeight="1">
      <c r="A115" s="1616" t="s">
        <v>223</v>
      </c>
      <c r="B115" s="1617"/>
      <c r="C115" s="977"/>
      <c r="D115" s="971" t="s">
        <v>143</v>
      </c>
      <c r="E115" s="972">
        <f>'25'!F115</f>
        <v>11452</v>
      </c>
      <c r="F115" s="976">
        <v>11457</v>
      </c>
      <c r="G115" s="976">
        <f>F115-E115</f>
        <v>5</v>
      </c>
      <c r="H115" s="973">
        <f>SUM(G115+'1'!G92)</f>
        <v>5</v>
      </c>
      <c r="I115" s="972"/>
      <c r="J115" s="974">
        <f>H115/DAY(B2)</f>
        <v>0.19230769230769232</v>
      </c>
      <c r="N115" s="1011"/>
      <c r="O115" s="848"/>
    </row>
    <row r="116" spans="1:15" s="893" customFormat="1" ht="21.75" customHeight="1">
      <c r="A116" s="1616" t="s">
        <v>224</v>
      </c>
      <c r="B116" s="1617"/>
      <c r="C116" s="977"/>
      <c r="D116" s="971" t="s">
        <v>143</v>
      </c>
      <c r="E116" s="972">
        <f>'25'!F116</f>
        <v>8273</v>
      </c>
      <c r="F116" s="976">
        <v>8279</v>
      </c>
      <c r="G116" s="976">
        <f t="shared" ref="G116:G117" si="13">F116-E116</f>
        <v>6</v>
      </c>
      <c r="H116" s="973">
        <f>SUM(G116+'1'!G93)</f>
        <v>58</v>
      </c>
      <c r="I116" s="972"/>
      <c r="J116" s="974">
        <f>H116/DAY(B2)</f>
        <v>2.2307692307692308</v>
      </c>
      <c r="N116" s="1011"/>
      <c r="O116" s="848"/>
    </row>
    <row r="117" spans="1:15" s="893" customFormat="1" ht="21.75" customHeight="1">
      <c r="A117" s="1616" t="s">
        <v>225</v>
      </c>
      <c r="B117" s="1617"/>
      <c r="C117" s="977"/>
      <c r="D117" s="971" t="s">
        <v>143</v>
      </c>
      <c r="E117" s="976"/>
      <c r="F117" s="976"/>
      <c r="G117" s="976">
        <f t="shared" si="13"/>
        <v>0</v>
      </c>
      <c r="H117" s="973">
        <f>SUM(G117+'1'!G94)</f>
        <v>95</v>
      </c>
      <c r="I117" s="972"/>
      <c r="J117" s="974">
        <f>H117/DAY(B2)</f>
        <v>3.6538461538461537</v>
      </c>
      <c r="N117" s="1011"/>
      <c r="O117" s="848"/>
    </row>
    <row r="118" spans="1:15" s="979" customFormat="1">
      <c r="A118" s="1618" t="s">
        <v>201</v>
      </c>
      <c r="B118" s="1619"/>
      <c r="C118" s="977"/>
      <c r="D118" s="978"/>
      <c r="E118" s="976"/>
      <c r="F118" s="976"/>
      <c r="G118" s="976">
        <f>SUM(G115:G117)</f>
        <v>11</v>
      </c>
      <c r="H118" s="973">
        <f>SUM(G118+'1'!G96)</f>
        <v>83</v>
      </c>
      <c r="I118" s="976"/>
      <c r="J118" s="974">
        <f>H118/DAY(B2)</f>
        <v>3.1923076923076925</v>
      </c>
      <c r="N118" s="1016"/>
      <c r="O118" s="848"/>
    </row>
    <row r="119" spans="1:15" s="771" customFormat="1">
      <c r="A119" s="1610" t="s">
        <v>226</v>
      </c>
      <c r="B119" s="1611"/>
      <c r="C119" s="980"/>
      <c r="D119" s="981" t="s">
        <v>143</v>
      </c>
      <c r="E119" s="982"/>
      <c r="F119" s="983"/>
      <c r="G119" s="983">
        <f>SUM(G19+G93)</f>
        <v>91</v>
      </c>
      <c r="H119" s="973">
        <f>SUM(G119+'1'!G97)</f>
        <v>103</v>
      </c>
      <c r="I119" s="982"/>
      <c r="J119" s="984">
        <f>H119/DAY(B2)</f>
        <v>3.9615384615384617</v>
      </c>
      <c r="N119" s="1017"/>
      <c r="O119" s="848"/>
    </row>
    <row r="120" spans="1:15" s="771" customFormat="1">
      <c r="A120" s="1610" t="s">
        <v>227</v>
      </c>
      <c r="B120" s="1611"/>
      <c r="C120" s="980"/>
      <c r="D120" s="981" t="s">
        <v>143</v>
      </c>
      <c r="E120" s="982"/>
      <c r="F120" s="983"/>
      <c r="G120" s="983">
        <f>SUM(G96,G97,G98,G100,G101)</f>
        <v>80</v>
      </c>
      <c r="H120" s="973">
        <f>SUM(G120+'1'!G99)</f>
        <v>85</v>
      </c>
      <c r="I120" s="982"/>
      <c r="J120" s="984">
        <f>H120/DAY(B2)</f>
        <v>3.2692307692307692</v>
      </c>
      <c r="N120" s="1017"/>
      <c r="O120" s="848"/>
    </row>
    <row r="121" spans="1:15" s="771" customFormat="1">
      <c r="A121" s="1610" t="s">
        <v>228</v>
      </c>
      <c r="B121" s="1611"/>
      <c r="C121" s="980"/>
      <c r="D121" s="981" t="s">
        <v>143</v>
      </c>
      <c r="E121" s="982"/>
      <c r="F121" s="976"/>
      <c r="G121" s="976">
        <f>SUM(G113)</f>
        <v>122</v>
      </c>
      <c r="H121" s="973">
        <f>SUM(G121+'1'!G101)</f>
        <v>128</v>
      </c>
      <c r="I121" s="982"/>
      <c r="J121" s="984">
        <f>H121/DAY(B2)</f>
        <v>4.9230769230769234</v>
      </c>
      <c r="N121" s="1017"/>
      <c r="O121" s="848"/>
    </row>
    <row r="122" spans="1:15" s="893" customFormat="1" ht="18.75" customHeight="1">
      <c r="A122" s="1612"/>
      <c r="B122" s="1613"/>
      <c r="C122" s="975"/>
      <c r="D122" s="970"/>
      <c r="E122" s="970"/>
      <c r="F122" s="970"/>
      <c r="G122" s="970"/>
      <c r="H122" s="985"/>
      <c r="I122" s="970"/>
      <c r="J122" s="986"/>
      <c r="N122" s="1011"/>
      <c r="O122" s="848"/>
    </row>
    <row r="123" spans="1:15" ht="20.100000000000001" customHeight="1">
      <c r="A123" s="1628" t="s">
        <v>229</v>
      </c>
      <c r="B123" s="1629"/>
      <c r="C123" s="1630"/>
      <c r="D123" s="836"/>
      <c r="E123" s="836"/>
      <c r="F123" s="836"/>
      <c r="G123" s="868"/>
      <c r="H123" s="868"/>
      <c r="I123" s="868"/>
      <c r="J123" s="987"/>
      <c r="K123" s="942"/>
      <c r="L123" s="821"/>
      <c r="O123" s="848"/>
    </row>
    <row r="124" spans="1:15" ht="22.5" customHeight="1">
      <c r="A124" s="870" t="s">
        <v>230</v>
      </c>
      <c r="B124" s="871"/>
      <c r="C124" s="871"/>
      <c r="D124" s="841" t="s">
        <v>140</v>
      </c>
      <c r="E124" s="842">
        <f>'25'!F124</f>
        <v>831165.4</v>
      </c>
      <c r="F124" s="860">
        <v>831372.91</v>
      </c>
      <c r="G124" s="843">
        <f t="shared" ref="G124:G128" si="14">F124-E124</f>
        <v>207.51000000000931</v>
      </c>
      <c r="H124" s="844">
        <f>G124+'25'!H124</f>
        <v>5284.4500000000698</v>
      </c>
      <c r="I124" s="960"/>
      <c r="J124" s="846">
        <f>H124/DAY(B2)</f>
        <v>203.24807692307962</v>
      </c>
      <c r="K124" s="942"/>
      <c r="L124" s="821"/>
      <c r="O124" s="848"/>
    </row>
    <row r="125" spans="1:15" ht="22.5" customHeight="1">
      <c r="A125" s="870" t="s">
        <v>231</v>
      </c>
      <c r="B125" s="871"/>
      <c r="C125" s="871"/>
      <c r="D125" s="841" t="s">
        <v>140</v>
      </c>
      <c r="E125" s="842">
        <f>'25'!F125</f>
        <v>73583.399999999994</v>
      </c>
      <c r="F125" s="988">
        <v>73583.399999999994</v>
      </c>
      <c r="G125" s="843">
        <f t="shared" si="14"/>
        <v>0</v>
      </c>
      <c r="H125" s="844">
        <f>G125+'25'!H125</f>
        <v>0</v>
      </c>
      <c r="I125" s="960"/>
      <c r="J125" s="846">
        <f>H125/DAY(B2)</f>
        <v>0</v>
      </c>
      <c r="K125" s="942"/>
      <c r="L125" s="821"/>
      <c r="O125" s="848"/>
    </row>
    <row r="126" spans="1:15" ht="22.5" customHeight="1">
      <c r="A126" s="1639" t="s">
        <v>232</v>
      </c>
      <c r="B126" s="1640"/>
      <c r="C126" s="1641"/>
      <c r="D126" s="841" t="s">
        <v>140</v>
      </c>
      <c r="E126" s="842">
        <f>'25'!F126</f>
        <v>146111.75</v>
      </c>
      <c r="F126" s="860">
        <v>146182.97</v>
      </c>
      <c r="G126" s="843">
        <f t="shared" si="14"/>
        <v>71.220000000001164</v>
      </c>
      <c r="H126" s="844">
        <f>G126+'25'!H126</f>
        <v>1495.5299999999988</v>
      </c>
      <c r="I126" s="960"/>
      <c r="J126" s="846">
        <f>H126/DAY(B2)</f>
        <v>57.520384615384572</v>
      </c>
      <c r="K126" s="942"/>
      <c r="L126" s="821"/>
      <c r="O126" s="848"/>
    </row>
    <row r="127" spans="1:15" ht="20.100000000000001" customHeight="1">
      <c r="A127" s="989" t="s">
        <v>233</v>
      </c>
      <c r="B127" s="871"/>
      <c r="C127" s="871"/>
      <c r="D127" s="841" t="s">
        <v>140</v>
      </c>
      <c r="E127" s="842">
        <f>'25'!F127</f>
        <v>31404.2</v>
      </c>
      <c r="F127" s="988">
        <v>31404.2</v>
      </c>
      <c r="G127" s="843">
        <f t="shared" si="14"/>
        <v>0</v>
      </c>
      <c r="H127" s="844">
        <f>G127+'25'!H127</f>
        <v>0.2000000000007276</v>
      </c>
      <c r="I127" s="960"/>
      <c r="J127" s="846">
        <f>H127/DAY(B2)</f>
        <v>7.6923076923356764E-3</v>
      </c>
      <c r="K127" s="942"/>
      <c r="L127" s="821"/>
      <c r="O127" s="848"/>
    </row>
    <row r="128" spans="1:15" ht="20.100000000000001" customHeight="1">
      <c r="A128" s="989" t="s">
        <v>234</v>
      </c>
      <c r="B128" s="871"/>
      <c r="C128" s="871"/>
      <c r="D128" s="841" t="s">
        <v>140</v>
      </c>
      <c r="E128" s="842">
        <f>'25'!F128</f>
        <v>8970.6</v>
      </c>
      <c r="F128" s="988">
        <v>8970.6</v>
      </c>
      <c r="G128" s="843">
        <f t="shared" si="14"/>
        <v>0</v>
      </c>
      <c r="H128" s="844">
        <f>G128+'25'!H128</f>
        <v>0.8999999999996362</v>
      </c>
      <c r="I128" s="863"/>
      <c r="J128" s="846">
        <f>H128/DAY(B2)</f>
        <v>3.4615384615370622E-2</v>
      </c>
      <c r="K128" s="942"/>
      <c r="L128" s="821"/>
      <c r="O128" s="848"/>
    </row>
    <row r="129" spans="1:15" ht="21.75" customHeight="1">
      <c r="A129" s="989" t="s">
        <v>235</v>
      </c>
      <c r="B129" s="871"/>
      <c r="C129" s="871"/>
      <c r="D129" s="841"/>
      <c r="E129" s="842"/>
      <c r="F129" s="860"/>
      <c r="G129" s="843">
        <f>G15-SUM(G124:G128)</f>
        <v>95.350999999995111</v>
      </c>
      <c r="H129" s="844">
        <f>G129+'25'!H129</f>
        <v>2017.3199999999651</v>
      </c>
      <c r="I129" s="863"/>
      <c r="J129" s="846">
        <f>H129/DAY(B2)</f>
        <v>77.589230769229431</v>
      </c>
      <c r="K129" s="942"/>
      <c r="L129" s="821"/>
      <c r="O129" s="848"/>
    </row>
    <row r="130" spans="1:15">
      <c r="A130" s="990" t="s">
        <v>236</v>
      </c>
      <c r="B130" s="835"/>
      <c r="C130" s="835"/>
      <c r="D130" s="835"/>
      <c r="E130" s="835"/>
      <c r="F130" s="835"/>
      <c r="G130" s="991"/>
      <c r="H130" s="991"/>
      <c r="I130" s="991"/>
      <c r="J130" s="992"/>
      <c r="O130" s="848"/>
    </row>
    <row r="131" spans="1:15">
      <c r="A131" s="870" t="s">
        <v>237</v>
      </c>
      <c r="B131" s="871"/>
      <c r="C131" s="871"/>
      <c r="D131" s="841" t="s">
        <v>238</v>
      </c>
      <c r="E131" s="842">
        <f>'25'!F131</f>
        <v>0</v>
      </c>
      <c r="F131" s="872">
        <v>0</v>
      </c>
      <c r="G131" s="843">
        <f t="shared" ref="G131:G141" si="15">F131-E131</f>
        <v>0</v>
      </c>
      <c r="H131" s="844">
        <f>G131+'25'!H131</f>
        <v>0</v>
      </c>
      <c r="I131" s="863"/>
      <c r="J131" s="846">
        <f>H131/DAY(B2)</f>
        <v>0</v>
      </c>
      <c r="O131" s="848"/>
    </row>
    <row r="132" spans="1:15">
      <c r="A132" s="870" t="s">
        <v>239</v>
      </c>
      <c r="B132" s="871"/>
      <c r="C132" s="871"/>
      <c r="D132" s="841" t="s">
        <v>238</v>
      </c>
      <c r="E132" s="842">
        <f>'25'!F132</f>
        <v>0</v>
      </c>
      <c r="F132" s="872">
        <v>0</v>
      </c>
      <c r="G132" s="843">
        <f t="shared" si="15"/>
        <v>0</v>
      </c>
      <c r="H132" s="844">
        <f>G132+'25'!H132</f>
        <v>0</v>
      </c>
      <c r="I132" s="863"/>
      <c r="J132" s="846">
        <f>H132/DAY(B2)</f>
        <v>0</v>
      </c>
      <c r="O132" s="848"/>
    </row>
    <row r="133" spans="1:15">
      <c r="A133" s="870" t="s">
        <v>240</v>
      </c>
      <c r="B133" s="871"/>
      <c r="C133" s="871"/>
      <c r="D133" s="841" t="s">
        <v>238</v>
      </c>
      <c r="E133" s="842">
        <f>'25'!F133</f>
        <v>40059.1</v>
      </c>
      <c r="F133" s="993">
        <v>40059.1</v>
      </c>
      <c r="G133" s="843">
        <f t="shared" si="15"/>
        <v>0</v>
      </c>
      <c r="H133" s="844">
        <f>G133+'25'!H133</f>
        <v>312.61999999999534</v>
      </c>
      <c r="I133" s="863"/>
      <c r="J133" s="846">
        <f>H133/DAY(B2)</f>
        <v>12.023846153845975</v>
      </c>
      <c r="O133" s="848"/>
    </row>
    <row r="134" spans="1:15">
      <c r="A134" s="870" t="s">
        <v>241</v>
      </c>
      <c r="B134" s="871"/>
      <c r="C134" s="871"/>
      <c r="D134" s="841" t="s">
        <v>238</v>
      </c>
      <c r="E134" s="842">
        <f>'25'!F134</f>
        <v>300</v>
      </c>
      <c r="F134" s="993">
        <v>300</v>
      </c>
      <c r="G134" s="843">
        <f t="shared" si="15"/>
        <v>0</v>
      </c>
      <c r="H134" s="844">
        <f>G134+'25'!H134</f>
        <v>0</v>
      </c>
      <c r="I134" s="863">
        <f>G131+G132+G133+G134</f>
        <v>0</v>
      </c>
      <c r="J134" s="846">
        <f>H134/DAY(B2)</f>
        <v>0</v>
      </c>
      <c r="O134" s="848"/>
    </row>
    <row r="135" spans="1:15">
      <c r="A135" s="870" t="s">
        <v>242</v>
      </c>
      <c r="B135" s="871"/>
      <c r="C135" s="871"/>
      <c r="D135" s="841" t="s">
        <v>238</v>
      </c>
      <c r="E135" s="842">
        <f>'25'!F135+21</f>
        <v>41706.300000000003</v>
      </c>
      <c r="F135" s="993">
        <v>41730.339999999997</v>
      </c>
      <c r="G135" s="843">
        <f t="shared" si="15"/>
        <v>24.039999999993597</v>
      </c>
      <c r="H135" s="844">
        <f>G135+'25'!H135</f>
        <v>71.94999999999709</v>
      </c>
      <c r="I135" s="863"/>
      <c r="J135" s="846">
        <f>H135/DAY(B2)</f>
        <v>2.7673076923075803</v>
      </c>
      <c r="O135" s="848"/>
    </row>
    <row r="136" spans="1:15">
      <c r="A136" s="870" t="s">
        <v>243</v>
      </c>
      <c r="B136" s="871"/>
      <c r="C136" s="871"/>
      <c r="D136" s="841" t="s">
        <v>238</v>
      </c>
      <c r="E136" s="842">
        <f>'25'!F136</f>
        <v>32582.93</v>
      </c>
      <c r="F136" s="993">
        <v>32595</v>
      </c>
      <c r="G136" s="843">
        <f t="shared" si="15"/>
        <v>12.069999999999709</v>
      </c>
      <c r="H136" s="844">
        <f>G136+'25'!H136</f>
        <v>25.069999999999709</v>
      </c>
      <c r="I136" s="863"/>
      <c r="J136" s="846">
        <f>H136/DAY(B2)</f>
        <v>0.96423076923075801</v>
      </c>
      <c r="O136" s="848"/>
    </row>
    <row r="137" spans="1:15">
      <c r="A137" s="870" t="s">
        <v>244</v>
      </c>
      <c r="B137" s="871"/>
      <c r="C137" s="871"/>
      <c r="D137" s="841" t="s">
        <v>238</v>
      </c>
      <c r="E137" s="842">
        <f>'25'!F137</f>
        <v>22791.35</v>
      </c>
      <c r="F137" s="993">
        <v>22791.360000000001</v>
      </c>
      <c r="G137" s="843">
        <f t="shared" si="15"/>
        <v>1.0000000002037268E-2</v>
      </c>
      <c r="H137" s="844">
        <f>G137+'25'!H137</f>
        <v>51.770000000000437</v>
      </c>
      <c r="I137" s="863">
        <f>G135+G136+G137</f>
        <v>36.119999999995343</v>
      </c>
      <c r="J137" s="846">
        <f>H137/DAY(B2)</f>
        <v>1.9911538461538629</v>
      </c>
      <c r="O137" s="848"/>
    </row>
    <row r="138" spans="1:15">
      <c r="A138" s="870" t="s">
        <v>245</v>
      </c>
      <c r="B138" s="871"/>
      <c r="C138" s="871"/>
      <c r="D138" s="841" t="s">
        <v>238</v>
      </c>
      <c r="E138" s="842">
        <f>'25'!F138</f>
        <v>25051.73</v>
      </c>
      <c r="F138" s="993">
        <v>25051.72</v>
      </c>
      <c r="G138" s="843">
        <f t="shared" si="15"/>
        <v>-9.9999999983992893E-3</v>
      </c>
      <c r="H138" s="844">
        <f>G138+'25'!H138</f>
        <v>8</v>
      </c>
      <c r="I138" s="863"/>
      <c r="J138" s="846">
        <f>H138/DAY(B2)</f>
        <v>0.30769230769230771</v>
      </c>
      <c r="O138" s="848"/>
    </row>
    <row r="139" spans="1:15">
      <c r="A139" s="870" t="s">
        <v>246</v>
      </c>
      <c r="B139" s="871"/>
      <c r="C139" s="871"/>
      <c r="D139" s="841" t="s">
        <v>238</v>
      </c>
      <c r="E139" s="842">
        <f>'25'!F139</f>
        <v>70389.350000000006</v>
      </c>
      <c r="F139" s="993">
        <v>70392.179999999993</v>
      </c>
      <c r="G139" s="843">
        <f t="shared" si="15"/>
        <v>2.8299999999871943</v>
      </c>
      <c r="H139" s="844">
        <f>G139+'25'!H139</f>
        <v>28.079999999987194</v>
      </c>
      <c r="I139" s="863">
        <f>G138+G139</f>
        <v>2.819999999988795</v>
      </c>
      <c r="J139" s="846">
        <f>H139/DAY(B2)</f>
        <v>1.0799999999995076</v>
      </c>
      <c r="O139" s="848"/>
    </row>
    <row r="140" spans="1:15">
      <c r="A140" s="870" t="s">
        <v>247</v>
      </c>
      <c r="B140" s="871"/>
      <c r="C140" s="871"/>
      <c r="D140" s="841" t="s">
        <v>238</v>
      </c>
      <c r="E140" s="842">
        <f>'25'!F140</f>
        <v>1809.4</v>
      </c>
      <c r="F140" s="872">
        <v>1817.18</v>
      </c>
      <c r="G140" s="843">
        <f t="shared" si="15"/>
        <v>7.7799999999999727</v>
      </c>
      <c r="H140" s="844">
        <f>G140+'25'!H140</f>
        <v>200.32000000000016</v>
      </c>
      <c r="I140" s="994"/>
      <c r="J140" s="846">
        <f>H140/DAY(B2)</f>
        <v>7.7046153846153906</v>
      </c>
      <c r="O140" s="848"/>
    </row>
    <row r="141" spans="1:15">
      <c r="A141" s="870" t="s">
        <v>248</v>
      </c>
      <c r="B141" s="871"/>
      <c r="C141" s="871"/>
      <c r="D141" s="841" t="s">
        <v>238</v>
      </c>
      <c r="E141" s="842">
        <f>'25'!F141</f>
        <v>4636.88</v>
      </c>
      <c r="F141" s="872">
        <v>4636.88</v>
      </c>
      <c r="G141" s="843">
        <f t="shared" si="15"/>
        <v>0</v>
      </c>
      <c r="H141" s="844">
        <f>G141+'25'!H141</f>
        <v>-0.11999999999989086</v>
      </c>
      <c r="I141" s="994"/>
      <c r="J141" s="846">
        <f>H141/DAY(B2)</f>
        <v>-4.6153846153804178E-3</v>
      </c>
      <c r="O141" s="848"/>
    </row>
    <row r="142" spans="1:15">
      <c r="A142" s="1631" t="s">
        <v>249</v>
      </c>
      <c r="B142" s="1632"/>
      <c r="C142" s="836"/>
      <c r="D142" s="836"/>
      <c r="E142" s="836"/>
      <c r="F142" s="836"/>
      <c r="G142" s="868"/>
      <c r="H142" s="868"/>
      <c r="I142" s="868"/>
      <c r="J142" s="987"/>
      <c r="K142" s="942"/>
      <c r="L142" s="821"/>
      <c r="O142" s="848"/>
    </row>
    <row r="143" spans="1:15">
      <c r="A143" s="1633" t="s">
        <v>250</v>
      </c>
      <c r="B143" s="1634"/>
      <c r="C143" s="1635"/>
      <c r="D143" s="841" t="s">
        <v>131</v>
      </c>
      <c r="E143" s="841"/>
      <c r="F143" s="841"/>
      <c r="G143" s="844">
        <f>G35+G43+G49+G57</f>
        <v>5247.7600000000093</v>
      </c>
      <c r="H143" s="844">
        <f>G143+'25'!H143</f>
        <v>108345.05000000005</v>
      </c>
      <c r="I143" s="863"/>
      <c r="J143" s="846">
        <f>H143/DAY(B2)</f>
        <v>4167.1173076923096</v>
      </c>
      <c r="K143" s="942"/>
      <c r="L143" s="821"/>
      <c r="O143" s="848"/>
    </row>
    <row r="144" spans="1:15">
      <c r="A144" s="1633" t="s">
        <v>251</v>
      </c>
      <c r="B144" s="1634"/>
      <c r="C144" s="1635"/>
      <c r="D144" s="841" t="s">
        <v>24</v>
      </c>
      <c r="E144" s="828"/>
      <c r="F144" s="832">
        <f>G135-24</f>
        <v>3.9999999993597157E-2</v>
      </c>
      <c r="G144" s="995">
        <f>G143/G7</f>
        <v>0.2729716570886413</v>
      </c>
      <c r="H144" s="844">
        <f>G144+'25'!H144</f>
        <v>6.8213069291492214</v>
      </c>
      <c r="I144" s="996"/>
      <c r="J144" s="846">
        <f>H144/DAY(B2)</f>
        <v>0.2623579588134316</v>
      </c>
      <c r="K144" s="942"/>
      <c r="L144" s="821"/>
      <c r="O144" s="848"/>
    </row>
    <row r="145" spans="1:15">
      <c r="A145" s="1633" t="s">
        <v>252</v>
      </c>
      <c r="B145" s="1634"/>
      <c r="C145" s="1635"/>
      <c r="D145" s="841" t="s">
        <v>131</v>
      </c>
      <c r="E145" s="842"/>
      <c r="F145" s="842"/>
      <c r="G145" s="844">
        <f>G41+G42+G55+G56</f>
        <v>5995.2500000000291</v>
      </c>
      <c r="H145" s="844">
        <f>G145+'25'!H145</f>
        <v>129399.06000000003</v>
      </c>
      <c r="I145" s="863"/>
      <c r="J145" s="846">
        <f>H145/DAY(B2)</f>
        <v>4976.8869230769242</v>
      </c>
      <c r="K145" s="942"/>
      <c r="L145" s="821"/>
      <c r="O145" s="848"/>
    </row>
    <row r="146" spans="1:15" ht="20.100000000000001" customHeight="1">
      <c r="A146" s="1633" t="s">
        <v>253</v>
      </c>
      <c r="B146" s="1634"/>
      <c r="C146" s="1635"/>
      <c r="D146" s="841" t="s">
        <v>24</v>
      </c>
      <c r="E146" s="842"/>
      <c r="F146" s="842"/>
      <c r="G146" s="995">
        <f>G145/G7</f>
        <v>0.31185369131985491</v>
      </c>
      <c r="H146" s="844">
        <f>G146+'25'!H146</f>
        <v>8.1494187061848056</v>
      </c>
      <c r="I146" s="996"/>
      <c r="J146" s="846">
        <f>H146/DAY(B2)</f>
        <v>0.31343918100710788</v>
      </c>
      <c r="K146" s="942"/>
      <c r="L146" s="821"/>
      <c r="O146" s="848"/>
    </row>
    <row r="147" spans="1:15" ht="20.100000000000001" customHeight="1">
      <c r="A147" s="1633" t="s">
        <v>254</v>
      </c>
      <c r="B147" s="1634"/>
      <c r="C147" s="1635"/>
      <c r="D147" s="841" t="s">
        <v>131</v>
      </c>
      <c r="E147" s="842"/>
      <c r="F147" s="842"/>
      <c r="G147" s="844">
        <f>G39+G53</f>
        <v>2690.8799999999464</v>
      </c>
      <c r="H147" s="844">
        <f>G147+'25'!H147</f>
        <v>63760.01999999996</v>
      </c>
      <c r="I147" s="997"/>
      <c r="J147" s="846">
        <f>H147/DAY(B2)</f>
        <v>2452.3084615384601</v>
      </c>
      <c r="K147" s="942"/>
      <c r="L147" s="821"/>
      <c r="O147" s="848"/>
    </row>
    <row r="148" spans="1:15" ht="20.100000000000001" customHeight="1">
      <c r="A148" s="1633" t="s">
        <v>255</v>
      </c>
      <c r="B148" s="1634"/>
      <c r="C148" s="1635"/>
      <c r="D148" s="841" t="s">
        <v>24</v>
      </c>
      <c r="E148" s="842"/>
      <c r="F148" s="842"/>
      <c r="G148" s="995">
        <f>G147/G7</f>
        <v>0.13997095382156713</v>
      </c>
      <c r="H148" s="844">
        <f>G148+'25'!H148</f>
        <v>4.015071308991109</v>
      </c>
      <c r="I148" s="997"/>
      <c r="J148" s="846">
        <f>H148/DAY(B2)</f>
        <v>0.15442581957658111</v>
      </c>
      <c r="O148" s="848"/>
    </row>
    <row r="149" spans="1:15" ht="20.100000000000001" customHeight="1">
      <c r="A149" s="1633" t="s">
        <v>256</v>
      </c>
      <c r="B149" s="1634"/>
      <c r="C149" s="1635"/>
      <c r="D149" s="841" t="s">
        <v>182</v>
      </c>
      <c r="E149" s="842"/>
      <c r="F149" s="842"/>
      <c r="G149" s="844">
        <f>G38+G52</f>
        <v>1226.3500000000058</v>
      </c>
      <c r="H149" s="844">
        <f>G149+'25'!H149</f>
        <v>30639.459999999963</v>
      </c>
      <c r="I149" s="863"/>
      <c r="J149" s="846">
        <f>H149/DAY(B2)</f>
        <v>1178.4407692307677</v>
      </c>
      <c r="K149" s="998"/>
      <c r="O149" s="848"/>
    </row>
    <row r="150" spans="1:15" ht="20.100000000000001" customHeight="1">
      <c r="A150" s="1633" t="s">
        <v>257</v>
      </c>
      <c r="B150" s="1634"/>
      <c r="C150" s="1635"/>
      <c r="D150" s="841" t="s">
        <v>24</v>
      </c>
      <c r="E150" s="842"/>
      <c r="F150" s="842"/>
      <c r="G150" s="995">
        <f>G149/G7</f>
        <v>6.3790796772462202E-2</v>
      </c>
      <c r="H150" s="844">
        <f>G150+'25'!H150</f>
        <v>1.9310482595363314</v>
      </c>
      <c r="I150" s="997"/>
      <c r="J150" s="846">
        <f>H150/DAY(B2)</f>
        <v>7.4271086905243519E-2</v>
      </c>
      <c r="O150" s="848"/>
    </row>
    <row r="151" spans="1:15" ht="20.100000000000001" customHeight="1">
      <c r="A151" s="1633" t="s">
        <v>258</v>
      </c>
      <c r="B151" s="1634"/>
      <c r="C151" s="1635"/>
      <c r="D151" s="841" t="s">
        <v>182</v>
      </c>
      <c r="E151" s="842"/>
      <c r="F151" s="842"/>
      <c r="G151" s="844">
        <f>G36+G50</f>
        <v>1413.7200000000303</v>
      </c>
      <c r="H151" s="844">
        <f>G151+'25'!H151</f>
        <v>26103.830000000016</v>
      </c>
      <c r="I151" s="997"/>
      <c r="J151" s="846">
        <f>H151/DAY(B2)</f>
        <v>1003.9934615384622</v>
      </c>
      <c r="O151" s="848"/>
    </row>
    <row r="152" spans="1:15" ht="20.100000000000001" customHeight="1">
      <c r="A152" s="1633" t="s">
        <v>259</v>
      </c>
      <c r="B152" s="1634"/>
      <c r="C152" s="1635"/>
      <c r="D152" s="841" t="s">
        <v>24</v>
      </c>
      <c r="E152" s="842"/>
      <c r="F152" s="842"/>
      <c r="G152" s="995">
        <f>G151/G7</f>
        <v>7.3537183685870075E-2</v>
      </c>
      <c r="H152" s="844">
        <f>G152+'25'!H152</f>
        <v>1.6365612266602665</v>
      </c>
      <c r="I152" s="863"/>
      <c r="J152" s="846">
        <f>H152/DAY(B2)</f>
        <v>6.2944662563856404E-2</v>
      </c>
      <c r="O152" s="848"/>
    </row>
    <row r="153" spans="1:15" ht="20.100000000000001" customHeight="1">
      <c r="A153" s="1633" t="s">
        <v>260</v>
      </c>
      <c r="B153" s="1634"/>
      <c r="C153" s="1635"/>
      <c r="D153" s="841" t="s">
        <v>182</v>
      </c>
      <c r="E153" s="842"/>
      <c r="F153" s="842"/>
      <c r="G153" s="844">
        <f>G37+G51</f>
        <v>1344</v>
      </c>
      <c r="H153" s="844">
        <f>G153+'25'!H153</f>
        <v>32519.599999999991</v>
      </c>
      <c r="I153" s="863"/>
      <c r="J153" s="846">
        <f>H153/DAY(B2)</f>
        <v>1250.7538461538459</v>
      </c>
      <c r="O153" s="848"/>
    </row>
    <row r="154" spans="1:15" ht="20.100000000000001" customHeight="1" thickBot="1">
      <c r="A154" s="1636" t="s">
        <v>261</v>
      </c>
      <c r="B154" s="1637"/>
      <c r="C154" s="1638"/>
      <c r="D154" s="999" t="s">
        <v>24</v>
      </c>
      <c r="E154" s="1000"/>
      <c r="F154" s="1000"/>
      <c r="G154" s="1001">
        <f>G153/G7</f>
        <v>6.9910572725721695E-2</v>
      </c>
      <c r="H154" s="844">
        <f>G154+'25'!H154</f>
        <v>2.0526362985397828</v>
      </c>
      <c r="I154" s="1002"/>
      <c r="J154" s="1003">
        <f>H154/DAY(B2)</f>
        <v>7.8947549943837805E-2</v>
      </c>
      <c r="O154" s="848"/>
    </row>
    <row r="155" spans="1:15" ht="44.25" customHeight="1">
      <c r="A155" s="1004"/>
      <c r="B155" s="1004"/>
      <c r="C155" s="1004"/>
      <c r="D155" s="1004"/>
      <c r="E155" s="1004"/>
      <c r="F155" s="1004"/>
      <c r="G155" s="1004"/>
      <c r="H155" s="1005"/>
      <c r="I155" s="1004"/>
      <c r="J155" s="1006"/>
      <c r="O155" s="848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4" t="s">
        <v>262</v>
      </c>
      <c r="B161" s="994"/>
      <c r="C161" s="994"/>
      <c r="D161" s="828" t="s">
        <v>186</v>
      </c>
      <c r="E161" s="842">
        <f>'25'!F161</f>
        <v>37945.339999999997</v>
      </c>
      <c r="F161" s="1018">
        <v>38024.69</v>
      </c>
      <c r="G161" s="843">
        <f t="shared" ref="G161:G164" si="16">F161-E161</f>
        <v>79.350000000005821</v>
      </c>
    </row>
    <row r="162" spans="1:7" ht="21.75" customHeight="1">
      <c r="A162" s="994" t="s">
        <v>263</v>
      </c>
      <c r="B162" s="994"/>
      <c r="C162" s="994"/>
      <c r="D162" s="828" t="s">
        <v>186</v>
      </c>
      <c r="E162" s="842">
        <f>'25'!F162</f>
        <v>92482.99</v>
      </c>
      <c r="F162" s="1018">
        <v>92856.51</v>
      </c>
      <c r="G162" s="843">
        <f t="shared" si="16"/>
        <v>373.51999999998952</v>
      </c>
    </row>
    <row r="163" spans="1:7" ht="21.75" customHeight="1">
      <c r="A163" s="994" t="s">
        <v>264</v>
      </c>
      <c r="B163" s="994"/>
      <c r="C163" s="994"/>
      <c r="D163" s="828" t="s">
        <v>186</v>
      </c>
      <c r="E163" s="842">
        <f>'25'!F163</f>
        <v>43713.43</v>
      </c>
      <c r="F163" s="1018">
        <v>43914</v>
      </c>
      <c r="G163" s="843">
        <f t="shared" si="16"/>
        <v>200.56999999999971</v>
      </c>
    </row>
    <row r="164" spans="1:7" ht="21.75" customHeight="1">
      <c r="A164" s="994" t="s">
        <v>265</v>
      </c>
      <c r="B164" s="994"/>
      <c r="C164" s="994"/>
      <c r="D164" s="828" t="s">
        <v>186</v>
      </c>
      <c r="E164" s="842">
        <f>'25'!F164</f>
        <v>6516.74</v>
      </c>
      <c r="F164" s="1018">
        <v>6525.9</v>
      </c>
      <c r="G164" s="843">
        <f t="shared" si="16"/>
        <v>9.1599999999998545</v>
      </c>
    </row>
    <row r="165" spans="1:7" ht="21.75" customHeight="1">
      <c r="A165" s="924" t="s">
        <v>98</v>
      </c>
      <c r="B165" s="924"/>
      <c r="C165" s="924"/>
      <c r="D165" s="828" t="s">
        <v>186</v>
      </c>
      <c r="E165" s="925">
        <f>E62</f>
        <v>20419</v>
      </c>
      <c r="F165" s="925">
        <f>F62</f>
        <v>20419</v>
      </c>
      <c r="G165" s="843">
        <f t="shared" ref="G165:G172" si="17">F165-E165</f>
        <v>0</v>
      </c>
    </row>
    <row r="166" spans="1:7" ht="21.75" customHeight="1">
      <c r="A166" s="924" t="s">
        <v>187</v>
      </c>
      <c r="B166" s="924"/>
      <c r="C166" s="924"/>
      <c r="D166" s="828" t="s">
        <v>186</v>
      </c>
      <c r="E166" s="925">
        <f t="shared" ref="E166:E172" si="18">E63</f>
        <v>2453.4699999999998</v>
      </c>
      <c r="F166" s="925">
        <f t="shared" ref="F166:F172" si="19">F63</f>
        <v>2457.1</v>
      </c>
      <c r="G166" s="843">
        <f t="shared" si="17"/>
        <v>3.6300000000001091</v>
      </c>
    </row>
    <row r="167" spans="1:7" ht="21.75" customHeight="1">
      <c r="A167" s="1609" t="s">
        <v>99</v>
      </c>
      <c r="B167" s="1609"/>
      <c r="C167" s="1609"/>
      <c r="D167" s="841" t="s">
        <v>186</v>
      </c>
      <c r="E167" s="925">
        <f t="shared" si="18"/>
        <v>158798.06</v>
      </c>
      <c r="F167" s="925">
        <f t="shared" si="19"/>
        <v>158972.70000000001</v>
      </c>
      <c r="G167" s="843">
        <f t="shared" si="17"/>
        <v>174.64000000001397</v>
      </c>
    </row>
    <row r="168" spans="1:7" ht="21.75" customHeight="1">
      <c r="A168" s="1609" t="s">
        <v>100</v>
      </c>
      <c r="B168" s="1609"/>
      <c r="C168" s="1609"/>
      <c r="D168" s="841" t="s">
        <v>186</v>
      </c>
      <c r="E168" s="925">
        <f t="shared" si="18"/>
        <v>159730</v>
      </c>
      <c r="F168" s="925">
        <f t="shared" si="19"/>
        <v>159915.88</v>
      </c>
      <c r="G168" s="843">
        <f t="shared" si="17"/>
        <v>185.88000000000466</v>
      </c>
    </row>
    <row r="169" spans="1:7" ht="21.75" customHeight="1">
      <c r="A169" s="1609" t="s">
        <v>101</v>
      </c>
      <c r="B169" s="1609"/>
      <c r="C169" s="1609"/>
      <c r="D169" s="841" t="s">
        <v>186</v>
      </c>
      <c r="E169" s="925">
        <f t="shared" si="18"/>
        <v>55178.79</v>
      </c>
      <c r="F169" s="925">
        <f t="shared" si="19"/>
        <v>55424.42</v>
      </c>
      <c r="G169" s="843">
        <f t="shared" si="17"/>
        <v>245.62999999999738</v>
      </c>
    </row>
    <row r="170" spans="1:7" ht="21.75" customHeight="1">
      <c r="A170" s="1609" t="s">
        <v>102</v>
      </c>
      <c r="B170" s="1609"/>
      <c r="C170" s="1609"/>
      <c r="D170" s="841" t="s">
        <v>186</v>
      </c>
      <c r="E170" s="925">
        <f t="shared" si="18"/>
        <v>249501.01</v>
      </c>
      <c r="F170" s="925">
        <f t="shared" si="19"/>
        <v>249886.57</v>
      </c>
      <c r="G170" s="843">
        <f t="shared" si="17"/>
        <v>385.55999999999767</v>
      </c>
    </row>
    <row r="171" spans="1:7" ht="24" customHeight="1">
      <c r="A171" s="1609" t="s">
        <v>103</v>
      </c>
      <c r="B171" s="1609"/>
      <c r="C171" s="1609"/>
      <c r="D171" s="841" t="s">
        <v>186</v>
      </c>
      <c r="E171" s="925">
        <f t="shared" si="18"/>
        <v>85321</v>
      </c>
      <c r="F171" s="925">
        <f t="shared" si="19"/>
        <v>85321</v>
      </c>
      <c r="G171" s="843">
        <f t="shared" si="17"/>
        <v>0</v>
      </c>
    </row>
    <row r="172" spans="1:7">
      <c r="A172" s="1609" t="s">
        <v>104</v>
      </c>
      <c r="B172" s="1609"/>
      <c r="C172" s="1609"/>
      <c r="D172" s="841" t="s">
        <v>186</v>
      </c>
      <c r="E172" s="925">
        <f t="shared" si="18"/>
        <v>81051.97</v>
      </c>
      <c r="F172" s="925">
        <f t="shared" si="19"/>
        <v>81191.509999999995</v>
      </c>
      <c r="G172" s="843">
        <f t="shared" si="17"/>
        <v>139.5399999999936</v>
      </c>
    </row>
    <row r="173" spans="1:7">
      <c r="G173" s="1009">
        <f>SUM(G161:G172)</f>
        <v>1797.4800000000023</v>
      </c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3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4" s="281" customFormat="1" ht="27">
      <c r="A2" s="575" t="s">
        <v>368</v>
      </c>
      <c r="B2" s="1115">
        <v>43978</v>
      </c>
      <c r="C2" s="1145" t="s">
        <v>69</v>
      </c>
      <c r="D2" s="611">
        <v>0.7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145" t="s">
        <v>119</v>
      </c>
      <c r="D3" s="612">
        <v>30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5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130</v>
      </c>
      <c r="B7" s="680"/>
      <c r="C7" s="680"/>
      <c r="D7" s="638" t="s">
        <v>131</v>
      </c>
      <c r="E7" s="633">
        <f>'26'!F7</f>
        <v>258323.63</v>
      </c>
      <c r="F7" s="455">
        <v>275096</v>
      </c>
      <c r="G7" s="681">
        <f>F7-E7</f>
        <v>16772.369999999995</v>
      </c>
      <c r="H7" s="682">
        <f>G7+'26'!H7</f>
        <v>430119.00000000006</v>
      </c>
      <c r="I7" s="683">
        <f>'1'!I7</f>
        <v>12000</v>
      </c>
      <c r="J7" s="684">
        <f>H7/DAY(B2)</f>
        <v>15930.333333333336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5" t="s">
        <v>132</v>
      </c>
      <c r="B8" s="686"/>
      <c r="C8" s="687"/>
      <c r="D8" s="688" t="s">
        <v>25</v>
      </c>
      <c r="E8" s="633">
        <f>'26'!F8</f>
        <v>260072.39</v>
      </c>
      <c r="F8" s="455">
        <v>276912</v>
      </c>
      <c r="G8" s="692">
        <f>F8-E8</f>
        <v>16839.609999999986</v>
      </c>
      <c r="H8" s="682">
        <f>G8+'26'!H8</f>
        <v>432671</v>
      </c>
      <c r="I8" s="689">
        <f>'1'!I8</f>
        <v>12000</v>
      </c>
      <c r="J8" s="684">
        <f>H8/DAY(B2)</f>
        <v>16024.851851851852</v>
      </c>
      <c r="K8" s="549"/>
      <c r="L8" s="425"/>
      <c r="M8" s="440"/>
      <c r="N8" s="706"/>
    </row>
    <row r="9" spans="1:14">
      <c r="A9" s="690" t="s">
        <v>133</v>
      </c>
      <c r="B9" s="691"/>
      <c r="C9" s="691"/>
      <c r="D9" s="638" t="s">
        <v>131</v>
      </c>
      <c r="E9" s="635">
        <f>'26'!F9</f>
        <v>1390471.6</v>
      </c>
      <c r="F9" s="478">
        <v>1406705</v>
      </c>
      <c r="G9" s="705">
        <f t="shared" ref="G9:G12" si="0">F9-E9</f>
        <v>16233.399999999907</v>
      </c>
      <c r="H9" s="682">
        <f>G9+'26'!H9</f>
        <v>415991</v>
      </c>
      <c r="I9" s="693">
        <f>I8-J8</f>
        <v>-4024.8518518518522</v>
      </c>
      <c r="J9" s="684">
        <f>H9/DAY(B2)</f>
        <v>15407.074074074075</v>
      </c>
      <c r="K9" s="428"/>
      <c r="L9" s="377"/>
      <c r="N9" s="382"/>
    </row>
    <row r="10" spans="1:14">
      <c r="A10" s="679" t="s">
        <v>134</v>
      </c>
      <c r="B10" s="680"/>
      <c r="C10" s="680"/>
      <c r="D10" s="638" t="s">
        <v>131</v>
      </c>
      <c r="E10" s="635">
        <f>'26'!F10</f>
        <v>2322.58</v>
      </c>
      <c r="F10" s="478">
        <v>2322.58</v>
      </c>
      <c r="G10" s="692">
        <f t="shared" si="0"/>
        <v>0</v>
      </c>
      <c r="H10" s="682">
        <f>G10+'26'!H10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135</v>
      </c>
      <c r="B11" s="680"/>
      <c r="C11" s="680"/>
      <c r="D11" s="638" t="s">
        <v>131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G11+'26'!H11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136</v>
      </c>
      <c r="B12" s="680"/>
      <c r="C12" s="680"/>
      <c r="D12" s="638" t="s">
        <v>131</v>
      </c>
      <c r="E12" s="635">
        <f>'5'!E12</f>
        <v>40010</v>
      </c>
      <c r="F12" s="478">
        <v>40010</v>
      </c>
      <c r="G12" s="692">
        <f t="shared" si="0"/>
        <v>0</v>
      </c>
      <c r="H12" s="682">
        <f>G12+'26'!H12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137</v>
      </c>
      <c r="B13" s="696"/>
      <c r="C13" s="696"/>
      <c r="D13" s="638"/>
      <c r="E13" s="633"/>
      <c r="F13" s="455"/>
      <c r="G13" s="697">
        <f>G9+G10+G11+G12</f>
        <v>16233.399999999907</v>
      </c>
      <c r="H13" s="682">
        <f>G13+'26'!H13</f>
        <v>401470</v>
      </c>
      <c r="I13" s="698">
        <f>G7-G13</f>
        <v>538.97000000008848</v>
      </c>
      <c r="J13" s="684">
        <f>H13/DAY(B2)</f>
        <v>14869.259259259259</v>
      </c>
      <c r="K13" s="428"/>
      <c r="L13" s="377"/>
      <c r="N13" s="382"/>
    </row>
    <row r="14" spans="1:14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8" t="s">
        <v>139</v>
      </c>
      <c r="B15" s="669"/>
      <c r="C15" s="669"/>
      <c r="D15" s="670" t="s">
        <v>140</v>
      </c>
      <c r="E15" s="671">
        <f>'26'!F15</f>
        <v>1682009</v>
      </c>
      <c r="F15" s="703">
        <v>1682624</v>
      </c>
      <c r="G15" s="667">
        <f>(F15-E15)</f>
        <v>615</v>
      </c>
      <c r="H15" s="673">
        <f>G15+'26'!H15</f>
        <v>11967</v>
      </c>
      <c r="I15" s="674">
        <v>800</v>
      </c>
      <c r="J15" s="1287">
        <f>H15/DAY(B2)</f>
        <v>443.22222222222223</v>
      </c>
      <c r="K15" s="428"/>
      <c r="L15" s="377"/>
      <c r="N15" s="382"/>
    </row>
    <row r="16" spans="1:14">
      <c r="A16" s="676"/>
      <c r="B16" s="677"/>
      <c r="C16" s="677"/>
      <c r="D16" s="670"/>
      <c r="E16" s="671"/>
      <c r="F16" s="703"/>
      <c r="G16" s="672"/>
      <c r="H16" s="673"/>
      <c r="I16" s="678">
        <f>I15-J15</f>
        <v>356.77777777777777</v>
      </c>
      <c r="J16" s="675"/>
      <c r="K16" s="428"/>
      <c r="L16" s="377"/>
      <c r="N16" s="382"/>
    </row>
    <row r="17" spans="1:14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1" t="s">
        <v>142</v>
      </c>
      <c r="B18" s="1592"/>
      <c r="C18" s="1593"/>
      <c r="D18" s="638" t="s">
        <v>143</v>
      </c>
      <c r="E18" s="635">
        <f>'26'!F18</f>
        <v>6</v>
      </c>
      <c r="F18" s="478">
        <v>6</v>
      </c>
      <c r="G18" s="697">
        <f>F18*10</f>
        <v>60</v>
      </c>
      <c r="H18" s="682">
        <f>G18+'26'!H18</f>
        <v>1080</v>
      </c>
      <c r="I18" s="683">
        <f>'1'!I18</f>
        <v>65</v>
      </c>
      <c r="J18" s="684">
        <f>H18/DAY(B2)</f>
        <v>40</v>
      </c>
      <c r="K18" s="428"/>
      <c r="L18" s="377"/>
      <c r="N18" s="382"/>
    </row>
    <row r="19" spans="1:14" ht="27.75">
      <c r="A19" s="1591" t="s">
        <v>71</v>
      </c>
      <c r="B19" s="1592"/>
      <c r="C19" s="1593"/>
      <c r="D19" s="638" t="s">
        <v>143</v>
      </c>
      <c r="E19" s="635">
        <f>'26'!F19</f>
        <v>139315</v>
      </c>
      <c r="F19" s="478">
        <v>139376</v>
      </c>
      <c r="G19" s="692">
        <f t="shared" ref="G19" si="1">F19-E19</f>
        <v>61</v>
      </c>
      <c r="H19" s="682">
        <f>G19+'26'!H19</f>
        <v>1564</v>
      </c>
      <c r="I19" s="699"/>
      <c r="J19" s="684">
        <f>H19/DAY(B2)</f>
        <v>57.925925925925924</v>
      </c>
      <c r="K19" s="428"/>
      <c r="L19" s="377"/>
      <c r="N19" s="382"/>
    </row>
    <row r="20" spans="1:14">
      <c r="A20" s="695" t="s">
        <v>144</v>
      </c>
      <c r="B20" s="696"/>
      <c r="C20" s="696"/>
      <c r="D20" s="638"/>
      <c r="E20" s="638"/>
      <c r="F20" s="523"/>
      <c r="G20" s="700">
        <f>G18+G19</f>
        <v>121</v>
      </c>
      <c r="H20" s="682">
        <f>G20+'26'!H20</f>
        <v>2644</v>
      </c>
      <c r="I20" s="701">
        <f>I18-J20</f>
        <v>-32.925925925925924</v>
      </c>
      <c r="J20" s="684">
        <f>H20/DAY(B2)</f>
        <v>97.925925925925924</v>
      </c>
      <c r="K20" s="428"/>
      <c r="L20" s="377"/>
      <c r="N20" s="382"/>
    </row>
    <row r="21" spans="1:14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146</v>
      </c>
      <c r="B22" s="589"/>
      <c r="C22" s="589"/>
      <c r="D22" s="523" t="s">
        <v>147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148</v>
      </c>
      <c r="B23" s="589"/>
      <c r="C23" s="589"/>
      <c r="D23" s="523" t="s">
        <v>147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16839.609999999986</v>
      </c>
      <c r="F27" s="501">
        <v>9</v>
      </c>
      <c r="G27" s="502">
        <f>E27*F27</f>
        <v>151556.48999999987</v>
      </c>
      <c r="H27" s="460">
        <f>G27+'26'!H27</f>
        <v>3894038.9999999995</v>
      </c>
      <c r="I27" s="503"/>
      <c r="J27" s="552">
        <f>H27/DAY(B2)</f>
        <v>144223.66666666666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2">
        <f>G15</f>
        <v>615</v>
      </c>
      <c r="F28" s="501">
        <v>51.45</v>
      </c>
      <c r="G28" s="502">
        <f>E28*F28</f>
        <v>31641.75</v>
      </c>
      <c r="H28" s="460">
        <f>G28+'26'!H28</f>
        <v>605219.62899999972</v>
      </c>
      <c r="I28" s="505"/>
      <c r="J28" s="552">
        <f>H28/DAY(B2)</f>
        <v>22415.541814814806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2">
        <f>G24</f>
        <v>0</v>
      </c>
      <c r="F29" s="501">
        <v>69</v>
      </c>
      <c r="G29" s="502">
        <f>E29*F29</f>
        <v>0</v>
      </c>
      <c r="H29" s="460">
        <f>G29+'26'!H29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2">
        <f>G19</f>
        <v>61</v>
      </c>
      <c r="F30" s="501">
        <v>134</v>
      </c>
      <c r="G30" s="502">
        <f>E30*F30</f>
        <v>8174</v>
      </c>
      <c r="H30" s="460">
        <f>G30+'26'!H30</f>
        <v>209576</v>
      </c>
      <c r="I30" s="505"/>
      <c r="J30" s="552">
        <f>H30/DAY(B2)</f>
        <v>7762.0740740740739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2">
        <f>G18</f>
        <v>60</v>
      </c>
      <c r="F31" s="501">
        <v>80</v>
      </c>
      <c r="G31" s="502">
        <f>E31*F31</f>
        <v>4800</v>
      </c>
      <c r="H31" s="460">
        <f>G31+'26'!H31</f>
        <v>86400</v>
      </c>
      <c r="I31" s="505"/>
      <c r="J31" s="552"/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196172.23999999987</v>
      </c>
      <c r="H32" s="460">
        <f>G32+'26'!H32</f>
        <v>4795234.6290000007</v>
      </c>
      <c r="I32" s="509"/>
      <c r="J32" s="552">
        <f>H32/DAY(B2)</f>
        <v>177601.28255555558</v>
      </c>
      <c r="K32" s="373"/>
      <c r="L32" s="443"/>
      <c r="N32" s="382"/>
    </row>
    <row r="33" spans="1:14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382"/>
    </row>
    <row r="34" spans="1:14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'26'!F35</f>
        <v>938391.75</v>
      </c>
      <c r="F35" s="510">
        <v>940873</v>
      </c>
      <c r="G35" s="473">
        <f t="shared" ref="G35:G46" si="3">F35-E35</f>
        <v>2481.25</v>
      </c>
      <c r="H35" s="460">
        <f>G35+'26'!H35</f>
        <v>54414</v>
      </c>
      <c r="I35" s="455"/>
      <c r="J35" s="552">
        <f>H35/DAY(B2)</f>
        <v>2015.3333333333333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'26'!F36</f>
        <v>347065</v>
      </c>
      <c r="F36" s="510">
        <v>347065</v>
      </c>
      <c r="G36" s="473">
        <f t="shared" si="3"/>
        <v>0</v>
      </c>
      <c r="H36" s="460">
        <f>G36+'26'!H36</f>
        <v>2457</v>
      </c>
      <c r="I36" s="455"/>
      <c r="J36" s="552">
        <f>H36/DAY(B2)</f>
        <v>91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'26'!F37</f>
        <v>127744.73</v>
      </c>
      <c r="F37" s="510">
        <v>129041</v>
      </c>
      <c r="G37" s="473">
        <f t="shared" si="3"/>
        <v>1296.2700000000041</v>
      </c>
      <c r="H37" s="460">
        <f>G37+'26'!H37</f>
        <v>33816</v>
      </c>
      <c r="I37" s="455"/>
      <c r="J37" s="552">
        <f>H37/DAY(B2)</f>
        <v>1252.4444444444443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'26'!F38</f>
        <v>150235.39000000001</v>
      </c>
      <c r="F38" s="469">
        <v>151412</v>
      </c>
      <c r="G38" s="473">
        <f t="shared" si="3"/>
        <v>1176.609999999986</v>
      </c>
      <c r="H38" s="460">
        <f>G38+'26'!H38</f>
        <v>31816</v>
      </c>
      <c r="I38" s="455"/>
      <c r="J38" s="552">
        <f>H38/DAY(B2)</f>
        <v>1178.3703703703704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'26'!F39</f>
        <v>296927.46999999997</v>
      </c>
      <c r="F39" s="510">
        <v>299149</v>
      </c>
      <c r="G39" s="473">
        <f t="shared" si="3"/>
        <v>2221.5300000000279</v>
      </c>
      <c r="H39" s="460">
        <f>G39+'26'!H39</f>
        <v>52496</v>
      </c>
      <c r="I39" s="455"/>
      <c r="J39" s="552">
        <f>H39/DAY(B2)</f>
        <v>1944.2962962962963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'26'!F40</f>
        <v>888.99</v>
      </c>
      <c r="F40" s="510">
        <v>889</v>
      </c>
      <c r="G40" s="473">
        <f t="shared" si="3"/>
        <v>9.9999999999909051E-3</v>
      </c>
      <c r="H40" s="460">
        <f>G40+'26'!H40</f>
        <v>888.77</v>
      </c>
      <c r="I40" s="455"/>
      <c r="J40" s="552">
        <f>H40/DAY(B2)</f>
        <v>32.91740740740741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'26'!F41</f>
        <v>240478.13</v>
      </c>
      <c r="F41" s="510">
        <v>240478</v>
      </c>
      <c r="G41" s="473">
        <f t="shared" si="3"/>
        <v>-0.13000000000465661</v>
      </c>
      <c r="H41" s="460">
        <f>G41+'26'!H41</f>
        <v>58950</v>
      </c>
      <c r="I41" s="455"/>
      <c r="J41" s="552">
        <f>H41/DAY(B2)</f>
        <v>2183.3333333333335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'26'!F42</f>
        <v>59198.97</v>
      </c>
      <c r="F42" s="510">
        <v>59199</v>
      </c>
      <c r="G42" s="473">
        <f t="shared" si="3"/>
        <v>2.9999999998835847E-2</v>
      </c>
      <c r="H42" s="460">
        <f>G42+'26'!H42</f>
        <v>-1</v>
      </c>
      <c r="I42" s="455"/>
      <c r="J42" s="552">
        <f>H42/DAY(B2)</f>
        <v>-3.7037037037037035E-2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'26'!F43</f>
        <v>1030659.3</v>
      </c>
      <c r="F43" s="510">
        <v>1033005</v>
      </c>
      <c r="G43" s="473">
        <f t="shared" si="3"/>
        <v>2345.6999999999534</v>
      </c>
      <c r="H43" s="460">
        <f>G43+'26'!H43</f>
        <v>59047</v>
      </c>
      <c r="I43" s="455"/>
      <c r="J43" s="552">
        <f>H43/DAY(B2)</f>
        <v>2186.9259259259261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9521.2699999999659</v>
      </c>
      <c r="H47" s="460">
        <f>G47+'26'!H47</f>
        <v>294685.20999999996</v>
      </c>
      <c r="I47" s="455"/>
      <c r="J47" s="552">
        <f>H47/DAY(B2)</f>
        <v>10914.267037037036</v>
      </c>
      <c r="K47" s="428"/>
      <c r="L47" s="377"/>
      <c r="N47" s="382"/>
    </row>
    <row r="48" spans="1:14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'26'!F50</f>
        <v>498182.83</v>
      </c>
      <c r="F50" s="510">
        <v>499028</v>
      </c>
      <c r="G50" s="473">
        <f t="shared" si="4"/>
        <v>845.1699999999837</v>
      </c>
      <c r="H50" s="460">
        <f>G50+'26'!H50</f>
        <v>23553</v>
      </c>
      <c r="I50" s="455"/>
      <c r="J50" s="552">
        <f>H50/DAY(B2)</f>
        <v>872.33333333333337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'26'!F53</f>
        <v>429772.55</v>
      </c>
      <c r="F53" s="510">
        <v>430325</v>
      </c>
      <c r="G53" s="473">
        <f t="shared" si="4"/>
        <v>552.45000000001164</v>
      </c>
      <c r="H53" s="460">
        <f>G53+'26'!H53</f>
        <v>13515</v>
      </c>
      <c r="I53" s="455"/>
      <c r="J53" s="552">
        <f>H53/DAY(B2)</f>
        <v>500.55555555555554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'26'!F54</f>
        <v>13353</v>
      </c>
      <c r="F54" s="510">
        <v>13434</v>
      </c>
      <c r="G54" s="473">
        <f t="shared" si="4"/>
        <v>81</v>
      </c>
      <c r="H54" s="460">
        <f>G54+'26'!H54</f>
        <v>5672</v>
      </c>
      <c r="I54" s="455"/>
      <c r="J54" s="552">
        <f>H54/DAY(B2)</f>
        <v>210.07407407407408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'26'!F55</f>
        <v>68110.679999999993</v>
      </c>
      <c r="F55" s="656">
        <v>68111</v>
      </c>
      <c r="G55" s="473">
        <f t="shared" si="4"/>
        <v>0.32000000000698492</v>
      </c>
      <c r="H55" s="708">
        <f>G55+'26'!H55</f>
        <v>68111</v>
      </c>
      <c r="I55" s="709"/>
      <c r="J55" s="710">
        <f>H55/DAY(B2)</f>
        <v>2522.6296296296296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'26'!F56</f>
        <v>591627.75</v>
      </c>
      <c r="F56" s="656">
        <v>596395</v>
      </c>
      <c r="G56" s="473">
        <f t="shared" si="4"/>
        <v>4767.25</v>
      </c>
      <c r="H56" s="460">
        <f>G56+'26'!H56</f>
        <v>7106.640000000014</v>
      </c>
      <c r="I56" s="455"/>
      <c r="J56" s="552">
        <f>H56/DAY(B2)</f>
        <v>263.20888888888942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'26'!F58</f>
        <v>48968.68</v>
      </c>
      <c r="F58" s="656">
        <v>49051</v>
      </c>
      <c r="G58" s="473">
        <f t="shared" si="4"/>
        <v>82.319999999999709</v>
      </c>
      <c r="H58" s="460">
        <f>G58+'26'!H58</f>
        <v>2334</v>
      </c>
      <c r="I58" s="455"/>
      <c r="J58" s="552">
        <f>H58/DAY(B2)</f>
        <v>86.444444444444443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6328.5700000000579</v>
      </c>
      <c r="H59" s="460">
        <f>G59+'26'!H59</f>
        <v>120291.64000000001</v>
      </c>
      <c r="I59" s="455">
        <f>G7-G60</f>
        <v>922.52999999997155</v>
      </c>
      <c r="J59" s="552">
        <f>H59/DAY(B2)</f>
        <v>4455.2459259259267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15849.840000000024</v>
      </c>
      <c r="H60" s="460">
        <f>G60+'26'!H60</f>
        <v>416560.74000000005</v>
      </c>
      <c r="I60" s="455">
        <f>G13-G60</f>
        <v>383.55999999988308</v>
      </c>
      <c r="J60" s="552">
        <f>H60/DAY(B2)</f>
        <v>15428.175555555557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186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0.18199999999706051</v>
      </c>
      <c r="I62" s="515"/>
      <c r="J62" s="552">
        <f>H62/DAY(B2)</f>
        <v>6.7407407406318712E-3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'26'!F63</f>
        <v>2457.1</v>
      </c>
      <c r="F63" s="514">
        <v>2460</v>
      </c>
      <c r="G63" s="473">
        <f t="shared" si="5"/>
        <v>2.9000000000000909</v>
      </c>
      <c r="H63" s="460">
        <f>G63+'26'!H63</f>
        <v>101</v>
      </c>
      <c r="I63" s="515"/>
      <c r="J63" s="552">
        <f>H63/DAY(B2)</f>
        <v>3.7407407407407409</v>
      </c>
      <c r="K63" s="428"/>
      <c r="L63" s="377"/>
      <c r="N63" s="382"/>
    </row>
    <row r="64" spans="1:14" ht="27.75">
      <c r="A64" s="1530" t="s">
        <v>99</v>
      </c>
      <c r="B64" s="1531"/>
      <c r="C64" s="1532"/>
      <c r="D64" s="523" t="s">
        <v>186</v>
      </c>
      <c r="E64" s="514">
        <f>'26'!F64</f>
        <v>158972.70000000001</v>
      </c>
      <c r="F64" s="478">
        <v>159169</v>
      </c>
      <c r="G64" s="473">
        <f t="shared" si="5"/>
        <v>196.29999999998836</v>
      </c>
      <c r="H64" s="460">
        <f>G64+'26'!H64</f>
        <v>5870</v>
      </c>
      <c r="I64" s="480"/>
      <c r="J64" s="552">
        <f>H64/DAY(B2)</f>
        <v>217.40740740740742</v>
      </c>
      <c r="K64" s="428"/>
      <c r="L64" s="377"/>
      <c r="N64" s="382"/>
    </row>
    <row r="65" spans="1:14" ht="27.75">
      <c r="A65" s="1530" t="s">
        <v>100</v>
      </c>
      <c r="B65" s="1531"/>
      <c r="C65" s="1532"/>
      <c r="D65" s="523" t="s">
        <v>186</v>
      </c>
      <c r="E65" s="514">
        <f>'26'!F65</f>
        <v>159915.88</v>
      </c>
      <c r="F65" s="626">
        <v>160130</v>
      </c>
      <c r="G65" s="473">
        <f t="shared" si="5"/>
        <v>214.11999999999534</v>
      </c>
      <c r="H65" s="460">
        <f>G65+'26'!H65</f>
        <v>5531</v>
      </c>
      <c r="I65" s="489"/>
      <c r="J65" s="552">
        <f>H65/DAY(B2)</f>
        <v>204.85185185185185</v>
      </c>
      <c r="K65" s="428"/>
      <c r="L65" s="377"/>
      <c r="N65" s="382"/>
    </row>
    <row r="66" spans="1:14" ht="27.75">
      <c r="A66" s="1530" t="s">
        <v>101</v>
      </c>
      <c r="B66" s="1531"/>
      <c r="C66" s="1532"/>
      <c r="D66" s="523" t="s">
        <v>186</v>
      </c>
      <c r="E66" s="514">
        <f>'26'!F66</f>
        <v>55424.42</v>
      </c>
      <c r="F66" s="626">
        <v>55692</v>
      </c>
      <c r="G66" s="473">
        <f t="shared" si="5"/>
        <v>267.58000000000175</v>
      </c>
      <c r="H66" s="460">
        <f>G66+'26'!H66</f>
        <v>7121</v>
      </c>
      <c r="I66" s="480"/>
      <c r="J66" s="552">
        <f>H66/DAY(B2)</f>
        <v>263.74074074074076</v>
      </c>
      <c r="K66" s="428"/>
      <c r="L66" s="377"/>
      <c r="N66" s="382"/>
    </row>
    <row r="67" spans="1:14" ht="27.75">
      <c r="A67" s="1530" t="s">
        <v>102</v>
      </c>
      <c r="B67" s="1531"/>
      <c r="C67" s="1532"/>
      <c r="D67" s="523" t="s">
        <v>186</v>
      </c>
      <c r="E67" s="514">
        <f>'26'!F67</f>
        <v>249886.57</v>
      </c>
      <c r="F67" s="478">
        <v>250333</v>
      </c>
      <c r="G67" s="473">
        <f t="shared" si="5"/>
        <v>446.42999999999302</v>
      </c>
      <c r="H67" s="460">
        <f>G67+'26'!H67</f>
        <v>7159</v>
      </c>
      <c r="I67" s="489"/>
      <c r="J67" s="552">
        <f>H67/DAY(B2)</f>
        <v>265.14814814814815</v>
      </c>
      <c r="K67" s="429"/>
      <c r="L67" s="377"/>
      <c r="N67" s="382"/>
    </row>
    <row r="68" spans="1:14" ht="27.75">
      <c r="A68" s="1530" t="s">
        <v>103</v>
      </c>
      <c r="B68" s="1531"/>
      <c r="C68" s="1532"/>
      <c r="D68" s="523" t="s">
        <v>186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0" t="s">
        <v>104</v>
      </c>
      <c r="B69" s="1531"/>
      <c r="C69" s="1532"/>
      <c r="D69" s="523" t="s">
        <v>186</v>
      </c>
      <c r="E69" s="514">
        <f>'26'!F69</f>
        <v>81191.509999999995</v>
      </c>
      <c r="F69" s="478">
        <v>81292</v>
      </c>
      <c r="G69" s="473">
        <f t="shared" si="5"/>
        <v>100.49000000000524</v>
      </c>
      <c r="H69" s="460">
        <f>G69+'26'!H69</f>
        <v>2298</v>
      </c>
      <c r="I69" s="516"/>
      <c r="J69" s="552">
        <f>H69/DAY(B2)</f>
        <v>85.111111111111114</v>
      </c>
      <c r="K69" s="431"/>
      <c r="L69" s="377"/>
      <c r="N69" s="382"/>
    </row>
    <row r="70" spans="1:14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382"/>
    </row>
    <row r="72" spans="1:14" ht="27.75">
      <c r="A72" s="1530" t="s">
        <v>190</v>
      </c>
      <c r="B72" s="1531"/>
      <c r="C72" s="1532"/>
      <c r="D72" s="523" t="s">
        <v>186</v>
      </c>
      <c r="E72" s="519">
        <f>'26'!F72</f>
        <v>855782</v>
      </c>
      <c r="F72" s="657">
        <v>855792</v>
      </c>
      <c r="G72" s="473">
        <f t="shared" ref="G72:G84" si="6">F72-E72</f>
        <v>10</v>
      </c>
      <c r="H72" s="460">
        <f>G72+'26'!H72</f>
        <v>320</v>
      </c>
      <c r="I72" s="480"/>
      <c r="J72" s="552">
        <f>H72/DAY(B2)</f>
        <v>11.851851851851851</v>
      </c>
      <c r="K72" s="431"/>
      <c r="L72" s="377"/>
      <c r="N72" s="382"/>
    </row>
    <row r="73" spans="1:14" ht="27.75">
      <c r="A73" s="1530" t="s">
        <v>191</v>
      </c>
      <c r="B73" s="1531"/>
      <c r="C73" s="1532"/>
      <c r="D73" s="523" t="s">
        <v>186</v>
      </c>
      <c r="E73" s="519">
        <f>'26'!F73</f>
        <v>885932</v>
      </c>
      <c r="F73" s="658">
        <v>885933</v>
      </c>
      <c r="G73" s="655">
        <f t="shared" si="6"/>
        <v>1</v>
      </c>
      <c r="H73" s="460">
        <f>G73+'26'!H73</f>
        <v>237</v>
      </c>
      <c r="I73" s="480"/>
      <c r="J73" s="552">
        <f>H73/DAY(B2)</f>
        <v>8.7777777777777786</v>
      </c>
      <c r="K73" s="430"/>
      <c r="L73" s="377"/>
      <c r="N73" s="382"/>
    </row>
    <row r="74" spans="1:14" ht="27.75">
      <c r="A74" s="1530" t="s">
        <v>192</v>
      </c>
      <c r="B74" s="1531"/>
      <c r="C74" s="1532"/>
      <c r="D74" s="523" t="s">
        <v>186</v>
      </c>
      <c r="E74" s="519">
        <f>'26'!F74</f>
        <v>2553.0700000000002</v>
      </c>
      <c r="F74" s="658">
        <v>2559</v>
      </c>
      <c r="G74" s="473">
        <f t="shared" si="6"/>
        <v>5.9299999999998363</v>
      </c>
      <c r="H74" s="460">
        <f>G74+'26'!H74</f>
        <v>280</v>
      </c>
      <c r="I74" s="480"/>
      <c r="J74" s="552">
        <f>H74/DAY(B2)</f>
        <v>10.37037037037037</v>
      </c>
      <c r="K74" s="431"/>
      <c r="L74" s="377"/>
      <c r="N74" s="382"/>
    </row>
    <row r="75" spans="1:14" ht="27.75">
      <c r="A75" s="1527" t="s">
        <v>193</v>
      </c>
      <c r="B75" s="1528"/>
      <c r="C75" s="1529"/>
      <c r="D75" s="523" t="s">
        <v>186</v>
      </c>
      <c r="E75" s="519">
        <f>'26'!F75</f>
        <v>12387.5</v>
      </c>
      <c r="F75" s="657">
        <v>12447</v>
      </c>
      <c r="G75" s="473">
        <f t="shared" si="6"/>
        <v>59.5</v>
      </c>
      <c r="H75" s="460">
        <f>G75+'26'!H75</f>
        <v>1477</v>
      </c>
      <c r="I75" s="480"/>
      <c r="J75" s="552">
        <f>H75/DAY(B2)</f>
        <v>54.703703703703702</v>
      </c>
      <c r="K75" s="430"/>
      <c r="L75" s="377"/>
      <c r="N75" s="382"/>
    </row>
    <row r="76" spans="1:14" ht="27.75">
      <c r="A76" s="1527" t="s">
        <v>194</v>
      </c>
      <c r="B76" s="1528"/>
      <c r="C76" s="1529"/>
      <c r="D76" s="523" t="s">
        <v>186</v>
      </c>
      <c r="E76" s="519">
        <f>'26'!F76</f>
        <v>7139</v>
      </c>
      <c r="F76" s="658">
        <v>7193</v>
      </c>
      <c r="G76" s="473">
        <f t="shared" si="6"/>
        <v>54</v>
      </c>
      <c r="H76" s="460">
        <f>G76+'26'!H76</f>
        <v>1476.0499999999993</v>
      </c>
      <c r="I76" s="505"/>
      <c r="J76" s="552">
        <f>H76/DAY(B2)</f>
        <v>54.668518518518489</v>
      </c>
      <c r="K76" s="430"/>
      <c r="L76" s="377"/>
      <c r="N76" s="382"/>
    </row>
    <row r="77" spans="1:14" ht="27.75">
      <c r="A77" s="1530" t="s">
        <v>195</v>
      </c>
      <c r="B77" s="1531"/>
      <c r="C77" s="1532"/>
      <c r="D77" s="523" t="s">
        <v>186</v>
      </c>
      <c r="E77" s="519">
        <f>'26'!F77</f>
        <v>702629</v>
      </c>
      <c r="F77" s="658">
        <v>702673</v>
      </c>
      <c r="G77" s="655">
        <f t="shared" si="6"/>
        <v>44</v>
      </c>
      <c r="H77" s="460">
        <f>G77+'26'!H77</f>
        <v>1111</v>
      </c>
      <c r="I77" s="505"/>
      <c r="J77" s="552">
        <f>H77/DAY(B2)</f>
        <v>41.148148148148145</v>
      </c>
      <c r="K77" s="430"/>
      <c r="L77" s="377"/>
      <c r="N77" s="382"/>
    </row>
    <row r="78" spans="1:14" ht="27.75">
      <c r="A78" s="1146" t="s">
        <v>196</v>
      </c>
      <c r="B78" s="1119"/>
      <c r="C78" s="1119"/>
      <c r="D78" s="523" t="s">
        <v>186</v>
      </c>
      <c r="E78" s="519">
        <f>'26'!F78</f>
        <v>672391</v>
      </c>
      <c r="F78" s="657">
        <v>672455</v>
      </c>
      <c r="G78" s="473">
        <f t="shared" si="6"/>
        <v>64</v>
      </c>
      <c r="H78" s="460">
        <f>G78+'26'!H78</f>
        <v>2430</v>
      </c>
      <c r="I78" s="505"/>
      <c r="J78" s="552">
        <f>H78/DAY(B2)</f>
        <v>90</v>
      </c>
      <c r="K78" s="430"/>
      <c r="L78" s="377"/>
      <c r="N78" s="382"/>
    </row>
    <row r="79" spans="1:14" ht="27.75">
      <c r="A79" s="1527" t="s">
        <v>92</v>
      </c>
      <c r="B79" s="1528"/>
      <c r="C79" s="1529"/>
      <c r="D79" s="524" t="s">
        <v>186</v>
      </c>
      <c r="E79" s="519">
        <f>'26'!F79</f>
        <v>830307</v>
      </c>
      <c r="F79" s="657">
        <v>830419</v>
      </c>
      <c r="G79" s="473">
        <f t="shared" si="6"/>
        <v>112</v>
      </c>
      <c r="H79" s="460">
        <f>G79+'26'!H79</f>
        <v>2688</v>
      </c>
      <c r="I79" s="505"/>
      <c r="J79" s="552">
        <f>H79/DAY(B2)</f>
        <v>99.555555555555557</v>
      </c>
      <c r="K79" s="430"/>
      <c r="L79" s="377"/>
      <c r="N79" s="382"/>
    </row>
    <row r="80" spans="1:14" ht="27.75">
      <c r="A80" s="1527" t="s">
        <v>197</v>
      </c>
      <c r="B80" s="1528"/>
      <c r="C80" s="1529"/>
      <c r="D80" s="524" t="s">
        <v>186</v>
      </c>
      <c r="E80" s="519">
        <f>'26'!F80</f>
        <v>525838.04</v>
      </c>
      <c r="F80" s="658">
        <v>526181</v>
      </c>
      <c r="G80" s="473">
        <f t="shared" si="6"/>
        <v>342.95999999996275</v>
      </c>
      <c r="H80" s="460">
        <f>G80+'26'!H80</f>
        <v>6720</v>
      </c>
      <c r="I80" s="505"/>
      <c r="J80" s="552">
        <f>H80/DAY(B2)</f>
        <v>248.88888888888889</v>
      </c>
      <c r="K80" s="430"/>
      <c r="L80" s="377"/>
      <c r="N80" s="382"/>
    </row>
    <row r="81" spans="1:15" ht="27.75">
      <c r="A81" s="1527" t="s">
        <v>198</v>
      </c>
      <c r="B81" s="1528"/>
      <c r="C81" s="1529"/>
      <c r="D81" s="524" t="s">
        <v>186</v>
      </c>
      <c r="E81" s="519">
        <f>'26'!F81</f>
        <v>638467.72</v>
      </c>
      <c r="F81" s="658">
        <v>638548</v>
      </c>
      <c r="G81" s="473">
        <f t="shared" si="6"/>
        <v>80.28000000002794</v>
      </c>
      <c r="H81" s="460">
        <f>G81+'26'!H81</f>
        <v>2070</v>
      </c>
      <c r="I81" s="505"/>
      <c r="J81" s="552">
        <f>H81/DAY(B2)</f>
        <v>76.666666666666671</v>
      </c>
      <c r="K81" s="430"/>
      <c r="L81" s="377"/>
      <c r="N81" s="382"/>
    </row>
    <row r="82" spans="1:15" ht="27.75">
      <c r="A82" s="1527" t="s">
        <v>93</v>
      </c>
      <c r="B82" s="1528"/>
      <c r="C82" s="1529"/>
      <c r="D82" s="485" t="s">
        <v>131</v>
      </c>
      <c r="E82" s="519">
        <f>'26'!F82</f>
        <v>108076.42</v>
      </c>
      <c r="F82" s="654">
        <v>108101</v>
      </c>
      <c r="G82" s="473">
        <f t="shared" si="6"/>
        <v>24.580000000001746</v>
      </c>
      <c r="H82" s="460">
        <f>G82+'26'!H82</f>
        <v>489</v>
      </c>
      <c r="I82" s="486"/>
      <c r="J82" s="552">
        <f>H82/DAY(B2)</f>
        <v>18.111111111111111</v>
      </c>
      <c r="K82" s="430"/>
      <c r="L82" s="377"/>
      <c r="N82" s="382"/>
    </row>
    <row r="83" spans="1:15" ht="27.75">
      <c r="A83" s="1527" t="s">
        <v>199</v>
      </c>
      <c r="B83" s="1528"/>
      <c r="C83" s="1529"/>
      <c r="D83" s="620" t="s">
        <v>131</v>
      </c>
      <c r="E83" s="519">
        <f>'26'!F83</f>
        <v>19604</v>
      </c>
      <c r="F83" s="620">
        <v>19771</v>
      </c>
      <c r="G83" s="473">
        <f t="shared" si="6"/>
        <v>167</v>
      </c>
      <c r="H83" s="460">
        <f>G83+'26'!H83</f>
        <v>5000</v>
      </c>
      <c r="I83" s="481"/>
      <c r="J83" s="552">
        <f>H83/DAY(B2)</f>
        <v>185.18518518518519</v>
      </c>
      <c r="K83" s="429"/>
      <c r="L83" s="377"/>
      <c r="N83" s="382"/>
    </row>
    <row r="84" spans="1:15">
      <c r="A84" s="1147" t="s">
        <v>200</v>
      </c>
      <c r="B84" s="571"/>
      <c r="C84" s="571"/>
      <c r="D84" s="478" t="s">
        <v>131</v>
      </c>
      <c r="E84" s="519">
        <f>'26'!F84</f>
        <v>496173</v>
      </c>
      <c r="F84" s="524">
        <v>496936</v>
      </c>
      <c r="G84" s="473">
        <f t="shared" si="6"/>
        <v>763</v>
      </c>
      <c r="H84" s="460">
        <f>G84+'26'!H84</f>
        <v>16803</v>
      </c>
      <c r="I84" s="481"/>
      <c r="J84" s="552">
        <f>H84/DAY(B2)</f>
        <v>622.33333333333337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1728.2499999999923</v>
      </c>
      <c r="H85" s="460">
        <f>G85+'26'!H85</f>
        <v>44610</v>
      </c>
      <c r="I85" s="481"/>
      <c r="J85" s="552">
        <f>H85/DAY(B2)</f>
        <v>1652.2222222222222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182</v>
      </c>
      <c r="E86" s="627">
        <f>'26'!F86</f>
        <v>460767.32</v>
      </c>
      <c r="F86" s="650">
        <v>460802</v>
      </c>
      <c r="G86" s="708">
        <f>F86-E86</f>
        <v>34.679999999993015</v>
      </c>
      <c r="H86" s="708">
        <f t="shared" ref="H86:H88" si="7">G86</f>
        <v>34.679999999993015</v>
      </c>
      <c r="I86" s="655"/>
      <c r="J86" s="710">
        <f>H86/DAY(B2)</f>
        <v>1.2844444444441858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182</v>
      </c>
      <c r="E87" s="627">
        <f>'26'!F87</f>
        <v>81289.5</v>
      </c>
      <c r="F87" s="650">
        <v>81307</v>
      </c>
      <c r="G87" s="708">
        <f t="shared" ref="G87:G91" si="8">F87-E87</f>
        <v>17.5</v>
      </c>
      <c r="H87" s="708">
        <f t="shared" si="7"/>
        <v>17.5</v>
      </c>
      <c r="I87" s="655"/>
      <c r="J87" s="710">
        <f>H87/DAY(B2)</f>
        <v>0.64814814814814814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182</v>
      </c>
      <c r="E88" s="627">
        <f>'26'!F88</f>
        <v>152878.01</v>
      </c>
      <c r="F88" s="650">
        <v>152900</v>
      </c>
      <c r="G88" s="708">
        <f t="shared" si="8"/>
        <v>21.989999999990687</v>
      </c>
      <c r="H88" s="708">
        <f t="shared" si="7"/>
        <v>21.989999999990687</v>
      </c>
      <c r="I88" s="655"/>
      <c r="J88" s="710">
        <f>H88/DAY(B2)</f>
        <v>0.81444444444409947</v>
      </c>
      <c r="K88" s="736"/>
      <c r="L88" s="737"/>
      <c r="O88" s="716"/>
    </row>
    <row r="89" spans="1:15" s="738" customFormat="1">
      <c r="A89" s="733" t="s">
        <v>203</v>
      </c>
      <c r="B89" s="734"/>
      <c r="C89" s="734"/>
      <c r="D89" s="735" t="s">
        <v>182</v>
      </c>
      <c r="E89" s="627">
        <f>'26'!F89</f>
        <v>65120.4</v>
      </c>
      <c r="F89" s="650">
        <v>65131</v>
      </c>
      <c r="G89" s="708">
        <f t="shared" si="8"/>
        <v>10.599999999998545</v>
      </c>
      <c r="H89" s="708">
        <f>G89</f>
        <v>10.599999999998545</v>
      </c>
      <c r="I89" s="655"/>
      <c r="J89" s="710">
        <f>H89/DAY(B2)</f>
        <v>0.3925925925925387</v>
      </c>
      <c r="K89" s="736"/>
      <c r="L89" s="737"/>
      <c r="N89" s="780"/>
      <c r="O89" s="382"/>
    </row>
    <row r="90" spans="1:15" s="738" customFormat="1">
      <c r="A90" s="733" t="s">
        <v>203</v>
      </c>
      <c r="B90" s="734"/>
      <c r="C90" s="734"/>
      <c r="D90" s="735" t="s">
        <v>182</v>
      </c>
      <c r="E90" s="627">
        <f>'26'!F90</f>
        <v>3273.6</v>
      </c>
      <c r="F90" s="650">
        <v>3274</v>
      </c>
      <c r="G90" s="708">
        <f t="shared" si="8"/>
        <v>0.40000000000009095</v>
      </c>
      <c r="H90" s="708">
        <f>G90</f>
        <v>0.40000000000009095</v>
      </c>
      <c r="I90" s="655"/>
      <c r="J90" s="710">
        <f>H90/DAY(B2)</f>
        <v>1.4814814814818182E-2</v>
      </c>
      <c r="K90" s="736"/>
      <c r="L90" s="737"/>
      <c r="N90" s="780"/>
      <c r="O90" s="382"/>
    </row>
    <row r="91" spans="1:15" s="738" customFormat="1">
      <c r="A91" s="733" t="s">
        <v>361</v>
      </c>
      <c r="B91" s="734"/>
      <c r="C91" s="734"/>
      <c r="D91" s="735"/>
      <c r="E91" s="627">
        <f>'26'!F91</f>
        <v>28000.92</v>
      </c>
      <c r="F91" s="650">
        <v>28005</v>
      </c>
      <c r="G91" s="708">
        <f t="shared" si="8"/>
        <v>4.0800000000017462</v>
      </c>
      <c r="H91" s="708">
        <f>G91</f>
        <v>4.0800000000017462</v>
      </c>
      <c r="I91" s="655"/>
      <c r="J91" s="710"/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1" t="s">
        <v>205</v>
      </c>
      <c r="B93" s="1552"/>
      <c r="C93" s="1553"/>
      <c r="D93" s="523" t="s">
        <v>143</v>
      </c>
      <c r="E93" s="484">
        <f>'26'!F93</f>
        <v>245276</v>
      </c>
      <c r="F93" s="478">
        <v>245311</v>
      </c>
      <c r="G93" s="473">
        <f t="shared" ref="G93:G94" si="9">F93-E93</f>
        <v>35</v>
      </c>
      <c r="H93" s="460">
        <f>G93+'26'!H93</f>
        <v>887</v>
      </c>
      <c r="I93" s="480"/>
      <c r="J93" s="552">
        <f>H93/DAY(B2)</f>
        <v>32.851851851851855</v>
      </c>
      <c r="K93" s="429"/>
      <c r="L93" s="377"/>
      <c r="N93" s="382"/>
    </row>
    <row r="94" spans="1:15" ht="27.75">
      <c r="A94" s="1551" t="s">
        <v>206</v>
      </c>
      <c r="B94" s="1552"/>
      <c r="C94" s="1553"/>
      <c r="D94" s="523" t="s">
        <v>143</v>
      </c>
      <c r="E94" s="484">
        <f>'26'!F94</f>
        <v>185696</v>
      </c>
      <c r="F94" s="485">
        <v>185782</v>
      </c>
      <c r="G94" s="473">
        <f t="shared" si="9"/>
        <v>86</v>
      </c>
      <c r="H94" s="460">
        <f>G94+'26'!H94</f>
        <v>2251</v>
      </c>
      <c r="I94" s="480"/>
      <c r="J94" s="552">
        <f>H94/DAY(B2)</f>
        <v>83.370370370370367</v>
      </c>
      <c r="K94" s="380"/>
      <c r="L94" s="377"/>
      <c r="N94" s="382"/>
    </row>
    <row r="95" spans="1:15">
      <c r="A95" s="1579" t="s">
        <v>207</v>
      </c>
      <c r="B95" s="1580"/>
      <c r="C95" s="1581"/>
      <c r="D95" s="523"/>
      <c r="E95" s="484">
        <f>'26'!F95</f>
        <v>0</v>
      </c>
      <c r="F95" s="478"/>
      <c r="G95" s="473">
        <f>G93+G94</f>
        <v>121</v>
      </c>
      <c r="H95" s="460">
        <f>G95+'26'!H95</f>
        <v>2991</v>
      </c>
      <c r="I95" s="480"/>
      <c r="J95" s="552">
        <f>H95/DAY(B2)</f>
        <v>110.77777777777777</v>
      </c>
      <c r="K95" s="380"/>
      <c r="L95" s="377"/>
      <c r="N95" s="382"/>
    </row>
    <row r="96" spans="1:15" ht="27.75">
      <c r="A96" s="1551" t="s">
        <v>208</v>
      </c>
      <c r="B96" s="1552"/>
      <c r="C96" s="1553"/>
      <c r="D96" s="523" t="s">
        <v>143</v>
      </c>
      <c r="E96" s="484">
        <f>'26'!F96</f>
        <v>414045</v>
      </c>
      <c r="F96" s="478">
        <v>414094</v>
      </c>
      <c r="G96" s="473">
        <f t="shared" ref="G96:G101" si="10">F96-E96</f>
        <v>49</v>
      </c>
      <c r="H96" s="460">
        <f>G96+'26'!H96</f>
        <v>1208</v>
      </c>
      <c r="I96" s="480"/>
      <c r="J96" s="552">
        <f>H96/DAY(B2)</f>
        <v>44.74074074074074</v>
      </c>
      <c r="K96" s="380"/>
      <c r="L96" s="377"/>
      <c r="N96" s="382"/>
    </row>
    <row r="97" spans="1:14" ht="27.75">
      <c r="A97" s="1143" t="s">
        <v>209</v>
      </c>
      <c r="B97" s="1144"/>
      <c r="C97" s="1144"/>
      <c r="D97" s="523" t="s">
        <v>143</v>
      </c>
      <c r="E97" s="484">
        <f>'26'!F97</f>
        <v>102596</v>
      </c>
      <c r="F97" s="478">
        <v>102607</v>
      </c>
      <c r="G97" s="473">
        <f t="shared" si="10"/>
        <v>11</v>
      </c>
      <c r="H97" s="460">
        <f>G97+'26'!H97</f>
        <v>264</v>
      </c>
      <c r="I97" s="480"/>
      <c r="J97" s="552">
        <f>H97/DAY(B2)</f>
        <v>9.7777777777777786</v>
      </c>
      <c r="K97" s="427"/>
      <c r="L97" s="377"/>
      <c r="N97" s="382"/>
    </row>
    <row r="98" spans="1:14" ht="27.75">
      <c r="A98" s="1143" t="s">
        <v>210</v>
      </c>
      <c r="B98" s="1144"/>
      <c r="C98" s="1144"/>
      <c r="D98" s="523" t="s">
        <v>143</v>
      </c>
      <c r="E98" s="484">
        <f>'26'!F98</f>
        <v>97827</v>
      </c>
      <c r="F98" s="478">
        <v>97844</v>
      </c>
      <c r="G98" s="473">
        <f t="shared" si="10"/>
        <v>17</v>
      </c>
      <c r="H98" s="460">
        <f>G98+'26'!H98</f>
        <v>417</v>
      </c>
      <c r="I98" s="480"/>
      <c r="J98" s="552">
        <f>H98/DAY(B2)</f>
        <v>15.444444444444445</v>
      </c>
      <c r="K98" s="432"/>
      <c r="L98" s="377"/>
      <c r="N98" s="807"/>
    </row>
    <row r="99" spans="1:14" ht="27.75">
      <c r="A99" s="1143" t="s">
        <v>211</v>
      </c>
      <c r="B99" s="1144"/>
      <c r="C99" s="1144"/>
      <c r="D99" s="523" t="s">
        <v>143</v>
      </c>
      <c r="E99" s="484">
        <f>'26'!F99</f>
        <v>149830</v>
      </c>
      <c r="F99" s="478">
        <v>149838</v>
      </c>
      <c r="G99" s="473">
        <f t="shared" si="10"/>
        <v>8</v>
      </c>
      <c r="H99" s="460">
        <f>G99+'26'!H99</f>
        <v>305</v>
      </c>
      <c r="I99" s="480"/>
      <c r="J99" s="552">
        <f>H99/DAY(B2)</f>
        <v>11.296296296296296</v>
      </c>
      <c r="K99" s="380"/>
      <c r="L99" s="377"/>
      <c r="N99" s="1032"/>
    </row>
    <row r="100" spans="1:14" ht="27.75">
      <c r="A100" s="1143" t="s">
        <v>212</v>
      </c>
      <c r="B100" s="1144"/>
      <c r="C100" s="1144"/>
      <c r="D100" s="523" t="s">
        <v>143</v>
      </c>
      <c r="E100" s="484">
        <f>'26'!F100</f>
        <v>7338</v>
      </c>
      <c r="F100" s="478">
        <v>7345</v>
      </c>
      <c r="G100" s="473">
        <f t="shared" si="10"/>
        <v>7</v>
      </c>
      <c r="H100" s="460">
        <f>G100+'26'!H100</f>
        <v>160</v>
      </c>
      <c r="I100" s="480"/>
      <c r="J100" s="552">
        <f>H100/DAY(B2)</f>
        <v>5.9259259259259256</v>
      </c>
      <c r="K100" s="380"/>
      <c r="L100" s="377"/>
      <c r="N100" s="807"/>
    </row>
    <row r="101" spans="1:14" ht="27.75">
      <c r="A101" s="1143" t="s">
        <v>213</v>
      </c>
      <c r="B101" s="1144"/>
      <c r="C101" s="1144"/>
      <c r="D101" s="523" t="s">
        <v>143</v>
      </c>
      <c r="E101" s="484">
        <f>'26'!F101</f>
        <v>5347</v>
      </c>
      <c r="F101" s="478">
        <v>5354</v>
      </c>
      <c r="G101" s="473">
        <f t="shared" si="10"/>
        <v>7</v>
      </c>
      <c r="H101" s="460">
        <f>G101+'26'!H101</f>
        <v>216</v>
      </c>
      <c r="I101" s="480"/>
      <c r="J101" s="552">
        <f>H101/DAY(B2)</f>
        <v>8</v>
      </c>
      <c r="K101" s="380"/>
      <c r="L101" s="377"/>
      <c r="N101" s="807"/>
    </row>
    <row r="102" spans="1:14">
      <c r="A102" s="1579" t="s">
        <v>215</v>
      </c>
      <c r="B102" s="1580"/>
      <c r="C102" s="1581"/>
      <c r="D102" s="524"/>
      <c r="E102" s="524"/>
      <c r="F102" s="524"/>
      <c r="G102" s="525">
        <f>SUM(G96:G101)</f>
        <v>99</v>
      </c>
      <c r="H102" s="460">
        <f>G102+'26'!H102</f>
        <v>2570</v>
      </c>
      <c r="I102" s="526"/>
      <c r="J102" s="552">
        <f>H102/DAY(B2)</f>
        <v>95.18518518518519</v>
      </c>
      <c r="K102" s="380"/>
      <c r="L102" s="377"/>
      <c r="N102" s="807"/>
    </row>
    <row r="103" spans="1:14" s="442" customFormat="1" ht="27">
      <c r="A103" s="607" t="s">
        <v>216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82" t="s">
        <v>217</v>
      </c>
      <c r="B104" s="1583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43" t="s">
        <v>218</v>
      </c>
      <c r="B105" s="1544"/>
      <c r="C105" s="1142"/>
      <c r="D105" s="622" t="s">
        <v>143</v>
      </c>
      <c r="E105" s="532">
        <f>'26'!F105</f>
        <v>7484</v>
      </c>
      <c r="F105" s="661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>
      <c r="A106" s="1543" t="s">
        <v>77</v>
      </c>
      <c r="B106" s="1544"/>
      <c r="C106" s="1142"/>
      <c r="D106" s="622" t="s">
        <v>143</v>
      </c>
      <c r="E106" s="532">
        <f>'26'!F106</f>
        <v>35924</v>
      </c>
      <c r="F106" s="806">
        <v>35924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1.8518518518518519</v>
      </c>
      <c r="N106" s="382"/>
    </row>
    <row r="107" spans="1:14" s="442" customFormat="1" ht="27.75">
      <c r="A107" s="1543" t="s">
        <v>78</v>
      </c>
      <c r="B107" s="1584"/>
      <c r="C107" s="1544"/>
      <c r="D107" s="622" t="s">
        <v>143</v>
      </c>
      <c r="E107" s="532">
        <f>'26'!F107</f>
        <v>19692</v>
      </c>
      <c r="F107" s="662">
        <v>19694</v>
      </c>
      <c r="G107" s="532">
        <f t="shared" si="11"/>
        <v>2</v>
      </c>
      <c r="H107" s="533">
        <f>SUM(G107+'1'!G78)</f>
        <v>126</v>
      </c>
      <c r="I107" s="532"/>
      <c r="J107" s="558">
        <f>H107/DAY(B2)</f>
        <v>4.666666666666667</v>
      </c>
      <c r="N107" s="382"/>
    </row>
    <row r="108" spans="1:14" s="442" customFormat="1" ht="27.75">
      <c r="A108" s="1545" t="s">
        <v>201</v>
      </c>
      <c r="B108" s="1546"/>
      <c r="C108" s="1142"/>
      <c r="D108" s="622"/>
      <c r="E108" s="532">
        <f>'26'!F108</f>
        <v>0</v>
      </c>
      <c r="F108" s="662"/>
      <c r="G108" s="532">
        <f>SUM(G105:G107)</f>
        <v>2</v>
      </c>
      <c r="H108" s="533">
        <f>SUM(G108+'1'!G79)</f>
        <v>191</v>
      </c>
      <c r="I108" s="532"/>
      <c r="J108" s="558">
        <f>H108/DAY(B2)</f>
        <v>7.0740740740740744</v>
      </c>
      <c r="N108" s="382"/>
    </row>
    <row r="109" spans="1:14" s="442" customFormat="1" ht="27.75">
      <c r="A109" s="1549" t="s">
        <v>79</v>
      </c>
      <c r="B109" s="1550"/>
      <c r="C109" s="1142"/>
      <c r="D109" s="622" t="s">
        <v>143</v>
      </c>
      <c r="E109" s="532">
        <f>'26'!F109</f>
        <v>0</v>
      </c>
      <c r="F109" s="662"/>
      <c r="G109" s="532"/>
      <c r="H109" s="533"/>
      <c r="I109" s="532"/>
      <c r="J109" s="558"/>
      <c r="N109" s="382"/>
    </row>
    <row r="110" spans="1:14" s="442" customFormat="1" ht="27.75">
      <c r="A110" s="1543" t="s">
        <v>219</v>
      </c>
      <c r="B110" s="1544"/>
      <c r="C110" s="1142"/>
      <c r="D110" s="622" t="s">
        <v>143</v>
      </c>
      <c r="E110" s="532">
        <f>'26'!F110</f>
        <v>62518</v>
      </c>
      <c r="F110" s="806">
        <v>62589</v>
      </c>
      <c r="G110" s="532">
        <f>F110-E110</f>
        <v>71</v>
      </c>
      <c r="H110" s="533">
        <f>SUM(G110+'1'!G81)</f>
        <v>152</v>
      </c>
      <c r="I110" s="532"/>
      <c r="J110" s="558">
        <f>H110/DAY(B2)</f>
        <v>5.6296296296296298</v>
      </c>
      <c r="N110" s="382"/>
    </row>
    <row r="111" spans="1:14" s="442" customFormat="1" ht="27.75">
      <c r="A111" s="1543" t="s">
        <v>220</v>
      </c>
      <c r="B111" s="1544"/>
      <c r="C111" s="1142"/>
      <c r="D111" s="622" t="s">
        <v>143</v>
      </c>
      <c r="E111" s="532">
        <f>'26'!F111</f>
        <v>32542</v>
      </c>
      <c r="F111" s="806">
        <v>32542</v>
      </c>
      <c r="G111" s="532">
        <f t="shared" ref="G111:G112" si="12">F111-E111</f>
        <v>0</v>
      </c>
      <c r="H111" s="533">
        <f>SUM(G111+'1'!G82)</f>
        <v>12</v>
      </c>
      <c r="I111" s="532"/>
      <c r="J111" s="558">
        <f>H111/DAY(B2)</f>
        <v>0.44444444444444442</v>
      </c>
      <c r="N111" s="382"/>
    </row>
    <row r="112" spans="1:14" s="442" customFormat="1" ht="27.75">
      <c r="A112" s="1543" t="s">
        <v>221</v>
      </c>
      <c r="B112" s="1544"/>
      <c r="C112" s="1142"/>
      <c r="D112" s="622" t="s">
        <v>143</v>
      </c>
      <c r="E112" s="532">
        <f>'26'!F112</f>
        <v>4543</v>
      </c>
      <c r="F112" s="662">
        <v>4559</v>
      </c>
      <c r="G112" s="534">
        <f t="shared" si="12"/>
        <v>16</v>
      </c>
      <c r="H112" s="533">
        <f>SUM(G112+'1'!G83)</f>
        <v>271</v>
      </c>
      <c r="I112" s="532"/>
      <c r="J112" s="558">
        <f>H112/DAY(B2)</f>
        <v>10.037037037037036</v>
      </c>
      <c r="N112" s="382"/>
    </row>
    <row r="113" spans="1:14" s="442" customFormat="1" ht="27.75">
      <c r="A113" s="1545" t="s">
        <v>110</v>
      </c>
      <c r="B113" s="1546"/>
      <c r="C113" s="1142"/>
      <c r="D113" s="622"/>
      <c r="E113" s="532">
        <f>'26'!F113</f>
        <v>0</v>
      </c>
      <c r="F113" s="662"/>
      <c r="G113" s="532">
        <f>SUM(G110:G112)</f>
        <v>87</v>
      </c>
      <c r="H113" s="533">
        <f>SUM(G113+'1'!G84)</f>
        <v>802</v>
      </c>
      <c r="I113" s="532"/>
      <c r="J113" s="558">
        <f>H113/DAY(B2)</f>
        <v>29.703703703703702</v>
      </c>
      <c r="N113" s="382"/>
    </row>
    <row r="114" spans="1:14" s="442" customFormat="1" ht="27.75">
      <c r="A114" s="1549" t="s">
        <v>222</v>
      </c>
      <c r="B114" s="1550"/>
      <c r="C114" s="1142"/>
      <c r="D114" s="622"/>
      <c r="E114" s="532">
        <f>'26'!F114</f>
        <v>0</v>
      </c>
      <c r="F114" s="662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43" t="s">
        <v>223</v>
      </c>
      <c r="B115" s="1544"/>
      <c r="C115" s="574"/>
      <c r="D115" s="622" t="s">
        <v>143</v>
      </c>
      <c r="E115" s="532">
        <f>'26'!F115</f>
        <v>11457</v>
      </c>
      <c r="F115" s="662">
        <v>11467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0.37037037037037035</v>
      </c>
      <c r="N115" s="382"/>
    </row>
    <row r="116" spans="1:14" s="442" customFormat="1" ht="27.75">
      <c r="A116" s="1543" t="s">
        <v>224</v>
      </c>
      <c r="B116" s="1544"/>
      <c r="C116" s="574"/>
      <c r="D116" s="622" t="s">
        <v>143</v>
      </c>
      <c r="E116" s="532">
        <f>'26'!F116</f>
        <v>8279</v>
      </c>
      <c r="F116" s="662">
        <v>8285</v>
      </c>
      <c r="G116" s="534">
        <f t="shared" ref="G116:G117" si="13">F116-E116</f>
        <v>6</v>
      </c>
      <c r="H116" s="533">
        <f>SUM(G116+'1'!G93)</f>
        <v>58</v>
      </c>
      <c r="I116" s="532"/>
      <c r="J116" s="558">
        <f>H116/DAY(B2)</f>
        <v>2.1481481481481484</v>
      </c>
      <c r="N116" s="382"/>
    </row>
    <row r="117" spans="1:14" s="442" customFormat="1" ht="27.75">
      <c r="A117" s="1543" t="s">
        <v>225</v>
      </c>
      <c r="B117" s="1544"/>
      <c r="C117" s="574"/>
      <c r="D117" s="622" t="s">
        <v>143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3.5185185185185186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2"/>
      <c r="G118" s="534">
        <f>SUM(G115:G117)</f>
        <v>16</v>
      </c>
      <c r="H118" s="533">
        <f>SUM(G118+'1'!G96)</f>
        <v>88</v>
      </c>
      <c r="I118" s="534"/>
      <c r="J118" s="558">
        <f>H118/DAY(B2)</f>
        <v>3.2592592592592591</v>
      </c>
      <c r="N118" s="382"/>
    </row>
    <row r="119" spans="1:14" s="446" customFormat="1" ht="27.75">
      <c r="A119" s="1539" t="s">
        <v>226</v>
      </c>
      <c r="B119" s="1540"/>
      <c r="C119" s="1140"/>
      <c r="D119" s="624" t="s">
        <v>143</v>
      </c>
      <c r="E119" s="536"/>
      <c r="F119" s="663"/>
      <c r="G119" s="536">
        <f>SUM(G19+G93)</f>
        <v>96</v>
      </c>
      <c r="H119" s="533">
        <f>SUM(G119+'1'!G97)</f>
        <v>108</v>
      </c>
      <c r="I119" s="535"/>
      <c r="J119" s="559">
        <f>H119/DAY(B2)</f>
        <v>4</v>
      </c>
      <c r="N119" s="382"/>
    </row>
    <row r="120" spans="1:14" s="446" customFormat="1" ht="27.75">
      <c r="A120" s="1539" t="s">
        <v>227</v>
      </c>
      <c r="B120" s="1540"/>
      <c r="C120" s="1140"/>
      <c r="D120" s="624" t="s">
        <v>143</v>
      </c>
      <c r="E120" s="536"/>
      <c r="F120" s="663"/>
      <c r="G120" s="536">
        <f>SUM(G96,G97,G98,G100,G101)</f>
        <v>91</v>
      </c>
      <c r="H120" s="533">
        <f>SUM(G120+'1'!G99)</f>
        <v>96</v>
      </c>
      <c r="I120" s="535"/>
      <c r="J120" s="559">
        <f>H120/DAY(B2)</f>
        <v>3.5555555555555554</v>
      </c>
      <c r="N120" s="382"/>
    </row>
    <row r="121" spans="1:14" s="446" customFormat="1" ht="27.75">
      <c r="A121" s="1539" t="s">
        <v>228</v>
      </c>
      <c r="B121" s="1540"/>
      <c r="C121" s="1140"/>
      <c r="D121" s="624" t="s">
        <v>143</v>
      </c>
      <c r="E121" s="534"/>
      <c r="F121" s="662"/>
      <c r="G121" s="534">
        <f>SUM(G113)</f>
        <v>87</v>
      </c>
      <c r="H121" s="533">
        <f>SUM(G121+'1'!G101)</f>
        <v>93</v>
      </c>
      <c r="I121" s="535"/>
      <c r="J121" s="559">
        <f>H121/DAY(B2)</f>
        <v>3.4444444444444446</v>
      </c>
      <c r="N121" s="382"/>
    </row>
    <row r="122" spans="1:14" s="442" customFormat="1" ht="27.75">
      <c r="A122" s="1541"/>
      <c r="B122" s="1542"/>
      <c r="C122" s="1141"/>
      <c r="D122" s="560"/>
      <c r="E122" s="560"/>
      <c r="F122" s="664"/>
      <c r="G122" s="560"/>
      <c r="H122" s="561"/>
      <c r="I122" s="560"/>
      <c r="J122" s="562"/>
      <c r="N122" s="382"/>
    </row>
    <row r="123" spans="1:14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230</v>
      </c>
      <c r="B124" s="1144"/>
      <c r="C124" s="1144"/>
      <c r="D124" s="523" t="s">
        <v>140</v>
      </c>
      <c r="E124" s="478">
        <f>'26'!F124</f>
        <v>831372.91</v>
      </c>
      <c r="F124" s="478">
        <v>831578</v>
      </c>
      <c r="G124" s="473">
        <f t="shared" ref="G124:G128" si="14">F124-E124</f>
        <v>205.0899999999674</v>
      </c>
      <c r="H124" s="460">
        <f>G124+'26'!H124</f>
        <v>5489.5400000000373</v>
      </c>
      <c r="I124" s="526">
        <f>G124/5</f>
        <v>41.017999999993478</v>
      </c>
      <c r="J124" s="552">
        <f>H124/DAY(B2)</f>
        <v>203.31629629629768</v>
      </c>
      <c r="K124" s="380"/>
      <c r="L124" s="377"/>
      <c r="N124" s="382"/>
    </row>
    <row r="125" spans="1:14" ht="27.75">
      <c r="A125" s="1143" t="s">
        <v>231</v>
      </c>
      <c r="B125" s="1144"/>
      <c r="C125" s="1144"/>
      <c r="D125" s="523" t="s">
        <v>140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0" t="s">
        <v>232</v>
      </c>
      <c r="B126" s="1531"/>
      <c r="C126" s="1532"/>
      <c r="D126" s="523" t="s">
        <v>140</v>
      </c>
      <c r="E126" s="478">
        <f>'26'!F126</f>
        <v>146182.97</v>
      </c>
      <c r="F126" s="485">
        <v>146236</v>
      </c>
      <c r="G126" s="473">
        <f t="shared" si="14"/>
        <v>53.029999999998836</v>
      </c>
      <c r="H126" s="460">
        <f>G126+'26'!H126</f>
        <v>1548.5599999999977</v>
      </c>
      <c r="I126" s="526"/>
      <c r="J126" s="552">
        <f>H126/DAY(B2)</f>
        <v>57.354074074073985</v>
      </c>
      <c r="K126" s="380"/>
      <c r="L126" s="377"/>
      <c r="N126" s="382"/>
    </row>
    <row r="127" spans="1:14" ht="27.75">
      <c r="A127" s="609" t="s">
        <v>233</v>
      </c>
      <c r="B127" s="1144"/>
      <c r="C127" s="1144"/>
      <c r="D127" s="523" t="s">
        <v>140</v>
      </c>
      <c r="E127" s="478">
        <f>'26'!F127</f>
        <v>31404.2</v>
      </c>
      <c r="F127" s="626">
        <v>31404.2</v>
      </c>
      <c r="G127" s="473">
        <f t="shared" si="14"/>
        <v>0</v>
      </c>
      <c r="H127" s="460">
        <f>G127+'26'!H127</f>
        <v>0.2000000000007276</v>
      </c>
      <c r="I127" s="526"/>
      <c r="J127" s="552">
        <f>H127/DAY(B2)</f>
        <v>7.4074074074343558E-3</v>
      </c>
      <c r="K127" s="380"/>
      <c r="L127" s="377"/>
      <c r="N127" s="382"/>
    </row>
    <row r="128" spans="1:14" ht="27.75">
      <c r="A128" s="609" t="s">
        <v>234</v>
      </c>
      <c r="B128" s="1144"/>
      <c r="C128" s="1144"/>
      <c r="D128" s="523" t="s">
        <v>140</v>
      </c>
      <c r="E128" s="478">
        <f>'26'!F128</f>
        <v>8970.6</v>
      </c>
      <c r="F128" s="626">
        <v>8970.6</v>
      </c>
      <c r="G128" s="473">
        <f t="shared" si="14"/>
        <v>0</v>
      </c>
      <c r="H128" s="460">
        <f>G128+'26'!H128</f>
        <v>0.8999999999996362</v>
      </c>
      <c r="I128" s="480"/>
      <c r="J128" s="552">
        <f>H128/DAY(B2)</f>
        <v>3.3333333333319858E-2</v>
      </c>
      <c r="K128" s="380"/>
      <c r="L128" s="377"/>
      <c r="N128" s="382"/>
    </row>
    <row r="129" spans="1:14" s="281" customFormat="1" ht="27.75">
      <c r="A129" s="609" t="s">
        <v>235</v>
      </c>
      <c r="B129" s="1144"/>
      <c r="C129" s="1144"/>
      <c r="D129" s="523"/>
      <c r="E129" s="478"/>
      <c r="F129" s="478"/>
      <c r="G129" s="473">
        <f>G15-SUM(G124:G128)</f>
        <v>356.88000000003376</v>
      </c>
      <c r="H129" s="460">
        <f>G129+'26'!H129</f>
        <v>2374.1999999999989</v>
      </c>
      <c r="I129" s="480"/>
      <c r="J129" s="552">
        <f>H129/DAY(B2)</f>
        <v>87.933333333333294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237</v>
      </c>
      <c r="B131" s="1144"/>
      <c r="C131" s="1144"/>
      <c r="D131" s="523" t="s">
        <v>238</v>
      </c>
      <c r="E131" s="484">
        <f>'26'!F131</f>
        <v>0</v>
      </c>
      <c r="F131" s="478"/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3" t="s">
        <v>239</v>
      </c>
      <c r="B132" s="1144"/>
      <c r="C132" s="1144"/>
      <c r="D132" s="523" t="s">
        <v>238</v>
      </c>
      <c r="E132" s="484">
        <f>'26'!F132</f>
        <v>0</v>
      </c>
      <c r="F132" s="478"/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3" t="s">
        <v>240</v>
      </c>
      <c r="B133" s="1144"/>
      <c r="C133" s="1144"/>
      <c r="D133" s="523" t="s">
        <v>238</v>
      </c>
      <c r="E133" s="484">
        <f>'26'!F133</f>
        <v>40059.1</v>
      </c>
      <c r="F133" s="485">
        <v>40059.1</v>
      </c>
      <c r="G133" s="473">
        <f t="shared" si="15"/>
        <v>0</v>
      </c>
      <c r="H133" s="460">
        <f>G133+'26'!H133</f>
        <v>312.61999999999534</v>
      </c>
      <c r="I133" s="480"/>
      <c r="J133" s="552">
        <f>H133/DAY(B2)</f>
        <v>11.578518518518345</v>
      </c>
      <c r="N133" s="382"/>
    </row>
    <row r="134" spans="1:14" ht="27.75">
      <c r="A134" s="1143" t="s">
        <v>241</v>
      </c>
      <c r="B134" s="1144"/>
      <c r="C134" s="1144"/>
      <c r="D134" s="523" t="s">
        <v>238</v>
      </c>
      <c r="E134" s="484">
        <f>'26'!F134</f>
        <v>300</v>
      </c>
      <c r="F134" s="654">
        <v>300</v>
      </c>
      <c r="G134" s="473">
        <f t="shared" si="15"/>
        <v>0</v>
      </c>
      <c r="H134" s="460">
        <f>G134+'26'!H134</f>
        <v>0</v>
      </c>
      <c r="I134" s="480">
        <f>G131+G132+G133+G134</f>
        <v>0</v>
      </c>
      <c r="J134" s="552">
        <f>H134/DAY(B2)</f>
        <v>0</v>
      </c>
      <c r="N134" s="382"/>
    </row>
    <row r="135" spans="1:14" ht="27.75">
      <c r="A135" s="1143" t="s">
        <v>242</v>
      </c>
      <c r="B135" s="1144"/>
      <c r="C135" s="1144"/>
      <c r="D135" s="523" t="s">
        <v>238</v>
      </c>
      <c r="E135" s="484">
        <f>'26'!F135</f>
        <v>41730.339999999997</v>
      </c>
      <c r="F135" s="485">
        <v>41730.339999999997</v>
      </c>
      <c r="G135" s="473">
        <f t="shared" si="15"/>
        <v>0</v>
      </c>
      <c r="H135" s="460">
        <f>G135+'26'!H135</f>
        <v>71.94999999999709</v>
      </c>
      <c r="I135" s="480"/>
      <c r="J135" s="552">
        <f>H135/DAY(B2)</f>
        <v>2.6648148148147071</v>
      </c>
      <c r="N135" s="382"/>
    </row>
    <row r="136" spans="1:14" ht="27.75">
      <c r="A136" s="1143" t="s">
        <v>243</v>
      </c>
      <c r="B136" s="1144"/>
      <c r="C136" s="1144"/>
      <c r="D136" s="523" t="s">
        <v>238</v>
      </c>
      <c r="E136" s="484">
        <f>'26'!F136</f>
        <v>32595</v>
      </c>
      <c r="F136" s="485">
        <v>32619.040000000001</v>
      </c>
      <c r="G136" s="473">
        <f t="shared" si="15"/>
        <v>24.040000000000873</v>
      </c>
      <c r="H136" s="460">
        <f>G136+'26'!H136</f>
        <v>49.110000000000582</v>
      </c>
      <c r="I136" s="480"/>
      <c r="J136" s="552">
        <f>H136/DAY(B2)</f>
        <v>1.8188888888889105</v>
      </c>
      <c r="N136" s="382"/>
    </row>
    <row r="137" spans="1:14" ht="27.75">
      <c r="A137" s="1143" t="s">
        <v>244</v>
      </c>
      <c r="B137" s="1144"/>
      <c r="C137" s="1144"/>
      <c r="D137" s="523" t="s">
        <v>238</v>
      </c>
      <c r="E137" s="484">
        <f>'26'!F137</f>
        <v>22791.360000000001</v>
      </c>
      <c r="F137" s="485">
        <v>22791.360000000001</v>
      </c>
      <c r="G137" s="473">
        <f t="shared" si="15"/>
        <v>0</v>
      </c>
      <c r="H137" s="460">
        <f>G137+'26'!H137</f>
        <v>51.770000000000437</v>
      </c>
      <c r="I137" s="480">
        <f>G135+G136+G137</f>
        <v>24.040000000000873</v>
      </c>
      <c r="J137" s="552">
        <f>H137/DAY(B2)</f>
        <v>1.9174074074074237</v>
      </c>
      <c r="N137" s="382"/>
    </row>
    <row r="138" spans="1:14" ht="27.75">
      <c r="A138" s="1143" t="s">
        <v>245</v>
      </c>
      <c r="B138" s="1144"/>
      <c r="C138" s="1144"/>
      <c r="D138" s="523" t="s">
        <v>238</v>
      </c>
      <c r="E138" s="484">
        <f>'26'!F138</f>
        <v>25051.72</v>
      </c>
      <c r="F138" s="654">
        <v>25051.72</v>
      </c>
      <c r="G138" s="473">
        <f t="shared" si="15"/>
        <v>0</v>
      </c>
      <c r="H138" s="460">
        <f>G138+'26'!H138</f>
        <v>8</v>
      </c>
      <c r="I138" s="480"/>
      <c r="J138" s="552">
        <f>H138/DAY(B2)</f>
        <v>0.29629629629629628</v>
      </c>
      <c r="N138" s="382"/>
    </row>
    <row r="139" spans="1:14" ht="27.75">
      <c r="A139" s="1143" t="s">
        <v>246</v>
      </c>
      <c r="B139" s="1144"/>
      <c r="C139" s="1144"/>
      <c r="D139" s="523" t="s">
        <v>238</v>
      </c>
      <c r="E139" s="484">
        <f>'26'!F139</f>
        <v>70392.179999999993</v>
      </c>
      <c r="F139" s="485">
        <v>70401.960000000006</v>
      </c>
      <c r="G139" s="473">
        <f t="shared" si="15"/>
        <v>9.7800000000133878</v>
      </c>
      <c r="H139" s="460">
        <f>G139+'26'!H139</f>
        <v>37.860000000000582</v>
      </c>
      <c r="I139" s="480">
        <f>G138+G139</f>
        <v>9.7800000000133878</v>
      </c>
      <c r="J139" s="552">
        <f>H139/DAY(B2)</f>
        <v>1.4022222222222438</v>
      </c>
      <c r="N139" s="382"/>
    </row>
    <row r="140" spans="1:14" ht="27.75">
      <c r="A140" s="1143" t="s">
        <v>247</v>
      </c>
      <c r="B140" s="1144"/>
      <c r="C140" s="1144"/>
      <c r="D140" s="523" t="s">
        <v>238</v>
      </c>
      <c r="E140" s="484">
        <f>'26'!F140</f>
        <v>1817.18</v>
      </c>
      <c r="F140" s="485">
        <v>1824.81</v>
      </c>
      <c r="G140" s="473">
        <f t="shared" si="15"/>
        <v>7.6299999999998818</v>
      </c>
      <c r="H140" s="460">
        <f>G140+'26'!H140</f>
        <v>207.95000000000005</v>
      </c>
      <c r="I140" s="542"/>
      <c r="J140" s="552">
        <f>H140/DAY(B2)</f>
        <v>7.7018518518518535</v>
      </c>
      <c r="N140" s="382"/>
    </row>
    <row r="141" spans="1:14" ht="27.75">
      <c r="A141" s="1143" t="s">
        <v>248</v>
      </c>
      <c r="B141" s="1144"/>
      <c r="C141" s="1144"/>
      <c r="D141" s="523" t="s">
        <v>238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57" t="s">
        <v>249</v>
      </c>
      <c r="B142" s="1558"/>
      <c r="C142" s="1149"/>
      <c r="D142" s="472"/>
      <c r="E142" s="472"/>
      <c r="F142" s="472" t="s">
        <v>214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4826.9499999999534</v>
      </c>
      <c r="H143" s="460">
        <f>G143+'26'!H143</f>
        <v>113172</v>
      </c>
      <c r="I143" s="480"/>
      <c r="J143" s="552">
        <f>H143/DAY(B2)</f>
        <v>4191.5555555555557</v>
      </c>
      <c r="K143" s="380"/>
      <c r="L143" s="377"/>
      <c r="N143" s="382"/>
    </row>
    <row r="144" spans="1:14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0.28779176705498116</v>
      </c>
      <c r="H144" s="460">
        <f>G144+'26'!H144</f>
        <v>7.1090986962042022</v>
      </c>
      <c r="I144" s="544"/>
      <c r="J144" s="552">
        <f>H144/DAY(B2)</f>
        <v>0.26329995171126674</v>
      </c>
      <c r="K144" s="380"/>
      <c r="L144" s="377"/>
      <c r="N144" s="382"/>
    </row>
    <row r="145" spans="1:14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4767.4700000000012</v>
      </c>
      <c r="H145" s="460">
        <f>G145+'26'!H145</f>
        <v>134166.53000000003</v>
      </c>
      <c r="I145" s="480"/>
      <c r="J145" s="552">
        <f>H145/DAY(B2)</f>
        <v>4969.1307407407421</v>
      </c>
      <c r="K145" s="380"/>
      <c r="L145" s="377"/>
      <c r="N145" s="382"/>
    </row>
    <row r="146" spans="1:14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0.28424545845339699</v>
      </c>
      <c r="H146" s="460">
        <f>G146+'26'!H146</f>
        <v>8.433664164638202</v>
      </c>
      <c r="I146" s="544"/>
      <c r="J146" s="552">
        <f>H146/DAY(B2)</f>
        <v>0.3123579320236371</v>
      </c>
      <c r="K146" s="380"/>
      <c r="L146" s="377"/>
      <c r="N146" s="382"/>
    </row>
    <row r="147" spans="1:14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2773.9800000000396</v>
      </c>
      <c r="H147" s="460">
        <f>G147+'26'!H147</f>
        <v>66534</v>
      </c>
      <c r="I147" s="545"/>
      <c r="J147" s="552">
        <f>H147/DAY(B2)</f>
        <v>2464.2222222222222</v>
      </c>
      <c r="K147" s="380"/>
      <c r="L147" s="377"/>
      <c r="N147" s="382"/>
    </row>
    <row r="148" spans="1:14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0.1653898644019921</v>
      </c>
      <c r="H148" s="460">
        <f>G148+'26'!H148</f>
        <v>4.180461173393101</v>
      </c>
      <c r="I148" s="545"/>
      <c r="J148" s="552">
        <f>H148/DAY(B2)</f>
        <v>0.15483189531085559</v>
      </c>
      <c r="N148" s="382"/>
    </row>
    <row r="149" spans="1:14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1176.5400000000373</v>
      </c>
      <c r="H149" s="460">
        <f>G149+'26'!H149</f>
        <v>31816</v>
      </c>
      <c r="I149" s="480"/>
      <c r="J149" s="552">
        <f>H149/DAY(B2)</f>
        <v>1178.3703703703704</v>
      </c>
      <c r="K149" s="381"/>
      <c r="N149" s="382"/>
    </row>
    <row r="150" spans="1:14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7.0147510459168116E-2</v>
      </c>
      <c r="H150" s="460">
        <f>G150+'26'!H150</f>
        <v>2.0011957699954994</v>
      </c>
      <c r="I150" s="545"/>
      <c r="J150" s="552">
        <f>H150/DAY(B2)</f>
        <v>7.4118361851685161E-2</v>
      </c>
      <c r="N150" s="382"/>
    </row>
    <row r="151" spans="1:14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845.1699999999837</v>
      </c>
      <c r="H151" s="460">
        <f>G151+'26'!H151</f>
        <v>26949</v>
      </c>
      <c r="I151" s="545"/>
      <c r="J151" s="552">
        <f>H151/DAY(B2)</f>
        <v>998.11111111111109</v>
      </c>
      <c r="N151" s="382"/>
    </row>
    <row r="152" spans="1:14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5.0390612656409553E-2</v>
      </c>
      <c r="H152" s="460">
        <f>G152+'26'!H152</f>
        <v>1.686951839316676</v>
      </c>
      <c r="I152" s="480"/>
      <c r="J152" s="552">
        <f>H152/DAY(B2)</f>
        <v>6.2479697752469483E-2</v>
      </c>
      <c r="N152" s="382"/>
    </row>
    <row r="153" spans="1:14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1296.4000000000087</v>
      </c>
      <c r="H153" s="460">
        <f>G153+'26'!H153</f>
        <v>33816</v>
      </c>
      <c r="I153" s="480"/>
      <c r="J153" s="552">
        <f>H153/DAY(B2)</f>
        <v>1252.4444444444443</v>
      </c>
      <c r="N153" s="382"/>
    </row>
    <row r="154" spans="1:14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7.729378734192062E-2</v>
      </c>
      <c r="H154" s="460">
        <f>G154+'26'!H154</f>
        <v>2.1299300858817034</v>
      </c>
      <c r="I154" s="568"/>
      <c r="J154" s="569">
        <f>H154/DAY(B2)</f>
        <v>7.888629947710013E-2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61" spans="1:7">
      <c r="A161" s="787" t="s">
        <v>262</v>
      </c>
      <c r="B161" s="788"/>
      <c r="C161" s="788"/>
      <c r="D161" s="511" t="s">
        <v>186</v>
      </c>
      <c r="E161" s="541">
        <f>'26'!F161</f>
        <v>38024.69</v>
      </c>
      <c r="F161" s="661">
        <v>38104</v>
      </c>
      <c r="G161" s="473">
        <f t="shared" ref="G161:G164" si="16">F161-E161</f>
        <v>79.309999999997672</v>
      </c>
    </row>
    <row r="162" spans="1:7">
      <c r="A162" s="787" t="s">
        <v>263</v>
      </c>
      <c r="B162" s="788"/>
      <c r="C162" s="788"/>
      <c r="D162" s="511" t="s">
        <v>186</v>
      </c>
      <c r="E162" s="541">
        <f>'26'!F162</f>
        <v>92856.51</v>
      </c>
      <c r="F162" s="661">
        <v>93230</v>
      </c>
      <c r="G162" s="473">
        <f t="shared" si="16"/>
        <v>373.49000000000524</v>
      </c>
    </row>
    <row r="163" spans="1:7">
      <c r="A163" s="787" t="s">
        <v>264</v>
      </c>
      <c r="B163" s="788"/>
      <c r="C163" s="788"/>
      <c r="D163" s="511" t="s">
        <v>186</v>
      </c>
      <c r="E163" s="541">
        <f>'26'!F163</f>
        <v>43914</v>
      </c>
      <c r="F163" s="661">
        <v>44117</v>
      </c>
      <c r="G163" s="473">
        <f t="shared" si="16"/>
        <v>203</v>
      </c>
    </row>
    <row r="164" spans="1:7">
      <c r="A164" s="787" t="s">
        <v>265</v>
      </c>
      <c r="B164" s="788"/>
      <c r="C164" s="788"/>
      <c r="D164" s="511" t="s">
        <v>186</v>
      </c>
      <c r="E164" s="541">
        <f>'26'!F164</f>
        <v>6525.9</v>
      </c>
      <c r="F164" s="661">
        <v>6533</v>
      </c>
      <c r="G164" s="473">
        <f t="shared" si="16"/>
        <v>7.1000000000003638</v>
      </c>
    </row>
    <row r="165" spans="1:7">
      <c r="A165" s="789" t="s">
        <v>98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>
      <c r="A166" s="789" t="s">
        <v>187</v>
      </c>
      <c r="B166" s="604"/>
      <c r="C166" s="604"/>
      <c r="D166" s="511" t="s">
        <v>186</v>
      </c>
      <c r="E166" s="514">
        <f t="shared" ref="E166:E172" si="18">E63</f>
        <v>2457.1</v>
      </c>
      <c r="F166" s="514">
        <f t="shared" ref="F166:F172" si="19">F63</f>
        <v>2460</v>
      </c>
      <c r="G166" s="473">
        <f t="shared" si="17"/>
        <v>2.9000000000000909</v>
      </c>
    </row>
    <row r="167" spans="1:7" ht="27.75">
      <c r="A167" s="1526" t="s">
        <v>99</v>
      </c>
      <c r="B167" s="1526"/>
      <c r="C167" s="1526"/>
      <c r="D167" s="523" t="s">
        <v>186</v>
      </c>
      <c r="E167" s="514">
        <f t="shared" si="18"/>
        <v>158972.70000000001</v>
      </c>
      <c r="F167" s="514">
        <f t="shared" si="19"/>
        <v>159169</v>
      </c>
      <c r="G167" s="473">
        <f t="shared" si="17"/>
        <v>196.29999999998836</v>
      </c>
    </row>
    <row r="168" spans="1:7" ht="27.75">
      <c r="A168" s="1526" t="s">
        <v>100</v>
      </c>
      <c r="B168" s="1526"/>
      <c r="C168" s="1526"/>
      <c r="D168" s="523" t="s">
        <v>186</v>
      </c>
      <c r="E168" s="514">
        <f t="shared" si="18"/>
        <v>159915.88</v>
      </c>
      <c r="F168" s="514">
        <f t="shared" si="19"/>
        <v>160130</v>
      </c>
      <c r="G168" s="473">
        <f t="shared" si="17"/>
        <v>214.11999999999534</v>
      </c>
    </row>
    <row r="169" spans="1:7" ht="27.75">
      <c r="A169" s="1526" t="s">
        <v>101</v>
      </c>
      <c r="B169" s="1526"/>
      <c r="C169" s="1526"/>
      <c r="D169" s="523" t="s">
        <v>186</v>
      </c>
      <c r="E169" s="514">
        <f t="shared" si="18"/>
        <v>55424.42</v>
      </c>
      <c r="F169" s="514">
        <f t="shared" si="19"/>
        <v>55692</v>
      </c>
      <c r="G169" s="473">
        <f t="shared" si="17"/>
        <v>267.58000000000175</v>
      </c>
    </row>
    <row r="170" spans="1:7" ht="27.75">
      <c r="A170" s="1526" t="s">
        <v>102</v>
      </c>
      <c r="B170" s="1526"/>
      <c r="C170" s="1526"/>
      <c r="D170" s="523" t="s">
        <v>186</v>
      </c>
      <c r="E170" s="514">
        <f t="shared" si="18"/>
        <v>249886.57</v>
      </c>
      <c r="F170" s="514">
        <f t="shared" si="19"/>
        <v>250333</v>
      </c>
      <c r="G170" s="473">
        <f t="shared" si="17"/>
        <v>446.42999999999302</v>
      </c>
    </row>
    <row r="171" spans="1:7" ht="27.75">
      <c r="A171" s="1526" t="s">
        <v>103</v>
      </c>
      <c r="B171" s="1526"/>
      <c r="C171" s="152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514">
        <f t="shared" si="18"/>
        <v>81191.509999999995</v>
      </c>
      <c r="F172" s="514">
        <f t="shared" si="19"/>
        <v>81292</v>
      </c>
      <c r="G172" s="473">
        <f t="shared" si="17"/>
        <v>100.49000000000524</v>
      </c>
    </row>
    <row r="173" spans="1:7">
      <c r="G173" s="539">
        <f>SUM(G161:G172)</f>
        <v>1890.7199999999871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3"/>
  <sheetViews>
    <sheetView view="pageBreakPreview" zoomScale="55" zoomScaleNormal="80" zoomScaleSheetLayoutView="55" workbookViewId="0">
      <selection activeCell="H8" sqref="H8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8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4" customWidth="1"/>
    <col min="15" max="17" width="22.33203125" style="772"/>
    <col min="18" max="16384" width="22.33203125" style="376"/>
  </cols>
  <sheetData>
    <row r="1" spans="1:17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7" s="281" customFormat="1" ht="27">
      <c r="A2" s="575" t="s">
        <v>369</v>
      </c>
      <c r="B2" s="1381">
        <v>44344</v>
      </c>
      <c r="C2" s="1145" t="s">
        <v>69</v>
      </c>
      <c r="D2" s="611">
        <v>0.71</v>
      </c>
      <c r="E2" s="739"/>
      <c r="F2" s="739"/>
      <c r="G2" s="461" t="s">
        <v>117</v>
      </c>
      <c r="H2" s="461" t="s">
        <v>6</v>
      </c>
      <c r="I2" s="461" t="s">
        <v>8</v>
      </c>
      <c r="J2" s="613" t="s">
        <v>118</v>
      </c>
      <c r="N2" s="1104"/>
      <c r="O2" s="772"/>
      <c r="P2" s="772"/>
      <c r="Q2" s="772"/>
    </row>
    <row r="3" spans="1:17" s="281" customFormat="1" ht="27">
      <c r="A3" s="570"/>
      <c r="B3" s="614"/>
      <c r="C3" s="1145" t="s">
        <v>119</v>
      </c>
      <c r="D3" s="612">
        <v>30</v>
      </c>
      <c r="E3" s="1568" t="s">
        <v>120</v>
      </c>
      <c r="F3" s="1569"/>
      <c r="G3" s="462"/>
      <c r="H3" s="463"/>
      <c r="I3" s="463"/>
      <c r="J3" s="615"/>
      <c r="K3" s="371"/>
      <c r="L3" s="292"/>
      <c r="N3" s="1104"/>
      <c r="O3" s="772"/>
      <c r="P3" s="772"/>
      <c r="Q3" s="772"/>
    </row>
    <row r="4" spans="1:17" s="281" customFormat="1" ht="27">
      <c r="A4" s="576"/>
      <c r="B4" s="616"/>
      <c r="C4" s="1145" t="s">
        <v>121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1104"/>
      <c r="O4" s="772"/>
      <c r="P4" s="774"/>
      <c r="Q4" s="772"/>
    </row>
    <row r="5" spans="1:17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P5" s="774"/>
    </row>
    <row r="6" spans="1:17">
      <c r="A6" s="1562" t="s">
        <v>129</v>
      </c>
      <c r="B6" s="1563"/>
      <c r="C6" s="1564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9" t="s">
        <v>130</v>
      </c>
      <c r="B7" s="680"/>
      <c r="C7" s="680"/>
      <c r="D7" s="638" t="s">
        <v>131</v>
      </c>
      <c r="E7" s="682">
        <f>'27'!F7</f>
        <v>275096</v>
      </c>
      <c r="F7" s="460">
        <v>291944</v>
      </c>
      <c r="G7" s="681">
        <f>F7-E7</f>
        <v>16848</v>
      </c>
      <c r="H7" s="682">
        <f>G7+'27'!H7</f>
        <v>446967.00000000006</v>
      </c>
      <c r="I7" s="683">
        <f>'1'!I7</f>
        <v>12000</v>
      </c>
      <c r="J7" s="684">
        <f>H7/DAY(B2)</f>
        <v>15963.107142857145</v>
      </c>
      <c r="K7" s="549"/>
      <c r="L7" s="377"/>
      <c r="N7" s="1105"/>
    </row>
    <row r="8" spans="1:17" ht="27.75" thickBot="1">
      <c r="A8" s="685" t="s">
        <v>132</v>
      </c>
      <c r="B8" s="686"/>
      <c r="C8" s="687"/>
      <c r="D8" s="688" t="s">
        <v>25</v>
      </c>
      <c r="E8" s="682">
        <f>'27'!F8</f>
        <v>276912</v>
      </c>
      <c r="F8" s="460">
        <v>293842</v>
      </c>
      <c r="G8" s="692">
        <f>F8-E8</f>
        <v>16930</v>
      </c>
      <c r="H8" s="682">
        <f>G8+'27'!H8</f>
        <v>449601</v>
      </c>
      <c r="I8" s="689">
        <f>'1'!I8</f>
        <v>12000</v>
      </c>
      <c r="J8" s="684">
        <f>H8/DAY(B2)</f>
        <v>16057.178571428571</v>
      </c>
      <c r="K8" s="549"/>
      <c r="L8" s="425">
        <v>1375467</v>
      </c>
      <c r="M8" s="440">
        <v>1703438</v>
      </c>
      <c r="N8" s="1105"/>
    </row>
    <row r="9" spans="1:17">
      <c r="A9" s="690" t="s">
        <v>133</v>
      </c>
      <c r="B9" s="691"/>
      <c r="C9" s="691"/>
      <c r="D9" s="638" t="s">
        <v>131</v>
      </c>
      <c r="E9" s="682">
        <f>'27'!F9</f>
        <v>1406705</v>
      </c>
      <c r="F9" s="740">
        <v>1423014</v>
      </c>
      <c r="G9" s="705">
        <f t="shared" ref="G9:G12" si="0">F9-E9</f>
        <v>16309</v>
      </c>
      <c r="H9" s="682">
        <f>G9+'27'!H9</f>
        <v>432300</v>
      </c>
      <c r="I9" s="693">
        <f>I8-J8</f>
        <v>-4057.1785714285706</v>
      </c>
      <c r="J9" s="684">
        <f>H9/DAY(B2)</f>
        <v>15439.285714285714</v>
      </c>
      <c r="K9" s="428"/>
      <c r="L9" s="377"/>
      <c r="N9" s="1105"/>
    </row>
    <row r="10" spans="1:17">
      <c r="A10" s="679" t="s">
        <v>134</v>
      </c>
      <c r="B10" s="680"/>
      <c r="C10" s="680"/>
      <c r="D10" s="638" t="s">
        <v>131</v>
      </c>
      <c r="E10" s="682">
        <f>'27'!F10</f>
        <v>2322.58</v>
      </c>
      <c r="F10" s="740">
        <v>2322.58</v>
      </c>
      <c r="G10" s="692">
        <f t="shared" si="0"/>
        <v>0</v>
      </c>
      <c r="H10" s="682">
        <f>G10+'27'!H10</f>
        <v>0</v>
      </c>
      <c r="I10" s="694"/>
      <c r="J10" s="684">
        <f>H10/DAY(B2)</f>
        <v>0</v>
      </c>
      <c r="K10" s="428"/>
      <c r="L10" s="377"/>
      <c r="M10" s="376">
        <f>170</f>
        <v>170</v>
      </c>
      <c r="N10" s="1105"/>
    </row>
    <row r="11" spans="1:17">
      <c r="A11" s="679" t="s">
        <v>135</v>
      </c>
      <c r="B11" s="680"/>
      <c r="C11" s="680"/>
      <c r="D11" s="638" t="s">
        <v>131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G11+'27'!H11</f>
        <v>0</v>
      </c>
      <c r="I11" s="694"/>
      <c r="J11" s="684">
        <f>H11/DAY(B2)</f>
        <v>0</v>
      </c>
      <c r="K11" s="428"/>
      <c r="L11" s="377"/>
      <c r="N11" s="1105"/>
    </row>
    <row r="12" spans="1:17">
      <c r="A12" s="679" t="s">
        <v>136</v>
      </c>
      <c r="B12" s="680"/>
      <c r="C12" s="680"/>
      <c r="D12" s="638" t="s">
        <v>131</v>
      </c>
      <c r="E12" s="682">
        <f>'5'!E12</f>
        <v>40010</v>
      </c>
      <c r="F12" s="740">
        <v>40010</v>
      </c>
      <c r="G12" s="692">
        <f t="shared" si="0"/>
        <v>0</v>
      </c>
      <c r="H12" s="682">
        <f>G12+'27'!H12</f>
        <v>0</v>
      </c>
      <c r="I12" s="694"/>
      <c r="J12" s="684">
        <f>H12/DAY(B2)</f>
        <v>0</v>
      </c>
      <c r="K12" s="428"/>
      <c r="L12" s="377"/>
      <c r="N12" s="1105"/>
    </row>
    <row r="13" spans="1:17">
      <c r="A13" s="695" t="s">
        <v>137</v>
      </c>
      <c r="B13" s="696"/>
      <c r="C13" s="696"/>
      <c r="D13" s="638"/>
      <c r="E13" s="682"/>
      <c r="F13" s="460"/>
      <c r="G13" s="697">
        <f>G9+G10+G11+G12</f>
        <v>16309</v>
      </c>
      <c r="H13" s="682">
        <f>G13+'27'!H13</f>
        <v>417779</v>
      </c>
      <c r="I13" s="698">
        <f>G7-G13</f>
        <v>539</v>
      </c>
      <c r="J13" s="684">
        <f>H13/DAY(B2)</f>
        <v>14920.678571428571</v>
      </c>
      <c r="K13" s="428"/>
      <c r="L13" s="377"/>
      <c r="N13" s="1105"/>
    </row>
    <row r="14" spans="1:17">
      <c r="A14" s="1565" t="s">
        <v>138</v>
      </c>
      <c r="B14" s="1566"/>
      <c r="C14" s="1567"/>
      <c r="D14" s="472"/>
      <c r="E14" s="741"/>
      <c r="F14" s="741"/>
      <c r="G14" s="483"/>
      <c r="H14" s="472"/>
      <c r="I14" s="472"/>
      <c r="J14" s="551"/>
      <c r="K14" s="429"/>
      <c r="L14" s="377"/>
      <c r="N14" s="1105"/>
    </row>
    <row r="15" spans="1:17">
      <c r="A15" s="668" t="s">
        <v>139</v>
      </c>
      <c r="B15" s="669"/>
      <c r="C15" s="669"/>
      <c r="D15" s="670" t="s">
        <v>140</v>
      </c>
      <c r="E15" s="759">
        <f>'27'!F15</f>
        <v>1682624</v>
      </c>
      <c r="F15" s="742">
        <v>1683082</v>
      </c>
      <c r="G15" s="667">
        <f>(F15-E15)</f>
        <v>458</v>
      </c>
      <c r="H15" s="1090">
        <f>G15+'27'!H15</f>
        <v>12425</v>
      </c>
      <c r="I15" s="1091">
        <v>800</v>
      </c>
      <c r="J15" s="1092">
        <f>H15/DAY(B2)</f>
        <v>443.75</v>
      </c>
      <c r="K15" s="428"/>
      <c r="L15" s="377"/>
      <c r="N15" s="1105"/>
    </row>
    <row r="16" spans="1:17">
      <c r="A16" s="676"/>
      <c r="B16" s="677"/>
      <c r="C16" s="677"/>
      <c r="D16" s="670"/>
      <c r="E16" s="759"/>
      <c r="F16" s="742"/>
      <c r="G16" s="672"/>
      <c r="H16" s="1090"/>
      <c r="I16" s="1093">
        <f>I15-J15</f>
        <v>356.25</v>
      </c>
      <c r="J16" s="1092"/>
      <c r="K16" s="428"/>
      <c r="L16" s="377"/>
      <c r="N16" s="1105"/>
    </row>
    <row r="17" spans="1:17">
      <c r="A17" s="1565" t="s">
        <v>141</v>
      </c>
      <c r="B17" s="1566"/>
      <c r="C17" s="1567"/>
      <c r="D17" s="472"/>
      <c r="E17" s="741"/>
      <c r="F17" s="741"/>
      <c r="G17" s="488"/>
      <c r="H17" s="472"/>
      <c r="I17" s="472"/>
      <c r="J17" s="551"/>
      <c r="K17" s="428"/>
      <c r="L17" s="377"/>
      <c r="N17" s="1105"/>
    </row>
    <row r="18" spans="1:17" ht="27.75">
      <c r="A18" s="1591" t="s">
        <v>142</v>
      </c>
      <c r="B18" s="1592"/>
      <c r="C18" s="1593"/>
      <c r="D18" s="638" t="s">
        <v>143</v>
      </c>
      <c r="E18" s="760">
        <f>'27'!F18</f>
        <v>6</v>
      </c>
      <c r="F18" s="740">
        <v>4</v>
      </c>
      <c r="G18" s="697">
        <f>F18*10</f>
        <v>40</v>
      </c>
      <c r="H18" s="682">
        <f>G18+'27'!H18</f>
        <v>1120</v>
      </c>
      <c r="I18" s="683">
        <f>'1'!I18</f>
        <v>65</v>
      </c>
      <c r="J18" s="684">
        <f>H18/DAY(B2)</f>
        <v>40</v>
      </c>
      <c r="K18" s="428"/>
      <c r="L18" s="377"/>
      <c r="N18" s="1105"/>
    </row>
    <row r="19" spans="1:17" ht="27.75">
      <c r="A19" s="1591" t="s">
        <v>71</v>
      </c>
      <c r="B19" s="1592"/>
      <c r="C19" s="1593"/>
      <c r="D19" s="638" t="s">
        <v>143</v>
      </c>
      <c r="E19" s="760">
        <f>'27'!F19</f>
        <v>139376</v>
      </c>
      <c r="F19" s="740">
        <v>139436</v>
      </c>
      <c r="G19" s="692">
        <f t="shared" ref="G19" si="1">F19-E19</f>
        <v>60</v>
      </c>
      <c r="H19" s="682">
        <f>G19+'27'!H19</f>
        <v>1624</v>
      </c>
      <c r="I19" s="699"/>
      <c r="J19" s="684">
        <f>H19/DAY(B2)</f>
        <v>58</v>
      </c>
      <c r="K19" s="428"/>
      <c r="L19" s="377"/>
      <c r="N19" s="1105"/>
    </row>
    <row r="20" spans="1:17">
      <c r="A20" s="695" t="s">
        <v>144</v>
      </c>
      <c r="B20" s="696"/>
      <c r="C20" s="696"/>
      <c r="D20" s="638"/>
      <c r="E20" s="682"/>
      <c r="F20" s="460"/>
      <c r="G20" s="700">
        <f>G18+G19</f>
        <v>100</v>
      </c>
      <c r="H20" s="682">
        <f>G20+'27'!H20</f>
        <v>2744</v>
      </c>
      <c r="I20" s="701">
        <f>I18-J20</f>
        <v>-33</v>
      </c>
      <c r="J20" s="684">
        <f>H20/DAY(B2)</f>
        <v>98</v>
      </c>
      <c r="K20" s="428"/>
      <c r="L20" s="377"/>
      <c r="N20" s="1105"/>
    </row>
    <row r="21" spans="1:17">
      <c r="A21" s="1565" t="s">
        <v>145</v>
      </c>
      <c r="B21" s="1566"/>
      <c r="C21" s="1567"/>
      <c r="D21" s="472"/>
      <c r="E21" s="741"/>
      <c r="F21" s="741"/>
      <c r="G21" s="483"/>
      <c r="H21" s="472"/>
      <c r="I21" s="472"/>
      <c r="J21" s="551"/>
      <c r="K21" s="428"/>
      <c r="L21" s="377"/>
      <c r="N21" s="1105"/>
    </row>
    <row r="22" spans="1:17">
      <c r="A22" s="1143" t="s">
        <v>146</v>
      </c>
      <c r="B22" s="589"/>
      <c r="C22" s="589"/>
      <c r="D22" s="523" t="s">
        <v>147</v>
      </c>
      <c r="E22" s="761">
        <f>'27'!F22</f>
        <v>2970</v>
      </c>
      <c r="F22" s="740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5"/>
    </row>
    <row r="23" spans="1:17">
      <c r="A23" s="1143" t="s">
        <v>148</v>
      </c>
      <c r="B23" s="589"/>
      <c r="C23" s="589"/>
      <c r="D23" s="523" t="s">
        <v>147</v>
      </c>
      <c r="E23" s="761">
        <f>'27'!F23</f>
        <v>2000</v>
      </c>
      <c r="F23" s="740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5"/>
    </row>
    <row r="24" spans="1:17">
      <c r="A24" s="590" t="s">
        <v>149</v>
      </c>
      <c r="B24" s="591"/>
      <c r="C24" s="591"/>
      <c r="D24" s="511" t="s">
        <v>147</v>
      </c>
      <c r="E24" s="762">
        <f>'27'!F24</f>
        <v>4970</v>
      </c>
      <c r="F24" s="762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5"/>
    </row>
    <row r="25" spans="1:17" s="442" customFormat="1" ht="27">
      <c r="A25" s="1570" t="s">
        <v>150</v>
      </c>
      <c r="B25" s="1571"/>
      <c r="C25" s="1572"/>
      <c r="D25" s="471"/>
      <c r="E25" s="495"/>
      <c r="F25" s="495"/>
      <c r="G25" s="494"/>
      <c r="H25" s="495"/>
      <c r="I25" s="496"/>
      <c r="J25" s="554"/>
      <c r="K25" s="373"/>
      <c r="L25" s="443"/>
      <c r="N25" s="1105"/>
      <c r="O25" s="772"/>
      <c r="P25" s="772"/>
      <c r="Q25" s="772"/>
    </row>
    <row r="26" spans="1:17" s="442" customFormat="1" ht="27">
      <c r="A26" s="592" t="s">
        <v>151</v>
      </c>
      <c r="B26" s="593"/>
      <c r="C26" s="594"/>
      <c r="D26" s="618" t="s">
        <v>152</v>
      </c>
      <c r="E26" s="763"/>
      <c r="F26" s="460"/>
      <c r="G26" s="498"/>
      <c r="H26" s="460"/>
      <c r="I26" s="499"/>
      <c r="J26" s="552"/>
      <c r="K26" s="374"/>
      <c r="L26" s="443"/>
      <c r="N26" s="1105"/>
      <c r="O26" s="772"/>
      <c r="P26" s="772"/>
      <c r="Q26" s="772"/>
    </row>
    <row r="27" spans="1:17" s="442" customFormat="1" ht="27">
      <c r="A27" s="592" t="s">
        <v>6</v>
      </c>
      <c r="B27" s="593"/>
      <c r="C27" s="594"/>
      <c r="D27" s="619" t="s">
        <v>25</v>
      </c>
      <c r="E27" s="702">
        <f>G8</f>
        <v>16930</v>
      </c>
      <c r="F27" s="501">
        <v>9</v>
      </c>
      <c r="G27" s="502">
        <f>E27*F27</f>
        <v>152370</v>
      </c>
      <c r="H27" s="460">
        <f>G27+'27'!H27</f>
        <v>4046408.9999999995</v>
      </c>
      <c r="I27" s="503"/>
      <c r="J27" s="552">
        <f>H27/DAY(B2)</f>
        <v>144514.60714285713</v>
      </c>
      <c r="K27" s="373"/>
      <c r="L27" s="443"/>
      <c r="N27" s="1105"/>
      <c r="O27" s="772"/>
      <c r="P27" s="772"/>
      <c r="Q27" s="772"/>
    </row>
    <row r="28" spans="1:17" s="442" customFormat="1" ht="27">
      <c r="A28" s="592" t="s">
        <v>153</v>
      </c>
      <c r="B28" s="593"/>
      <c r="C28" s="594"/>
      <c r="D28" s="619" t="s">
        <v>154</v>
      </c>
      <c r="E28" s="702">
        <f>G15</f>
        <v>458</v>
      </c>
      <c r="F28" s="501">
        <v>51.45</v>
      </c>
      <c r="G28" s="502">
        <f>E28*F28</f>
        <v>23564.100000000002</v>
      </c>
      <c r="H28" s="460">
        <f>G28+'27'!H28</f>
        <v>628783.7289999997</v>
      </c>
      <c r="I28" s="505"/>
      <c r="J28" s="552">
        <f>H28/DAY(B2)</f>
        <v>22456.56174999999</v>
      </c>
      <c r="K28" s="373"/>
      <c r="L28" s="443"/>
      <c r="N28" s="1105"/>
      <c r="O28" s="772"/>
      <c r="P28" s="772"/>
      <c r="Q28" s="772"/>
    </row>
    <row r="29" spans="1:17" s="442" customFormat="1" ht="27">
      <c r="A29" s="592" t="s">
        <v>155</v>
      </c>
      <c r="B29" s="593"/>
      <c r="C29" s="594"/>
      <c r="D29" s="619" t="s">
        <v>156</v>
      </c>
      <c r="E29" s="702">
        <f>G24</f>
        <v>0</v>
      </c>
      <c r="F29" s="702">
        <v>69</v>
      </c>
      <c r="G29" s="502">
        <f>E29*F29</f>
        <v>0</v>
      </c>
      <c r="H29" s="460">
        <f>G29+'27'!H29</f>
        <v>0</v>
      </c>
      <c r="I29" s="505"/>
      <c r="J29" s="552">
        <f>H29/DAY(B2)</f>
        <v>0</v>
      </c>
      <c r="K29" s="373"/>
      <c r="L29" s="443"/>
      <c r="N29" s="1105"/>
      <c r="O29" s="772"/>
      <c r="P29" s="772"/>
      <c r="Q29" s="772"/>
    </row>
    <row r="30" spans="1:17" s="442" customFormat="1" ht="27">
      <c r="A30" s="592" t="s">
        <v>157</v>
      </c>
      <c r="B30" s="593"/>
      <c r="C30" s="594"/>
      <c r="D30" s="619" t="s">
        <v>158</v>
      </c>
      <c r="E30" s="702">
        <f>G19</f>
        <v>60</v>
      </c>
      <c r="F30" s="702">
        <v>134</v>
      </c>
      <c r="G30" s="502">
        <f>E30*F30</f>
        <v>8040</v>
      </c>
      <c r="H30" s="460">
        <f>G30+'27'!H30</f>
        <v>217616</v>
      </c>
      <c r="I30" s="505"/>
      <c r="J30" s="552">
        <f>H30/DAY(B2)</f>
        <v>7772</v>
      </c>
      <c r="K30" s="373"/>
      <c r="L30" s="443"/>
      <c r="N30" s="1105"/>
      <c r="O30" s="772"/>
      <c r="P30" s="772"/>
      <c r="Q30" s="772"/>
    </row>
    <row r="31" spans="1:17" s="442" customFormat="1" ht="27">
      <c r="A31" s="592" t="s">
        <v>159</v>
      </c>
      <c r="B31" s="593"/>
      <c r="C31" s="594"/>
      <c r="D31" s="619" t="s">
        <v>143</v>
      </c>
      <c r="E31" s="702">
        <f>G18</f>
        <v>40</v>
      </c>
      <c r="F31" s="702">
        <v>80</v>
      </c>
      <c r="G31" s="502">
        <f>E31*F31</f>
        <v>3200</v>
      </c>
      <c r="H31" s="460">
        <f>G31+'27'!H31</f>
        <v>89600</v>
      </c>
      <c r="I31" s="505"/>
      <c r="J31" s="552"/>
      <c r="K31" s="373"/>
      <c r="L31" s="443"/>
      <c r="N31" s="1105"/>
      <c r="O31" s="772"/>
      <c r="P31" s="772"/>
      <c r="Q31" s="772"/>
    </row>
    <row r="32" spans="1:17" s="442" customFormat="1" ht="27">
      <c r="A32" s="595" t="s">
        <v>160</v>
      </c>
      <c r="B32" s="596"/>
      <c r="C32" s="597"/>
      <c r="D32" s="507"/>
      <c r="E32" s="764"/>
      <c r="F32" s="486"/>
      <c r="G32" s="508">
        <f>G27+G28+G29+G30+G31</f>
        <v>187174.1</v>
      </c>
      <c r="H32" s="460">
        <f>G32+'27'!H32</f>
        <v>4982408.7290000003</v>
      </c>
      <c r="I32" s="509"/>
      <c r="J32" s="552">
        <f>H32/DAY(B2)</f>
        <v>177943.16889285715</v>
      </c>
      <c r="K32" s="373"/>
      <c r="L32" s="443"/>
      <c r="N32" s="1105"/>
      <c r="O32" s="772"/>
      <c r="P32" s="772"/>
      <c r="Q32" s="772"/>
    </row>
    <row r="33" spans="1:14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1105"/>
    </row>
    <row r="34" spans="1:14">
      <c r="A34" s="598" t="s">
        <v>162</v>
      </c>
      <c r="B34" s="1148"/>
      <c r="C34" s="1148"/>
      <c r="D34" s="472"/>
      <c r="E34" s="495"/>
      <c r="F34" s="495"/>
      <c r="G34" s="472"/>
      <c r="H34" s="472"/>
      <c r="I34" s="472"/>
      <c r="J34" s="551"/>
      <c r="K34" s="428"/>
      <c r="L34" s="377"/>
      <c r="N34" s="1105"/>
    </row>
    <row r="35" spans="1:14">
      <c r="A35" s="578" t="s">
        <v>163</v>
      </c>
      <c r="B35" s="579"/>
      <c r="C35" s="579"/>
      <c r="D35" s="523" t="s">
        <v>131</v>
      </c>
      <c r="E35" s="744">
        <f>'27'!F35</f>
        <v>940873</v>
      </c>
      <c r="F35" s="744">
        <v>943358</v>
      </c>
      <c r="G35" s="473">
        <f t="shared" ref="G35:G46" si="3">F35-E35</f>
        <v>2485</v>
      </c>
      <c r="H35" s="460">
        <f>G35+'27'!H35</f>
        <v>56899</v>
      </c>
      <c r="I35" s="455"/>
      <c r="J35" s="552">
        <f>H35/DAY(B2)</f>
        <v>2032.1071428571429</v>
      </c>
      <c r="K35" s="428"/>
      <c r="L35" s="377"/>
      <c r="N35" s="1105"/>
    </row>
    <row r="36" spans="1:14">
      <c r="A36" s="578" t="s">
        <v>164</v>
      </c>
      <c r="B36" s="579"/>
      <c r="C36" s="579"/>
      <c r="D36" s="523" t="s">
        <v>131</v>
      </c>
      <c r="E36" s="744">
        <f>'27'!F36</f>
        <v>347065</v>
      </c>
      <c r="F36" s="744">
        <v>347065</v>
      </c>
      <c r="G36" s="473">
        <f t="shared" si="3"/>
        <v>0</v>
      </c>
      <c r="H36" s="460">
        <f>G36+'27'!H36</f>
        <v>2457</v>
      </c>
      <c r="I36" s="455"/>
      <c r="J36" s="552">
        <f>H36/DAY(B2)</f>
        <v>87.75</v>
      </c>
      <c r="K36" s="428"/>
      <c r="L36" s="377"/>
      <c r="N36" s="1105"/>
    </row>
    <row r="37" spans="1:14">
      <c r="A37" s="578" t="s">
        <v>165</v>
      </c>
      <c r="B37" s="579"/>
      <c r="C37" s="579"/>
      <c r="D37" s="523" t="s">
        <v>131</v>
      </c>
      <c r="E37" s="744">
        <f>'27'!F37</f>
        <v>129041</v>
      </c>
      <c r="F37" s="744">
        <v>130320</v>
      </c>
      <c r="G37" s="473">
        <f t="shared" si="3"/>
        <v>1279</v>
      </c>
      <c r="H37" s="460">
        <f>G37+'27'!H37</f>
        <v>35095</v>
      </c>
      <c r="I37" s="455"/>
      <c r="J37" s="552">
        <f>H37/DAY(B2)</f>
        <v>1253.3928571428571</v>
      </c>
      <c r="K37" s="428"/>
      <c r="L37" s="377"/>
      <c r="N37" s="1105"/>
    </row>
    <row r="38" spans="1:14">
      <c r="A38" s="578" t="s">
        <v>166</v>
      </c>
      <c r="B38" s="579"/>
      <c r="C38" s="579"/>
      <c r="D38" s="523" t="s">
        <v>131</v>
      </c>
      <c r="E38" s="744">
        <f>'27'!F38</f>
        <v>151412</v>
      </c>
      <c r="F38" s="470">
        <v>152607</v>
      </c>
      <c r="G38" s="473">
        <f t="shared" si="3"/>
        <v>1195</v>
      </c>
      <c r="H38" s="460">
        <f>G38+'27'!H38</f>
        <v>33011</v>
      </c>
      <c r="I38" s="455"/>
      <c r="J38" s="552">
        <f>H38/DAY(B2)</f>
        <v>1178.9642857142858</v>
      </c>
      <c r="K38" s="428"/>
      <c r="L38" s="377"/>
      <c r="N38" s="1105"/>
    </row>
    <row r="39" spans="1:14">
      <c r="A39" s="578" t="s">
        <v>167</v>
      </c>
      <c r="B39" s="579"/>
      <c r="C39" s="579"/>
      <c r="D39" s="523" t="s">
        <v>131</v>
      </c>
      <c r="E39" s="744">
        <f>'27'!F39</f>
        <v>299149</v>
      </c>
      <c r="F39" s="744">
        <v>301259</v>
      </c>
      <c r="G39" s="473">
        <f>F39-E39</f>
        <v>2110</v>
      </c>
      <c r="H39" s="460">
        <f>G39+'27'!H39</f>
        <v>54606</v>
      </c>
      <c r="I39" s="455"/>
      <c r="J39" s="552">
        <f>H39/DAY(B2)</f>
        <v>1950.2142857142858</v>
      </c>
      <c r="K39" s="428"/>
      <c r="L39" s="377"/>
      <c r="N39" s="1105"/>
    </row>
    <row r="40" spans="1:14">
      <c r="A40" s="599" t="s">
        <v>168</v>
      </c>
      <c r="B40" s="600"/>
      <c r="C40" s="600"/>
      <c r="D40" s="523" t="s">
        <v>131</v>
      </c>
      <c r="E40" s="744">
        <f>'27'!F40</f>
        <v>889</v>
      </c>
      <c r="F40" s="744">
        <v>889</v>
      </c>
      <c r="G40" s="473">
        <f t="shared" si="3"/>
        <v>0</v>
      </c>
      <c r="H40" s="460">
        <f>G40+'27'!H40</f>
        <v>888.77</v>
      </c>
      <c r="I40" s="455"/>
      <c r="J40" s="552">
        <f>H40/DAY(B2)</f>
        <v>31.741785714285715</v>
      </c>
      <c r="K40" s="429"/>
      <c r="L40" s="377"/>
      <c r="N40" s="1105"/>
    </row>
    <row r="41" spans="1:14">
      <c r="A41" s="578" t="s">
        <v>169</v>
      </c>
      <c r="B41" s="579"/>
      <c r="C41" s="579"/>
      <c r="D41" s="523" t="s">
        <v>131</v>
      </c>
      <c r="E41" s="744">
        <f>'27'!F41</f>
        <v>240478</v>
      </c>
      <c r="F41" s="744">
        <v>240478</v>
      </c>
      <c r="G41" s="473">
        <f t="shared" si="3"/>
        <v>0</v>
      </c>
      <c r="H41" s="460">
        <f>G41+'27'!H41</f>
        <v>58950</v>
      </c>
      <c r="I41" s="455"/>
      <c r="J41" s="552">
        <f>H41/DAY(B2)</f>
        <v>2105.3571428571427</v>
      </c>
      <c r="K41" s="428"/>
      <c r="L41" s="377"/>
      <c r="N41" s="1105"/>
    </row>
    <row r="42" spans="1:14">
      <c r="A42" s="578" t="s">
        <v>170</v>
      </c>
      <c r="B42" s="579"/>
      <c r="C42" s="579"/>
      <c r="D42" s="523" t="s">
        <v>131</v>
      </c>
      <c r="E42" s="744">
        <f>'27'!F42</f>
        <v>59199</v>
      </c>
      <c r="F42" s="744">
        <v>59199</v>
      </c>
      <c r="G42" s="473">
        <f t="shared" si="3"/>
        <v>0</v>
      </c>
      <c r="H42" s="460">
        <f>G42+'27'!H42</f>
        <v>-1</v>
      </c>
      <c r="I42" s="455"/>
      <c r="J42" s="552">
        <f>H42/DAY(B2)</f>
        <v>-3.5714285714285712E-2</v>
      </c>
      <c r="K42" s="428"/>
      <c r="L42" s="377"/>
      <c r="N42" s="1105"/>
    </row>
    <row r="43" spans="1:14">
      <c r="A43" s="578" t="s">
        <v>171</v>
      </c>
      <c r="B43" s="579"/>
      <c r="C43" s="579"/>
      <c r="D43" s="523" t="s">
        <v>131</v>
      </c>
      <c r="E43" s="744">
        <f>'27'!F43</f>
        <v>1033005</v>
      </c>
      <c r="F43" s="744">
        <v>1035334</v>
      </c>
      <c r="G43" s="473">
        <f t="shared" si="3"/>
        <v>2329</v>
      </c>
      <c r="H43" s="460">
        <f>G43+'27'!H43</f>
        <v>61376</v>
      </c>
      <c r="I43" s="455"/>
      <c r="J43" s="552">
        <f>H43/DAY(B2)</f>
        <v>2192</v>
      </c>
      <c r="K43" s="428"/>
      <c r="L43" s="377"/>
      <c r="N43" s="1105"/>
    </row>
    <row r="44" spans="1:14">
      <c r="A44" s="578" t="s">
        <v>172</v>
      </c>
      <c r="B44" s="579"/>
      <c r="C44" s="579"/>
      <c r="D44" s="523" t="s">
        <v>131</v>
      </c>
      <c r="E44" s="744">
        <f>'27'!F44</f>
        <v>0</v>
      </c>
      <c r="F44" s="744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5"/>
    </row>
    <row r="45" spans="1:14">
      <c r="A45" s="578" t="s">
        <v>173</v>
      </c>
      <c r="B45" s="579"/>
      <c r="C45" s="579"/>
      <c r="D45" s="523" t="s">
        <v>131</v>
      </c>
      <c r="E45" s="744">
        <f>'27'!F45</f>
        <v>614</v>
      </c>
      <c r="F45" s="744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5"/>
    </row>
    <row r="46" spans="1:14">
      <c r="A46" s="578" t="s">
        <v>174</v>
      </c>
      <c r="B46" s="579"/>
      <c r="C46" s="579"/>
      <c r="D46" s="523" t="s">
        <v>131</v>
      </c>
      <c r="E46" s="744">
        <f>'27'!F46</f>
        <v>187</v>
      </c>
      <c r="F46" s="744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5"/>
    </row>
    <row r="47" spans="1:14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9398</v>
      </c>
      <c r="H47" s="460">
        <f>G47+'27'!H47</f>
        <v>304083.20999999996</v>
      </c>
      <c r="I47" s="455"/>
      <c r="J47" s="552">
        <f>H47/DAY(B2)</f>
        <v>10860.114642857141</v>
      </c>
      <c r="K47" s="428"/>
      <c r="L47" s="377"/>
      <c r="N47" s="1105"/>
    </row>
    <row r="48" spans="1:14">
      <c r="A48" s="598" t="s">
        <v>176</v>
      </c>
      <c r="B48" s="1148"/>
      <c r="C48" s="1148"/>
      <c r="D48" s="472"/>
      <c r="E48" s="495"/>
      <c r="F48" s="495"/>
      <c r="G48" s="472"/>
      <c r="H48" s="472"/>
      <c r="I48" s="472"/>
      <c r="J48" s="551"/>
      <c r="K48" s="428"/>
      <c r="L48" s="377"/>
      <c r="N48" s="1105"/>
    </row>
    <row r="49" spans="1:14">
      <c r="A49" s="578" t="s">
        <v>163</v>
      </c>
      <c r="B49" s="601"/>
      <c r="C49" s="601"/>
      <c r="D49" s="523" t="s">
        <v>131</v>
      </c>
      <c r="E49" s="744">
        <f>'27'!F49</f>
        <v>260732.13</v>
      </c>
      <c r="F49" s="744">
        <v>260732.13</v>
      </c>
      <c r="G49" s="473">
        <f t="shared" ref="G49:G58" si="4">F49-E49</f>
        <v>0</v>
      </c>
      <c r="H49" s="460">
        <f>G49+'27'!H49</f>
        <v>0</v>
      </c>
      <c r="I49" s="455"/>
      <c r="J49" s="552">
        <f>H49/DAY(B2)</f>
        <v>0</v>
      </c>
      <c r="K49" s="428"/>
      <c r="L49" s="377"/>
      <c r="N49" s="1105"/>
    </row>
    <row r="50" spans="1:14">
      <c r="A50" s="578" t="s">
        <v>177</v>
      </c>
      <c r="B50" s="601"/>
      <c r="C50" s="601"/>
      <c r="D50" s="523" t="s">
        <v>131</v>
      </c>
      <c r="E50" s="744">
        <f>'27'!F50</f>
        <v>499028</v>
      </c>
      <c r="F50" s="744">
        <v>499860</v>
      </c>
      <c r="G50" s="473">
        <f t="shared" si="4"/>
        <v>832</v>
      </c>
      <c r="H50" s="460">
        <f>G50+'27'!H50</f>
        <v>24385</v>
      </c>
      <c r="I50" s="455"/>
      <c r="J50" s="552">
        <f>H50/DAY(B2)</f>
        <v>870.89285714285711</v>
      </c>
      <c r="K50" s="428"/>
      <c r="L50" s="377"/>
      <c r="N50" s="1105"/>
    </row>
    <row r="51" spans="1:14">
      <c r="A51" s="578" t="s">
        <v>165</v>
      </c>
      <c r="B51" s="601"/>
      <c r="C51" s="601"/>
      <c r="D51" s="523" t="s">
        <v>131</v>
      </c>
      <c r="E51" s="744">
        <f>'27'!F51</f>
        <v>144640</v>
      </c>
      <c r="F51" s="744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5"/>
    </row>
    <row r="52" spans="1:14">
      <c r="A52" s="578" t="s">
        <v>178</v>
      </c>
      <c r="B52" s="601"/>
      <c r="C52" s="601"/>
      <c r="D52" s="523" t="s">
        <v>131</v>
      </c>
      <c r="E52" s="744">
        <f>'27'!F52</f>
        <v>539606</v>
      </c>
      <c r="F52" s="744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5"/>
    </row>
    <row r="53" spans="1:14">
      <c r="A53" s="578" t="s">
        <v>167</v>
      </c>
      <c r="B53" s="601"/>
      <c r="C53" s="601"/>
      <c r="D53" s="523" t="s">
        <v>131</v>
      </c>
      <c r="E53" s="744">
        <f>'27'!F53</f>
        <v>430325</v>
      </c>
      <c r="F53" s="744">
        <v>430926</v>
      </c>
      <c r="G53" s="473">
        <f t="shared" si="4"/>
        <v>601</v>
      </c>
      <c r="H53" s="460">
        <f>G53+'27'!H53</f>
        <v>14116</v>
      </c>
      <c r="I53" s="455"/>
      <c r="J53" s="552">
        <f>H53/DAY(B2)</f>
        <v>504.14285714285717</v>
      </c>
      <c r="K53" s="428"/>
      <c r="L53" s="377"/>
      <c r="N53" s="1105"/>
    </row>
    <row r="54" spans="1:14">
      <c r="A54" s="578" t="s">
        <v>179</v>
      </c>
      <c r="B54" s="601"/>
      <c r="C54" s="601"/>
      <c r="D54" s="523" t="s">
        <v>131</v>
      </c>
      <c r="E54" s="744">
        <f>'27'!F54</f>
        <v>13434</v>
      </c>
      <c r="F54" s="744">
        <v>13516</v>
      </c>
      <c r="G54" s="473">
        <f t="shared" si="4"/>
        <v>82</v>
      </c>
      <c r="H54" s="460">
        <f>G54+'27'!H54</f>
        <v>5754</v>
      </c>
      <c r="I54" s="455"/>
      <c r="J54" s="552">
        <f>H54/DAY(B2)</f>
        <v>205.5</v>
      </c>
      <c r="K54" s="428"/>
      <c r="L54" s="377"/>
      <c r="N54" s="1105"/>
    </row>
    <row r="55" spans="1:14">
      <c r="A55" s="578" t="s">
        <v>180</v>
      </c>
      <c r="B55" s="601"/>
      <c r="C55" s="601"/>
      <c r="D55" s="523" t="s">
        <v>131</v>
      </c>
      <c r="E55" s="744">
        <f>'27'!F55</f>
        <v>68111</v>
      </c>
      <c r="F55" s="745">
        <v>68111</v>
      </c>
      <c r="G55" s="655">
        <f t="shared" si="4"/>
        <v>0</v>
      </c>
      <c r="H55" s="708">
        <f>G55+'27'!H55</f>
        <v>68111</v>
      </c>
      <c r="I55" s="709"/>
      <c r="J55" s="710">
        <f>H55/DAY(B2)</f>
        <v>2432.5357142857142</v>
      </c>
      <c r="K55" s="428"/>
      <c r="L55" s="377"/>
      <c r="N55" s="1105"/>
    </row>
    <row r="56" spans="1:14">
      <c r="A56" s="578" t="s">
        <v>181</v>
      </c>
      <c r="B56" s="601"/>
      <c r="C56" s="601"/>
      <c r="D56" s="523" t="s">
        <v>182</v>
      </c>
      <c r="E56" s="744">
        <f>'27'!F56</f>
        <v>596395</v>
      </c>
      <c r="F56" s="745">
        <v>601191</v>
      </c>
      <c r="G56" s="473">
        <f t="shared" si="4"/>
        <v>4796</v>
      </c>
      <c r="H56" s="460">
        <f>G56+'27'!H56</f>
        <v>11902.640000000014</v>
      </c>
      <c r="I56" s="455"/>
      <c r="J56" s="552">
        <f>H56/DAY(B2)</f>
        <v>425.09428571428623</v>
      </c>
      <c r="K56" s="427"/>
      <c r="L56" s="377"/>
      <c r="N56" s="1105"/>
    </row>
    <row r="57" spans="1:14">
      <c r="A57" s="578" t="s">
        <v>171</v>
      </c>
      <c r="B57" s="601"/>
      <c r="C57" s="601"/>
      <c r="D57" s="523" t="s">
        <v>131</v>
      </c>
      <c r="E57" s="744">
        <f>'27'!F57</f>
        <v>7711</v>
      </c>
      <c r="F57" s="744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5"/>
    </row>
    <row r="58" spans="1:14">
      <c r="A58" s="578" t="s">
        <v>183</v>
      </c>
      <c r="B58" s="601"/>
      <c r="C58" s="601"/>
      <c r="D58" s="523" t="s">
        <v>131</v>
      </c>
      <c r="E58" s="744">
        <f>'27'!F58</f>
        <v>49051</v>
      </c>
      <c r="F58" s="1235">
        <v>49264</v>
      </c>
      <c r="G58" s="473">
        <f t="shared" si="4"/>
        <v>213</v>
      </c>
      <c r="H58" s="460">
        <f>G58+'27'!H58</f>
        <v>2547</v>
      </c>
      <c r="I58" s="455"/>
      <c r="J58" s="552">
        <f>H58/DAY(B2)</f>
        <v>90.964285714285708</v>
      </c>
      <c r="K58" s="428"/>
      <c r="L58" s="377"/>
      <c r="N58" s="1105"/>
    </row>
    <row r="59" spans="1:14">
      <c r="A59" s="585" t="s">
        <v>175</v>
      </c>
      <c r="B59" s="586"/>
      <c r="C59" s="586"/>
      <c r="D59" s="511"/>
      <c r="E59" s="470"/>
      <c r="F59" s="470"/>
      <c r="G59" s="481">
        <f>G49+G50+G51+G52+G53+G54+G55+G56+G57+G58</f>
        <v>6524.3999999999487</v>
      </c>
      <c r="H59" s="460">
        <f>G59+'27'!H59</f>
        <v>126816.03999999996</v>
      </c>
      <c r="I59" s="455">
        <f>G7-G60</f>
        <v>925.6000000000513</v>
      </c>
      <c r="J59" s="552">
        <f>H59/DAY(B2)</f>
        <v>4529.1442857142847</v>
      </c>
      <c r="K59" s="428"/>
      <c r="L59" s="377"/>
      <c r="N59" s="1105"/>
    </row>
    <row r="60" spans="1:14">
      <c r="A60" s="578"/>
      <c r="B60" s="579"/>
      <c r="C60" s="579"/>
      <c r="D60" s="511" t="s">
        <v>184</v>
      </c>
      <c r="E60" s="470"/>
      <c r="F60" s="470"/>
      <c r="G60" s="481">
        <f>G47+G59</f>
        <v>15922.399999999949</v>
      </c>
      <c r="H60" s="460">
        <f>G60+'27'!H60</f>
        <v>432483.14</v>
      </c>
      <c r="I60" s="455">
        <f>G13-G60</f>
        <v>386.6000000000513</v>
      </c>
      <c r="J60" s="552">
        <f>H60/DAY(B2)</f>
        <v>15445.826428571429</v>
      </c>
      <c r="K60" s="428"/>
      <c r="L60" s="377"/>
      <c r="N60" s="1105"/>
    </row>
    <row r="61" spans="1:14">
      <c r="A61" s="602" t="s">
        <v>185</v>
      </c>
      <c r="B61" s="453"/>
      <c r="C61" s="453"/>
      <c r="D61" s="513"/>
      <c r="E61" s="746"/>
      <c r="F61" s="746"/>
      <c r="G61" s="513"/>
      <c r="H61" s="513"/>
      <c r="I61" s="513"/>
      <c r="J61" s="555"/>
      <c r="K61" s="428"/>
      <c r="L61" s="377"/>
      <c r="N61" s="1105"/>
    </row>
    <row r="62" spans="1:14">
      <c r="A62" s="603" t="s">
        <v>98</v>
      </c>
      <c r="B62" s="604"/>
      <c r="C62" s="604"/>
      <c r="D62" s="511" t="s">
        <v>186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0.18199999999706051</v>
      </c>
      <c r="I62" s="515"/>
      <c r="J62" s="552">
        <f>H62/DAY(B2)</f>
        <v>6.4999999998950186E-3</v>
      </c>
      <c r="K62" s="428"/>
      <c r="L62" s="377"/>
      <c r="N62" s="1105"/>
    </row>
    <row r="63" spans="1:14">
      <c r="A63" s="603" t="s">
        <v>187</v>
      </c>
      <c r="B63" s="604"/>
      <c r="C63" s="604"/>
      <c r="D63" s="511" t="s">
        <v>186</v>
      </c>
      <c r="E63" s="514">
        <f>'27'!F63</f>
        <v>2460</v>
      </c>
      <c r="F63" s="514">
        <v>2464</v>
      </c>
      <c r="G63" s="473">
        <f t="shared" si="5"/>
        <v>4</v>
      </c>
      <c r="H63" s="460">
        <f>G63+'27'!H63</f>
        <v>105</v>
      </c>
      <c r="I63" s="515"/>
      <c r="J63" s="552">
        <f>H63/DAY(B2)</f>
        <v>3.75</v>
      </c>
      <c r="K63" s="428"/>
      <c r="L63" s="377"/>
      <c r="N63" s="1105"/>
    </row>
    <row r="64" spans="1:14" ht="27.75">
      <c r="A64" s="1530" t="s">
        <v>99</v>
      </c>
      <c r="B64" s="1531"/>
      <c r="C64" s="1532"/>
      <c r="D64" s="523" t="s">
        <v>186</v>
      </c>
      <c r="E64" s="514">
        <f>'27'!F64</f>
        <v>159169</v>
      </c>
      <c r="F64" s="740">
        <v>159360</v>
      </c>
      <c r="G64" s="473">
        <f t="shared" si="5"/>
        <v>191</v>
      </c>
      <c r="H64" s="460">
        <f>G64+'27'!H64</f>
        <v>6061</v>
      </c>
      <c r="I64" s="480"/>
      <c r="J64" s="552">
        <f>H64/DAY(B2)</f>
        <v>216.46428571428572</v>
      </c>
      <c r="K64" s="428"/>
      <c r="L64" s="377"/>
      <c r="N64" s="1105"/>
    </row>
    <row r="65" spans="1:14" ht="27.75">
      <c r="A65" s="1530" t="s">
        <v>100</v>
      </c>
      <c r="B65" s="1531"/>
      <c r="C65" s="1532"/>
      <c r="D65" s="523" t="s">
        <v>186</v>
      </c>
      <c r="E65" s="514">
        <f>'27'!F65</f>
        <v>160130</v>
      </c>
      <c r="F65" s="747">
        <v>160348</v>
      </c>
      <c r="G65" s="473">
        <f t="shared" si="5"/>
        <v>218</v>
      </c>
      <c r="H65" s="460">
        <f>G65+'27'!H65</f>
        <v>5749</v>
      </c>
      <c r="I65" s="489"/>
      <c r="J65" s="552">
        <f>H65/DAY(B2)</f>
        <v>205.32142857142858</v>
      </c>
      <c r="K65" s="428"/>
      <c r="L65" s="377"/>
      <c r="N65" s="1105"/>
    </row>
    <row r="66" spans="1:14" ht="27.75">
      <c r="A66" s="1530" t="s">
        <v>101</v>
      </c>
      <c r="B66" s="1531"/>
      <c r="C66" s="1532"/>
      <c r="D66" s="523" t="s">
        <v>186</v>
      </c>
      <c r="E66" s="514">
        <f>'27'!F66</f>
        <v>55692</v>
      </c>
      <c r="F66" s="740">
        <v>55940</v>
      </c>
      <c r="G66" s="473">
        <f t="shared" si="5"/>
        <v>248</v>
      </c>
      <c r="H66" s="460">
        <f>G66+'27'!H66</f>
        <v>7369</v>
      </c>
      <c r="I66" s="480"/>
      <c r="J66" s="552">
        <f>H66/DAY(B2)</f>
        <v>263.17857142857144</v>
      </c>
      <c r="K66" s="428"/>
      <c r="L66" s="377"/>
      <c r="N66" s="1105"/>
    </row>
    <row r="67" spans="1:14" ht="27.75">
      <c r="A67" s="1530" t="s">
        <v>102</v>
      </c>
      <c r="B67" s="1531"/>
      <c r="C67" s="1532"/>
      <c r="D67" s="523" t="s">
        <v>186</v>
      </c>
      <c r="E67" s="514">
        <f>'27'!F67</f>
        <v>250333</v>
      </c>
      <c r="F67" s="740">
        <v>250705</v>
      </c>
      <c r="G67" s="473">
        <f t="shared" si="5"/>
        <v>372</v>
      </c>
      <c r="H67" s="460">
        <f>G67+'27'!H67</f>
        <v>7531</v>
      </c>
      <c r="I67" s="489"/>
      <c r="J67" s="552">
        <f>H67/DAY(B2)</f>
        <v>268.96428571428572</v>
      </c>
      <c r="K67" s="429"/>
      <c r="L67" s="377"/>
      <c r="N67" s="1105"/>
    </row>
    <row r="68" spans="1:14" ht="27.75">
      <c r="A68" s="1530" t="s">
        <v>103</v>
      </c>
      <c r="B68" s="1531"/>
      <c r="C68" s="1532"/>
      <c r="D68" s="523" t="s">
        <v>186</v>
      </c>
      <c r="E68" s="514">
        <f>'27'!F68</f>
        <v>85321</v>
      </c>
      <c r="F68" s="740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5"/>
    </row>
    <row r="69" spans="1:14" ht="27.75">
      <c r="A69" s="1530" t="s">
        <v>104</v>
      </c>
      <c r="B69" s="1531"/>
      <c r="C69" s="1532"/>
      <c r="D69" s="523" t="s">
        <v>186</v>
      </c>
      <c r="E69" s="514">
        <f>'27'!F69</f>
        <v>81292</v>
      </c>
      <c r="F69" s="740">
        <v>81418</v>
      </c>
      <c r="G69" s="473">
        <f t="shared" si="5"/>
        <v>126</v>
      </c>
      <c r="H69" s="460">
        <f>G69+'27'!H69</f>
        <v>2424</v>
      </c>
      <c r="I69" s="516"/>
      <c r="J69" s="552">
        <f>H69/DAY(B2)</f>
        <v>86.571428571428569</v>
      </c>
      <c r="K69" s="431"/>
      <c r="L69" s="377"/>
      <c r="N69" s="1105"/>
    </row>
    <row r="70" spans="1:14" ht="27.75">
      <c r="A70" s="1536" t="s">
        <v>188</v>
      </c>
      <c r="B70" s="1537"/>
      <c r="C70" s="1538"/>
      <c r="D70" s="523" t="s">
        <v>186</v>
      </c>
      <c r="E70" s="748"/>
      <c r="F70" s="748"/>
      <c r="G70" s="518"/>
      <c r="H70" s="460">
        <f>G70+'13'!H70</f>
        <v>0</v>
      </c>
      <c r="I70" s="518"/>
      <c r="J70" s="556"/>
      <c r="K70" s="431"/>
      <c r="L70" s="377"/>
      <c r="N70" s="1105"/>
    </row>
    <row r="71" spans="1:14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1105"/>
    </row>
    <row r="72" spans="1:14" ht="27.75">
      <c r="A72" s="1530" t="s">
        <v>190</v>
      </c>
      <c r="B72" s="1531"/>
      <c r="C72" s="1532"/>
      <c r="D72" s="523" t="s">
        <v>186</v>
      </c>
      <c r="E72" s="765">
        <f>'27'!F72</f>
        <v>855792</v>
      </c>
      <c r="F72" s="749">
        <v>855806</v>
      </c>
      <c r="G72" s="473">
        <f t="shared" ref="G72:G84" si="6">F72-E72</f>
        <v>14</v>
      </c>
      <c r="H72" s="460">
        <f>G72+'27'!H72</f>
        <v>334</v>
      </c>
      <c r="I72" s="480"/>
      <c r="J72" s="552">
        <f>H72/DAY(B2)</f>
        <v>11.928571428571429</v>
      </c>
      <c r="K72" s="431"/>
      <c r="L72" s="377"/>
      <c r="N72" s="1105"/>
    </row>
    <row r="73" spans="1:14" ht="27.75">
      <c r="A73" s="1530" t="s">
        <v>191</v>
      </c>
      <c r="B73" s="1531"/>
      <c r="C73" s="1532"/>
      <c r="D73" s="523" t="s">
        <v>186</v>
      </c>
      <c r="E73" s="765">
        <f>'27'!F73</f>
        <v>885933</v>
      </c>
      <c r="F73" s="750">
        <v>885934</v>
      </c>
      <c r="G73" s="655">
        <f t="shared" si="6"/>
        <v>1</v>
      </c>
      <c r="H73" s="460">
        <f>G73+'27'!H73</f>
        <v>238</v>
      </c>
      <c r="I73" s="480"/>
      <c r="J73" s="552">
        <f>H73/DAY(B2)</f>
        <v>8.5</v>
      </c>
      <c r="K73" s="430"/>
      <c r="L73" s="377"/>
      <c r="N73" s="1105"/>
    </row>
    <row r="74" spans="1:14" ht="27.75">
      <c r="A74" s="1530" t="s">
        <v>192</v>
      </c>
      <c r="B74" s="1531"/>
      <c r="C74" s="1532"/>
      <c r="D74" s="523" t="s">
        <v>186</v>
      </c>
      <c r="E74" s="765">
        <f>'27'!F74</f>
        <v>2559</v>
      </c>
      <c r="F74" s="750">
        <v>2566</v>
      </c>
      <c r="G74" s="473">
        <f t="shared" si="6"/>
        <v>7</v>
      </c>
      <c r="H74" s="460">
        <f>G74+'27'!H74</f>
        <v>287</v>
      </c>
      <c r="I74" s="480"/>
      <c r="J74" s="552">
        <f>H74/DAY(B2)</f>
        <v>10.25</v>
      </c>
      <c r="K74" s="431"/>
      <c r="L74" s="377"/>
      <c r="N74" s="1105"/>
    </row>
    <row r="75" spans="1:14" ht="27.75">
      <c r="A75" s="1527" t="s">
        <v>193</v>
      </c>
      <c r="B75" s="1528"/>
      <c r="C75" s="1529"/>
      <c r="D75" s="523" t="s">
        <v>186</v>
      </c>
      <c r="E75" s="765">
        <f>'27'!F75</f>
        <v>12447</v>
      </c>
      <c r="F75" s="750">
        <v>12505</v>
      </c>
      <c r="G75" s="473">
        <f t="shared" si="6"/>
        <v>58</v>
      </c>
      <c r="H75" s="460">
        <f>G75+'27'!H75</f>
        <v>1535</v>
      </c>
      <c r="I75" s="480"/>
      <c r="J75" s="552">
        <f>H75/DAY(B2)</f>
        <v>54.821428571428569</v>
      </c>
      <c r="K75" s="430"/>
      <c r="L75" s="377"/>
      <c r="N75" s="1105"/>
    </row>
    <row r="76" spans="1:14" ht="27.75">
      <c r="A76" s="1527" t="s">
        <v>194</v>
      </c>
      <c r="B76" s="1528"/>
      <c r="C76" s="1529"/>
      <c r="D76" s="523" t="s">
        <v>186</v>
      </c>
      <c r="E76" s="765">
        <f>'27'!F76</f>
        <v>7193</v>
      </c>
      <c r="F76" s="750">
        <v>7250</v>
      </c>
      <c r="G76" s="473">
        <f t="shared" si="6"/>
        <v>57</v>
      </c>
      <c r="H76" s="460">
        <f>G76+'27'!H76</f>
        <v>1533.0499999999993</v>
      </c>
      <c r="I76" s="505"/>
      <c r="J76" s="552">
        <f>H76/DAY(B2)</f>
        <v>54.751785714285688</v>
      </c>
      <c r="K76" s="430"/>
      <c r="L76" s="377"/>
      <c r="N76" s="1105"/>
    </row>
    <row r="77" spans="1:14" ht="27.75">
      <c r="A77" s="1530" t="s">
        <v>195</v>
      </c>
      <c r="B77" s="1531"/>
      <c r="C77" s="1532"/>
      <c r="D77" s="523" t="s">
        <v>186</v>
      </c>
      <c r="E77" s="765">
        <f>'27'!F77</f>
        <v>702673</v>
      </c>
      <c r="F77" s="750">
        <v>702712</v>
      </c>
      <c r="G77" s="655">
        <f t="shared" si="6"/>
        <v>39</v>
      </c>
      <c r="H77" s="460">
        <f>G77+'27'!H77</f>
        <v>1150</v>
      </c>
      <c r="I77" s="505"/>
      <c r="J77" s="552">
        <f>H77/DAY(B2)</f>
        <v>41.071428571428569</v>
      </c>
      <c r="K77" s="430"/>
      <c r="L77" s="377"/>
      <c r="N77" s="1105"/>
    </row>
    <row r="78" spans="1:14" ht="27.75">
      <c r="A78" s="1146" t="s">
        <v>196</v>
      </c>
      <c r="B78" s="1119"/>
      <c r="C78" s="1119"/>
      <c r="D78" s="523" t="s">
        <v>186</v>
      </c>
      <c r="E78" s="765">
        <f>'27'!F78</f>
        <v>672455</v>
      </c>
      <c r="F78" s="750">
        <v>672565</v>
      </c>
      <c r="G78" s="655">
        <f t="shared" si="6"/>
        <v>110</v>
      </c>
      <c r="H78" s="460">
        <f>G78+'27'!H78</f>
        <v>2540</v>
      </c>
      <c r="I78" s="505"/>
      <c r="J78" s="552">
        <f>H78/DAY(B2)</f>
        <v>90.714285714285708</v>
      </c>
      <c r="K78" s="430"/>
      <c r="L78" s="377"/>
      <c r="N78" s="1105"/>
    </row>
    <row r="79" spans="1:14" ht="27.75">
      <c r="A79" s="1527" t="s">
        <v>92</v>
      </c>
      <c r="B79" s="1528"/>
      <c r="C79" s="1529"/>
      <c r="D79" s="524" t="s">
        <v>186</v>
      </c>
      <c r="E79" s="765">
        <f>'27'!F79</f>
        <v>830419</v>
      </c>
      <c r="F79" s="751">
        <v>830553</v>
      </c>
      <c r="G79" s="473">
        <f t="shared" si="6"/>
        <v>134</v>
      </c>
      <c r="H79" s="460">
        <f>G79+'27'!H79</f>
        <v>2822</v>
      </c>
      <c r="I79" s="505"/>
      <c r="J79" s="552">
        <f>H79/DAY(B2)</f>
        <v>100.78571428571429</v>
      </c>
      <c r="K79" s="430"/>
      <c r="L79" s="377"/>
      <c r="N79" s="1105"/>
    </row>
    <row r="80" spans="1:14" ht="27.75">
      <c r="A80" s="1527" t="s">
        <v>197</v>
      </c>
      <c r="B80" s="1528"/>
      <c r="C80" s="1529"/>
      <c r="D80" s="524" t="s">
        <v>186</v>
      </c>
      <c r="E80" s="765">
        <f>'27'!F80</f>
        <v>526181</v>
      </c>
      <c r="F80" s="750">
        <v>526526</v>
      </c>
      <c r="G80" s="473">
        <f t="shared" si="6"/>
        <v>345</v>
      </c>
      <c r="H80" s="460">
        <f>G80+'27'!H80</f>
        <v>7065</v>
      </c>
      <c r="I80" s="505"/>
      <c r="J80" s="552">
        <f>H80/DAY(B2)</f>
        <v>252.32142857142858</v>
      </c>
      <c r="K80" s="430"/>
      <c r="L80" s="377"/>
      <c r="N80" s="1105"/>
    </row>
    <row r="81" spans="1:17" ht="27.75">
      <c r="A81" s="1527" t="s">
        <v>198</v>
      </c>
      <c r="B81" s="1528"/>
      <c r="C81" s="1529"/>
      <c r="D81" s="524" t="s">
        <v>186</v>
      </c>
      <c r="E81" s="765">
        <f>'27'!F81</f>
        <v>638548</v>
      </c>
      <c r="F81" s="750">
        <v>638625</v>
      </c>
      <c r="G81" s="473">
        <f t="shared" si="6"/>
        <v>77</v>
      </c>
      <c r="H81" s="460">
        <f>G81+'27'!H81</f>
        <v>2147</v>
      </c>
      <c r="I81" s="505"/>
      <c r="J81" s="552">
        <f>H81/DAY(B2)</f>
        <v>76.678571428571431</v>
      </c>
      <c r="K81" s="430"/>
      <c r="L81" s="377"/>
      <c r="N81" s="1105"/>
    </row>
    <row r="82" spans="1:17" ht="27.75">
      <c r="A82" s="1527" t="s">
        <v>93</v>
      </c>
      <c r="B82" s="1528"/>
      <c r="C82" s="1529"/>
      <c r="D82" s="485" t="s">
        <v>131</v>
      </c>
      <c r="E82" s="765">
        <f>'27'!F82</f>
        <v>108101</v>
      </c>
      <c r="F82" s="747">
        <v>108112</v>
      </c>
      <c r="G82" s="473">
        <f t="shared" si="6"/>
        <v>11</v>
      </c>
      <c r="H82" s="460">
        <f>G82+'27'!H82</f>
        <v>500</v>
      </c>
      <c r="I82" s="486"/>
      <c r="J82" s="552">
        <f>H82/DAY(B2)</f>
        <v>17.857142857142858</v>
      </c>
      <c r="K82" s="430"/>
      <c r="L82" s="377"/>
      <c r="N82" s="1105"/>
    </row>
    <row r="83" spans="1:17" ht="27.75">
      <c r="A83" s="1527" t="s">
        <v>199</v>
      </c>
      <c r="B83" s="1528"/>
      <c r="C83" s="1529"/>
      <c r="D83" s="620" t="s">
        <v>131</v>
      </c>
      <c r="E83" s="765">
        <f>'27'!F83</f>
        <v>19771</v>
      </c>
      <c r="F83" s="470">
        <v>19920</v>
      </c>
      <c r="G83" s="473">
        <f t="shared" si="6"/>
        <v>149</v>
      </c>
      <c r="H83" s="460">
        <f>G83+'27'!H83</f>
        <v>5149</v>
      </c>
      <c r="I83" s="481"/>
      <c r="J83" s="552">
        <f>H83/DAY(B2)</f>
        <v>183.89285714285714</v>
      </c>
      <c r="K83" s="429"/>
      <c r="L83" s="377"/>
      <c r="N83" s="1105"/>
    </row>
    <row r="84" spans="1:17">
      <c r="A84" s="1147" t="s">
        <v>200</v>
      </c>
      <c r="B84" s="571"/>
      <c r="C84" s="571"/>
      <c r="D84" s="478" t="s">
        <v>131</v>
      </c>
      <c r="E84" s="765">
        <f>'27'!F84</f>
        <v>496936</v>
      </c>
      <c r="F84" s="708">
        <v>497815</v>
      </c>
      <c r="G84" s="473">
        <f t="shared" si="6"/>
        <v>879</v>
      </c>
      <c r="H84" s="460">
        <f>G84+'27'!H84</f>
        <v>17682</v>
      </c>
      <c r="I84" s="481"/>
      <c r="J84" s="552">
        <f>H84/DAY(B2)</f>
        <v>631.5</v>
      </c>
      <c r="K84" s="380"/>
      <c r="L84" s="377"/>
      <c r="N84" s="1105"/>
    </row>
    <row r="85" spans="1:17" s="379" customFormat="1">
      <c r="A85" s="605" t="s">
        <v>201</v>
      </c>
      <c r="B85" s="572"/>
      <c r="C85" s="572"/>
      <c r="D85" s="489"/>
      <c r="E85" s="708">
        <f>'27'!F85</f>
        <v>0</v>
      </c>
      <c r="F85" s="460"/>
      <c r="G85" s="460">
        <f xml:space="preserve"> SUM(G72:G84)</f>
        <v>1881</v>
      </c>
      <c r="H85" s="460">
        <f>G85+'27'!H85</f>
        <v>46491</v>
      </c>
      <c r="I85" s="481"/>
      <c r="J85" s="552">
        <f>H85/DAY(B2)</f>
        <v>1660.3928571428571</v>
      </c>
      <c r="K85" s="380"/>
      <c r="L85" s="378"/>
      <c r="N85" s="1105"/>
      <c r="O85" s="772"/>
      <c r="P85" s="772"/>
      <c r="Q85" s="772"/>
    </row>
    <row r="86" spans="1:17" s="738" customFormat="1">
      <c r="A86" s="733" t="s">
        <v>94</v>
      </c>
      <c r="B86" s="734"/>
      <c r="C86" s="734"/>
      <c r="D86" s="735" t="s">
        <v>182</v>
      </c>
      <c r="E86" s="708">
        <f>'27'!F86</f>
        <v>460802</v>
      </c>
      <c r="F86" s="752">
        <v>460836</v>
      </c>
      <c r="G86" s="708">
        <f t="shared" ref="G86:G88" si="7">F86-E86</f>
        <v>34</v>
      </c>
      <c r="H86" s="708">
        <f t="shared" ref="H86:H88" si="8">G86</f>
        <v>34</v>
      </c>
      <c r="I86" s="655"/>
      <c r="J86" s="710">
        <f>H86/DAY(B2)</f>
        <v>1.2142857142857142</v>
      </c>
      <c r="K86" s="736"/>
      <c r="L86" s="737"/>
      <c r="N86" s="1105"/>
      <c r="O86" s="772"/>
      <c r="P86" s="772"/>
      <c r="Q86" s="773"/>
    </row>
    <row r="87" spans="1:17" s="738" customFormat="1">
      <c r="A87" s="733" t="s">
        <v>95</v>
      </c>
      <c r="B87" s="734"/>
      <c r="C87" s="734"/>
      <c r="D87" s="735" t="s">
        <v>182</v>
      </c>
      <c r="E87" s="708">
        <f>'27'!F87</f>
        <v>81307</v>
      </c>
      <c r="F87" s="752">
        <v>81325</v>
      </c>
      <c r="G87" s="708">
        <f t="shared" si="7"/>
        <v>18</v>
      </c>
      <c r="H87" s="708">
        <f t="shared" si="8"/>
        <v>18</v>
      </c>
      <c r="I87" s="655"/>
      <c r="J87" s="710">
        <f>H87/DAY(B2)</f>
        <v>0.6428571428571429</v>
      </c>
      <c r="K87" s="736"/>
      <c r="L87" s="737"/>
      <c r="N87" s="1105"/>
      <c r="O87" s="772"/>
      <c r="P87" s="772"/>
      <c r="Q87" s="773"/>
    </row>
    <row r="88" spans="1:17" s="738" customFormat="1">
      <c r="A88" s="733" t="s">
        <v>96</v>
      </c>
      <c r="B88" s="734"/>
      <c r="C88" s="734"/>
      <c r="D88" s="735" t="s">
        <v>182</v>
      </c>
      <c r="E88" s="708">
        <f>'27'!F88</f>
        <v>152900</v>
      </c>
      <c r="F88" s="752">
        <v>152923</v>
      </c>
      <c r="G88" s="708">
        <f t="shared" si="7"/>
        <v>23</v>
      </c>
      <c r="H88" s="708">
        <f t="shared" si="8"/>
        <v>23</v>
      </c>
      <c r="I88" s="655"/>
      <c r="J88" s="710">
        <f>H88/DAY(B2)</f>
        <v>0.8214285714285714</v>
      </c>
      <c r="K88" s="736"/>
      <c r="L88" s="737"/>
      <c r="N88" s="1105"/>
      <c r="O88" s="772"/>
      <c r="P88" s="772"/>
      <c r="Q88" s="773"/>
    </row>
    <row r="89" spans="1:17" s="738" customFormat="1">
      <c r="A89" s="733" t="s">
        <v>203</v>
      </c>
      <c r="B89" s="734"/>
      <c r="C89" s="734"/>
      <c r="D89" s="735" t="s">
        <v>182</v>
      </c>
      <c r="E89" s="708">
        <f>'27'!F89</f>
        <v>65131</v>
      </c>
      <c r="F89" s="752">
        <v>65142</v>
      </c>
      <c r="G89" s="708">
        <f t="shared" ref="G89:G91" si="9">F89-E89</f>
        <v>11</v>
      </c>
      <c r="H89" s="708">
        <f t="shared" ref="H89:H91" si="10">G89</f>
        <v>11</v>
      </c>
      <c r="I89" s="655"/>
      <c r="J89" s="710">
        <f>H89/DAY(B2)</f>
        <v>0.39285714285714285</v>
      </c>
      <c r="K89" s="736"/>
      <c r="L89" s="737"/>
      <c r="N89" s="1105"/>
      <c r="O89" s="382"/>
    </row>
    <row r="90" spans="1:17" s="738" customFormat="1">
      <c r="A90" s="733" t="s">
        <v>203</v>
      </c>
      <c r="B90" s="734"/>
      <c r="C90" s="734"/>
      <c r="D90" s="735" t="s">
        <v>182</v>
      </c>
      <c r="E90" s="708">
        <f>'27'!F90</f>
        <v>3274</v>
      </c>
      <c r="F90" s="752">
        <v>3274</v>
      </c>
      <c r="G90" s="708">
        <f t="shared" si="9"/>
        <v>0</v>
      </c>
      <c r="H90" s="708">
        <f t="shared" si="10"/>
        <v>0</v>
      </c>
      <c r="I90" s="655"/>
      <c r="J90" s="710">
        <f>H90/DAY(B2)</f>
        <v>0</v>
      </c>
      <c r="K90" s="736"/>
      <c r="L90" s="737"/>
      <c r="N90" s="1105"/>
      <c r="O90" s="382"/>
    </row>
    <row r="91" spans="1:17" s="738" customFormat="1">
      <c r="A91" s="733" t="s">
        <v>361</v>
      </c>
      <c r="B91" s="734"/>
      <c r="C91" s="734"/>
      <c r="D91" s="735"/>
      <c r="E91" s="708">
        <f>'27'!F91</f>
        <v>28005</v>
      </c>
      <c r="F91" s="650">
        <v>28010</v>
      </c>
      <c r="G91" s="708">
        <f t="shared" si="9"/>
        <v>5</v>
      </c>
      <c r="H91" s="708">
        <f t="shared" si="10"/>
        <v>5</v>
      </c>
      <c r="I91" s="655"/>
      <c r="J91" s="710"/>
      <c r="K91" s="736"/>
      <c r="L91" s="737"/>
      <c r="N91" s="780"/>
      <c r="O91" s="382"/>
    </row>
    <row r="92" spans="1:17" s="379" customFormat="1">
      <c r="A92" s="606" t="s">
        <v>204</v>
      </c>
      <c r="B92" s="1149"/>
      <c r="C92" s="1149"/>
      <c r="D92" s="472"/>
      <c r="E92" s="741"/>
      <c r="F92" s="741" t="s">
        <v>370</v>
      </c>
      <c r="G92" s="488"/>
      <c r="H92" s="472"/>
      <c r="I92" s="472"/>
      <c r="J92" s="551"/>
      <c r="K92" s="380"/>
      <c r="L92" s="378"/>
      <c r="N92" s="1105"/>
      <c r="O92" s="772"/>
      <c r="P92" s="772"/>
      <c r="Q92" s="772"/>
    </row>
    <row r="93" spans="1:17" ht="27.75">
      <c r="A93" s="1551" t="s">
        <v>205</v>
      </c>
      <c r="B93" s="1552"/>
      <c r="C93" s="1553"/>
      <c r="D93" s="523" t="s">
        <v>143</v>
      </c>
      <c r="E93" s="761">
        <f>'27'!F93</f>
        <v>245311</v>
      </c>
      <c r="F93" s="740">
        <v>245339</v>
      </c>
      <c r="G93" s="473">
        <f t="shared" ref="G93:G94" si="11">F93-E93</f>
        <v>28</v>
      </c>
      <c r="H93" s="460">
        <f>G93+'27'!H93</f>
        <v>915</v>
      </c>
      <c r="I93" s="480"/>
      <c r="J93" s="552">
        <f>H93/DAY(B2)</f>
        <v>32.678571428571431</v>
      </c>
      <c r="K93" s="429"/>
      <c r="L93" s="377"/>
      <c r="N93" s="1105"/>
    </row>
    <row r="94" spans="1:17" ht="27.75">
      <c r="A94" s="1551" t="s">
        <v>206</v>
      </c>
      <c r="B94" s="1552"/>
      <c r="C94" s="1553"/>
      <c r="D94" s="523" t="s">
        <v>143</v>
      </c>
      <c r="E94" s="761">
        <f>'27'!F94</f>
        <v>185782</v>
      </c>
      <c r="F94" s="740">
        <v>185862</v>
      </c>
      <c r="G94" s="473">
        <f t="shared" si="11"/>
        <v>80</v>
      </c>
      <c r="H94" s="460">
        <f>G94+'27'!H94</f>
        <v>2331</v>
      </c>
      <c r="I94" s="480"/>
      <c r="J94" s="552">
        <f>H94/DAY(B2)</f>
        <v>83.25</v>
      </c>
      <c r="K94" s="380"/>
      <c r="L94" s="377"/>
      <c r="N94" s="1105"/>
    </row>
    <row r="95" spans="1:17">
      <c r="A95" s="1579" t="s">
        <v>207</v>
      </c>
      <c r="B95" s="1580"/>
      <c r="C95" s="1581"/>
      <c r="D95" s="523"/>
      <c r="E95" s="761">
        <f>'27'!F95</f>
        <v>0</v>
      </c>
      <c r="F95" s="740"/>
      <c r="G95" s="473">
        <f>G93+G94</f>
        <v>108</v>
      </c>
      <c r="H95" s="460">
        <f>G95+'27'!H95</f>
        <v>3099</v>
      </c>
      <c r="I95" s="480"/>
      <c r="J95" s="552">
        <f>H95/DAY(B2)</f>
        <v>110.67857142857143</v>
      </c>
      <c r="K95" s="380"/>
      <c r="L95" s="377"/>
      <c r="N95" s="1105"/>
    </row>
    <row r="96" spans="1:17" ht="27.75">
      <c r="A96" s="1551" t="s">
        <v>208</v>
      </c>
      <c r="B96" s="1552"/>
      <c r="C96" s="1553"/>
      <c r="D96" s="523" t="s">
        <v>143</v>
      </c>
      <c r="E96" s="761">
        <f>'27'!F96</f>
        <v>414094</v>
      </c>
      <c r="F96" s="740">
        <v>414145</v>
      </c>
      <c r="G96" s="473">
        <f t="shared" ref="G96:G101" si="12">F96-E96</f>
        <v>51</v>
      </c>
      <c r="H96" s="460">
        <f>G96+'27'!H96</f>
        <v>1259</v>
      </c>
      <c r="I96" s="480"/>
      <c r="J96" s="552">
        <f>H96/DAY(B2)</f>
        <v>44.964285714285715</v>
      </c>
      <c r="K96" s="380"/>
      <c r="L96" s="377"/>
      <c r="N96" s="1105"/>
    </row>
    <row r="97" spans="1:17" ht="27.75">
      <c r="A97" s="1143" t="s">
        <v>209</v>
      </c>
      <c r="B97" s="1144"/>
      <c r="C97" s="1144"/>
      <c r="D97" s="523" t="s">
        <v>143</v>
      </c>
      <c r="E97" s="761">
        <f>'27'!F97</f>
        <v>102607</v>
      </c>
      <c r="F97" s="740">
        <v>102614</v>
      </c>
      <c r="G97" s="473">
        <f t="shared" si="12"/>
        <v>7</v>
      </c>
      <c r="H97" s="460">
        <f>G97+'27'!H97</f>
        <v>271</v>
      </c>
      <c r="I97" s="480"/>
      <c r="J97" s="552">
        <f>H97/DAY(B2)</f>
        <v>9.6785714285714288</v>
      </c>
      <c r="K97" s="427"/>
      <c r="L97" s="377"/>
      <c r="N97" s="1105"/>
    </row>
    <row r="98" spans="1:17" ht="27.75">
      <c r="A98" s="1143" t="s">
        <v>210</v>
      </c>
      <c r="B98" s="1144"/>
      <c r="C98" s="1144"/>
      <c r="D98" s="523" t="s">
        <v>143</v>
      </c>
      <c r="E98" s="761">
        <f>'27'!F98</f>
        <v>97844</v>
      </c>
      <c r="F98" s="740">
        <v>97862</v>
      </c>
      <c r="G98" s="473">
        <f t="shared" si="12"/>
        <v>18</v>
      </c>
      <c r="H98" s="460">
        <f>G98+'27'!H98</f>
        <v>435</v>
      </c>
      <c r="I98" s="480"/>
      <c r="J98" s="552">
        <f>H98/DAY(B2)</f>
        <v>15.535714285714286</v>
      </c>
      <c r="K98" s="432"/>
      <c r="L98" s="377"/>
      <c r="N98" s="1105"/>
    </row>
    <row r="99" spans="1:17" ht="27.75">
      <c r="A99" s="1143" t="s">
        <v>211</v>
      </c>
      <c r="B99" s="1144"/>
      <c r="C99" s="1144"/>
      <c r="D99" s="523" t="s">
        <v>143</v>
      </c>
      <c r="E99" s="761">
        <f>'27'!F99</f>
        <v>149838</v>
      </c>
      <c r="F99" s="740">
        <v>149842</v>
      </c>
      <c r="G99" s="473">
        <f t="shared" si="12"/>
        <v>4</v>
      </c>
      <c r="H99" s="460">
        <f>G99+'27'!H99</f>
        <v>309</v>
      </c>
      <c r="I99" s="480"/>
      <c r="J99" s="552">
        <f>H99/DAY(B2)</f>
        <v>11.035714285714286</v>
      </c>
      <c r="K99" s="380"/>
      <c r="L99" s="377"/>
      <c r="N99" s="1105"/>
    </row>
    <row r="100" spans="1:17" ht="27.75">
      <c r="A100" s="1143" t="s">
        <v>212</v>
      </c>
      <c r="B100" s="1144"/>
      <c r="C100" s="1144"/>
      <c r="D100" s="523" t="s">
        <v>143</v>
      </c>
      <c r="E100" s="761">
        <f>'27'!F100</f>
        <v>7345</v>
      </c>
      <c r="F100" s="740">
        <v>7351</v>
      </c>
      <c r="G100" s="473">
        <f t="shared" si="12"/>
        <v>6</v>
      </c>
      <c r="H100" s="460">
        <f>G100+'27'!H100</f>
        <v>166</v>
      </c>
      <c r="I100" s="480"/>
      <c r="J100" s="552">
        <f>H100/DAY(B2)</f>
        <v>5.9285714285714288</v>
      </c>
      <c r="K100" s="380"/>
      <c r="L100" s="377"/>
      <c r="N100" s="1105"/>
    </row>
    <row r="101" spans="1:17" ht="27.75">
      <c r="A101" s="1143" t="s">
        <v>213</v>
      </c>
      <c r="B101" s="1144"/>
      <c r="C101" s="1144"/>
      <c r="D101" s="523" t="s">
        <v>143</v>
      </c>
      <c r="E101" s="761">
        <f>'27'!F101</f>
        <v>5354</v>
      </c>
      <c r="F101" s="740">
        <v>5360</v>
      </c>
      <c r="G101" s="473">
        <f t="shared" si="12"/>
        <v>6</v>
      </c>
      <c r="H101" s="460">
        <f>G101+'27'!H101</f>
        <v>222</v>
      </c>
      <c r="I101" s="480"/>
      <c r="J101" s="552">
        <f>H101/DAY(B2)</f>
        <v>7.9285714285714288</v>
      </c>
      <c r="K101" s="380"/>
      <c r="L101" s="377"/>
      <c r="N101" s="1105"/>
    </row>
    <row r="102" spans="1:17">
      <c r="A102" s="1579" t="s">
        <v>215</v>
      </c>
      <c r="B102" s="1580"/>
      <c r="C102" s="1581"/>
      <c r="D102" s="524"/>
      <c r="E102" s="486"/>
      <c r="F102" s="486"/>
      <c r="G102" s="525">
        <f>SUM(G96:G101)</f>
        <v>92</v>
      </c>
      <c r="H102" s="460">
        <f>G102+'27'!H102</f>
        <v>2662</v>
      </c>
      <c r="I102" s="526"/>
      <c r="J102" s="552">
        <f>H102/DAY(B2)</f>
        <v>95.071428571428569</v>
      </c>
      <c r="K102" s="380"/>
      <c r="L102" s="377"/>
      <c r="N102" s="1105"/>
    </row>
    <row r="103" spans="1:17" s="442" customFormat="1" ht="27">
      <c r="A103" s="607" t="s">
        <v>216</v>
      </c>
      <c r="B103" s="608"/>
      <c r="C103" s="608"/>
      <c r="D103" s="621"/>
      <c r="E103" s="767"/>
      <c r="F103" s="753"/>
      <c r="G103" s="529"/>
      <c r="H103" s="530"/>
      <c r="I103" s="531"/>
      <c r="J103" s="557"/>
      <c r="N103" s="1105"/>
      <c r="O103" s="772"/>
      <c r="P103" s="772"/>
      <c r="Q103" s="772"/>
    </row>
    <row r="104" spans="1:17" s="442" customFormat="1" ht="27">
      <c r="A104" s="1582" t="s">
        <v>217</v>
      </c>
      <c r="B104" s="1583"/>
      <c r="C104" s="573"/>
      <c r="D104" s="622"/>
      <c r="E104" s="533"/>
      <c r="F104" s="754"/>
      <c r="G104" s="532"/>
      <c r="H104" s="533"/>
      <c r="I104" s="532"/>
      <c r="J104" s="558"/>
      <c r="N104" s="1105"/>
      <c r="O104" s="772"/>
      <c r="P104" s="772"/>
      <c r="Q104" s="772"/>
    </row>
    <row r="105" spans="1:17" s="442" customFormat="1" ht="27">
      <c r="A105" s="1543" t="s">
        <v>218</v>
      </c>
      <c r="B105" s="1544"/>
      <c r="C105" s="1142"/>
      <c r="D105" s="622" t="s">
        <v>143</v>
      </c>
      <c r="E105" s="533">
        <f>'27'!F105</f>
        <v>7484</v>
      </c>
      <c r="F105" s="754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2.0357142857142856</v>
      </c>
      <c r="N105" s="1105"/>
      <c r="O105" s="772"/>
      <c r="P105" s="772"/>
      <c r="Q105" s="772"/>
    </row>
    <row r="106" spans="1:17" s="442" customFormat="1" ht="27">
      <c r="A106" s="1543" t="s">
        <v>77</v>
      </c>
      <c r="B106" s="1544"/>
      <c r="C106" s="1142"/>
      <c r="D106" s="622" t="s">
        <v>143</v>
      </c>
      <c r="E106" s="533">
        <f>'27'!F106</f>
        <v>35924</v>
      </c>
      <c r="F106" s="663">
        <v>35938</v>
      </c>
      <c r="G106" s="532">
        <f t="shared" ref="G106" si="13">F106-E106</f>
        <v>14</v>
      </c>
      <c r="H106" s="533">
        <f>SUM(G106+'1'!G77)</f>
        <v>64</v>
      </c>
      <c r="I106" s="532"/>
      <c r="J106" s="558">
        <f>H106/DAY(B2)</f>
        <v>2.2857142857142856</v>
      </c>
      <c r="N106" s="1105"/>
      <c r="O106" s="772"/>
      <c r="P106" s="772"/>
      <c r="Q106" s="772"/>
    </row>
    <row r="107" spans="1:17" s="442" customFormat="1" ht="27">
      <c r="A107" s="1543" t="s">
        <v>78</v>
      </c>
      <c r="B107" s="1584"/>
      <c r="C107" s="1544"/>
      <c r="D107" s="622" t="s">
        <v>143</v>
      </c>
      <c r="E107" s="533">
        <f>'27'!F107</f>
        <v>19694</v>
      </c>
      <c r="F107" s="663">
        <v>19699</v>
      </c>
      <c r="G107" s="532">
        <f>F107-E107</f>
        <v>5</v>
      </c>
      <c r="H107" s="533">
        <f>SUM(G107+'1'!G78)</f>
        <v>129</v>
      </c>
      <c r="I107" s="532"/>
      <c r="J107" s="558">
        <f>H107/DAY(B2)</f>
        <v>4.6071428571428568</v>
      </c>
      <c r="N107" s="1105"/>
      <c r="O107" s="772"/>
      <c r="P107" s="772"/>
      <c r="Q107" s="772"/>
    </row>
    <row r="108" spans="1:17" s="442" customFormat="1" ht="27">
      <c r="A108" s="1545" t="s">
        <v>201</v>
      </c>
      <c r="B108" s="1546"/>
      <c r="C108" s="1142"/>
      <c r="D108" s="622"/>
      <c r="E108" s="533">
        <f>'27'!F108</f>
        <v>0</v>
      </c>
      <c r="F108" s="663"/>
      <c r="G108" s="532">
        <f>SUM(G105:G107)</f>
        <v>19</v>
      </c>
      <c r="H108" s="533">
        <f>SUM(G108+'1'!G79)</f>
        <v>208</v>
      </c>
      <c r="I108" s="532"/>
      <c r="J108" s="558">
        <f>H108/DAY(B2)</f>
        <v>7.4285714285714288</v>
      </c>
      <c r="N108" s="1105"/>
      <c r="O108" s="772"/>
      <c r="P108" s="772"/>
      <c r="Q108" s="772"/>
    </row>
    <row r="109" spans="1:17" s="442" customFormat="1" ht="27">
      <c r="A109" s="1549" t="s">
        <v>79</v>
      </c>
      <c r="B109" s="1550"/>
      <c r="C109" s="1142"/>
      <c r="D109" s="622" t="s">
        <v>143</v>
      </c>
      <c r="E109" s="533">
        <f>'27'!F109</f>
        <v>0</v>
      </c>
      <c r="F109" s="663"/>
      <c r="G109" s="532"/>
      <c r="H109" s="533"/>
      <c r="I109" s="532"/>
      <c r="J109" s="558"/>
      <c r="N109" s="1105"/>
      <c r="O109" s="772"/>
      <c r="P109" s="772"/>
      <c r="Q109" s="772"/>
    </row>
    <row r="110" spans="1:17" s="442" customFormat="1" ht="27">
      <c r="A110" s="1543" t="s">
        <v>219</v>
      </c>
      <c r="B110" s="1544"/>
      <c r="C110" s="1142"/>
      <c r="D110" s="622" t="s">
        <v>143</v>
      </c>
      <c r="E110" s="533">
        <f>'27'!F110</f>
        <v>62589</v>
      </c>
      <c r="F110" s="663">
        <v>62645</v>
      </c>
      <c r="G110" s="532">
        <f>F110-E110</f>
        <v>56</v>
      </c>
      <c r="H110" s="533">
        <f>SUM(G110+'1'!G81)</f>
        <v>137</v>
      </c>
      <c r="I110" s="532"/>
      <c r="J110" s="558">
        <f>H110/DAY(B2)</f>
        <v>4.8928571428571432</v>
      </c>
      <c r="N110" s="1105"/>
      <c r="O110" s="772"/>
      <c r="P110" s="772"/>
      <c r="Q110" s="772"/>
    </row>
    <row r="111" spans="1:17" s="442" customFormat="1" ht="27">
      <c r="A111" s="1543" t="s">
        <v>220</v>
      </c>
      <c r="B111" s="1544"/>
      <c r="C111" s="1142"/>
      <c r="D111" s="622" t="s">
        <v>143</v>
      </c>
      <c r="E111" s="533">
        <f>'27'!F111</f>
        <v>32542</v>
      </c>
      <c r="F111" s="663">
        <v>32542</v>
      </c>
      <c r="G111" s="532">
        <f t="shared" ref="G111:G112" si="14">F111-E111</f>
        <v>0</v>
      </c>
      <c r="H111" s="533">
        <f>SUM(G111+'1'!G82)</f>
        <v>12</v>
      </c>
      <c r="I111" s="532"/>
      <c r="J111" s="558">
        <f>H111/DAY(B2)</f>
        <v>0.42857142857142855</v>
      </c>
      <c r="N111" s="1105"/>
      <c r="O111" s="772"/>
      <c r="P111" s="772"/>
      <c r="Q111" s="772"/>
    </row>
    <row r="112" spans="1:17" s="442" customFormat="1" ht="27">
      <c r="A112" s="1543" t="s">
        <v>221</v>
      </c>
      <c r="B112" s="1544"/>
      <c r="C112" s="1142"/>
      <c r="D112" s="622" t="s">
        <v>143</v>
      </c>
      <c r="E112" s="533">
        <f>'27'!F112</f>
        <v>4559</v>
      </c>
      <c r="F112" s="663">
        <v>4559</v>
      </c>
      <c r="G112" s="534">
        <f t="shared" si="14"/>
        <v>0</v>
      </c>
      <c r="H112" s="533">
        <f>SUM(G112+'1'!G83)</f>
        <v>255</v>
      </c>
      <c r="I112" s="532"/>
      <c r="J112" s="558">
        <f>H112/DAY(B2)</f>
        <v>9.1071428571428577</v>
      </c>
      <c r="N112" s="1105"/>
      <c r="O112" s="772"/>
      <c r="P112" s="772"/>
      <c r="Q112" s="772"/>
    </row>
    <row r="113" spans="1:17" s="442" customFormat="1" ht="27">
      <c r="A113" s="1545" t="s">
        <v>110</v>
      </c>
      <c r="B113" s="1546"/>
      <c r="C113" s="1142"/>
      <c r="D113" s="622"/>
      <c r="E113" s="533">
        <f>'27'!F113</f>
        <v>0</v>
      </c>
      <c r="F113" s="663"/>
      <c r="G113" s="532">
        <f>SUM(G110:G112)</f>
        <v>56</v>
      </c>
      <c r="H113" s="533">
        <f>SUM(G113+'1'!G84)</f>
        <v>771</v>
      </c>
      <c r="I113" s="532"/>
      <c r="J113" s="558">
        <f>H113/DAY(B2)</f>
        <v>27.535714285714285</v>
      </c>
      <c r="N113" s="1105"/>
      <c r="O113" s="772"/>
      <c r="P113" s="772"/>
      <c r="Q113" s="772"/>
    </row>
    <row r="114" spans="1:17" s="442" customFormat="1" ht="27">
      <c r="A114" s="1549" t="s">
        <v>222</v>
      </c>
      <c r="B114" s="1550"/>
      <c r="C114" s="1142"/>
      <c r="D114" s="622"/>
      <c r="E114" s="533">
        <f>'27'!F114</f>
        <v>0</v>
      </c>
      <c r="F114" s="663"/>
      <c r="G114" s="532"/>
      <c r="H114" s="533"/>
      <c r="I114" s="532"/>
      <c r="J114" s="558">
        <f>H114/DAY(B2)</f>
        <v>0</v>
      </c>
      <c r="N114" s="1105"/>
      <c r="O114" s="772"/>
      <c r="P114" s="772"/>
      <c r="Q114" s="772"/>
    </row>
    <row r="115" spans="1:17" s="442" customFormat="1" ht="27">
      <c r="A115" s="1543" t="s">
        <v>223</v>
      </c>
      <c r="B115" s="1544"/>
      <c r="C115" s="574"/>
      <c r="D115" s="622" t="s">
        <v>143</v>
      </c>
      <c r="E115" s="533">
        <f>'27'!F115</f>
        <v>11467</v>
      </c>
      <c r="F115" s="663">
        <v>11473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0.21428571428571427</v>
      </c>
      <c r="N115" s="1105"/>
      <c r="O115" s="772"/>
      <c r="P115" s="772"/>
      <c r="Q115" s="772"/>
    </row>
    <row r="116" spans="1:17" s="442" customFormat="1" ht="27">
      <c r="A116" s="1543" t="s">
        <v>224</v>
      </c>
      <c r="B116" s="1544"/>
      <c r="C116" s="574"/>
      <c r="D116" s="622" t="s">
        <v>143</v>
      </c>
      <c r="E116" s="533">
        <f>'27'!F116</f>
        <v>8285</v>
      </c>
      <c r="F116" s="663">
        <v>8289</v>
      </c>
      <c r="G116" s="534">
        <f t="shared" ref="G116:G117" si="15">F116-E116</f>
        <v>4</v>
      </c>
      <c r="H116" s="533">
        <f>SUM(G116+'1'!G93)</f>
        <v>56</v>
      </c>
      <c r="I116" s="532"/>
      <c r="J116" s="558">
        <f>H116/DAY(B2)</f>
        <v>2</v>
      </c>
      <c r="N116" s="1105"/>
      <c r="O116" s="772"/>
      <c r="P116" s="772"/>
      <c r="Q116" s="772"/>
    </row>
    <row r="117" spans="1:17" s="442" customFormat="1" ht="27">
      <c r="A117" s="1543" t="s">
        <v>225</v>
      </c>
      <c r="B117" s="1544"/>
      <c r="C117" s="574"/>
      <c r="D117" s="622" t="s">
        <v>143</v>
      </c>
      <c r="E117" s="536"/>
      <c r="F117" s="663"/>
      <c r="G117" s="534">
        <f t="shared" si="15"/>
        <v>0</v>
      </c>
      <c r="H117" s="533">
        <f>SUM(G117+'1'!G94)</f>
        <v>95</v>
      </c>
      <c r="I117" s="532"/>
      <c r="J117" s="558">
        <f>H117/DAY(B2)</f>
        <v>3.3928571428571428</v>
      </c>
      <c r="N117" s="1105"/>
      <c r="O117" s="772"/>
      <c r="P117" s="772"/>
      <c r="Q117" s="772"/>
    </row>
    <row r="118" spans="1:17" s="445" customFormat="1" ht="27">
      <c r="A118" s="1545" t="s">
        <v>201</v>
      </c>
      <c r="B118" s="1546"/>
      <c r="C118" s="574"/>
      <c r="D118" s="623"/>
      <c r="E118" s="536"/>
      <c r="F118" s="663"/>
      <c r="G118" s="534">
        <f>SUM(G115:G117)</f>
        <v>10</v>
      </c>
      <c r="H118" s="533">
        <f>SUM(G118+'1'!G96)</f>
        <v>82</v>
      </c>
      <c r="I118" s="534"/>
      <c r="J118" s="558">
        <f>H118/DAY(B2)</f>
        <v>2.9285714285714284</v>
      </c>
      <c r="N118" s="1105"/>
      <c r="O118" s="772"/>
      <c r="P118" s="772"/>
      <c r="Q118" s="773"/>
    </row>
    <row r="119" spans="1:17" s="446" customFormat="1" ht="27">
      <c r="A119" s="1539" t="s">
        <v>226</v>
      </c>
      <c r="B119" s="1540"/>
      <c r="C119" s="1140"/>
      <c r="D119" s="624" t="s">
        <v>143</v>
      </c>
      <c r="E119" s="536"/>
      <c r="F119" s="663"/>
      <c r="G119" s="536">
        <f>SUM(G19+G93)</f>
        <v>88</v>
      </c>
      <c r="H119" s="533">
        <f>SUM(G119+'1'!G97)</f>
        <v>100</v>
      </c>
      <c r="I119" s="535"/>
      <c r="J119" s="559">
        <f>H119/DAY(B2)</f>
        <v>3.5714285714285716</v>
      </c>
      <c r="N119" s="1105"/>
      <c r="O119" s="772"/>
      <c r="P119" s="772"/>
      <c r="Q119" s="773"/>
    </row>
    <row r="120" spans="1:17" s="446" customFormat="1" ht="27">
      <c r="A120" s="1539" t="s">
        <v>227</v>
      </c>
      <c r="B120" s="1540"/>
      <c r="C120" s="1140"/>
      <c r="D120" s="624" t="s">
        <v>143</v>
      </c>
      <c r="E120" s="536"/>
      <c r="F120" s="663"/>
      <c r="G120" s="536">
        <f>SUM(G96,G97,G98,G100,G101)</f>
        <v>88</v>
      </c>
      <c r="H120" s="533">
        <f>SUM(G120+'1'!G99)</f>
        <v>93</v>
      </c>
      <c r="I120" s="535"/>
      <c r="J120" s="559">
        <f>H120/DAY(B2)</f>
        <v>3.3214285714285716</v>
      </c>
      <c r="N120" s="1105"/>
      <c r="O120" s="772"/>
      <c r="P120" s="772"/>
      <c r="Q120" s="773"/>
    </row>
    <row r="121" spans="1:17" s="446" customFormat="1" ht="27">
      <c r="A121" s="1539" t="s">
        <v>228</v>
      </c>
      <c r="B121" s="1540"/>
      <c r="C121" s="1140"/>
      <c r="D121" s="624" t="s">
        <v>143</v>
      </c>
      <c r="E121" s="536"/>
      <c r="F121" s="663"/>
      <c r="G121" s="534">
        <f>SUM(G113)</f>
        <v>56</v>
      </c>
      <c r="H121" s="533">
        <f>SUM(G121+'1'!G101)</f>
        <v>62</v>
      </c>
      <c r="I121" s="535"/>
      <c r="J121" s="559">
        <f>H121/DAY(B2)</f>
        <v>2.2142857142857144</v>
      </c>
      <c r="N121" s="1105"/>
      <c r="O121" s="772"/>
      <c r="P121" s="772"/>
      <c r="Q121" s="773"/>
    </row>
    <row r="122" spans="1:17" s="442" customFormat="1" ht="27">
      <c r="A122" s="1541"/>
      <c r="B122" s="1542"/>
      <c r="C122" s="1141"/>
      <c r="D122" s="560"/>
      <c r="E122" s="768"/>
      <c r="F122" s="755"/>
      <c r="G122" s="560"/>
      <c r="H122" s="561"/>
      <c r="I122" s="560"/>
      <c r="J122" s="562"/>
      <c r="N122" s="1105"/>
      <c r="O122" s="772"/>
      <c r="P122" s="772"/>
      <c r="Q122" s="772"/>
    </row>
    <row r="123" spans="1:17">
      <c r="A123" s="1576" t="s">
        <v>229</v>
      </c>
      <c r="B123" s="1577"/>
      <c r="C123" s="1578"/>
      <c r="D123" s="472"/>
      <c r="E123" s="741"/>
      <c r="F123" s="741"/>
      <c r="G123" s="483"/>
      <c r="H123" s="483"/>
      <c r="I123" s="483"/>
      <c r="J123" s="563"/>
      <c r="K123" s="380"/>
      <c r="L123" s="377"/>
      <c r="N123" s="1105"/>
    </row>
    <row r="124" spans="1:17" ht="27.75">
      <c r="A124" s="1143" t="s">
        <v>230</v>
      </c>
      <c r="B124" s="1144"/>
      <c r="C124" s="1144"/>
      <c r="D124" s="523" t="s">
        <v>140</v>
      </c>
      <c r="E124" s="740">
        <f>'27'!F124</f>
        <v>831578</v>
      </c>
      <c r="F124" s="740">
        <v>831775</v>
      </c>
      <c r="G124" s="473">
        <f t="shared" ref="G124:G128" si="16">F124-E124</f>
        <v>197</v>
      </c>
      <c r="H124" s="460">
        <f>G124+'27'!H124</f>
        <v>5686.5400000000373</v>
      </c>
      <c r="I124" s="526"/>
      <c r="J124" s="552">
        <f>H124/DAY(B2)</f>
        <v>203.09071428571562</v>
      </c>
      <c r="K124" s="380"/>
      <c r="L124" s="377"/>
      <c r="N124" s="1105"/>
    </row>
    <row r="125" spans="1:17" ht="27.75">
      <c r="A125" s="1143" t="s">
        <v>231</v>
      </c>
      <c r="B125" s="1144"/>
      <c r="C125" s="1144"/>
      <c r="D125" s="523" t="s">
        <v>140</v>
      </c>
      <c r="E125" s="740">
        <f>'27'!F125</f>
        <v>73583.399999999994</v>
      </c>
      <c r="F125" s="756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5"/>
    </row>
    <row r="126" spans="1:17" ht="27.75">
      <c r="A126" s="1530" t="s">
        <v>232</v>
      </c>
      <c r="B126" s="1531"/>
      <c r="C126" s="1532"/>
      <c r="D126" s="523" t="s">
        <v>140</v>
      </c>
      <c r="E126" s="740">
        <f>'27'!F126</f>
        <v>146236</v>
      </c>
      <c r="F126" s="740">
        <v>146302</v>
      </c>
      <c r="G126" s="473">
        <f t="shared" si="16"/>
        <v>66</v>
      </c>
      <c r="H126" s="460">
        <f>G126+'27'!H126</f>
        <v>1614.5599999999977</v>
      </c>
      <c r="I126" s="526"/>
      <c r="J126" s="552">
        <f>H126/DAY(B2)</f>
        <v>57.662857142857057</v>
      </c>
      <c r="K126" s="380"/>
      <c r="L126" s="377"/>
      <c r="N126" s="1105"/>
    </row>
    <row r="127" spans="1:17" ht="27.75">
      <c r="A127" s="609" t="s">
        <v>233</v>
      </c>
      <c r="B127" s="1144"/>
      <c r="C127" s="1144"/>
      <c r="D127" s="523" t="s">
        <v>140</v>
      </c>
      <c r="E127" s="740">
        <f>'27'!F127</f>
        <v>31404.2</v>
      </c>
      <c r="F127" s="756">
        <v>31404</v>
      </c>
      <c r="G127" s="473">
        <f t="shared" si="16"/>
        <v>-0.2000000000007276</v>
      </c>
      <c r="H127" s="460">
        <f>G127+'27'!H127</f>
        <v>0</v>
      </c>
      <c r="I127" s="526"/>
      <c r="J127" s="552">
        <f>H127/DAY(B2)</f>
        <v>0</v>
      </c>
      <c r="K127" s="380"/>
      <c r="L127" s="377"/>
      <c r="N127" s="1105"/>
    </row>
    <row r="128" spans="1:17" ht="27.75">
      <c r="A128" s="609" t="s">
        <v>234</v>
      </c>
      <c r="B128" s="1144"/>
      <c r="C128" s="1144"/>
      <c r="D128" s="523" t="s">
        <v>140</v>
      </c>
      <c r="E128" s="740">
        <f>'27'!F128</f>
        <v>8970.6</v>
      </c>
      <c r="F128" s="756">
        <v>8971</v>
      </c>
      <c r="G128" s="473">
        <f t="shared" si="16"/>
        <v>0.3999999999996362</v>
      </c>
      <c r="H128" s="460">
        <f>G128+'27'!H128</f>
        <v>1.2999999999992724</v>
      </c>
      <c r="I128" s="480"/>
      <c r="J128" s="552">
        <f>H128/DAY(B2)</f>
        <v>4.6428571428545444E-2</v>
      </c>
      <c r="K128" s="380"/>
      <c r="L128" s="377"/>
      <c r="N128" s="1105"/>
    </row>
    <row r="129" spans="1:17" s="281" customFormat="1" ht="27">
      <c r="A129" s="609" t="s">
        <v>235</v>
      </c>
      <c r="B129" s="1144"/>
      <c r="C129" s="1144"/>
      <c r="D129" s="523"/>
      <c r="E129" s="740"/>
      <c r="F129" s="740"/>
      <c r="G129" s="473">
        <f>G15-SUM(G124:G128)</f>
        <v>194.80000000000109</v>
      </c>
      <c r="H129" s="460"/>
      <c r="I129" s="480"/>
      <c r="J129" s="552"/>
      <c r="K129" s="364"/>
      <c r="L129" s="292"/>
      <c r="N129" s="1105"/>
      <c r="O129" s="772"/>
      <c r="P129" s="772"/>
      <c r="Q129" s="772"/>
    </row>
    <row r="130" spans="1:17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3" t="s">
        <v>237</v>
      </c>
      <c r="B131" s="1144"/>
      <c r="C131" s="1144"/>
      <c r="D131" s="523" t="s">
        <v>238</v>
      </c>
      <c r="E131" s="761">
        <f>'27'!F131</f>
        <v>0</v>
      </c>
      <c r="F131" s="740"/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43" t="s">
        <v>239</v>
      </c>
      <c r="B132" s="1144"/>
      <c r="C132" s="1144"/>
      <c r="D132" s="523" t="s">
        <v>238</v>
      </c>
      <c r="E132" s="761">
        <f>'27'!F132</f>
        <v>0</v>
      </c>
      <c r="F132" s="740"/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3" t="s">
        <v>240</v>
      </c>
      <c r="B133" s="1144"/>
      <c r="C133" s="1144"/>
      <c r="D133" s="523" t="s">
        <v>238</v>
      </c>
      <c r="E133" s="770">
        <f>'27'!F133</f>
        <v>40059.1</v>
      </c>
      <c r="F133" s="756">
        <v>40059</v>
      </c>
      <c r="G133" s="473">
        <f t="shared" si="17"/>
        <v>-9.9999999998544808E-2</v>
      </c>
      <c r="H133" s="460">
        <f>G133+'27'!H133</f>
        <v>312.5199999999968</v>
      </c>
      <c r="I133" s="480"/>
      <c r="J133" s="552">
        <f>H133/DAY(B2)</f>
        <v>11.161428571428457</v>
      </c>
    </row>
    <row r="134" spans="1:17" ht="27.75">
      <c r="A134" s="1143" t="s">
        <v>241</v>
      </c>
      <c r="B134" s="1144"/>
      <c r="C134" s="1144"/>
      <c r="D134" s="523" t="s">
        <v>238</v>
      </c>
      <c r="E134" s="770">
        <f>'27'!F134</f>
        <v>300</v>
      </c>
      <c r="F134" s="756">
        <v>300</v>
      </c>
      <c r="G134" s="473">
        <f t="shared" si="17"/>
        <v>0</v>
      </c>
      <c r="H134" s="460">
        <f>G134+'27'!H134</f>
        <v>0</v>
      </c>
      <c r="I134" s="480">
        <f>G131+G132+G133+G134</f>
        <v>-9.9999999998544808E-2</v>
      </c>
      <c r="J134" s="552">
        <f>H134/DAY(B2)</f>
        <v>0</v>
      </c>
    </row>
    <row r="135" spans="1:17" ht="27.75">
      <c r="A135" s="1143" t="s">
        <v>242</v>
      </c>
      <c r="B135" s="1144"/>
      <c r="C135" s="1144"/>
      <c r="D135" s="523" t="s">
        <v>238</v>
      </c>
      <c r="E135" s="770">
        <f>'27'!F135</f>
        <v>41730.339999999997</v>
      </c>
      <c r="F135" s="756">
        <v>41730</v>
      </c>
      <c r="G135" s="473">
        <f t="shared" si="17"/>
        <v>-0.33999999999650754</v>
      </c>
      <c r="H135" s="460">
        <f>G135+'27'!H135</f>
        <v>71.610000000000582</v>
      </c>
      <c r="I135" s="480"/>
      <c r="J135" s="552">
        <f>H135/DAY(B2)</f>
        <v>2.557500000000021</v>
      </c>
      <c r="O135" s="772">
        <f>9-24</f>
        <v>-15</v>
      </c>
    </row>
    <row r="136" spans="1:17" ht="27.75">
      <c r="A136" s="1143" t="s">
        <v>243</v>
      </c>
      <c r="B136" s="1144"/>
      <c r="C136" s="1144"/>
      <c r="D136" s="523" t="s">
        <v>238</v>
      </c>
      <c r="E136" s="769">
        <f>'27'!F136</f>
        <v>32619.040000000001</v>
      </c>
      <c r="F136" s="747">
        <v>32643.16</v>
      </c>
      <c r="G136" s="473">
        <f t="shared" si="17"/>
        <v>24.119999999998981</v>
      </c>
      <c r="H136" s="460">
        <f>G136+'27'!H136</f>
        <v>73.229999999999563</v>
      </c>
      <c r="I136" s="480"/>
      <c r="J136" s="552">
        <f>H136/DAY(B2)</f>
        <v>2.6153571428571274</v>
      </c>
    </row>
    <row r="137" spans="1:17" ht="27.75">
      <c r="A137" s="1143" t="s">
        <v>244</v>
      </c>
      <c r="B137" s="1144"/>
      <c r="C137" s="1144"/>
      <c r="D137" s="523" t="s">
        <v>238</v>
      </c>
      <c r="E137" s="769">
        <f>'27'!F137</f>
        <v>22791.360000000001</v>
      </c>
      <c r="F137" s="747">
        <v>22799</v>
      </c>
      <c r="G137" s="473">
        <f t="shared" si="17"/>
        <v>7.6399999999994179</v>
      </c>
      <c r="H137" s="460">
        <f>G137+'27'!H137</f>
        <v>59.409999999999854</v>
      </c>
      <c r="I137" s="480">
        <f>G135+G136+G137</f>
        <v>31.420000000001892</v>
      </c>
      <c r="J137" s="552">
        <f>H137/DAY(B2)</f>
        <v>2.1217857142857093</v>
      </c>
    </row>
    <row r="138" spans="1:17" ht="27.75">
      <c r="A138" s="1143" t="s">
        <v>245</v>
      </c>
      <c r="B138" s="1144"/>
      <c r="C138" s="1144"/>
      <c r="D138" s="523" t="s">
        <v>238</v>
      </c>
      <c r="E138" s="769">
        <f>'27'!F138</f>
        <v>25051.72</v>
      </c>
      <c r="F138" s="747">
        <v>25051.82</v>
      </c>
      <c r="G138" s="473">
        <f t="shared" si="17"/>
        <v>9.9999999998544808E-2</v>
      </c>
      <c r="H138" s="460">
        <f>G138+'27'!H138</f>
        <v>8.0999999999985448</v>
      </c>
      <c r="I138" s="480"/>
      <c r="J138" s="552">
        <f>H138/DAY(B2)</f>
        <v>0.2892857142856623</v>
      </c>
    </row>
    <row r="139" spans="1:17" ht="27.75">
      <c r="A139" s="1143" t="s">
        <v>246</v>
      </c>
      <c r="B139" s="1144"/>
      <c r="C139" s="1144"/>
      <c r="D139" s="523" t="s">
        <v>238</v>
      </c>
      <c r="E139" s="769">
        <f>'27'!F139</f>
        <v>70401.960000000006</v>
      </c>
      <c r="F139" s="747">
        <v>70402</v>
      </c>
      <c r="G139" s="473">
        <f t="shared" si="17"/>
        <v>3.9999999993597157E-2</v>
      </c>
      <c r="H139" s="460">
        <f>G139+'27'!H139</f>
        <v>37.899999999994179</v>
      </c>
      <c r="I139" s="480">
        <f>G138+G139</f>
        <v>0.13999999999214197</v>
      </c>
      <c r="J139" s="552">
        <f>H139/DAY(B2)</f>
        <v>1.3535714285712206</v>
      </c>
    </row>
    <row r="140" spans="1:17" ht="27.75">
      <c r="A140" s="1143" t="s">
        <v>247</v>
      </c>
      <c r="B140" s="1144"/>
      <c r="C140" s="1144"/>
      <c r="D140" s="523" t="s">
        <v>238</v>
      </c>
      <c r="E140" s="770">
        <f>'27'!F140</f>
        <v>1824.81</v>
      </c>
      <c r="F140" s="756">
        <v>1832</v>
      </c>
      <c r="G140" s="473">
        <f t="shared" si="17"/>
        <v>7.1900000000000546</v>
      </c>
      <c r="H140" s="460">
        <f>G140+'27'!H140</f>
        <v>215.1400000000001</v>
      </c>
      <c r="I140" s="542"/>
      <c r="J140" s="552">
        <f>H140/DAY(B2)</f>
        <v>7.6835714285714323</v>
      </c>
    </row>
    <row r="141" spans="1:17" ht="27.75">
      <c r="A141" s="1143" t="s">
        <v>248</v>
      </c>
      <c r="B141" s="1144"/>
      <c r="C141" s="1144"/>
      <c r="D141" s="523" t="s">
        <v>238</v>
      </c>
      <c r="E141" s="769">
        <f>'27'!F141</f>
        <v>4636.88</v>
      </c>
      <c r="F141" s="740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57" t="s">
        <v>249</v>
      </c>
      <c r="B142" s="1558"/>
      <c r="C142" s="1149"/>
      <c r="D142" s="472"/>
      <c r="E142" s="741"/>
      <c r="F142" s="741"/>
      <c r="G142" s="483"/>
      <c r="H142" s="483"/>
      <c r="I142" s="483"/>
      <c r="J142" s="563"/>
      <c r="K142" s="380"/>
      <c r="L142" s="377"/>
    </row>
    <row r="143" spans="1:17" ht="27.75">
      <c r="A143" s="1551" t="s">
        <v>250</v>
      </c>
      <c r="B143" s="1552"/>
      <c r="C143" s="1553"/>
      <c r="D143" s="523" t="s">
        <v>131</v>
      </c>
      <c r="E143" s="460"/>
      <c r="F143" s="460"/>
      <c r="G143" s="460">
        <f>G35+G43+G49+G57</f>
        <v>4814.33</v>
      </c>
      <c r="H143" s="460">
        <f>G143+'27'!H143</f>
        <v>117986.33</v>
      </c>
      <c r="I143" s="480"/>
      <c r="J143" s="552">
        <f>H143/DAY(B2)</f>
        <v>4213.7974999999997</v>
      </c>
      <c r="K143" s="380"/>
      <c r="L143" s="377"/>
    </row>
    <row r="144" spans="1:17" ht="27.75">
      <c r="A144" s="1551" t="s">
        <v>251</v>
      </c>
      <c r="B144" s="1552"/>
      <c r="C144" s="1553"/>
      <c r="D144" s="523" t="s">
        <v>24</v>
      </c>
      <c r="E144" s="470"/>
      <c r="F144" s="470"/>
      <c r="G144" s="543">
        <f>G143/G7</f>
        <v>0.28575083095916431</v>
      </c>
      <c r="H144" s="460">
        <f>G144+'27'!H144</f>
        <v>7.3948495271633661</v>
      </c>
      <c r="I144" s="544"/>
      <c r="J144" s="552">
        <f>H144/DAY(B2)</f>
        <v>0.26410176882726305</v>
      </c>
      <c r="K144" s="380"/>
      <c r="L144" s="377"/>
    </row>
    <row r="145" spans="1:12" ht="27.75">
      <c r="A145" s="1551" t="s">
        <v>252</v>
      </c>
      <c r="B145" s="1552"/>
      <c r="C145" s="1553"/>
      <c r="D145" s="523" t="s">
        <v>131</v>
      </c>
      <c r="E145" s="460"/>
      <c r="F145" s="460"/>
      <c r="G145" s="460">
        <f>G41+G42+G55+G56</f>
        <v>4796</v>
      </c>
      <c r="H145" s="460">
        <f>G145+'27'!H145</f>
        <v>138962.53000000003</v>
      </c>
      <c r="I145" s="480"/>
      <c r="J145" s="552">
        <f>H145/DAY(B2)</f>
        <v>4962.9475000000011</v>
      </c>
      <c r="K145" s="380"/>
      <c r="L145" s="377"/>
    </row>
    <row r="146" spans="1:12" ht="27.75">
      <c r="A146" s="1551" t="s">
        <v>253</v>
      </c>
      <c r="B146" s="1552"/>
      <c r="C146" s="1553"/>
      <c r="D146" s="523" t="s">
        <v>24</v>
      </c>
      <c r="E146" s="460"/>
      <c r="F146" s="460"/>
      <c r="G146" s="543">
        <f>G145/G7</f>
        <v>0.28466286799620133</v>
      </c>
      <c r="H146" s="460">
        <f>G146+'27'!H146</f>
        <v>8.718327032634404</v>
      </c>
      <c r="I146" s="544"/>
      <c r="J146" s="552">
        <f>H146/DAY(B2)</f>
        <v>0.31136882259408588</v>
      </c>
      <c r="K146" s="380"/>
      <c r="L146" s="377"/>
    </row>
    <row r="147" spans="1:12" ht="27.75">
      <c r="A147" s="1551" t="s">
        <v>254</v>
      </c>
      <c r="B147" s="1552"/>
      <c r="C147" s="1553"/>
      <c r="D147" s="523" t="s">
        <v>131</v>
      </c>
      <c r="E147" s="460"/>
      <c r="F147" s="460"/>
      <c r="G147" s="460">
        <f>G39+G53</f>
        <v>2711</v>
      </c>
      <c r="H147" s="460">
        <f>G147+'27'!H147</f>
        <v>69245</v>
      </c>
      <c r="I147" s="545"/>
      <c r="J147" s="552">
        <f>H147/DAY(B2)</f>
        <v>2473.0357142857142</v>
      </c>
      <c r="K147" s="380"/>
      <c r="L147" s="377"/>
    </row>
    <row r="148" spans="1:12" ht="27.75">
      <c r="A148" s="1551" t="s">
        <v>255</v>
      </c>
      <c r="B148" s="1552"/>
      <c r="C148" s="1553"/>
      <c r="D148" s="523" t="s">
        <v>24</v>
      </c>
      <c r="E148" s="460"/>
      <c r="F148" s="460"/>
      <c r="G148" s="543">
        <f>G147/G7</f>
        <v>0.16090930674264006</v>
      </c>
      <c r="H148" s="460">
        <f>G148+'27'!H148</f>
        <v>4.3413704801357413</v>
      </c>
      <c r="I148" s="545"/>
      <c r="J148" s="552">
        <f>H148/DAY(B2)</f>
        <v>0.15504894571913361</v>
      </c>
    </row>
    <row r="149" spans="1:12" ht="27.75">
      <c r="A149" s="1551" t="s">
        <v>256</v>
      </c>
      <c r="B149" s="1552"/>
      <c r="C149" s="1553"/>
      <c r="D149" s="523" t="s">
        <v>182</v>
      </c>
      <c r="E149" s="460"/>
      <c r="F149" s="460"/>
      <c r="G149" s="460">
        <f>G38+G52</f>
        <v>1195.0699999999488</v>
      </c>
      <c r="H149" s="460">
        <f>G149+'27'!H149</f>
        <v>33011.069999999949</v>
      </c>
      <c r="I149" s="480"/>
      <c r="J149" s="552">
        <f>H149/DAY(B2)</f>
        <v>1178.9667857142838</v>
      </c>
      <c r="K149" s="381"/>
    </row>
    <row r="150" spans="1:12" ht="27.75">
      <c r="A150" s="1551" t="s">
        <v>257</v>
      </c>
      <c r="B150" s="1552"/>
      <c r="C150" s="1553"/>
      <c r="D150" s="523" t="s">
        <v>24</v>
      </c>
      <c r="E150" s="460"/>
      <c r="F150" s="460"/>
      <c r="G150" s="543">
        <f>G149/G7</f>
        <v>7.0932454890785188E-2</v>
      </c>
      <c r="H150" s="460">
        <f>G150+'27'!H150</f>
        <v>2.0721282248862845</v>
      </c>
      <c r="I150" s="545"/>
      <c r="J150" s="552">
        <f>H150/DAY(B2)</f>
        <v>7.4004579460224443E-2</v>
      </c>
    </row>
    <row r="151" spans="1:12" ht="27.75">
      <c r="A151" s="1551" t="s">
        <v>258</v>
      </c>
      <c r="B151" s="1552"/>
      <c r="C151" s="1553"/>
      <c r="D151" s="523" t="s">
        <v>182</v>
      </c>
      <c r="E151" s="460"/>
      <c r="F151" s="460"/>
      <c r="G151" s="460">
        <f>G36+G50</f>
        <v>832</v>
      </c>
      <c r="H151" s="460">
        <f>G151+'27'!H151</f>
        <v>27781</v>
      </c>
      <c r="I151" s="545"/>
      <c r="J151" s="552">
        <f>H151/DAY(B2)</f>
        <v>992.17857142857144</v>
      </c>
    </row>
    <row r="152" spans="1:12" ht="27.75">
      <c r="A152" s="1551" t="s">
        <v>259</v>
      </c>
      <c r="B152" s="1552"/>
      <c r="C152" s="1553"/>
      <c r="D152" s="523" t="s">
        <v>24</v>
      </c>
      <c r="E152" s="460"/>
      <c r="F152" s="460"/>
      <c r="G152" s="543">
        <f>G151/G7</f>
        <v>4.9382716049382713E-2</v>
      </c>
      <c r="H152" s="460">
        <f>G152+'27'!H152</f>
        <v>1.7363345553660587</v>
      </c>
      <c r="I152" s="480"/>
      <c r="J152" s="552">
        <f>H152/DAY(B2)</f>
        <v>6.2011948405930668E-2</v>
      </c>
    </row>
    <row r="153" spans="1:12" ht="27.75">
      <c r="A153" s="1551" t="s">
        <v>260</v>
      </c>
      <c r="B153" s="1552"/>
      <c r="C153" s="1553"/>
      <c r="D153" s="523" t="s">
        <v>182</v>
      </c>
      <c r="E153" s="460"/>
      <c r="F153" s="460"/>
      <c r="G153" s="460">
        <f>G37+G51</f>
        <v>1279</v>
      </c>
      <c r="H153" s="460">
        <f>G153+'27'!H153</f>
        <v>35095</v>
      </c>
      <c r="I153" s="480"/>
      <c r="J153" s="552">
        <f>H153/DAY(B2)</f>
        <v>1253.3928571428571</v>
      </c>
    </row>
    <row r="154" spans="1:12" ht="28.5" thickBot="1">
      <c r="A154" s="1554" t="s">
        <v>261</v>
      </c>
      <c r="B154" s="1555"/>
      <c r="C154" s="1556"/>
      <c r="D154" s="625" t="s">
        <v>24</v>
      </c>
      <c r="E154" s="567"/>
      <c r="F154" s="567"/>
      <c r="G154" s="566">
        <f>G153/G7</f>
        <v>7.5914055080721743E-2</v>
      </c>
      <c r="H154" s="460">
        <f>G154+'27'!H154</f>
        <v>2.2058441409624252</v>
      </c>
      <c r="I154" s="568"/>
      <c r="J154" s="569">
        <f>H154/DAY(B2)</f>
        <v>7.878014789151519E-2</v>
      </c>
    </row>
    <row r="155" spans="1:12">
      <c r="A155" s="466"/>
      <c r="B155" s="456"/>
      <c r="C155" s="456"/>
      <c r="D155" s="546"/>
      <c r="E155" s="548"/>
      <c r="F155" s="757"/>
      <c r="G155" s="546"/>
      <c r="H155" s="547"/>
      <c r="I155" s="546"/>
      <c r="J155" s="548"/>
    </row>
    <row r="161" spans="1:7">
      <c r="A161" s="787" t="s">
        <v>262</v>
      </c>
      <c r="B161" s="788"/>
      <c r="C161" s="788"/>
      <c r="D161" s="511" t="s">
        <v>186</v>
      </c>
      <c r="E161" s="769">
        <f>'27'!F161</f>
        <v>38104</v>
      </c>
      <c r="F161" s="661">
        <v>38185</v>
      </c>
      <c r="G161" s="473">
        <f t="shared" ref="G161:G164" si="18">F161-E161</f>
        <v>81</v>
      </c>
    </row>
    <row r="162" spans="1:7">
      <c r="A162" s="787" t="s">
        <v>263</v>
      </c>
      <c r="B162" s="788"/>
      <c r="C162" s="788"/>
      <c r="D162" s="511" t="s">
        <v>186</v>
      </c>
      <c r="E162" s="769">
        <f>'27'!F162</f>
        <v>93230</v>
      </c>
      <c r="F162" s="661">
        <v>93616</v>
      </c>
      <c r="G162" s="473">
        <f t="shared" si="18"/>
        <v>386</v>
      </c>
    </row>
    <row r="163" spans="1:7">
      <c r="A163" s="787" t="s">
        <v>264</v>
      </c>
      <c r="B163" s="788"/>
      <c r="C163" s="788"/>
      <c r="D163" s="511" t="s">
        <v>186</v>
      </c>
      <c r="E163" s="769">
        <f>'27'!F163</f>
        <v>44117</v>
      </c>
      <c r="F163" s="661">
        <v>44322</v>
      </c>
      <c r="G163" s="473">
        <f t="shared" si="18"/>
        <v>205</v>
      </c>
    </row>
    <row r="164" spans="1:7">
      <c r="A164" s="787" t="s">
        <v>265</v>
      </c>
      <c r="B164" s="788"/>
      <c r="C164" s="788"/>
      <c r="D164" s="511" t="s">
        <v>186</v>
      </c>
      <c r="E164" s="769">
        <f>'27'!F164</f>
        <v>6533</v>
      </c>
      <c r="F164" s="661">
        <v>6542</v>
      </c>
      <c r="G164" s="473">
        <f t="shared" si="18"/>
        <v>9</v>
      </c>
    </row>
    <row r="165" spans="1:7">
      <c r="A165" s="789" t="s">
        <v>98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9" t="s">
        <v>187</v>
      </c>
      <c r="B166" s="604"/>
      <c r="C166" s="604"/>
      <c r="D166" s="511" t="s">
        <v>186</v>
      </c>
      <c r="E166" s="514">
        <f t="shared" ref="E166:E172" si="20">E63</f>
        <v>2460</v>
      </c>
      <c r="F166" s="514">
        <f t="shared" ref="F166:F172" si="21">F63</f>
        <v>2464</v>
      </c>
      <c r="G166" s="473">
        <f t="shared" si="19"/>
        <v>4</v>
      </c>
    </row>
    <row r="167" spans="1:7" ht="27.75">
      <c r="A167" s="1526" t="s">
        <v>99</v>
      </c>
      <c r="B167" s="1526"/>
      <c r="C167" s="1526"/>
      <c r="D167" s="523" t="s">
        <v>186</v>
      </c>
      <c r="E167" s="514">
        <f t="shared" si="20"/>
        <v>159169</v>
      </c>
      <c r="F167" s="514">
        <f t="shared" si="21"/>
        <v>159360</v>
      </c>
      <c r="G167" s="473">
        <f t="shared" si="19"/>
        <v>191</v>
      </c>
    </row>
    <row r="168" spans="1:7" ht="27.75">
      <c r="A168" s="1526" t="s">
        <v>100</v>
      </c>
      <c r="B168" s="1526"/>
      <c r="C168" s="1526"/>
      <c r="D168" s="523" t="s">
        <v>186</v>
      </c>
      <c r="E168" s="514">
        <f t="shared" si="20"/>
        <v>160130</v>
      </c>
      <c r="F168" s="514">
        <f t="shared" si="21"/>
        <v>160348</v>
      </c>
      <c r="G168" s="473">
        <f t="shared" si="19"/>
        <v>218</v>
      </c>
    </row>
    <row r="169" spans="1:7" ht="27.75">
      <c r="A169" s="1526" t="s">
        <v>101</v>
      </c>
      <c r="B169" s="1526"/>
      <c r="C169" s="1526"/>
      <c r="D169" s="523" t="s">
        <v>186</v>
      </c>
      <c r="E169" s="514">
        <f t="shared" si="20"/>
        <v>55692</v>
      </c>
      <c r="F169" s="514">
        <f t="shared" si="21"/>
        <v>55940</v>
      </c>
      <c r="G169" s="473">
        <f t="shared" si="19"/>
        <v>248</v>
      </c>
    </row>
    <row r="170" spans="1:7" ht="27.75">
      <c r="A170" s="1526" t="s">
        <v>102</v>
      </c>
      <c r="B170" s="1526"/>
      <c r="C170" s="1526"/>
      <c r="D170" s="523" t="s">
        <v>186</v>
      </c>
      <c r="E170" s="514">
        <f t="shared" si="20"/>
        <v>250333</v>
      </c>
      <c r="F170" s="514">
        <f t="shared" si="21"/>
        <v>250705</v>
      </c>
      <c r="G170" s="473">
        <f t="shared" si="19"/>
        <v>372</v>
      </c>
    </row>
    <row r="171" spans="1:7" ht="27.75">
      <c r="A171" s="1526" t="s">
        <v>103</v>
      </c>
      <c r="B171" s="1526"/>
      <c r="C171" s="1526"/>
      <c r="D171" s="523" t="s">
        <v>186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514">
        <f t="shared" si="20"/>
        <v>81292</v>
      </c>
      <c r="F172" s="514">
        <f t="shared" si="21"/>
        <v>81418</v>
      </c>
      <c r="G172" s="473">
        <f t="shared" si="19"/>
        <v>126</v>
      </c>
    </row>
    <row r="173" spans="1:7">
      <c r="G173" s="539">
        <f>SUM(G161:G172)</f>
        <v>1840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3"/>
  <sheetViews>
    <sheetView view="pageBreakPreview" zoomScale="55" zoomScaleNormal="78" zoomScaleSheetLayoutView="55" workbookViewId="0">
      <selection activeCell="H8" sqref="H8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8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2"/>
    <col min="16" max="16384" width="22.33203125" style="376"/>
  </cols>
  <sheetData>
    <row r="1" spans="1:54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54" s="281" customFormat="1" ht="27">
      <c r="A2" s="575" t="s">
        <v>352</v>
      </c>
      <c r="B2" s="1035">
        <v>44345</v>
      </c>
      <c r="C2" s="1145" t="s">
        <v>69</v>
      </c>
      <c r="D2" s="611">
        <v>0.98</v>
      </c>
      <c r="E2" s="739"/>
      <c r="F2" s="739"/>
      <c r="G2" s="461" t="s">
        <v>117</v>
      </c>
      <c r="H2" s="461" t="s">
        <v>6</v>
      </c>
      <c r="I2" s="461" t="s">
        <v>8</v>
      </c>
      <c r="J2" s="613" t="s">
        <v>118</v>
      </c>
      <c r="N2" s="772"/>
      <c r="O2" s="772"/>
    </row>
    <row r="3" spans="1:54" s="281" customFormat="1" ht="27">
      <c r="A3" s="570"/>
      <c r="B3" s="614"/>
      <c r="C3" s="1145" t="s">
        <v>119</v>
      </c>
      <c r="D3" s="612">
        <v>30</v>
      </c>
      <c r="E3" s="1568" t="s">
        <v>120</v>
      </c>
      <c r="F3" s="1569"/>
      <c r="G3" s="462"/>
      <c r="H3" s="463"/>
      <c r="I3" s="463"/>
      <c r="J3" s="615"/>
      <c r="K3" s="371"/>
      <c r="L3" s="292"/>
      <c r="N3" s="772"/>
      <c r="O3" s="772"/>
    </row>
    <row r="4" spans="1:54" s="281" customFormat="1" ht="27">
      <c r="A4" s="576"/>
      <c r="B4" s="616"/>
      <c r="C4" s="1145" t="s">
        <v>121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4"/>
      <c r="O4" s="772"/>
    </row>
    <row r="5" spans="1:54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774"/>
    </row>
    <row r="6" spans="1:54">
      <c r="A6" s="1562" t="s">
        <v>129</v>
      </c>
      <c r="B6" s="1563"/>
      <c r="C6" s="1564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9" t="s">
        <v>130</v>
      </c>
      <c r="B7" s="680"/>
      <c r="C7" s="680"/>
      <c r="D7" s="638" t="s">
        <v>131</v>
      </c>
      <c r="E7" s="682">
        <f>'28'!F7</f>
        <v>291944</v>
      </c>
      <c r="F7" s="460">
        <v>308857</v>
      </c>
      <c r="G7" s="681">
        <f>F7-E7</f>
        <v>16913</v>
      </c>
      <c r="H7" s="682">
        <f>G7+'28'!H7</f>
        <v>463880.00000000006</v>
      </c>
      <c r="I7" s="683">
        <f>'1'!I7</f>
        <v>12000</v>
      </c>
      <c r="J7" s="684">
        <f>H7/DAY(B2)</f>
        <v>15995.86206896552</v>
      </c>
      <c r="K7" s="549">
        <v>1703438</v>
      </c>
      <c r="L7" s="377">
        <v>1715917</v>
      </c>
      <c r="O7" s="775"/>
    </row>
    <row r="8" spans="1:54" ht="27.75" thickBot="1">
      <c r="A8" s="685" t="s">
        <v>132</v>
      </c>
      <c r="B8" s="686"/>
      <c r="C8" s="687"/>
      <c r="D8" s="688" t="s">
        <v>25</v>
      </c>
      <c r="E8" s="682">
        <f>'28'!F8</f>
        <v>293842</v>
      </c>
      <c r="F8" s="460">
        <v>310826</v>
      </c>
      <c r="G8" s="692">
        <f>F8-E8</f>
        <v>16984</v>
      </c>
      <c r="H8" s="682">
        <f>G8+'28'!H8</f>
        <v>466585</v>
      </c>
      <c r="I8" s="689"/>
      <c r="J8" s="684">
        <f>H8/DAY(B2)</f>
        <v>16089.137931034482</v>
      </c>
      <c r="K8" s="549">
        <v>1375467</v>
      </c>
      <c r="L8" s="425"/>
      <c r="M8" s="440"/>
      <c r="O8" s="775"/>
    </row>
    <row r="9" spans="1:54">
      <c r="A9" s="690" t="s">
        <v>133</v>
      </c>
      <c r="B9" s="691"/>
      <c r="C9" s="691"/>
      <c r="D9" s="638" t="s">
        <v>131</v>
      </c>
      <c r="E9" s="682">
        <f>'28'!F9</f>
        <v>1423014</v>
      </c>
      <c r="F9" s="740">
        <v>1439384</v>
      </c>
      <c r="G9" s="705">
        <f t="shared" ref="G9:G12" si="0">F9-E9</f>
        <v>16370</v>
      </c>
      <c r="H9" s="682">
        <f>G9+'28'!H9</f>
        <v>448670</v>
      </c>
      <c r="I9" s="693">
        <f>I7-J7</f>
        <v>-3995.8620689655199</v>
      </c>
      <c r="J9" s="684">
        <f>H9/DAY(B2)</f>
        <v>15471.379310344828</v>
      </c>
      <c r="K9" s="428"/>
      <c r="L9" s="377"/>
      <c r="O9" s="775"/>
    </row>
    <row r="10" spans="1:54">
      <c r="A10" s="679" t="s">
        <v>134</v>
      </c>
      <c r="B10" s="680"/>
      <c r="C10" s="680"/>
      <c r="D10" s="638" t="s">
        <v>131</v>
      </c>
      <c r="E10" s="682">
        <f>'28'!F10</f>
        <v>2322.58</v>
      </c>
      <c r="F10" s="740">
        <v>2322.58</v>
      </c>
      <c r="G10" s="692">
        <f t="shared" si="0"/>
        <v>0</v>
      </c>
      <c r="H10" s="682">
        <f>G10+'28'!H10</f>
        <v>0</v>
      </c>
      <c r="I10" s="694"/>
      <c r="J10" s="684">
        <f>H10/DAY(B2)</f>
        <v>0</v>
      </c>
      <c r="K10" s="428"/>
      <c r="L10" s="377"/>
      <c r="BB10" s="376">
        <v>0</v>
      </c>
    </row>
    <row r="11" spans="1:54">
      <c r="A11" s="679" t="s">
        <v>135</v>
      </c>
      <c r="B11" s="680"/>
      <c r="C11" s="680"/>
      <c r="D11" s="638" t="s">
        <v>131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G11+'28'!H11</f>
        <v>0</v>
      </c>
      <c r="I11" s="694"/>
      <c r="J11" s="684">
        <f>H11/DAY(B2)</f>
        <v>0</v>
      </c>
      <c r="K11" s="428"/>
      <c r="L11" s="377"/>
    </row>
    <row r="12" spans="1:54">
      <c r="A12" s="679" t="s">
        <v>136</v>
      </c>
      <c r="B12" s="680"/>
      <c r="C12" s="680"/>
      <c r="D12" s="1100" t="s">
        <v>131</v>
      </c>
      <c r="E12" s="1094">
        <f>'5'!E12</f>
        <v>40010</v>
      </c>
      <c r="F12" s="740">
        <v>40010</v>
      </c>
      <c r="G12" s="692">
        <f t="shared" si="0"/>
        <v>0</v>
      </c>
      <c r="H12" s="682">
        <f>G12+'28'!H12</f>
        <v>0</v>
      </c>
      <c r="I12" s="694"/>
      <c r="J12" s="684">
        <f>H12/DAY(B2)</f>
        <v>0</v>
      </c>
      <c r="K12" s="428"/>
      <c r="L12" s="377"/>
    </row>
    <row r="13" spans="1:54">
      <c r="A13" s="695" t="s">
        <v>137</v>
      </c>
      <c r="B13" s="696"/>
      <c r="C13" s="696"/>
      <c r="D13" s="1100"/>
      <c r="E13" s="1094"/>
      <c r="F13" s="460"/>
      <c r="G13" s="697">
        <f>G9+G10+G11+G12</f>
        <v>16370</v>
      </c>
      <c r="H13" s="1094">
        <f>G13+'28'!H13</f>
        <v>434149</v>
      </c>
      <c r="I13" s="1095">
        <f>G7-G13</f>
        <v>543</v>
      </c>
      <c r="J13" s="1096">
        <f>H13/DAY(B2)</f>
        <v>14970.655172413793</v>
      </c>
      <c r="K13" s="428"/>
      <c r="L13" s="377"/>
    </row>
    <row r="14" spans="1:54">
      <c r="A14" s="1565" t="s">
        <v>138</v>
      </c>
      <c r="B14" s="1566"/>
      <c r="C14" s="1567"/>
      <c r="D14" s="1097"/>
      <c r="E14" s="1101"/>
      <c r="F14" s="741"/>
      <c r="G14" s="483"/>
      <c r="H14" s="1097"/>
      <c r="I14" s="1097"/>
      <c r="J14" s="1098"/>
      <c r="K14" s="429"/>
      <c r="L14" s="377"/>
    </row>
    <row r="15" spans="1:54">
      <c r="A15" s="668" t="s">
        <v>139</v>
      </c>
      <c r="B15" s="669"/>
      <c r="C15" s="669"/>
      <c r="D15" s="1102" t="s">
        <v>140</v>
      </c>
      <c r="E15" s="1103">
        <f>'28'!F15</f>
        <v>1683082</v>
      </c>
      <c r="F15" s="742">
        <v>1683400</v>
      </c>
      <c r="G15" s="667">
        <f>(F15-E15)</f>
        <v>318</v>
      </c>
      <c r="H15" s="1090">
        <f>G15+'28'!H15</f>
        <v>12743</v>
      </c>
      <c r="I15" s="1091">
        <f>'1'!I15</f>
        <v>800</v>
      </c>
      <c r="J15" s="1092">
        <f>H15/DAY(B2)</f>
        <v>439.41379310344826</v>
      </c>
      <c r="K15" s="428"/>
      <c r="L15" s="377"/>
    </row>
    <row r="16" spans="1:54">
      <c r="A16" s="676"/>
      <c r="B16" s="677"/>
      <c r="C16" s="677"/>
      <c r="D16" s="1102"/>
      <c r="E16" s="1103"/>
      <c r="F16" s="742"/>
      <c r="G16" s="672"/>
      <c r="H16" s="1090"/>
      <c r="I16" s="1093">
        <f>I15-J15</f>
        <v>360.58620689655174</v>
      </c>
      <c r="J16" s="1092"/>
      <c r="K16" s="428"/>
      <c r="L16" s="377"/>
    </row>
    <row r="17" spans="1:15">
      <c r="A17" s="1565" t="s">
        <v>141</v>
      </c>
      <c r="B17" s="1566"/>
      <c r="C17" s="1567"/>
      <c r="D17" s="1097"/>
      <c r="E17" s="1101"/>
      <c r="F17" s="741"/>
      <c r="G17" s="488"/>
      <c r="H17" s="1097"/>
      <c r="I17" s="1097"/>
      <c r="J17" s="1098"/>
      <c r="K17" s="428"/>
      <c r="L17" s="377"/>
    </row>
    <row r="18" spans="1:15" ht="27.75">
      <c r="A18" s="1591" t="s">
        <v>142</v>
      </c>
      <c r="B18" s="1592"/>
      <c r="C18" s="1593"/>
      <c r="D18" s="638" t="s">
        <v>143</v>
      </c>
      <c r="E18" s="760">
        <f>'28'!F18</f>
        <v>4</v>
      </c>
      <c r="F18" s="740">
        <v>6</v>
      </c>
      <c r="G18" s="697">
        <f>F18*10</f>
        <v>60</v>
      </c>
      <c r="H18" s="1094">
        <f>G18+'28'!H18</f>
        <v>1180</v>
      </c>
      <c r="I18" s="1099">
        <f>'1'!I18</f>
        <v>65</v>
      </c>
      <c r="J18" s="1096">
        <f>H18/DAY(B2)</f>
        <v>40.689655172413794</v>
      </c>
      <c r="K18" s="428"/>
      <c r="L18" s="377"/>
    </row>
    <row r="19" spans="1:15" ht="27.75">
      <c r="A19" s="1591" t="s">
        <v>71</v>
      </c>
      <c r="B19" s="1592"/>
      <c r="C19" s="1593"/>
      <c r="D19" s="638" t="s">
        <v>143</v>
      </c>
      <c r="E19" s="760">
        <f>'28'!F19</f>
        <v>139436</v>
      </c>
      <c r="F19" s="740">
        <v>139493</v>
      </c>
      <c r="G19" s="692">
        <f t="shared" ref="G19" si="1">F19-E19</f>
        <v>57</v>
      </c>
      <c r="H19" s="682">
        <f>G19+'28'!H19</f>
        <v>1681</v>
      </c>
      <c r="I19" s="699"/>
      <c r="J19" s="684">
        <f>H19/DAY(B2)</f>
        <v>57.96551724137931</v>
      </c>
      <c r="K19" s="428"/>
      <c r="L19" s="377"/>
    </row>
    <row r="20" spans="1:15">
      <c r="A20" s="695" t="s">
        <v>144</v>
      </c>
      <c r="B20" s="696"/>
      <c r="C20" s="696"/>
      <c r="D20" s="638"/>
      <c r="E20" s="682"/>
      <c r="F20" s="460"/>
      <c r="G20" s="700">
        <f>G18+G19</f>
        <v>117</v>
      </c>
      <c r="H20" s="682">
        <f>G20+'28'!H20</f>
        <v>2861</v>
      </c>
      <c r="I20" s="701">
        <f>I18-J20</f>
        <v>-33.65517241379311</v>
      </c>
      <c r="J20" s="684">
        <f>H20/DAY(B2)</f>
        <v>98.65517241379311</v>
      </c>
      <c r="K20" s="428"/>
      <c r="L20" s="377"/>
    </row>
    <row r="21" spans="1:15">
      <c r="A21" s="1565" t="s">
        <v>145</v>
      </c>
      <c r="B21" s="1566"/>
      <c r="C21" s="1567"/>
      <c r="D21" s="472"/>
      <c r="E21" s="741"/>
      <c r="F21" s="741"/>
      <c r="G21" s="483"/>
      <c r="H21" s="472"/>
      <c r="I21" s="472"/>
      <c r="J21" s="551"/>
      <c r="K21" s="428"/>
      <c r="L21" s="377"/>
    </row>
    <row r="22" spans="1:15">
      <c r="A22" s="1143" t="s">
        <v>146</v>
      </c>
      <c r="B22" s="589"/>
      <c r="C22" s="589"/>
      <c r="D22" s="523" t="s">
        <v>147</v>
      </c>
      <c r="E22" s="761">
        <f>'28'!F22</f>
        <v>2970</v>
      </c>
      <c r="F22" s="740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43" t="s">
        <v>148</v>
      </c>
      <c r="B23" s="589"/>
      <c r="C23" s="589"/>
      <c r="D23" s="523" t="s">
        <v>147</v>
      </c>
      <c r="E23" s="761">
        <f>'28'!F23</f>
        <v>2000</v>
      </c>
      <c r="F23" s="740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149</v>
      </c>
      <c r="B24" s="591"/>
      <c r="C24" s="591"/>
      <c r="D24" s="511" t="s">
        <v>147</v>
      </c>
      <c r="E24" s="762">
        <f>'28'!F24</f>
        <v>4970</v>
      </c>
      <c r="F24" s="743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70" t="s">
        <v>150</v>
      </c>
      <c r="B25" s="1571"/>
      <c r="C25" s="1572"/>
      <c r="D25" s="471"/>
      <c r="E25" s="495"/>
      <c r="F25" s="495"/>
      <c r="G25" s="494"/>
      <c r="H25" s="495"/>
      <c r="I25" s="496"/>
      <c r="J25" s="554"/>
      <c r="K25" s="373"/>
      <c r="L25" s="443"/>
      <c r="N25" s="772"/>
      <c r="O25" s="772"/>
    </row>
    <row r="26" spans="1:15" s="442" customFormat="1" ht="27">
      <c r="A26" s="592" t="s">
        <v>151</v>
      </c>
      <c r="B26" s="593"/>
      <c r="C26" s="594"/>
      <c r="D26" s="618" t="s">
        <v>152</v>
      </c>
      <c r="E26" s="763"/>
      <c r="F26" s="460"/>
      <c r="G26" s="498"/>
      <c r="H26" s="460"/>
      <c r="I26" s="499"/>
      <c r="J26" s="552"/>
      <c r="K26" s="374"/>
      <c r="L26" s="443"/>
      <c r="N26" s="772"/>
      <c r="O26" s="772"/>
    </row>
    <row r="27" spans="1:15" s="442" customFormat="1" ht="27">
      <c r="A27" s="592" t="s">
        <v>6</v>
      </c>
      <c r="B27" s="593"/>
      <c r="C27" s="594"/>
      <c r="D27" s="619" t="s">
        <v>25</v>
      </c>
      <c r="E27" s="702">
        <f>G8</f>
        <v>16984</v>
      </c>
      <c r="F27" s="501">
        <v>9</v>
      </c>
      <c r="G27" s="502">
        <f>E27*F27</f>
        <v>152856</v>
      </c>
      <c r="H27" s="460">
        <f>G27+'28'!H27</f>
        <v>4199265</v>
      </c>
      <c r="I27" s="503"/>
      <c r="J27" s="552">
        <f>H27/DAY(B2)</f>
        <v>144802.24137931035</v>
      </c>
      <c r="K27" s="373"/>
      <c r="L27" s="443"/>
      <c r="N27" s="772"/>
      <c r="O27" s="772"/>
    </row>
    <row r="28" spans="1:15" s="442" customFormat="1" ht="27">
      <c r="A28" s="592" t="s">
        <v>153</v>
      </c>
      <c r="B28" s="593"/>
      <c r="C28" s="594"/>
      <c r="D28" s="619" t="s">
        <v>154</v>
      </c>
      <c r="E28" s="702">
        <f>G15</f>
        <v>318</v>
      </c>
      <c r="F28" s="501">
        <v>51.45</v>
      </c>
      <c r="G28" s="502">
        <f>E28*F28</f>
        <v>16361.1</v>
      </c>
      <c r="H28" s="460">
        <f>G28+'28'!H28</f>
        <v>645144.82899999968</v>
      </c>
      <c r="I28" s="505"/>
      <c r="J28" s="552">
        <f>H28/DAY(B2)</f>
        <v>22246.373413793091</v>
      </c>
      <c r="K28" s="373"/>
      <c r="L28" s="443"/>
      <c r="N28" s="772"/>
      <c r="O28" s="772"/>
    </row>
    <row r="29" spans="1:15" s="442" customFormat="1" ht="27">
      <c r="A29" s="592" t="s">
        <v>155</v>
      </c>
      <c r="B29" s="593"/>
      <c r="C29" s="594"/>
      <c r="D29" s="619" t="s">
        <v>156</v>
      </c>
      <c r="E29" s="702">
        <f>G24</f>
        <v>0</v>
      </c>
      <c r="F29" s="702">
        <v>69</v>
      </c>
      <c r="G29" s="502">
        <f>E29*F29</f>
        <v>0</v>
      </c>
      <c r="H29" s="460">
        <f>G29+'28'!H29</f>
        <v>0</v>
      </c>
      <c r="I29" s="505"/>
      <c r="J29" s="552">
        <f>H29/DAY(B2)</f>
        <v>0</v>
      </c>
      <c r="K29" s="373"/>
      <c r="L29" s="443"/>
      <c r="N29" s="772"/>
      <c r="O29" s="772"/>
    </row>
    <row r="30" spans="1:15" s="442" customFormat="1" ht="27">
      <c r="A30" s="592" t="s">
        <v>157</v>
      </c>
      <c r="B30" s="593"/>
      <c r="C30" s="594"/>
      <c r="D30" s="619" t="s">
        <v>158</v>
      </c>
      <c r="E30" s="702">
        <f>G19</f>
        <v>57</v>
      </c>
      <c r="F30" s="702">
        <v>134</v>
      </c>
      <c r="G30" s="502">
        <f>E30*F30</f>
        <v>7638</v>
      </c>
      <c r="H30" s="460">
        <f>G30+'28'!H30</f>
        <v>225254</v>
      </c>
      <c r="I30" s="505"/>
      <c r="J30" s="552">
        <f>H30/DAY(B2)</f>
        <v>7767.3793103448279</v>
      </c>
      <c r="K30" s="373"/>
      <c r="L30" s="443"/>
      <c r="N30" s="772"/>
      <c r="O30" s="772"/>
    </row>
    <row r="31" spans="1:15" s="442" customFormat="1" ht="27">
      <c r="A31" s="592" t="s">
        <v>159</v>
      </c>
      <c r="B31" s="593"/>
      <c r="C31" s="594"/>
      <c r="D31" s="619" t="s">
        <v>143</v>
      </c>
      <c r="E31" s="702">
        <f>G18</f>
        <v>60</v>
      </c>
      <c r="F31" s="702">
        <v>80</v>
      </c>
      <c r="G31" s="502">
        <f>E31*F31</f>
        <v>4800</v>
      </c>
      <c r="H31" s="460">
        <f>G31+'28'!H31</f>
        <v>94400</v>
      </c>
      <c r="I31" s="505"/>
      <c r="J31" s="552"/>
      <c r="K31" s="373"/>
      <c r="L31" s="443"/>
      <c r="N31" s="772"/>
      <c r="O31" s="772"/>
    </row>
    <row r="32" spans="1:15" s="442" customFormat="1" ht="27">
      <c r="A32" s="595" t="s">
        <v>160</v>
      </c>
      <c r="B32" s="596"/>
      <c r="C32" s="597"/>
      <c r="D32" s="507"/>
      <c r="E32" s="764"/>
      <c r="F32" s="486"/>
      <c r="G32" s="508">
        <f>G27+G28+G29+G30+G31</f>
        <v>181655.1</v>
      </c>
      <c r="H32" s="460">
        <f>G32+'28'!H32</f>
        <v>5164063.8289999999</v>
      </c>
      <c r="I32" s="509"/>
      <c r="J32" s="552">
        <f>H32/DAY(B2)</f>
        <v>178071.16651724136</v>
      </c>
      <c r="K32" s="373"/>
      <c r="L32" s="443"/>
      <c r="N32" s="772"/>
      <c r="O32" s="772"/>
    </row>
    <row r="33" spans="1:15" ht="25.5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</row>
    <row r="34" spans="1:15">
      <c r="A34" s="598" t="s">
        <v>162</v>
      </c>
      <c r="B34" s="1148"/>
      <c r="C34" s="1148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163</v>
      </c>
      <c r="B35" s="579"/>
      <c r="C35" s="579"/>
      <c r="D35" s="523" t="s">
        <v>131</v>
      </c>
      <c r="E35" s="744">
        <f>'28'!F35</f>
        <v>943358</v>
      </c>
      <c r="F35" s="744">
        <v>945766</v>
      </c>
      <c r="G35" s="473">
        <f t="shared" ref="G35:G46" si="3">F35-E35</f>
        <v>2408</v>
      </c>
      <c r="H35" s="460">
        <f>G35+'28'!H35</f>
        <v>59307</v>
      </c>
      <c r="I35" s="455"/>
      <c r="J35" s="552">
        <f>H35/DAY(B2)</f>
        <v>2045.0689655172414</v>
      </c>
      <c r="K35" s="428"/>
      <c r="L35" s="377"/>
    </row>
    <row r="36" spans="1:15">
      <c r="A36" s="578" t="s">
        <v>164</v>
      </c>
      <c r="B36" s="579"/>
      <c r="C36" s="579"/>
      <c r="D36" s="523" t="s">
        <v>131</v>
      </c>
      <c r="E36" s="744">
        <f>'28'!F36</f>
        <v>347065</v>
      </c>
      <c r="F36" s="744">
        <v>347065</v>
      </c>
      <c r="G36" s="473">
        <f t="shared" si="3"/>
        <v>0</v>
      </c>
      <c r="H36" s="460">
        <f>G36+'28'!H36</f>
        <v>2457</v>
      </c>
      <c r="I36" s="455"/>
      <c r="J36" s="552">
        <f>H36/DAY(B2)</f>
        <v>84.724137931034477</v>
      </c>
      <c r="K36" s="428"/>
      <c r="L36" s="377"/>
    </row>
    <row r="37" spans="1:15" s="441" customFormat="1">
      <c r="A37" s="1106" t="s">
        <v>165</v>
      </c>
      <c r="B37" s="1110"/>
      <c r="C37" s="1110"/>
      <c r="D37" s="627" t="s">
        <v>131</v>
      </c>
      <c r="E37" s="745">
        <f>'28'!F37</f>
        <v>130320</v>
      </c>
      <c r="F37" s="745">
        <v>131674</v>
      </c>
      <c r="G37" s="655">
        <f t="shared" si="3"/>
        <v>1354</v>
      </c>
      <c r="H37" s="708">
        <f>G37+'28'!H37</f>
        <v>36449</v>
      </c>
      <c r="I37" s="709"/>
      <c r="J37" s="710">
        <f>H37/DAY(B2)</f>
        <v>1256.8620689655172</v>
      </c>
      <c r="K37" s="1108"/>
      <c r="L37" s="1109"/>
      <c r="N37" s="773"/>
      <c r="O37" s="773"/>
    </row>
    <row r="38" spans="1:15" s="441" customFormat="1">
      <c r="A38" s="1106" t="s">
        <v>166</v>
      </c>
      <c r="B38" s="1110"/>
      <c r="C38" s="1110"/>
      <c r="D38" s="627" t="s">
        <v>131</v>
      </c>
      <c r="E38" s="745">
        <f>'28'!F38</f>
        <v>152607</v>
      </c>
      <c r="F38" s="1111">
        <v>153825</v>
      </c>
      <c r="G38" s="655">
        <f t="shared" si="3"/>
        <v>1218</v>
      </c>
      <c r="H38" s="708">
        <f>G38+'28'!H38</f>
        <v>34229</v>
      </c>
      <c r="I38" s="709"/>
      <c r="J38" s="710">
        <f>H38/DAY(B2)</f>
        <v>1180.3103448275863</v>
      </c>
      <c r="K38" s="1108"/>
      <c r="L38" s="1109"/>
      <c r="N38" s="773"/>
      <c r="O38" s="773"/>
    </row>
    <row r="39" spans="1:15" s="441" customFormat="1">
      <c r="A39" s="1106" t="s">
        <v>167</v>
      </c>
      <c r="B39" s="1110"/>
      <c r="C39" s="1110"/>
      <c r="D39" s="627" t="s">
        <v>131</v>
      </c>
      <c r="E39" s="745">
        <f>'28'!F39</f>
        <v>301259</v>
      </c>
      <c r="F39" s="745">
        <v>303589</v>
      </c>
      <c r="G39" s="655">
        <f t="shared" si="3"/>
        <v>2330</v>
      </c>
      <c r="H39" s="708">
        <f>G39+'28'!H39</f>
        <v>56936</v>
      </c>
      <c r="I39" s="709"/>
      <c r="J39" s="710">
        <f>H39/DAY(B2)</f>
        <v>1963.3103448275863</v>
      </c>
      <c r="K39" s="1108"/>
      <c r="L39" s="1109"/>
      <c r="N39" s="773"/>
      <c r="O39" s="773"/>
    </row>
    <row r="40" spans="1:15" s="441" customFormat="1">
      <c r="A40" s="1112" t="s">
        <v>168</v>
      </c>
      <c r="B40" s="1113"/>
      <c r="C40" s="1113"/>
      <c r="D40" s="627" t="s">
        <v>131</v>
      </c>
      <c r="E40" s="745">
        <f>'28'!F40</f>
        <v>889</v>
      </c>
      <c r="F40" s="745">
        <v>889</v>
      </c>
      <c r="G40" s="655">
        <f t="shared" si="3"/>
        <v>0</v>
      </c>
      <c r="H40" s="708">
        <f>G40+'28'!H40</f>
        <v>888.77</v>
      </c>
      <c r="I40" s="709"/>
      <c r="J40" s="710">
        <f>H40/DAY(B2)</f>
        <v>30.647241379310344</v>
      </c>
      <c r="K40" s="1114"/>
      <c r="L40" s="1109"/>
      <c r="N40" s="773"/>
      <c r="O40" s="773"/>
    </row>
    <row r="41" spans="1:15" s="441" customFormat="1">
      <c r="A41" s="1106" t="s">
        <v>169</v>
      </c>
      <c r="B41" s="1110"/>
      <c r="C41" s="1110"/>
      <c r="D41" s="627" t="s">
        <v>131</v>
      </c>
      <c r="E41" s="745">
        <f>'28'!F41</f>
        <v>240478</v>
      </c>
      <c r="F41" s="745">
        <v>240478</v>
      </c>
      <c r="G41" s="655">
        <f>F41-E41</f>
        <v>0</v>
      </c>
      <c r="H41" s="708">
        <f>G41+'28'!H41</f>
        <v>58950</v>
      </c>
      <c r="I41" s="709"/>
      <c r="J41" s="710">
        <f>H41/DAY(B2)</f>
        <v>2032.7586206896551</v>
      </c>
      <c r="K41" s="1108"/>
      <c r="L41" s="1109"/>
      <c r="N41" s="773"/>
      <c r="O41" s="773"/>
    </row>
    <row r="42" spans="1:15">
      <c r="A42" s="578" t="s">
        <v>170</v>
      </c>
      <c r="B42" s="579"/>
      <c r="C42" s="579"/>
      <c r="D42" s="523" t="s">
        <v>131</v>
      </c>
      <c r="E42" s="744">
        <f>'28'!F42</f>
        <v>59199</v>
      </c>
      <c r="F42" s="744">
        <v>59199</v>
      </c>
      <c r="G42" s="473">
        <f t="shared" si="3"/>
        <v>0</v>
      </c>
      <c r="H42" s="460">
        <f>G42+'28'!H42</f>
        <v>-1</v>
      </c>
      <c r="I42" s="455"/>
      <c r="J42" s="552">
        <f>H42/DAY(B2)</f>
        <v>-3.4482758620689655E-2</v>
      </c>
      <c r="K42" s="428"/>
      <c r="L42" s="377"/>
    </row>
    <row r="43" spans="1:15">
      <c r="A43" s="578" t="s">
        <v>171</v>
      </c>
      <c r="B43" s="579"/>
      <c r="C43" s="579"/>
      <c r="D43" s="523" t="s">
        <v>131</v>
      </c>
      <c r="E43" s="744">
        <f>'28'!F43</f>
        <v>1035334</v>
      </c>
      <c r="F43" s="744">
        <v>1037660</v>
      </c>
      <c r="G43" s="473">
        <f t="shared" si="3"/>
        <v>2326</v>
      </c>
      <c r="H43" s="460">
        <f>G43+'28'!H43</f>
        <v>63702</v>
      </c>
      <c r="I43" s="455"/>
      <c r="J43" s="552">
        <f>H43/DAY(B2)</f>
        <v>2196.6206896551726</v>
      </c>
      <c r="K43" s="428"/>
      <c r="L43" s="377"/>
    </row>
    <row r="44" spans="1:15">
      <c r="A44" s="578" t="s">
        <v>172</v>
      </c>
      <c r="B44" s="579"/>
      <c r="C44" s="579"/>
      <c r="D44" s="523" t="s">
        <v>131</v>
      </c>
      <c r="E44" s="744">
        <f>'28'!F44</f>
        <v>0</v>
      </c>
      <c r="F44" s="744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173</v>
      </c>
      <c r="B45" s="579"/>
      <c r="C45" s="579"/>
      <c r="D45" s="523" t="s">
        <v>131</v>
      </c>
      <c r="E45" s="744">
        <f>'28'!F45</f>
        <v>614</v>
      </c>
      <c r="F45" s="744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174</v>
      </c>
      <c r="B46" s="579"/>
      <c r="C46" s="579"/>
      <c r="D46" s="523" t="s">
        <v>131</v>
      </c>
      <c r="E46" s="744">
        <f>'28'!F46</f>
        <v>187</v>
      </c>
      <c r="F46" s="744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9636</v>
      </c>
      <c r="H47" s="460">
        <f>G47+'28'!H47</f>
        <v>313719.20999999996</v>
      </c>
      <c r="I47" s="455"/>
      <c r="J47" s="552">
        <f>H47/DAY(B2)</f>
        <v>10817.903793103447</v>
      </c>
      <c r="K47" s="428"/>
      <c r="L47" s="377"/>
    </row>
    <row r="48" spans="1:15">
      <c r="A48" s="598" t="s">
        <v>176</v>
      </c>
      <c r="B48" s="1148"/>
      <c r="C48" s="1148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6" t="s">
        <v>163</v>
      </c>
      <c r="B49" s="1107"/>
      <c r="C49" s="1107"/>
      <c r="D49" s="627" t="s">
        <v>131</v>
      </c>
      <c r="E49" s="745">
        <f>'28'!F49</f>
        <v>260732.13</v>
      </c>
      <c r="F49" s="745">
        <v>260732.13</v>
      </c>
      <c r="G49" s="655">
        <f t="shared" ref="G49:G58" si="4">F49-E49</f>
        <v>0</v>
      </c>
      <c r="H49" s="708">
        <f>G49+'28'!H49</f>
        <v>0</v>
      </c>
      <c r="I49" s="709"/>
      <c r="J49" s="710">
        <f>H49/DAY(B2)</f>
        <v>0</v>
      </c>
      <c r="K49" s="1108"/>
      <c r="L49" s="1109"/>
      <c r="N49" s="773"/>
      <c r="O49" s="773"/>
    </row>
    <row r="50" spans="1:15" s="441" customFormat="1">
      <c r="A50" s="1106" t="s">
        <v>177</v>
      </c>
      <c r="B50" s="1107" t="s">
        <v>277</v>
      </c>
      <c r="C50" s="1107"/>
      <c r="D50" s="627" t="s">
        <v>131</v>
      </c>
      <c r="E50" s="745">
        <f>'28'!F50</f>
        <v>499860</v>
      </c>
      <c r="F50" s="745">
        <v>500726</v>
      </c>
      <c r="G50" s="655">
        <f t="shared" si="4"/>
        <v>866</v>
      </c>
      <c r="H50" s="708">
        <f>G50+'28'!H50</f>
        <v>25251</v>
      </c>
      <c r="I50" s="709"/>
      <c r="J50" s="710">
        <f>H50/DAY(B2)</f>
        <v>870.72413793103453</v>
      </c>
      <c r="K50" s="1108"/>
      <c r="L50" s="1109"/>
      <c r="N50" s="773"/>
      <c r="O50" s="773"/>
    </row>
    <row r="51" spans="1:15" s="441" customFormat="1">
      <c r="A51" s="1106" t="s">
        <v>165</v>
      </c>
      <c r="B51" s="1107"/>
      <c r="C51" s="1107"/>
      <c r="D51" s="627" t="s">
        <v>131</v>
      </c>
      <c r="E51" s="745">
        <f>'28'!F51</f>
        <v>144640</v>
      </c>
      <c r="F51" s="745">
        <v>144639.87</v>
      </c>
      <c r="G51" s="655">
        <f t="shared" si="4"/>
        <v>-0.13000000000465661</v>
      </c>
      <c r="H51" s="708">
        <f>G51+'28'!H51</f>
        <v>-0.13000000000465661</v>
      </c>
      <c r="I51" s="709"/>
      <c r="J51" s="710">
        <f>H51/DAY(B2)</f>
        <v>-4.4827586208502279E-3</v>
      </c>
      <c r="K51" s="1108"/>
      <c r="L51" s="1109"/>
      <c r="N51" s="773"/>
      <c r="O51" s="773"/>
    </row>
    <row r="52" spans="1:15" s="441" customFormat="1">
      <c r="A52" s="1106" t="s">
        <v>178</v>
      </c>
      <c r="B52" s="1107"/>
      <c r="C52" s="1107"/>
      <c r="D52" s="627" t="s">
        <v>131</v>
      </c>
      <c r="E52" s="745">
        <f>'28'!F52</f>
        <v>539606.06999999995</v>
      </c>
      <c r="F52" s="745">
        <v>539606.06999999995</v>
      </c>
      <c r="G52" s="655">
        <f t="shared" si="4"/>
        <v>0</v>
      </c>
      <c r="H52" s="708">
        <f>G52+'28'!H52</f>
        <v>0</v>
      </c>
      <c r="I52" s="709"/>
      <c r="J52" s="710">
        <f>H52/DAY(B2)</f>
        <v>0</v>
      </c>
      <c r="K52" s="1108"/>
      <c r="L52" s="1109"/>
      <c r="N52" s="773"/>
      <c r="O52" s="773"/>
    </row>
    <row r="53" spans="1:15" s="441" customFormat="1">
      <c r="A53" s="1106" t="s">
        <v>167</v>
      </c>
      <c r="B53" s="1107"/>
      <c r="C53" s="1107"/>
      <c r="D53" s="627" t="s">
        <v>131</v>
      </c>
      <c r="E53" s="745">
        <f>'28'!F53</f>
        <v>430926</v>
      </c>
      <c r="F53" s="745">
        <v>431514</v>
      </c>
      <c r="G53" s="655">
        <f t="shared" si="4"/>
        <v>588</v>
      </c>
      <c r="H53" s="708">
        <f>G53+'28'!H53</f>
        <v>14704</v>
      </c>
      <c r="I53" s="709"/>
      <c r="J53" s="710">
        <f>H53/DAY(B2)</f>
        <v>507.0344827586207</v>
      </c>
      <c r="K53" s="1108"/>
      <c r="L53" s="1109"/>
      <c r="N53" s="773"/>
      <c r="O53" s="773"/>
    </row>
    <row r="54" spans="1:15">
      <c r="A54" s="578" t="s">
        <v>179</v>
      </c>
      <c r="B54" s="601"/>
      <c r="C54" s="601"/>
      <c r="D54" s="523" t="s">
        <v>131</v>
      </c>
      <c r="E54" s="745">
        <f>'28'!F54</f>
        <v>13516</v>
      </c>
      <c r="F54" s="744">
        <v>13596</v>
      </c>
      <c r="G54" s="473">
        <f t="shared" si="4"/>
        <v>80</v>
      </c>
      <c r="H54" s="460">
        <f>G54+'28'!H54</f>
        <v>5834</v>
      </c>
      <c r="I54" s="455"/>
      <c r="J54" s="552">
        <f>H54/DAY(B2)</f>
        <v>201.17241379310346</v>
      </c>
      <c r="K54" s="428"/>
      <c r="L54" s="377"/>
    </row>
    <row r="55" spans="1:15">
      <c r="A55" s="578" t="s">
        <v>180</v>
      </c>
      <c r="B55" s="601"/>
      <c r="C55" s="601"/>
      <c r="D55" s="523" t="s">
        <v>131</v>
      </c>
      <c r="E55" s="745">
        <f>'28'!F55</f>
        <v>68111</v>
      </c>
      <c r="F55" s="745">
        <v>68111</v>
      </c>
      <c r="G55" s="655">
        <f t="shared" si="4"/>
        <v>0</v>
      </c>
      <c r="H55" s="708">
        <f>G55+'28'!H55</f>
        <v>68111</v>
      </c>
      <c r="I55" s="709"/>
      <c r="J55" s="710">
        <f>H55/DAY(B2)</f>
        <v>2348.655172413793</v>
      </c>
      <c r="K55" s="428"/>
      <c r="L55" s="377"/>
    </row>
    <row r="56" spans="1:15">
      <c r="A56" s="578" t="s">
        <v>181</v>
      </c>
      <c r="B56" s="601"/>
      <c r="C56" s="601"/>
      <c r="D56" s="523" t="s">
        <v>182</v>
      </c>
      <c r="E56" s="745">
        <f>'28'!F56</f>
        <v>601191</v>
      </c>
      <c r="F56" s="745">
        <v>606023</v>
      </c>
      <c r="G56" s="473">
        <f t="shared" si="4"/>
        <v>4832</v>
      </c>
      <c r="H56" s="460">
        <f>G56+'28'!H56</f>
        <v>16734.640000000014</v>
      </c>
      <c r="I56" s="455"/>
      <c r="J56" s="552">
        <f>H56/DAY(B2)</f>
        <v>577.05655172413844</v>
      </c>
      <c r="K56" s="427"/>
      <c r="L56" s="377"/>
    </row>
    <row r="57" spans="1:15">
      <c r="A57" s="578" t="s">
        <v>171</v>
      </c>
      <c r="B57" s="601"/>
      <c r="C57" s="601"/>
      <c r="D57" s="523" t="s">
        <v>131</v>
      </c>
      <c r="E57" s="745">
        <f>'28'!F57</f>
        <v>7711.33</v>
      </c>
      <c r="F57" s="744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183</v>
      </c>
      <c r="B58" s="601"/>
      <c r="C58" s="601"/>
      <c r="D58" s="523" t="s">
        <v>131</v>
      </c>
      <c r="E58" s="745">
        <f>'28'!F58</f>
        <v>49264</v>
      </c>
      <c r="F58" s="745">
        <v>49264</v>
      </c>
      <c r="G58" s="473">
        <f t="shared" si="4"/>
        <v>0</v>
      </c>
      <c r="H58" s="460">
        <f>G58+'28'!H58</f>
        <v>2547</v>
      </c>
      <c r="I58" s="455"/>
      <c r="J58" s="552">
        <f>H58/DAY(B2)</f>
        <v>87.827586206896555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6365.5399999999954</v>
      </c>
      <c r="H59" s="460">
        <f>G59+'28'!H59</f>
        <v>133181.57999999996</v>
      </c>
      <c r="I59" s="455">
        <f>G7-G60</f>
        <v>911.46000000000458</v>
      </c>
      <c r="J59" s="552">
        <f>H59/DAY(B2)</f>
        <v>4592.4682758620675</v>
      </c>
      <c r="K59" s="428"/>
      <c r="L59" s="377"/>
      <c r="O59" s="772">
        <f>159+122+341+154</f>
        <v>776</v>
      </c>
    </row>
    <row r="60" spans="1:15">
      <c r="A60" s="578"/>
      <c r="B60" s="579"/>
      <c r="C60" s="579"/>
      <c r="D60" s="511" t="s">
        <v>184</v>
      </c>
      <c r="E60" s="470"/>
      <c r="F60" s="470"/>
      <c r="G60" s="481">
        <f>G47+G59</f>
        <v>16001.539999999995</v>
      </c>
      <c r="H60" s="460">
        <f>G60+'28'!H60</f>
        <v>448484.68</v>
      </c>
      <c r="I60" s="455">
        <f>G13-G60</f>
        <v>368.46000000000458</v>
      </c>
      <c r="J60" s="552">
        <f>H60/DAY(B2)</f>
        <v>15464.988965517241</v>
      </c>
      <c r="K60" s="428"/>
      <c r="L60" s="377"/>
    </row>
    <row r="61" spans="1:15">
      <c r="A61" s="602" t="s">
        <v>185</v>
      </c>
      <c r="B61" s="453"/>
      <c r="C61" s="453"/>
      <c r="D61" s="513"/>
      <c r="E61" s="746"/>
      <c r="F61" s="746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186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0.18199999999706051</v>
      </c>
      <c r="I62" s="515"/>
      <c r="J62" s="552">
        <f>H62/DAY(B2)</f>
        <v>6.2758620688641558E-3</v>
      </c>
      <c r="K62" s="428"/>
      <c r="L62" s="377"/>
    </row>
    <row r="63" spans="1:15">
      <c r="A63" s="603" t="s">
        <v>187</v>
      </c>
      <c r="B63" s="604"/>
      <c r="C63" s="604"/>
      <c r="D63" s="511" t="s">
        <v>186</v>
      </c>
      <c r="E63" s="514">
        <f>'28'!F63</f>
        <v>2464</v>
      </c>
      <c r="F63" s="514">
        <v>2468</v>
      </c>
      <c r="G63" s="473">
        <f t="shared" si="5"/>
        <v>4</v>
      </c>
      <c r="H63" s="460">
        <f>G63+'28'!H63</f>
        <v>109</v>
      </c>
      <c r="I63" s="515"/>
      <c r="J63" s="552">
        <f>H63/DAY(B2)</f>
        <v>3.7586206896551726</v>
      </c>
      <c r="K63" s="428"/>
      <c r="L63" s="377"/>
    </row>
    <row r="64" spans="1:15" ht="27.75">
      <c r="A64" s="1530" t="s">
        <v>99</v>
      </c>
      <c r="B64" s="1531"/>
      <c r="C64" s="1532"/>
      <c r="D64" s="523" t="s">
        <v>186</v>
      </c>
      <c r="E64" s="514">
        <f>'28'!F64</f>
        <v>159360</v>
      </c>
      <c r="F64" s="740">
        <v>159553</v>
      </c>
      <c r="G64" s="473">
        <f t="shared" si="5"/>
        <v>193</v>
      </c>
      <c r="H64" s="460">
        <f>G64+'28'!H64</f>
        <v>6254</v>
      </c>
      <c r="I64" s="480"/>
      <c r="J64" s="552">
        <f>H64/DAY(B2)</f>
        <v>215.65517241379311</v>
      </c>
      <c r="K64" s="428"/>
      <c r="L64" s="377"/>
    </row>
    <row r="65" spans="1:12" ht="27.75">
      <c r="A65" s="1530" t="s">
        <v>100</v>
      </c>
      <c r="B65" s="1531"/>
      <c r="C65" s="1532"/>
      <c r="D65" s="523" t="s">
        <v>186</v>
      </c>
      <c r="E65" s="514">
        <f>'28'!F65</f>
        <v>160348</v>
      </c>
      <c r="F65" s="747">
        <v>160561</v>
      </c>
      <c r="G65" s="473">
        <f t="shared" si="5"/>
        <v>213</v>
      </c>
      <c r="H65" s="460">
        <f>G65+'28'!H65</f>
        <v>5962</v>
      </c>
      <c r="I65" s="489"/>
      <c r="J65" s="552">
        <f>H65/DAY(B2)</f>
        <v>205.58620689655172</v>
      </c>
      <c r="K65" s="428"/>
      <c r="L65" s="377"/>
    </row>
    <row r="66" spans="1:12" ht="27.75">
      <c r="A66" s="1530" t="s">
        <v>101</v>
      </c>
      <c r="B66" s="1531"/>
      <c r="C66" s="1532"/>
      <c r="D66" s="523" t="s">
        <v>186</v>
      </c>
      <c r="E66" s="514">
        <f>'28'!F66</f>
        <v>55940</v>
      </c>
      <c r="F66" s="740">
        <v>56221</v>
      </c>
      <c r="G66" s="473">
        <f t="shared" si="5"/>
        <v>281</v>
      </c>
      <c r="H66" s="460">
        <f>G66+'28'!H66</f>
        <v>7650</v>
      </c>
      <c r="I66" s="480"/>
      <c r="J66" s="552">
        <f>H66/DAY(B2)</f>
        <v>263.79310344827587</v>
      </c>
      <c r="K66" s="428"/>
      <c r="L66" s="377"/>
    </row>
    <row r="67" spans="1:12" ht="27.75">
      <c r="A67" s="1530" t="s">
        <v>102</v>
      </c>
      <c r="B67" s="1531"/>
      <c r="C67" s="1532"/>
      <c r="D67" s="523" t="s">
        <v>186</v>
      </c>
      <c r="E67" s="514">
        <f>'28'!F67</f>
        <v>250705</v>
      </c>
      <c r="F67" s="740">
        <v>251244</v>
      </c>
      <c r="G67" s="473">
        <f t="shared" si="5"/>
        <v>539</v>
      </c>
      <c r="H67" s="460">
        <f>G67+'28'!H67</f>
        <v>8070</v>
      </c>
      <c r="I67" s="489"/>
      <c r="J67" s="552">
        <f>H67/DAY(B2)</f>
        <v>278.27586206896552</v>
      </c>
      <c r="K67" s="429"/>
      <c r="L67" s="377"/>
    </row>
    <row r="68" spans="1:12" ht="27.75">
      <c r="A68" s="1530" t="s">
        <v>103</v>
      </c>
      <c r="B68" s="1531"/>
      <c r="C68" s="1532"/>
      <c r="D68" s="523" t="s">
        <v>186</v>
      </c>
      <c r="E68" s="514">
        <f>'28'!F68</f>
        <v>85321</v>
      </c>
      <c r="F68" s="740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30" t="s">
        <v>104</v>
      </c>
      <c r="B69" s="1531"/>
      <c r="C69" s="1532"/>
      <c r="D69" s="523" t="s">
        <v>186</v>
      </c>
      <c r="E69" s="514">
        <f>'28'!F69</f>
        <v>81418</v>
      </c>
      <c r="F69" s="740">
        <v>81507</v>
      </c>
      <c r="G69" s="473">
        <f t="shared" si="5"/>
        <v>89</v>
      </c>
      <c r="H69" s="460">
        <f>G69+'28'!H69</f>
        <v>2513</v>
      </c>
      <c r="I69" s="516"/>
      <c r="J69" s="552">
        <f>H69/DAY(B2)</f>
        <v>86.65517241379311</v>
      </c>
      <c r="K69" s="431"/>
      <c r="L69" s="377"/>
    </row>
    <row r="70" spans="1:12" ht="27.75">
      <c r="A70" s="1536" t="s">
        <v>188</v>
      </c>
      <c r="B70" s="1537"/>
      <c r="C70" s="1538"/>
      <c r="D70" s="523" t="s">
        <v>186</v>
      </c>
      <c r="E70" s="748"/>
      <c r="F70" s="748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</row>
    <row r="72" spans="1:12" ht="27.75">
      <c r="A72" s="1530" t="s">
        <v>190</v>
      </c>
      <c r="B72" s="1531"/>
      <c r="C72" s="1532"/>
      <c r="D72" s="523" t="s">
        <v>186</v>
      </c>
      <c r="E72" s="765">
        <f>'28'!F72</f>
        <v>855806</v>
      </c>
      <c r="F72" s="749">
        <v>855817</v>
      </c>
      <c r="G72" s="473">
        <f t="shared" ref="G72:G84" si="6">F72-E72</f>
        <v>11</v>
      </c>
      <c r="H72" s="460">
        <f>G72+'28'!H72</f>
        <v>345</v>
      </c>
      <c r="I72" s="480"/>
      <c r="J72" s="552">
        <f>H72/DAY(B2)</f>
        <v>11.896551724137931</v>
      </c>
      <c r="K72" s="431"/>
      <c r="L72" s="377"/>
    </row>
    <row r="73" spans="1:12" ht="27.75">
      <c r="A73" s="1530" t="s">
        <v>191</v>
      </c>
      <c r="B73" s="1531"/>
      <c r="C73" s="1532"/>
      <c r="D73" s="523" t="s">
        <v>186</v>
      </c>
      <c r="E73" s="765">
        <f>'28'!F73</f>
        <v>885934</v>
      </c>
      <c r="F73" s="750">
        <v>885935</v>
      </c>
      <c r="G73" s="655">
        <f>F73-E73</f>
        <v>1</v>
      </c>
      <c r="H73" s="460">
        <f>G73+'28'!H73</f>
        <v>239</v>
      </c>
      <c r="I73" s="480"/>
      <c r="J73" s="552">
        <f>H73/DAY(B2)</f>
        <v>8.2413793103448274</v>
      </c>
      <c r="K73" s="430"/>
      <c r="L73" s="377"/>
    </row>
    <row r="74" spans="1:12" ht="27.75">
      <c r="A74" s="1530" t="s">
        <v>192</v>
      </c>
      <c r="B74" s="1531"/>
      <c r="C74" s="1532"/>
      <c r="D74" s="523" t="s">
        <v>186</v>
      </c>
      <c r="E74" s="765">
        <f>'28'!F74</f>
        <v>2566</v>
      </c>
      <c r="F74" s="750">
        <v>2573</v>
      </c>
      <c r="G74" s="473">
        <f t="shared" si="6"/>
        <v>7</v>
      </c>
      <c r="H74" s="460">
        <f>G74+'28'!H74</f>
        <v>294</v>
      </c>
      <c r="I74" s="480"/>
      <c r="J74" s="552">
        <f>H74/DAY(B2)</f>
        <v>10.137931034482758</v>
      </c>
      <c r="K74" s="431"/>
      <c r="L74" s="377"/>
    </row>
    <row r="75" spans="1:12" ht="27.75">
      <c r="A75" s="1527" t="s">
        <v>193</v>
      </c>
      <c r="B75" s="1528"/>
      <c r="C75" s="1529"/>
      <c r="D75" s="523" t="s">
        <v>186</v>
      </c>
      <c r="E75" s="765">
        <f>'28'!F75</f>
        <v>12505</v>
      </c>
      <c r="F75" s="750">
        <v>12561</v>
      </c>
      <c r="G75" s="473">
        <f t="shared" si="6"/>
        <v>56</v>
      </c>
      <c r="H75" s="460">
        <f>G75+'28'!H75</f>
        <v>1591</v>
      </c>
      <c r="I75" s="480"/>
      <c r="J75" s="552">
        <f>H75/DAY(B2)</f>
        <v>54.862068965517238</v>
      </c>
      <c r="K75" s="430"/>
      <c r="L75" s="377"/>
    </row>
    <row r="76" spans="1:12" ht="27.75">
      <c r="A76" s="1527" t="s">
        <v>194</v>
      </c>
      <c r="B76" s="1528"/>
      <c r="C76" s="1529"/>
      <c r="D76" s="523" t="s">
        <v>186</v>
      </c>
      <c r="E76" s="765">
        <f>'28'!F76</f>
        <v>7250</v>
      </c>
      <c r="F76" s="750">
        <v>7308</v>
      </c>
      <c r="G76" s="473">
        <f t="shared" si="6"/>
        <v>58</v>
      </c>
      <c r="H76" s="460">
        <f>G76+'28'!H76</f>
        <v>1591.0499999999993</v>
      </c>
      <c r="I76" s="505"/>
      <c r="J76" s="552">
        <f>H76/DAY(B2)</f>
        <v>54.863793103448252</v>
      </c>
      <c r="K76" s="430"/>
      <c r="L76" s="377"/>
    </row>
    <row r="77" spans="1:12" ht="27.75">
      <c r="A77" s="1530" t="s">
        <v>195</v>
      </c>
      <c r="B77" s="1531"/>
      <c r="C77" s="1532"/>
      <c r="D77" s="523" t="s">
        <v>186</v>
      </c>
      <c r="E77" s="765">
        <f>'28'!F77</f>
        <v>702712</v>
      </c>
      <c r="F77" s="750">
        <v>702750</v>
      </c>
      <c r="G77" s="655">
        <f t="shared" si="6"/>
        <v>38</v>
      </c>
      <c r="H77" s="460">
        <f>G77+'28'!H77</f>
        <v>1188</v>
      </c>
      <c r="I77" s="505"/>
      <c r="J77" s="552">
        <f>H77/DAY(B2)</f>
        <v>40.96551724137931</v>
      </c>
      <c r="K77" s="430"/>
      <c r="L77" s="377"/>
    </row>
    <row r="78" spans="1:12" ht="27.75">
      <c r="A78" s="1146" t="s">
        <v>196</v>
      </c>
      <c r="B78" s="1119"/>
      <c r="C78" s="1119"/>
      <c r="D78" s="523" t="s">
        <v>186</v>
      </c>
      <c r="E78" s="765">
        <f>'28'!F78</f>
        <v>672565</v>
      </c>
      <c r="F78" s="750">
        <v>672760</v>
      </c>
      <c r="G78" s="655">
        <f t="shared" si="6"/>
        <v>195</v>
      </c>
      <c r="H78" s="460">
        <f>G78+'28'!H78</f>
        <v>2735</v>
      </c>
      <c r="I78" s="505"/>
      <c r="J78" s="552">
        <f>H78/DAY(B2)</f>
        <v>94.310344827586206</v>
      </c>
      <c r="K78" s="430"/>
      <c r="L78" s="377"/>
    </row>
    <row r="79" spans="1:12" ht="27.75">
      <c r="A79" s="1527" t="s">
        <v>92</v>
      </c>
      <c r="B79" s="1528"/>
      <c r="C79" s="1529"/>
      <c r="D79" s="524" t="s">
        <v>186</v>
      </c>
      <c r="E79" s="765">
        <f>'28'!F79</f>
        <v>830553</v>
      </c>
      <c r="F79" s="751">
        <v>830691</v>
      </c>
      <c r="G79" s="473">
        <f t="shared" si="6"/>
        <v>138</v>
      </c>
      <c r="H79" s="460">
        <f>G79+'28'!H79</f>
        <v>2960</v>
      </c>
      <c r="I79" s="505"/>
      <c r="J79" s="552">
        <f>H79/DAY(B2)</f>
        <v>102.06896551724138</v>
      </c>
      <c r="K79" s="430"/>
      <c r="L79" s="377"/>
    </row>
    <row r="80" spans="1:12" ht="27.75">
      <c r="A80" s="1527" t="s">
        <v>197</v>
      </c>
      <c r="B80" s="1528"/>
      <c r="C80" s="1529"/>
      <c r="D80" s="524" t="s">
        <v>186</v>
      </c>
      <c r="E80" s="765">
        <f>'28'!F80</f>
        <v>526526</v>
      </c>
      <c r="F80" s="750">
        <v>526918</v>
      </c>
      <c r="G80" s="473">
        <f t="shared" si="6"/>
        <v>392</v>
      </c>
      <c r="H80" s="460">
        <f>G80+'28'!H80</f>
        <v>7457</v>
      </c>
      <c r="I80" s="505"/>
      <c r="J80" s="552">
        <f>H80/DAY(B2)</f>
        <v>257.13793103448273</v>
      </c>
      <c r="K80" s="430"/>
      <c r="L80" s="377"/>
    </row>
    <row r="81" spans="1:15" ht="27.75">
      <c r="A81" s="1527" t="s">
        <v>198</v>
      </c>
      <c r="B81" s="1528"/>
      <c r="C81" s="1529"/>
      <c r="D81" s="524" t="s">
        <v>186</v>
      </c>
      <c r="E81" s="765">
        <f>'28'!F81</f>
        <v>638625</v>
      </c>
      <c r="F81" s="750">
        <v>638711</v>
      </c>
      <c r="G81" s="473">
        <f t="shared" si="6"/>
        <v>86</v>
      </c>
      <c r="H81" s="460">
        <f>G81+'28'!H81</f>
        <v>2233</v>
      </c>
      <c r="I81" s="505"/>
      <c r="J81" s="552">
        <f>H81/DAY(B2)</f>
        <v>77</v>
      </c>
      <c r="K81" s="430"/>
      <c r="L81" s="377"/>
    </row>
    <row r="82" spans="1:15" ht="27.75">
      <c r="A82" s="1527" t="s">
        <v>93</v>
      </c>
      <c r="B82" s="1528"/>
      <c r="C82" s="1529"/>
      <c r="D82" s="485" t="s">
        <v>131</v>
      </c>
      <c r="E82" s="765">
        <f>'28'!F82</f>
        <v>108112</v>
      </c>
      <c r="F82" s="747">
        <v>108123</v>
      </c>
      <c r="G82" s="473">
        <f t="shared" si="6"/>
        <v>11</v>
      </c>
      <c r="H82" s="460">
        <f>G82+'28'!H82</f>
        <v>511</v>
      </c>
      <c r="I82" s="486"/>
      <c r="J82" s="552">
        <f>H82/DAY(B2)</f>
        <v>17.620689655172413</v>
      </c>
      <c r="K82" s="430"/>
      <c r="L82" s="377"/>
    </row>
    <row r="83" spans="1:15" ht="27.75">
      <c r="A83" s="1527" t="s">
        <v>199</v>
      </c>
      <c r="B83" s="1528"/>
      <c r="C83" s="1529"/>
      <c r="D83" s="620" t="s">
        <v>131</v>
      </c>
      <c r="E83" s="765">
        <f>'28'!F83</f>
        <v>19920</v>
      </c>
      <c r="F83" s="470">
        <v>20089</v>
      </c>
      <c r="G83" s="473">
        <f t="shared" si="6"/>
        <v>169</v>
      </c>
      <c r="H83" s="460">
        <f>G83+'28'!H83</f>
        <v>5318</v>
      </c>
      <c r="I83" s="481"/>
      <c r="J83" s="552">
        <f>H83/DAY(B2)</f>
        <v>183.37931034482759</v>
      </c>
      <c r="K83" s="429"/>
      <c r="L83" s="377"/>
    </row>
    <row r="84" spans="1:15">
      <c r="A84" s="1147" t="s">
        <v>200</v>
      </c>
      <c r="B84" s="571"/>
      <c r="C84" s="571"/>
      <c r="D84" s="478" t="s">
        <v>131</v>
      </c>
      <c r="E84" s="765">
        <f>'28'!F84</f>
        <v>497815</v>
      </c>
      <c r="F84" s="708">
        <v>498687</v>
      </c>
      <c r="G84" s="473">
        <f t="shared" si="6"/>
        <v>872</v>
      </c>
      <c r="H84" s="460">
        <f>G84+'28'!H84</f>
        <v>18554</v>
      </c>
      <c r="I84" s="481"/>
      <c r="J84" s="552">
        <f>H84/DAY(B2)</f>
        <v>639.79310344827582</v>
      </c>
      <c r="K84" s="380"/>
      <c r="L84" s="377"/>
    </row>
    <row r="85" spans="1:15" s="379" customFormat="1">
      <c r="A85" s="605" t="s">
        <v>201</v>
      </c>
      <c r="B85" s="572"/>
      <c r="C85" s="572"/>
      <c r="D85" s="489"/>
      <c r="E85" s="708">
        <f>'28'!F85</f>
        <v>0</v>
      </c>
      <c r="F85" s="460"/>
      <c r="G85" s="460">
        <f xml:space="preserve"> SUM(G72:G84)</f>
        <v>2034</v>
      </c>
      <c r="H85" s="460">
        <f>G85+'28'!H85</f>
        <v>48525</v>
      </c>
      <c r="I85" s="481"/>
      <c r="J85" s="552">
        <f>H85/DAY(B2)</f>
        <v>1673.2758620689656</v>
      </c>
      <c r="K85" s="380"/>
      <c r="L85" s="378"/>
      <c r="N85" s="772"/>
      <c r="O85" s="772"/>
    </row>
    <row r="86" spans="1:15" s="738" customFormat="1">
      <c r="A86" s="733" t="s">
        <v>94</v>
      </c>
      <c r="B86" s="734"/>
      <c r="C86" s="734"/>
      <c r="D86" s="735" t="s">
        <v>182</v>
      </c>
      <c r="E86" s="708">
        <f>'28'!F86</f>
        <v>460836</v>
      </c>
      <c r="F86" s="752">
        <v>460871</v>
      </c>
      <c r="G86" s="708">
        <f t="shared" ref="G86:G91" si="7">F86-E86</f>
        <v>35</v>
      </c>
      <c r="H86" s="708">
        <f t="shared" ref="H86:H88" si="8">G86</f>
        <v>35</v>
      </c>
      <c r="I86" s="655"/>
      <c r="J86" s="710">
        <f>H86/DAY(B2)</f>
        <v>1.2068965517241379</v>
      </c>
      <c r="K86" s="736"/>
      <c r="L86" s="737"/>
      <c r="N86" s="773"/>
      <c r="O86" s="773"/>
    </row>
    <row r="87" spans="1:15" s="738" customFormat="1">
      <c r="A87" s="733" t="s">
        <v>95</v>
      </c>
      <c r="B87" s="734"/>
      <c r="C87" s="734"/>
      <c r="D87" s="735" t="s">
        <v>182</v>
      </c>
      <c r="E87" s="708">
        <f>'28'!F87</f>
        <v>81325</v>
      </c>
      <c r="F87" s="752">
        <v>81340</v>
      </c>
      <c r="G87" s="708">
        <f t="shared" si="7"/>
        <v>15</v>
      </c>
      <c r="H87" s="708">
        <f t="shared" si="8"/>
        <v>15</v>
      </c>
      <c r="I87" s="655"/>
      <c r="J87" s="710">
        <f>H87/DAY(B2)</f>
        <v>0.51724137931034486</v>
      </c>
      <c r="K87" s="736"/>
      <c r="L87" s="737"/>
      <c r="N87" s="773"/>
      <c r="O87" s="773"/>
    </row>
    <row r="88" spans="1:15" s="738" customFormat="1">
      <c r="A88" s="733" t="s">
        <v>96</v>
      </c>
      <c r="B88" s="734"/>
      <c r="C88" s="734"/>
      <c r="D88" s="735" t="s">
        <v>182</v>
      </c>
      <c r="E88" s="708">
        <f>'28'!F88</f>
        <v>152923</v>
      </c>
      <c r="F88" s="752">
        <v>152946</v>
      </c>
      <c r="G88" s="708">
        <f t="shared" si="7"/>
        <v>23</v>
      </c>
      <c r="H88" s="708">
        <f t="shared" si="8"/>
        <v>23</v>
      </c>
      <c r="I88" s="655"/>
      <c r="J88" s="710">
        <f>H88/DAY(B2)</f>
        <v>0.7931034482758621</v>
      </c>
      <c r="K88" s="736"/>
      <c r="L88" s="737"/>
      <c r="N88" s="773">
        <f>122+359</f>
        <v>481</v>
      </c>
      <c r="O88" s="773"/>
    </row>
    <row r="89" spans="1:15" s="738" customFormat="1">
      <c r="A89" s="733" t="s">
        <v>203</v>
      </c>
      <c r="B89" s="734"/>
      <c r="C89" s="734"/>
      <c r="D89" s="735" t="s">
        <v>182</v>
      </c>
      <c r="E89" s="708">
        <f>'28'!F89</f>
        <v>65142</v>
      </c>
      <c r="F89" s="650">
        <v>65153</v>
      </c>
      <c r="G89" s="708">
        <f t="shared" si="7"/>
        <v>11</v>
      </c>
      <c r="H89" s="708">
        <f>G89</f>
        <v>11</v>
      </c>
      <c r="I89" s="655"/>
      <c r="J89" s="710">
        <f>H89/DAY(B2)</f>
        <v>0.37931034482758619</v>
      </c>
      <c r="K89" s="736"/>
      <c r="L89" s="737"/>
    </row>
    <row r="90" spans="1:15" s="738" customFormat="1">
      <c r="A90" s="733" t="s">
        <v>203</v>
      </c>
      <c r="B90" s="734"/>
      <c r="C90" s="734"/>
      <c r="D90" s="735" t="s">
        <v>182</v>
      </c>
      <c r="E90" s="708">
        <f>'28'!F90</f>
        <v>3274</v>
      </c>
      <c r="F90" s="650">
        <v>3274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</row>
    <row r="91" spans="1:15" s="738" customFormat="1">
      <c r="A91" s="733" t="s">
        <v>361</v>
      </c>
      <c r="B91" s="734"/>
      <c r="C91" s="734"/>
      <c r="D91" s="735"/>
      <c r="E91" s="708">
        <f>'28'!F91</f>
        <v>28010</v>
      </c>
      <c r="F91" s="650">
        <v>28014</v>
      </c>
      <c r="G91" s="708">
        <f t="shared" si="7"/>
        <v>4</v>
      </c>
      <c r="H91" s="708">
        <f>G91</f>
        <v>4</v>
      </c>
      <c r="I91" s="655"/>
      <c r="J91" s="710"/>
      <c r="K91" s="736"/>
      <c r="L91" s="737"/>
      <c r="N91" s="780"/>
      <c r="O91" s="382"/>
    </row>
    <row r="92" spans="1:15" s="379" customFormat="1">
      <c r="A92" s="606" t="s">
        <v>204</v>
      </c>
      <c r="B92" s="1149"/>
      <c r="C92" s="1149"/>
      <c r="D92" s="472"/>
      <c r="E92" s="741"/>
      <c r="F92" s="741"/>
      <c r="G92" s="488"/>
      <c r="H92" s="472"/>
      <c r="I92" s="472"/>
      <c r="J92" s="551"/>
      <c r="K92" s="380"/>
      <c r="L92" s="378"/>
      <c r="N92" s="772"/>
      <c r="O92" s="772"/>
    </row>
    <row r="93" spans="1:15" ht="27.75">
      <c r="A93" s="1551" t="s">
        <v>205</v>
      </c>
      <c r="B93" s="1552"/>
      <c r="C93" s="1553"/>
      <c r="D93" s="523" t="s">
        <v>143</v>
      </c>
      <c r="E93" s="761">
        <f>'28'!F93</f>
        <v>245339</v>
      </c>
      <c r="F93" s="740">
        <v>245378</v>
      </c>
      <c r="G93" s="473">
        <f>F93-E93</f>
        <v>39</v>
      </c>
      <c r="H93" s="460">
        <f>G93+'28'!H93</f>
        <v>954</v>
      </c>
      <c r="I93" s="480"/>
      <c r="J93" s="552">
        <f>H93/DAY(B2)</f>
        <v>32.896551724137929</v>
      </c>
      <c r="K93" s="429"/>
      <c r="L93" s="377"/>
    </row>
    <row r="94" spans="1:15" ht="27.75">
      <c r="A94" s="1551" t="s">
        <v>206</v>
      </c>
      <c r="B94" s="1552"/>
      <c r="C94" s="1553"/>
      <c r="D94" s="523" t="s">
        <v>143</v>
      </c>
      <c r="E94" s="761">
        <f>'28'!F94</f>
        <v>185862</v>
      </c>
      <c r="F94" s="740">
        <v>185930</v>
      </c>
      <c r="G94" s="473">
        <f>F94-E94</f>
        <v>68</v>
      </c>
      <c r="H94" s="460">
        <f>G94+'28'!H94</f>
        <v>2399</v>
      </c>
      <c r="I94" s="480"/>
      <c r="J94" s="552">
        <f>H94/DAY(B2)</f>
        <v>82.724137931034477</v>
      </c>
      <c r="K94" s="380"/>
      <c r="L94" s="377"/>
    </row>
    <row r="95" spans="1:15">
      <c r="A95" s="1579" t="s">
        <v>207</v>
      </c>
      <c r="B95" s="1580"/>
      <c r="C95" s="1581"/>
      <c r="D95" s="523"/>
      <c r="E95" s="761"/>
      <c r="F95" s="740">
        <v>3</v>
      </c>
      <c r="G95" s="473">
        <f>G93+G94</f>
        <v>107</v>
      </c>
      <c r="H95" s="460">
        <f>G95+'28'!H95</f>
        <v>3206</v>
      </c>
      <c r="I95" s="480"/>
      <c r="J95" s="552">
        <f>H95/DAY(B2)</f>
        <v>110.55172413793103</v>
      </c>
      <c r="K95" s="380"/>
      <c r="L95" s="377"/>
    </row>
    <row r="96" spans="1:15" ht="27.75">
      <c r="A96" s="1551" t="s">
        <v>208</v>
      </c>
      <c r="B96" s="1552"/>
      <c r="C96" s="1553"/>
      <c r="D96" s="523" t="s">
        <v>143</v>
      </c>
      <c r="E96" s="761">
        <f>'28'!F96</f>
        <v>414145</v>
      </c>
      <c r="F96" s="740">
        <v>414191</v>
      </c>
      <c r="G96" s="473">
        <f t="shared" ref="G96:G101" si="9">F96-E96</f>
        <v>46</v>
      </c>
      <c r="H96" s="460">
        <f>G96+'28'!H96</f>
        <v>1305</v>
      </c>
      <c r="I96" s="480"/>
      <c r="J96" s="552">
        <f>H96/DAY(B2)</f>
        <v>45</v>
      </c>
      <c r="K96" s="380"/>
      <c r="L96" s="377"/>
    </row>
    <row r="97" spans="1:15" ht="27.75">
      <c r="A97" s="1143" t="s">
        <v>209</v>
      </c>
      <c r="B97" s="1144"/>
      <c r="C97" s="1144"/>
      <c r="D97" s="523" t="s">
        <v>143</v>
      </c>
      <c r="E97" s="761">
        <f>'28'!F97</f>
        <v>102614</v>
      </c>
      <c r="F97" s="740">
        <v>102623</v>
      </c>
      <c r="G97" s="473">
        <f t="shared" si="9"/>
        <v>9</v>
      </c>
      <c r="H97" s="460">
        <f>G97+'28'!H97</f>
        <v>280</v>
      </c>
      <c r="I97" s="480"/>
      <c r="J97" s="552">
        <f>H97/DAY(B2)</f>
        <v>9.6551724137931032</v>
      </c>
      <c r="K97" s="427"/>
      <c r="L97" s="377"/>
    </row>
    <row r="98" spans="1:15" ht="27.75">
      <c r="A98" s="1143" t="s">
        <v>210</v>
      </c>
      <c r="B98" s="1144"/>
      <c r="C98" s="1144"/>
      <c r="D98" s="523" t="s">
        <v>143</v>
      </c>
      <c r="E98" s="761">
        <f>'28'!F98</f>
        <v>97862</v>
      </c>
      <c r="F98" s="740">
        <v>97897</v>
      </c>
      <c r="G98" s="473">
        <f t="shared" si="9"/>
        <v>35</v>
      </c>
      <c r="H98" s="460">
        <f>G98+'28'!H98</f>
        <v>470</v>
      </c>
      <c r="I98" s="480"/>
      <c r="J98" s="552">
        <f>H98/DAY(B2)</f>
        <v>16.206896551724139</v>
      </c>
      <c r="K98" s="432"/>
      <c r="L98" s="377"/>
    </row>
    <row r="99" spans="1:15" ht="27.75">
      <c r="A99" s="1143" t="s">
        <v>211</v>
      </c>
      <c r="B99" s="1144"/>
      <c r="C99" s="1144"/>
      <c r="D99" s="523" t="s">
        <v>143</v>
      </c>
      <c r="E99" s="761">
        <f>'28'!F99</f>
        <v>149842</v>
      </c>
      <c r="F99" s="740">
        <v>149846</v>
      </c>
      <c r="G99" s="473">
        <f t="shared" si="9"/>
        <v>4</v>
      </c>
      <c r="H99" s="460">
        <f>G99+'28'!H99</f>
        <v>313</v>
      </c>
      <c r="I99" s="480"/>
      <c r="J99" s="552">
        <f>H99/DAY(B2)</f>
        <v>10.793103448275861</v>
      </c>
      <c r="K99" s="380"/>
      <c r="L99" s="377"/>
    </row>
    <row r="100" spans="1:15" ht="27.75">
      <c r="A100" s="1143" t="s">
        <v>212</v>
      </c>
      <c r="B100" s="1144"/>
      <c r="C100" s="1144"/>
      <c r="D100" s="523" t="s">
        <v>143</v>
      </c>
      <c r="E100" s="761">
        <f>'28'!F100</f>
        <v>7351</v>
      </c>
      <c r="F100" s="740">
        <v>7356</v>
      </c>
      <c r="G100" s="473">
        <f t="shared" si="9"/>
        <v>5</v>
      </c>
      <c r="H100" s="460">
        <f>G100+'28'!H100</f>
        <v>171</v>
      </c>
      <c r="I100" s="480"/>
      <c r="J100" s="552">
        <f>H100/DAY(B2)</f>
        <v>5.8965517241379306</v>
      </c>
      <c r="K100" s="380"/>
      <c r="L100" s="377"/>
    </row>
    <row r="101" spans="1:15" ht="27.75">
      <c r="A101" s="1143" t="s">
        <v>213</v>
      </c>
      <c r="B101" s="1144"/>
      <c r="C101" s="1144"/>
      <c r="D101" s="523" t="s">
        <v>143</v>
      </c>
      <c r="E101" s="761">
        <f>'28'!F101</f>
        <v>5360</v>
      </c>
      <c r="F101" s="740">
        <v>5372</v>
      </c>
      <c r="G101" s="473">
        <f t="shared" si="9"/>
        <v>12</v>
      </c>
      <c r="H101" s="460">
        <f>G101+'28'!H101</f>
        <v>234</v>
      </c>
      <c r="I101" s="480"/>
      <c r="J101" s="552">
        <f>H101/DAY(B2)</f>
        <v>8.068965517241379</v>
      </c>
      <c r="K101" s="380"/>
      <c r="L101" s="377"/>
    </row>
    <row r="102" spans="1:15">
      <c r="A102" s="1579" t="s">
        <v>215</v>
      </c>
      <c r="B102" s="1580"/>
      <c r="C102" s="1581"/>
      <c r="D102" s="524"/>
      <c r="E102" s="486"/>
      <c r="F102" s="486"/>
      <c r="G102" s="525">
        <f>SUM(G96:G101)</f>
        <v>111</v>
      </c>
      <c r="H102" s="460">
        <f>G102+'28'!H102</f>
        <v>2773</v>
      </c>
      <c r="I102" s="526"/>
      <c r="J102" s="552">
        <f>H102/DAY(B2)</f>
        <v>95.620689655172413</v>
      </c>
      <c r="K102" s="380"/>
      <c r="L102" s="377"/>
    </row>
    <row r="103" spans="1:15" s="442" customFormat="1" ht="27">
      <c r="A103" s="607" t="s">
        <v>216</v>
      </c>
      <c r="B103" s="608"/>
      <c r="C103" s="608"/>
      <c r="D103" s="621"/>
      <c r="E103" s="767"/>
      <c r="F103" s="753"/>
      <c r="G103" s="529"/>
      <c r="H103" s="530"/>
      <c r="I103" s="531"/>
      <c r="J103" s="557"/>
      <c r="N103" s="772"/>
      <c r="O103" s="772"/>
    </row>
    <row r="104" spans="1:15" s="442" customFormat="1" ht="27">
      <c r="A104" s="1582" t="s">
        <v>217</v>
      </c>
      <c r="B104" s="1583"/>
      <c r="C104" s="573"/>
      <c r="D104" s="622"/>
      <c r="E104" s="533"/>
      <c r="F104" s="754"/>
      <c r="G104" s="532"/>
      <c r="H104" s="533"/>
      <c r="I104" s="532"/>
      <c r="J104" s="558"/>
      <c r="N104" s="772"/>
      <c r="O104" s="772"/>
    </row>
    <row r="105" spans="1:15" s="442" customFormat="1" ht="27">
      <c r="A105" s="1543" t="s">
        <v>218</v>
      </c>
      <c r="B105" s="1544"/>
      <c r="C105" s="1142"/>
      <c r="D105" s="622" t="s">
        <v>143</v>
      </c>
      <c r="E105" s="533">
        <f>'28'!F105</f>
        <v>7484</v>
      </c>
      <c r="F105" s="754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2"/>
      <c r="O105" s="772"/>
    </row>
    <row r="106" spans="1:15" s="442" customFormat="1" ht="27">
      <c r="A106" s="1543" t="s">
        <v>77</v>
      </c>
      <c r="B106" s="1544"/>
      <c r="C106" s="1142"/>
      <c r="D106" s="622" t="s">
        <v>143</v>
      </c>
      <c r="E106" s="533">
        <f>'28'!F106</f>
        <v>35938</v>
      </c>
      <c r="F106" s="663">
        <v>35938</v>
      </c>
      <c r="G106" s="532">
        <f t="shared" ref="G106:G107" si="10">F106-E106</f>
        <v>0</v>
      </c>
      <c r="H106" s="533">
        <f>SUM(G106+'1'!G77)</f>
        <v>50</v>
      </c>
      <c r="I106" s="532"/>
      <c r="J106" s="558">
        <f>H106/DAY(B2)</f>
        <v>1.7241379310344827</v>
      </c>
      <c r="N106" s="772"/>
      <c r="O106" s="772"/>
    </row>
    <row r="107" spans="1:15" s="442" customFormat="1" ht="27">
      <c r="A107" s="1543" t="s">
        <v>78</v>
      </c>
      <c r="B107" s="1584"/>
      <c r="C107" s="1544"/>
      <c r="D107" s="622" t="s">
        <v>143</v>
      </c>
      <c r="E107" s="533">
        <f>'28'!F107</f>
        <v>19699</v>
      </c>
      <c r="F107" s="663">
        <v>19699</v>
      </c>
      <c r="G107" s="532">
        <f t="shared" si="10"/>
        <v>0</v>
      </c>
      <c r="H107" s="533">
        <f>SUM(G107+'1'!G78)</f>
        <v>124</v>
      </c>
      <c r="I107" s="532"/>
      <c r="J107" s="558">
        <f>H107/DAY(B2)</f>
        <v>4.2758620689655169</v>
      </c>
      <c r="N107" s="772"/>
      <c r="O107" s="772"/>
    </row>
    <row r="108" spans="1:15" s="442" customFormat="1" ht="27">
      <c r="A108" s="1545" t="s">
        <v>201</v>
      </c>
      <c r="B108" s="1546"/>
      <c r="C108" s="1142"/>
      <c r="D108" s="622"/>
      <c r="E108" s="533">
        <f>'28'!F108</f>
        <v>0</v>
      </c>
      <c r="F108" s="663"/>
      <c r="G108" s="532">
        <f>SUM(G105:G107)</f>
        <v>0</v>
      </c>
      <c r="H108" s="533">
        <f>SUM(G108+'1'!G79)</f>
        <v>189</v>
      </c>
      <c r="I108" s="532"/>
      <c r="J108" s="558">
        <f>H108/DAY(B2)</f>
        <v>6.5172413793103452</v>
      </c>
      <c r="N108" s="772"/>
      <c r="O108" s="772"/>
    </row>
    <row r="109" spans="1:15" s="442" customFormat="1" ht="27">
      <c r="A109" s="1549" t="s">
        <v>79</v>
      </c>
      <c r="B109" s="1550"/>
      <c r="C109" s="1142"/>
      <c r="D109" s="622" t="s">
        <v>143</v>
      </c>
      <c r="E109" s="533">
        <f>'28'!F109</f>
        <v>0</v>
      </c>
      <c r="F109" s="663"/>
      <c r="G109" s="532"/>
      <c r="H109" s="533"/>
      <c r="I109" s="532"/>
      <c r="J109" s="558"/>
      <c r="N109" s="772"/>
      <c r="O109" s="772"/>
    </row>
    <row r="110" spans="1:15" s="442" customFormat="1" ht="27">
      <c r="A110" s="1543" t="s">
        <v>219</v>
      </c>
      <c r="B110" s="1544"/>
      <c r="C110" s="1142"/>
      <c r="D110" s="622" t="s">
        <v>143</v>
      </c>
      <c r="E110" s="533">
        <f>'28'!F110</f>
        <v>62645</v>
      </c>
      <c r="F110" s="663">
        <v>62711</v>
      </c>
      <c r="G110" s="532">
        <f>F110-E110</f>
        <v>66</v>
      </c>
      <c r="H110" s="533">
        <f>SUM(G110+'1'!G81)</f>
        <v>147</v>
      </c>
      <c r="I110" s="532"/>
      <c r="J110" s="558">
        <f>H110/DAY(B2)</f>
        <v>5.068965517241379</v>
      </c>
      <c r="N110" s="772"/>
      <c r="O110" s="772"/>
    </row>
    <row r="111" spans="1:15" s="442" customFormat="1" ht="27">
      <c r="A111" s="1543" t="s">
        <v>220</v>
      </c>
      <c r="B111" s="1544"/>
      <c r="C111" s="1142"/>
      <c r="D111" s="622" t="s">
        <v>143</v>
      </c>
      <c r="E111" s="533">
        <f>'28'!F111</f>
        <v>32542</v>
      </c>
      <c r="F111" s="663">
        <v>32560</v>
      </c>
      <c r="G111" s="532">
        <f t="shared" ref="G111:G112" si="11">F111-E111</f>
        <v>18</v>
      </c>
      <c r="H111" s="533">
        <f>SUM(G111+'1'!G82)</f>
        <v>30</v>
      </c>
      <c r="I111" s="532"/>
      <c r="J111" s="558">
        <f>H111/DAY(B2)</f>
        <v>1.0344827586206897</v>
      </c>
      <c r="N111" s="772"/>
      <c r="O111" s="772"/>
    </row>
    <row r="112" spans="1:15" s="442" customFormat="1" ht="27">
      <c r="A112" s="1543" t="s">
        <v>221</v>
      </c>
      <c r="B112" s="1544"/>
      <c r="C112" s="1142"/>
      <c r="D112" s="622" t="s">
        <v>143</v>
      </c>
      <c r="E112" s="533">
        <f>'28'!F112</f>
        <v>4559</v>
      </c>
      <c r="F112" s="663">
        <v>4576</v>
      </c>
      <c r="G112" s="534">
        <f t="shared" si="11"/>
        <v>17</v>
      </c>
      <c r="H112" s="533">
        <f>SUM(G112+'1'!G83)</f>
        <v>272</v>
      </c>
      <c r="I112" s="532"/>
      <c r="J112" s="558">
        <f>H112/DAY(B2)</f>
        <v>9.3793103448275854</v>
      </c>
      <c r="N112" s="772"/>
      <c r="O112" s="772"/>
    </row>
    <row r="113" spans="1:15" s="442" customFormat="1" ht="27">
      <c r="A113" s="1545" t="s">
        <v>110</v>
      </c>
      <c r="B113" s="1546"/>
      <c r="C113" s="1142"/>
      <c r="D113" s="622"/>
      <c r="E113" s="533">
        <f>'28'!F113</f>
        <v>0</v>
      </c>
      <c r="F113" s="663"/>
      <c r="G113" s="532">
        <f>SUM(G110:G112)</f>
        <v>101</v>
      </c>
      <c r="H113" s="533">
        <f>SUM(G113+'1'!G84)</f>
        <v>816</v>
      </c>
      <c r="I113" s="532"/>
      <c r="J113" s="558">
        <f>H113/DAY(B2)</f>
        <v>28.137931034482758</v>
      </c>
      <c r="N113" s="772"/>
      <c r="O113" s="772"/>
    </row>
    <row r="114" spans="1:15" s="442" customFormat="1" ht="27">
      <c r="A114" s="1549" t="s">
        <v>222</v>
      </c>
      <c r="B114" s="1550"/>
      <c r="C114" s="1142"/>
      <c r="D114" s="622"/>
      <c r="E114" s="533">
        <f>'28'!F114</f>
        <v>0</v>
      </c>
      <c r="F114" s="663"/>
      <c r="G114" s="532"/>
      <c r="H114" s="533"/>
      <c r="I114" s="532"/>
      <c r="J114" s="558">
        <f>H114/DAY(B2)</f>
        <v>0</v>
      </c>
      <c r="N114" s="772"/>
      <c r="O114" s="772"/>
    </row>
    <row r="115" spans="1:15" s="442" customFormat="1" ht="27">
      <c r="A115" s="1543" t="s">
        <v>223</v>
      </c>
      <c r="B115" s="1544"/>
      <c r="C115" s="574"/>
      <c r="D115" s="622" t="s">
        <v>143</v>
      </c>
      <c r="E115" s="533">
        <f>'28'!F115</f>
        <v>11473</v>
      </c>
      <c r="F115" s="663">
        <v>11480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0.2413793103448276</v>
      </c>
      <c r="N115" s="772"/>
      <c r="O115" s="772"/>
    </row>
    <row r="116" spans="1:15" s="442" customFormat="1" ht="27">
      <c r="A116" s="1543" t="s">
        <v>224</v>
      </c>
      <c r="B116" s="1544"/>
      <c r="C116" s="574"/>
      <c r="D116" s="622" t="s">
        <v>143</v>
      </c>
      <c r="E116" s="533">
        <f>'28'!F116</f>
        <v>8289</v>
      </c>
      <c r="F116" s="663">
        <v>8295</v>
      </c>
      <c r="G116" s="534">
        <f t="shared" ref="G116:G117" si="12">F116-E116</f>
        <v>6</v>
      </c>
      <c r="H116" s="533">
        <f>SUM(G116+'1'!G93)</f>
        <v>58</v>
      </c>
      <c r="I116" s="532"/>
      <c r="J116" s="558">
        <f>H116/DAY(B2)</f>
        <v>2</v>
      </c>
      <c r="N116" s="772"/>
      <c r="O116" s="772"/>
    </row>
    <row r="117" spans="1:15" s="442" customFormat="1" ht="27">
      <c r="A117" s="1543" t="s">
        <v>225</v>
      </c>
      <c r="B117" s="1544"/>
      <c r="C117" s="574"/>
      <c r="D117" s="622" t="s">
        <v>143</v>
      </c>
      <c r="E117" s="536"/>
      <c r="F117" s="663"/>
      <c r="G117" s="534">
        <f t="shared" si="12"/>
        <v>0</v>
      </c>
      <c r="H117" s="533">
        <f>SUM(G117+'1'!G94)</f>
        <v>95</v>
      </c>
      <c r="I117" s="532"/>
      <c r="J117" s="558">
        <f>H117/DAY(B2)</f>
        <v>3.2758620689655173</v>
      </c>
      <c r="N117" s="772"/>
      <c r="O117" s="772"/>
    </row>
    <row r="118" spans="1:15" s="445" customFormat="1" ht="27">
      <c r="A118" s="1545" t="s">
        <v>201</v>
      </c>
      <c r="B118" s="1546"/>
      <c r="C118" s="574"/>
      <c r="D118" s="623"/>
      <c r="E118" s="536"/>
      <c r="F118" s="663"/>
      <c r="G118" s="534">
        <f>SUM(G115:G117)</f>
        <v>13</v>
      </c>
      <c r="H118" s="533">
        <f>SUM(G118+'1'!G96)</f>
        <v>85</v>
      </c>
      <c r="I118" s="534"/>
      <c r="J118" s="558">
        <f>H118/DAY(B2)</f>
        <v>2.9310344827586206</v>
      </c>
      <c r="N118" s="772"/>
      <c r="O118" s="773"/>
    </row>
    <row r="119" spans="1:15" s="446" customFormat="1" ht="27">
      <c r="A119" s="1539" t="s">
        <v>226</v>
      </c>
      <c r="B119" s="1540"/>
      <c r="C119" s="1140"/>
      <c r="D119" s="624" t="s">
        <v>143</v>
      </c>
      <c r="E119" s="536"/>
      <c r="F119" s="663"/>
      <c r="G119" s="536">
        <f>SUM(G19+G93)</f>
        <v>96</v>
      </c>
      <c r="H119" s="533">
        <f>SUM(G119+'1'!G97)</f>
        <v>108</v>
      </c>
      <c r="I119" s="535"/>
      <c r="J119" s="559">
        <f>H119/DAY(B2)</f>
        <v>3.7241379310344827</v>
      </c>
      <c r="N119" s="772"/>
      <c r="O119" s="773"/>
    </row>
    <row r="120" spans="1:15" s="446" customFormat="1" ht="27">
      <c r="A120" s="1539" t="s">
        <v>227</v>
      </c>
      <c r="B120" s="1540"/>
      <c r="C120" s="1140"/>
      <c r="D120" s="624" t="s">
        <v>143</v>
      </c>
      <c r="E120" s="536"/>
      <c r="F120" s="663"/>
      <c r="G120" s="536">
        <f>SUM(G96,G97,G98,G100,G101)</f>
        <v>107</v>
      </c>
      <c r="H120" s="533">
        <f>SUM(G120+'1'!G99)</f>
        <v>112</v>
      </c>
      <c r="I120" s="535"/>
      <c r="J120" s="559">
        <f>H120/DAY(B2)</f>
        <v>3.8620689655172415</v>
      </c>
      <c r="N120" s="772"/>
      <c r="O120" s="773"/>
    </row>
    <row r="121" spans="1:15" s="446" customFormat="1" ht="27">
      <c r="A121" s="1539" t="s">
        <v>228</v>
      </c>
      <c r="B121" s="1540"/>
      <c r="C121" s="1140"/>
      <c r="D121" s="624" t="s">
        <v>143</v>
      </c>
      <c r="E121" s="536"/>
      <c r="F121" s="663"/>
      <c r="G121" s="534">
        <f>SUM(G113)</f>
        <v>101</v>
      </c>
      <c r="H121" s="533">
        <f>SUM(G121+'1'!G101)</f>
        <v>107</v>
      </c>
      <c r="I121" s="535"/>
      <c r="J121" s="559">
        <f>H121/DAY(B2)</f>
        <v>3.6896551724137931</v>
      </c>
      <c r="N121" s="772"/>
      <c r="O121" s="773"/>
    </row>
    <row r="122" spans="1:15" s="442" customFormat="1" ht="27">
      <c r="A122" s="1541"/>
      <c r="B122" s="1542"/>
      <c r="C122" s="1141"/>
      <c r="D122" s="560"/>
      <c r="E122" s="768"/>
      <c r="F122" s="755"/>
      <c r="G122" s="560"/>
      <c r="H122" s="561"/>
      <c r="I122" s="560"/>
      <c r="J122" s="562"/>
      <c r="N122" s="772"/>
      <c r="O122" s="772"/>
    </row>
    <row r="123" spans="1:15">
      <c r="A123" s="1576" t="s">
        <v>229</v>
      </c>
      <c r="B123" s="1577"/>
      <c r="C123" s="1578"/>
      <c r="D123" s="472"/>
      <c r="E123" s="741"/>
      <c r="F123" s="741"/>
      <c r="G123" s="483"/>
      <c r="H123" s="483"/>
      <c r="I123" s="483"/>
      <c r="J123" s="563"/>
      <c r="K123" s="380"/>
      <c r="L123" s="377"/>
    </row>
    <row r="124" spans="1:15" ht="27.75">
      <c r="A124" s="1143" t="s">
        <v>230</v>
      </c>
      <c r="B124" s="1144"/>
      <c r="C124" s="1144"/>
      <c r="D124" s="523" t="s">
        <v>140</v>
      </c>
      <c r="E124" s="740">
        <f>'28'!F124</f>
        <v>831775</v>
      </c>
      <c r="F124" s="740">
        <v>831972</v>
      </c>
      <c r="G124" s="473">
        <f t="shared" ref="G124:G128" si="13">F124-E124</f>
        <v>197</v>
      </c>
      <c r="H124" s="460">
        <f>G124+'28'!H124</f>
        <v>5883.5400000000373</v>
      </c>
      <c r="I124" s="526"/>
      <c r="J124" s="552">
        <f>H124/DAY(B2)</f>
        <v>202.88068965517371</v>
      </c>
      <c r="K124" s="380"/>
      <c r="L124" s="377"/>
    </row>
    <row r="125" spans="1:15" ht="27.75">
      <c r="A125" s="1143" t="s">
        <v>231</v>
      </c>
      <c r="B125" s="1144"/>
      <c r="C125" s="1144"/>
      <c r="D125" s="523" t="s">
        <v>140</v>
      </c>
      <c r="E125" s="740">
        <f>'28'!F125</f>
        <v>73583.399999999994</v>
      </c>
      <c r="F125" s="756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30" t="s">
        <v>232</v>
      </c>
      <c r="B126" s="1531"/>
      <c r="C126" s="1532"/>
      <c r="D126" s="523" t="s">
        <v>140</v>
      </c>
      <c r="E126" s="740">
        <f>'28'!F126</f>
        <v>146302</v>
      </c>
      <c r="F126" s="740">
        <v>146368</v>
      </c>
      <c r="G126" s="473">
        <f t="shared" si="13"/>
        <v>66</v>
      </c>
      <c r="H126" s="460">
        <f>G126+'28'!H126</f>
        <v>1680.5599999999977</v>
      </c>
      <c r="I126" s="526"/>
      <c r="J126" s="552">
        <f>H126/DAY(B2)</f>
        <v>57.950344827586129</v>
      </c>
      <c r="K126" s="380"/>
      <c r="L126" s="377"/>
    </row>
    <row r="127" spans="1:15" ht="27.75">
      <c r="A127" s="609" t="s">
        <v>233</v>
      </c>
      <c r="B127" s="1144"/>
      <c r="C127" s="1144"/>
      <c r="D127" s="523" t="s">
        <v>140</v>
      </c>
      <c r="E127" s="740">
        <f>'28'!F127</f>
        <v>31404</v>
      </c>
      <c r="F127" s="756">
        <v>31404</v>
      </c>
      <c r="G127" s="473">
        <f t="shared" si="13"/>
        <v>0</v>
      </c>
      <c r="H127" s="460">
        <f>G127+'28'!H127</f>
        <v>0</v>
      </c>
      <c r="I127" s="526"/>
      <c r="J127" s="552">
        <f>H127/DAY(B2)</f>
        <v>0</v>
      </c>
      <c r="K127" s="380"/>
      <c r="L127" s="377"/>
    </row>
    <row r="128" spans="1:15" ht="27.75">
      <c r="A128" s="609" t="s">
        <v>234</v>
      </c>
      <c r="B128" s="1144"/>
      <c r="C128" s="1144"/>
      <c r="D128" s="523" t="s">
        <v>140</v>
      </c>
      <c r="E128" s="740">
        <f>'28'!F128</f>
        <v>8971</v>
      </c>
      <c r="F128" s="756">
        <v>8971</v>
      </c>
      <c r="G128" s="473">
        <f t="shared" si="13"/>
        <v>0</v>
      </c>
      <c r="H128" s="460">
        <f>G128+'28'!H128</f>
        <v>1.2999999999992724</v>
      </c>
      <c r="I128" s="480"/>
      <c r="J128" s="552">
        <f>H128/DAY(B2)</f>
        <v>4.482758620687146E-2</v>
      </c>
      <c r="K128" s="380"/>
      <c r="L128" s="377"/>
    </row>
    <row r="129" spans="1:15" s="281" customFormat="1" ht="27">
      <c r="A129" s="609" t="s">
        <v>235</v>
      </c>
      <c r="B129" s="1144"/>
      <c r="C129" s="1144"/>
      <c r="D129" s="523"/>
      <c r="E129" s="740"/>
      <c r="F129" s="740"/>
      <c r="G129" s="473">
        <f>G15-SUM(G124:G128)</f>
        <v>55.399999999994179</v>
      </c>
      <c r="H129" s="460"/>
      <c r="I129" s="480"/>
      <c r="J129" s="552"/>
      <c r="K129" s="364"/>
      <c r="L129" s="292"/>
      <c r="N129" s="772"/>
      <c r="O129" s="772"/>
    </row>
    <row r="130" spans="1:15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3" t="s">
        <v>237</v>
      </c>
      <c r="B131" s="1144"/>
      <c r="C131" s="1144"/>
      <c r="D131" s="523" t="s">
        <v>238</v>
      </c>
      <c r="E131" s="761">
        <f>'28'!F131</f>
        <v>0</v>
      </c>
      <c r="F131" s="740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43" t="s">
        <v>239</v>
      </c>
      <c r="B132" s="1144"/>
      <c r="C132" s="1144"/>
      <c r="D132" s="523" t="s">
        <v>238</v>
      </c>
      <c r="E132" s="761">
        <f>'28'!F132</f>
        <v>0</v>
      </c>
      <c r="F132" s="740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3" t="s">
        <v>240</v>
      </c>
      <c r="B133" s="1144"/>
      <c r="C133" s="1144"/>
      <c r="D133" s="523" t="s">
        <v>238</v>
      </c>
      <c r="E133" s="770">
        <f>'28'!F133</f>
        <v>40059</v>
      </c>
      <c r="F133" s="756">
        <v>40059</v>
      </c>
      <c r="G133" s="473">
        <f t="shared" si="14"/>
        <v>0</v>
      </c>
      <c r="H133" s="460">
        <f>G133+'28'!H133</f>
        <v>312.5199999999968</v>
      </c>
      <c r="I133" s="480"/>
      <c r="J133" s="552">
        <f>H133/DAY(B2)</f>
        <v>10.776551724137821</v>
      </c>
    </row>
    <row r="134" spans="1:15" ht="27.75">
      <c r="A134" s="1143" t="s">
        <v>241</v>
      </c>
      <c r="B134" s="1144"/>
      <c r="C134" s="1144"/>
      <c r="D134" s="523" t="s">
        <v>238</v>
      </c>
      <c r="E134" s="770">
        <f>'28'!F134</f>
        <v>300</v>
      </c>
      <c r="F134" s="756">
        <v>300</v>
      </c>
      <c r="G134" s="473">
        <f t="shared" si="14"/>
        <v>0</v>
      </c>
      <c r="H134" s="460">
        <f>G134+'28'!H134</f>
        <v>0</v>
      </c>
      <c r="I134" s="480">
        <f>G131+G132+G133+G134</f>
        <v>0</v>
      </c>
      <c r="J134" s="552">
        <f>H134/DAY(B2)</f>
        <v>0</v>
      </c>
    </row>
    <row r="135" spans="1:15" ht="27.75">
      <c r="A135" s="1143" t="s">
        <v>242</v>
      </c>
      <c r="B135" s="1144"/>
      <c r="C135" s="1144"/>
      <c r="D135" s="523" t="s">
        <v>238</v>
      </c>
      <c r="E135" s="770">
        <f>'28'!F135</f>
        <v>41730</v>
      </c>
      <c r="F135" s="756">
        <v>41730</v>
      </c>
      <c r="G135" s="473">
        <f t="shared" si="14"/>
        <v>0</v>
      </c>
      <c r="H135" s="460">
        <f>G135+'28'!H135</f>
        <v>71.610000000000582</v>
      </c>
      <c r="I135" s="480"/>
      <c r="J135" s="552">
        <f>H135/DAY(B2)</f>
        <v>2.4693103448276061</v>
      </c>
    </row>
    <row r="136" spans="1:15" ht="27.75">
      <c r="A136" s="1143" t="s">
        <v>243</v>
      </c>
      <c r="B136" s="1144"/>
      <c r="C136" s="1144"/>
      <c r="D136" s="523" t="s">
        <v>238</v>
      </c>
      <c r="E136" s="766">
        <f>'28'!F136</f>
        <v>32643.16</v>
      </c>
      <c r="F136" s="743">
        <v>32667.24</v>
      </c>
      <c r="G136" s="473">
        <f t="shared" si="14"/>
        <v>24.080000000001746</v>
      </c>
      <c r="H136" s="460">
        <f>G136+'28'!H136</f>
        <v>97.31000000000131</v>
      </c>
      <c r="I136" s="480"/>
      <c r="J136" s="552">
        <f>H136/DAY(B2)</f>
        <v>3.3555172413793555</v>
      </c>
    </row>
    <row r="137" spans="1:15" ht="27.75">
      <c r="A137" s="1143" t="s">
        <v>244</v>
      </c>
      <c r="B137" s="1144"/>
      <c r="C137" s="1144"/>
      <c r="D137" s="523" t="s">
        <v>238</v>
      </c>
      <c r="E137" s="769">
        <f>'28'!F137</f>
        <v>22799</v>
      </c>
      <c r="F137" s="747">
        <v>22799</v>
      </c>
      <c r="G137" s="473">
        <f t="shared" si="14"/>
        <v>0</v>
      </c>
      <c r="H137" s="460">
        <f>G137+'28'!H137</f>
        <v>59.409999999999854</v>
      </c>
      <c r="I137" s="480">
        <f>G135+G136+G137</f>
        <v>24.080000000001746</v>
      </c>
      <c r="J137" s="552">
        <f>H137/DAY(B2)</f>
        <v>2.0486206896551673</v>
      </c>
    </row>
    <row r="138" spans="1:15" ht="27.75">
      <c r="A138" s="1143" t="s">
        <v>245</v>
      </c>
      <c r="B138" s="1144"/>
      <c r="C138" s="1144"/>
      <c r="D138" s="523" t="s">
        <v>238</v>
      </c>
      <c r="E138" s="769">
        <f>'28'!F138</f>
        <v>25051.82</v>
      </c>
      <c r="F138" s="747">
        <v>25052</v>
      </c>
      <c r="G138" s="473">
        <f t="shared" si="14"/>
        <v>0.18000000000029104</v>
      </c>
      <c r="H138" s="460">
        <f>G138+'28'!H138</f>
        <v>8.2799999999988358</v>
      </c>
      <c r="I138" s="480"/>
      <c r="J138" s="552">
        <f>H138/DAY(B2)</f>
        <v>0.2855172413792702</v>
      </c>
    </row>
    <row r="139" spans="1:15" ht="27.75">
      <c r="A139" s="1143" t="s">
        <v>246</v>
      </c>
      <c r="B139" s="1144"/>
      <c r="C139" s="1144"/>
      <c r="D139" s="523" t="s">
        <v>238</v>
      </c>
      <c r="E139" s="769">
        <f>'28'!F139</f>
        <v>70402</v>
      </c>
      <c r="F139" s="747">
        <v>70402</v>
      </c>
      <c r="G139" s="473">
        <f t="shared" si="14"/>
        <v>0</v>
      </c>
      <c r="H139" s="460">
        <f>G139+'28'!H139</f>
        <v>37.899999999994179</v>
      </c>
      <c r="I139" s="480">
        <f>G138+G139</f>
        <v>0.18000000000029104</v>
      </c>
      <c r="J139" s="552">
        <f>H139/DAY(B2)</f>
        <v>1.3068965517239373</v>
      </c>
    </row>
    <row r="140" spans="1:15" ht="27.75">
      <c r="A140" s="1143" t="s">
        <v>247</v>
      </c>
      <c r="B140" s="1144"/>
      <c r="C140" s="1144"/>
      <c r="D140" s="523" t="s">
        <v>238</v>
      </c>
      <c r="E140" s="770">
        <f>'28'!F140</f>
        <v>1832</v>
      </c>
      <c r="F140" s="756">
        <v>1839.44</v>
      </c>
      <c r="G140" s="473">
        <f t="shared" si="14"/>
        <v>7.4400000000000546</v>
      </c>
      <c r="H140" s="460">
        <f>G140+'28'!H140</f>
        <v>222.58000000000015</v>
      </c>
      <c r="I140" s="542"/>
      <c r="J140" s="552">
        <f>H140/DAY(B2)</f>
        <v>7.675172413793109</v>
      </c>
    </row>
    <row r="141" spans="1:15" ht="27.75">
      <c r="A141" s="1143" t="s">
        <v>248</v>
      </c>
      <c r="B141" s="1144"/>
      <c r="C141" s="1144"/>
      <c r="D141" s="523" t="s">
        <v>238</v>
      </c>
      <c r="E141" s="769">
        <f>'28'!F141</f>
        <v>4636.88</v>
      </c>
      <c r="F141" s="740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57" t="s">
        <v>249</v>
      </c>
      <c r="B142" s="1558"/>
      <c r="C142" s="1149"/>
      <c r="D142" s="472"/>
      <c r="E142" s="741"/>
      <c r="F142" s="741"/>
      <c r="G142" s="483"/>
      <c r="H142" s="483"/>
      <c r="I142" s="483"/>
      <c r="J142" s="563"/>
      <c r="K142" s="380"/>
      <c r="L142" s="377"/>
    </row>
    <row r="143" spans="1:15" ht="27.75">
      <c r="A143" s="1551" t="s">
        <v>250</v>
      </c>
      <c r="B143" s="1552"/>
      <c r="C143" s="1553"/>
      <c r="D143" s="523" t="s">
        <v>131</v>
      </c>
      <c r="E143" s="460"/>
      <c r="F143" s="460"/>
      <c r="G143" s="460">
        <f>G35+G43+G49+G57</f>
        <v>4733.67</v>
      </c>
      <c r="H143" s="460">
        <f>G143+'28'!H143</f>
        <v>122720</v>
      </c>
      <c r="I143" s="480"/>
      <c r="J143" s="552">
        <f>H143/DAY(B2)</f>
        <v>4231.7241379310344</v>
      </c>
      <c r="K143" s="380"/>
      <c r="L143" s="377"/>
    </row>
    <row r="144" spans="1:15" ht="27.75">
      <c r="A144" s="1551" t="s">
        <v>251</v>
      </c>
      <c r="B144" s="1552"/>
      <c r="C144" s="1553"/>
      <c r="D144" s="523" t="s">
        <v>24</v>
      </c>
      <c r="E144" s="470"/>
      <c r="F144" s="470"/>
      <c r="G144" s="543">
        <f>G143/G7</f>
        <v>0.27988352155146928</v>
      </c>
      <c r="H144" s="460">
        <f>G144+'28'!H144</f>
        <v>7.6747330487148355</v>
      </c>
      <c r="I144" s="544"/>
      <c r="J144" s="552">
        <f>H144/DAY(B2)</f>
        <v>0.26464596719706329</v>
      </c>
      <c r="K144" s="380"/>
      <c r="L144" s="377"/>
    </row>
    <row r="145" spans="1:12" ht="27.75">
      <c r="A145" s="1551" t="s">
        <v>252</v>
      </c>
      <c r="B145" s="1552"/>
      <c r="C145" s="1553"/>
      <c r="D145" s="523" t="s">
        <v>131</v>
      </c>
      <c r="E145" s="460"/>
      <c r="F145" s="460"/>
      <c r="G145" s="460">
        <f>G41+G42+G55+G56</f>
        <v>4832</v>
      </c>
      <c r="H145" s="460">
        <f>G145+'28'!H145</f>
        <v>143794.53000000003</v>
      </c>
      <c r="I145" s="480"/>
      <c r="J145" s="552">
        <f>H145/DAY(B2)</f>
        <v>4958.4320689655178</v>
      </c>
      <c r="K145" s="380"/>
      <c r="L145" s="377"/>
    </row>
    <row r="146" spans="1:12" ht="27.75">
      <c r="A146" s="1551" t="s">
        <v>253</v>
      </c>
      <c r="B146" s="1552"/>
      <c r="C146" s="1553"/>
      <c r="D146" s="523" t="s">
        <v>24</v>
      </c>
      <c r="E146" s="460"/>
      <c r="F146" s="460"/>
      <c r="G146" s="543">
        <f>G145/G7</f>
        <v>0.28569739253828413</v>
      </c>
      <c r="H146" s="460">
        <f>G146+'28'!H146</f>
        <v>9.0040244251726875</v>
      </c>
      <c r="I146" s="544"/>
      <c r="J146" s="552">
        <f>H146/DAY(B2)</f>
        <v>0.31048360086802373</v>
      </c>
      <c r="K146" s="380"/>
      <c r="L146" s="377"/>
    </row>
    <row r="147" spans="1:12" ht="27.75">
      <c r="A147" s="1551" t="s">
        <v>254</v>
      </c>
      <c r="B147" s="1552"/>
      <c r="C147" s="1553"/>
      <c r="D147" s="523" t="s">
        <v>131</v>
      </c>
      <c r="E147" s="460"/>
      <c r="F147" s="460"/>
      <c r="G147" s="460">
        <f>G39+G53</f>
        <v>2918</v>
      </c>
      <c r="H147" s="460">
        <f>G147+'28'!H147</f>
        <v>72163</v>
      </c>
      <c r="I147" s="545"/>
      <c r="J147" s="552">
        <f>H147/DAY(B2)</f>
        <v>2488.3793103448274</v>
      </c>
      <c r="K147" s="380"/>
      <c r="L147" s="377"/>
    </row>
    <row r="148" spans="1:12" ht="27.75">
      <c r="A148" s="1551" t="s">
        <v>255</v>
      </c>
      <c r="B148" s="1552"/>
      <c r="C148" s="1553"/>
      <c r="D148" s="523" t="s">
        <v>24</v>
      </c>
      <c r="E148" s="460"/>
      <c r="F148" s="460"/>
      <c r="G148" s="543">
        <f>G147/G7</f>
        <v>0.17253000650387276</v>
      </c>
      <c r="H148" s="460">
        <f>G148+'28'!H148</f>
        <v>4.5139004866396144</v>
      </c>
      <c r="I148" s="545"/>
      <c r="J148" s="552">
        <f>H148/DAY(B2)</f>
        <v>0.1556517409186074</v>
      </c>
    </row>
    <row r="149" spans="1:12" ht="27.75">
      <c r="A149" s="1551" t="s">
        <v>256</v>
      </c>
      <c r="B149" s="1552"/>
      <c r="C149" s="1553"/>
      <c r="D149" s="523" t="s">
        <v>182</v>
      </c>
      <c r="E149" s="460"/>
      <c r="F149" s="460"/>
      <c r="G149" s="460">
        <f>G38+G52</f>
        <v>1218</v>
      </c>
      <c r="H149" s="460">
        <f>G149+'28'!H149</f>
        <v>34229.069999999949</v>
      </c>
      <c r="I149" s="480"/>
      <c r="J149" s="552">
        <f>H149/DAY(B2)</f>
        <v>1180.3127586206879</v>
      </c>
      <c r="K149" s="381"/>
    </row>
    <row r="150" spans="1:12" ht="27.75">
      <c r="A150" s="1551" t="s">
        <v>257</v>
      </c>
      <c r="B150" s="1552"/>
      <c r="C150" s="1553"/>
      <c r="D150" s="523" t="s">
        <v>24</v>
      </c>
      <c r="E150" s="460"/>
      <c r="F150" s="460"/>
      <c r="G150" s="543">
        <f>G149/G7</f>
        <v>7.2015609294625429E-2</v>
      </c>
      <c r="H150" s="460">
        <f>G150+'28'!H150</f>
        <v>2.1441438341809098</v>
      </c>
      <c r="I150" s="545"/>
      <c r="J150" s="552">
        <f>H150/DAY(B2)</f>
        <v>7.3935994282100334E-2</v>
      </c>
    </row>
    <row r="151" spans="1:12" ht="27.75">
      <c r="A151" s="1551" t="s">
        <v>258</v>
      </c>
      <c r="B151" s="1552"/>
      <c r="C151" s="1553"/>
      <c r="D151" s="523" t="s">
        <v>182</v>
      </c>
      <c r="E151" s="460"/>
      <c r="F151" s="460"/>
      <c r="G151" s="460">
        <f>G36+G50</f>
        <v>866</v>
      </c>
      <c r="H151" s="460">
        <f>G151+'28'!H151</f>
        <v>28647</v>
      </c>
      <c r="I151" s="545"/>
      <c r="J151" s="552">
        <f>H151/DAY(B2)</f>
        <v>987.82758620689651</v>
      </c>
    </row>
    <row r="152" spans="1:12" ht="27.75">
      <c r="A152" s="1551" t="s">
        <v>259</v>
      </c>
      <c r="B152" s="1552"/>
      <c r="C152" s="1553"/>
      <c r="D152" s="523" t="s">
        <v>24</v>
      </c>
      <c r="E152" s="460"/>
      <c r="F152" s="460"/>
      <c r="G152" s="543">
        <f>G151/G7</f>
        <v>5.1203216460710695E-2</v>
      </c>
      <c r="H152" s="460">
        <f>G152+'28'!H152</f>
        <v>1.7875377718267695</v>
      </c>
      <c r="I152" s="480"/>
      <c r="J152" s="552">
        <f>H152/DAY(B2)</f>
        <v>6.1639233511267918E-2</v>
      </c>
    </row>
    <row r="153" spans="1:12" ht="27.75">
      <c r="A153" s="1551" t="s">
        <v>260</v>
      </c>
      <c r="B153" s="1552"/>
      <c r="C153" s="1553"/>
      <c r="D153" s="523" t="s">
        <v>182</v>
      </c>
      <c r="E153" s="460"/>
      <c r="F153" s="460"/>
      <c r="G153" s="460">
        <f>G37+G51</f>
        <v>1353.8699999999953</v>
      </c>
      <c r="H153" s="460">
        <f>G153+'28'!H153</f>
        <v>36448.869999999995</v>
      </c>
      <c r="I153" s="480"/>
      <c r="J153" s="552">
        <f>H153/DAY(B2)</f>
        <v>1256.8575862068965</v>
      </c>
    </row>
    <row r="154" spans="1:12" ht="28.5" thickBot="1">
      <c r="A154" s="1554" t="s">
        <v>261</v>
      </c>
      <c r="B154" s="1555"/>
      <c r="C154" s="1556"/>
      <c r="D154" s="625" t="s">
        <v>24</v>
      </c>
      <c r="E154" s="567"/>
      <c r="F154" s="567"/>
      <c r="G154" s="566">
        <f>G153/G7</f>
        <v>8.0049074676284235E-2</v>
      </c>
      <c r="H154" s="460">
        <f>G154+'28'!H154</f>
        <v>2.2858932156387093</v>
      </c>
      <c r="I154" s="568"/>
      <c r="J154" s="569">
        <f>H154/DAY(B2)</f>
        <v>7.8823903987541702E-2</v>
      </c>
    </row>
    <row r="155" spans="1:12">
      <c r="A155" s="466"/>
      <c r="B155" s="456"/>
      <c r="C155" s="456"/>
      <c r="D155" s="546"/>
      <c r="E155" s="548"/>
      <c r="F155" s="757"/>
      <c r="G155" s="546"/>
      <c r="H155" s="547"/>
      <c r="I155" s="546"/>
      <c r="J155" s="548"/>
    </row>
    <row r="161" spans="1:7">
      <c r="A161" s="797" t="s">
        <v>262</v>
      </c>
      <c r="B161" s="798"/>
      <c r="C161" s="798"/>
      <c r="D161" s="620" t="s">
        <v>186</v>
      </c>
      <c r="E161" s="766">
        <f>'28'!F161</f>
        <v>38185</v>
      </c>
      <c r="F161" s="806">
        <v>38267</v>
      </c>
      <c r="G161" s="473">
        <f t="shared" ref="G161:G164" si="15">F161-E161</f>
        <v>82</v>
      </c>
    </row>
    <row r="162" spans="1:7">
      <c r="A162" s="797" t="s">
        <v>263</v>
      </c>
      <c r="B162" s="798"/>
      <c r="C162" s="798"/>
      <c r="D162" s="620" t="s">
        <v>186</v>
      </c>
      <c r="E162" s="766">
        <f>'28'!F162</f>
        <v>93616</v>
      </c>
      <c r="F162" s="806">
        <v>94011</v>
      </c>
      <c r="G162" s="473">
        <f t="shared" si="15"/>
        <v>395</v>
      </c>
    </row>
    <row r="163" spans="1:7">
      <c r="A163" s="797" t="s">
        <v>264</v>
      </c>
      <c r="B163" s="798"/>
      <c r="C163" s="798"/>
      <c r="D163" s="620" t="s">
        <v>186</v>
      </c>
      <c r="E163" s="766">
        <f>'28'!F163</f>
        <v>44322</v>
      </c>
      <c r="F163" s="806">
        <v>44527</v>
      </c>
      <c r="G163" s="473">
        <f t="shared" si="15"/>
        <v>205</v>
      </c>
    </row>
    <row r="164" spans="1:7">
      <c r="A164" s="797" t="s">
        <v>265</v>
      </c>
      <c r="B164" s="798"/>
      <c r="C164" s="798"/>
      <c r="D164" s="620" t="s">
        <v>186</v>
      </c>
      <c r="E164" s="766">
        <f>'28'!F164</f>
        <v>6542</v>
      </c>
      <c r="F164" s="806">
        <v>6549</v>
      </c>
      <c r="G164" s="473">
        <f t="shared" si="15"/>
        <v>7</v>
      </c>
    </row>
    <row r="165" spans="1:7">
      <c r="A165" s="799" t="s">
        <v>98</v>
      </c>
      <c r="B165" s="800"/>
      <c r="C165" s="800"/>
      <c r="D165" s="620" t="s">
        <v>186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9" t="s">
        <v>187</v>
      </c>
      <c r="B166" s="800"/>
      <c r="C166" s="800"/>
      <c r="D166" s="620" t="s">
        <v>186</v>
      </c>
      <c r="E166" s="514">
        <f t="shared" ref="E166:E172" si="17">E63</f>
        <v>2464</v>
      </c>
      <c r="F166" s="514">
        <f t="shared" ref="F166:F172" si="18">F63</f>
        <v>2468</v>
      </c>
      <c r="G166" s="473">
        <f t="shared" si="16"/>
        <v>4</v>
      </c>
    </row>
    <row r="167" spans="1:7" ht="27.75">
      <c r="A167" s="1596" t="s">
        <v>99</v>
      </c>
      <c r="B167" s="1596"/>
      <c r="C167" s="1596"/>
      <c r="D167" s="524" t="s">
        <v>186</v>
      </c>
      <c r="E167" s="514">
        <f t="shared" si="17"/>
        <v>159360</v>
      </c>
      <c r="F167" s="514">
        <f t="shared" si="18"/>
        <v>159553</v>
      </c>
      <c r="G167" s="473">
        <f t="shared" si="16"/>
        <v>193</v>
      </c>
    </row>
    <row r="168" spans="1:7" ht="27.75">
      <c r="A168" s="1596" t="s">
        <v>100</v>
      </c>
      <c r="B168" s="1596"/>
      <c r="C168" s="1596"/>
      <c r="D168" s="524" t="s">
        <v>186</v>
      </c>
      <c r="E168" s="514">
        <f t="shared" si="17"/>
        <v>160348</v>
      </c>
      <c r="F168" s="514">
        <f t="shared" si="18"/>
        <v>160561</v>
      </c>
      <c r="G168" s="473">
        <f t="shared" si="16"/>
        <v>213</v>
      </c>
    </row>
    <row r="169" spans="1:7" ht="27.75">
      <c r="A169" s="1596" t="s">
        <v>101</v>
      </c>
      <c r="B169" s="1596"/>
      <c r="C169" s="1596"/>
      <c r="D169" s="524" t="s">
        <v>186</v>
      </c>
      <c r="E169" s="514">
        <f t="shared" si="17"/>
        <v>55940</v>
      </c>
      <c r="F169" s="514">
        <f t="shared" si="18"/>
        <v>56221</v>
      </c>
      <c r="G169" s="473">
        <f t="shared" si="16"/>
        <v>281</v>
      </c>
    </row>
    <row r="170" spans="1:7" ht="27.75">
      <c r="A170" s="1596" t="s">
        <v>102</v>
      </c>
      <c r="B170" s="1596"/>
      <c r="C170" s="1596"/>
      <c r="D170" s="524" t="s">
        <v>186</v>
      </c>
      <c r="E170" s="514">
        <f t="shared" si="17"/>
        <v>250705</v>
      </c>
      <c r="F170" s="514">
        <f t="shared" si="18"/>
        <v>251244</v>
      </c>
      <c r="G170" s="473">
        <f t="shared" si="16"/>
        <v>539</v>
      </c>
    </row>
    <row r="171" spans="1:7" ht="27.75">
      <c r="A171" s="1596" t="s">
        <v>103</v>
      </c>
      <c r="B171" s="1596"/>
      <c r="C171" s="1596"/>
      <c r="D171" s="524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96" t="s">
        <v>104</v>
      </c>
      <c r="B172" s="1596"/>
      <c r="C172" s="1596"/>
      <c r="D172" s="524" t="s">
        <v>186</v>
      </c>
      <c r="E172" s="514">
        <f t="shared" si="17"/>
        <v>81418</v>
      </c>
      <c r="F172" s="514">
        <f t="shared" si="18"/>
        <v>81507</v>
      </c>
      <c r="G172" s="473">
        <f t="shared" si="16"/>
        <v>89</v>
      </c>
    </row>
    <row r="173" spans="1:7">
      <c r="A173" s="801"/>
      <c r="B173" s="802"/>
      <c r="C173" s="802"/>
      <c r="D173" s="803"/>
      <c r="E173" s="805"/>
      <c r="F173" s="1033"/>
      <c r="G173" s="805">
        <f>SUM(G161:G172)</f>
        <v>2008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3"/>
  <sheetViews>
    <sheetView view="pageBreakPreview" zoomScale="60" zoomScaleNormal="55" workbookViewId="0">
      <selection activeCell="H8" sqref="H8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342</v>
      </c>
      <c r="B2" s="1115">
        <v>43981</v>
      </c>
      <c r="C2" s="1145" t="s">
        <v>69</v>
      </c>
      <c r="D2" s="611">
        <v>0.62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O2" s="292"/>
    </row>
    <row r="3" spans="1:15" s="281" customFormat="1" ht="27">
      <c r="A3" s="570"/>
      <c r="B3" s="614"/>
      <c r="C3" s="1145" t="s">
        <v>119</v>
      </c>
      <c r="D3" s="612">
        <v>29</v>
      </c>
      <c r="E3" s="1679" t="s">
        <v>120</v>
      </c>
      <c r="F3" s="1679"/>
      <c r="G3" s="462"/>
      <c r="H3" s="463"/>
      <c r="I3" s="463"/>
      <c r="J3" s="615"/>
      <c r="K3" s="371"/>
      <c r="L3" s="292"/>
      <c r="O3" s="1025"/>
    </row>
    <row r="4" spans="1:15" s="281" customFormat="1" ht="27">
      <c r="A4" s="576"/>
      <c r="B4" s="616"/>
      <c r="C4" s="1145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/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680" t="s">
        <v>129</v>
      </c>
      <c r="B6" s="1681"/>
      <c r="C6" s="1681"/>
      <c r="D6" s="471"/>
      <c r="E6" s="471"/>
      <c r="F6" s="471"/>
      <c r="G6" s="471"/>
      <c r="H6" s="472"/>
      <c r="I6" s="472"/>
      <c r="J6" s="551"/>
      <c r="K6" s="427"/>
      <c r="L6" s="377"/>
      <c r="O6" s="1026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'29'!F7</f>
        <v>308857</v>
      </c>
      <c r="F7" s="455">
        <v>326729</v>
      </c>
      <c r="G7" s="776">
        <f>F7-E7</f>
        <v>17872</v>
      </c>
      <c r="H7" s="460">
        <f>G7+'29'!H7</f>
        <v>481752.00000000006</v>
      </c>
      <c r="I7" s="474">
        <f>'1'!I7</f>
        <v>12000</v>
      </c>
      <c r="J7" s="552">
        <f>H7/DAY(B2)</f>
        <v>16058.400000000001</v>
      </c>
      <c r="K7" s="549">
        <v>1375467</v>
      </c>
      <c r="L7" s="377"/>
      <c r="N7" s="440">
        <f>F7-'1'!E7</f>
        <v>-5400704</v>
      </c>
      <c r="O7" s="807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'29'!F8</f>
        <v>310826</v>
      </c>
      <c r="F8" s="455">
        <v>328766</v>
      </c>
      <c r="G8" s="476">
        <f>F8-E8</f>
        <v>17940</v>
      </c>
      <c r="H8" s="460">
        <f>G8+'29'!H8</f>
        <v>484525</v>
      </c>
      <c r="I8" s="477"/>
      <c r="J8" s="552">
        <f>H8/DAY(B2)</f>
        <v>16150.833333333334</v>
      </c>
      <c r="K8" s="549">
        <v>1715917</v>
      </c>
      <c r="L8" s="425">
        <v>1728480</v>
      </c>
      <c r="M8" s="440">
        <f>L8-K8</f>
        <v>12563</v>
      </c>
      <c r="N8" s="440">
        <f>F8-'1'!E8</f>
        <v>-5432478</v>
      </c>
      <c r="O8" s="807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'29'!F9</f>
        <v>1439384</v>
      </c>
      <c r="F9" s="478">
        <v>1456691</v>
      </c>
      <c r="G9" s="473">
        <f t="shared" ref="G9:G12" si="0">F9-E9</f>
        <v>17307</v>
      </c>
      <c r="H9" s="460">
        <f>G9+'29'!H9</f>
        <v>465977</v>
      </c>
      <c r="I9" s="479">
        <f>I7-J7</f>
        <v>-4058.4000000000015</v>
      </c>
      <c r="J9" s="552">
        <f>H9/DAY(B2)</f>
        <v>15532.566666666668</v>
      </c>
      <c r="K9" s="428">
        <f>K8-100</f>
        <v>1715817</v>
      </c>
      <c r="L9" s="377"/>
      <c r="N9" s="440">
        <f>F9-'1'!E9</f>
        <v>465977</v>
      </c>
      <c r="O9" s="807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807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7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7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17307</v>
      </c>
      <c r="H13" s="460">
        <f>G13+'29'!H13</f>
        <v>451456</v>
      </c>
      <c r="I13" s="482">
        <f>G7-G13</f>
        <v>565</v>
      </c>
      <c r="J13" s="552">
        <f>H13/DAY(B2)</f>
        <v>15048.533333333333</v>
      </c>
      <c r="K13" s="428"/>
      <c r="L13" s="377"/>
      <c r="N13" s="440">
        <f>F13-'1'!E13</f>
        <v>0</v>
      </c>
      <c r="O13" s="807"/>
    </row>
    <row r="14" spans="1:15" ht="29.25">
      <c r="A14" s="1682" t="s">
        <v>138</v>
      </c>
      <c r="B14" s="1683"/>
      <c r="C14" s="1683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7"/>
    </row>
    <row r="15" spans="1:15" ht="21.95" customHeight="1">
      <c r="A15" s="1143" t="s">
        <v>139</v>
      </c>
      <c r="B15" s="589"/>
      <c r="C15" s="589"/>
      <c r="D15" s="523" t="s">
        <v>140</v>
      </c>
      <c r="E15" s="455">
        <f>'29'!F15</f>
        <v>1683400</v>
      </c>
      <c r="F15" s="522">
        <v>1683884</v>
      </c>
      <c r="G15" s="776">
        <f>(F15-E15)</f>
        <v>484</v>
      </c>
      <c r="H15" s="460">
        <f>G15+'29'!H15</f>
        <v>13227</v>
      </c>
      <c r="I15" s="474">
        <f>'1'!I15</f>
        <v>800</v>
      </c>
      <c r="J15" s="552">
        <f>H15/DAY(B2)</f>
        <v>440.9</v>
      </c>
      <c r="K15" s="428"/>
      <c r="L15" s="377"/>
      <c r="N15" s="440">
        <f>F15-'1'!E15</f>
        <v>13227</v>
      </c>
      <c r="O15" s="807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359.1</v>
      </c>
      <c r="J16" s="553"/>
      <c r="K16" s="428"/>
      <c r="L16" s="377"/>
      <c r="N16" s="440">
        <f>F16-'1'!E16</f>
        <v>0</v>
      </c>
      <c r="O16" s="807"/>
    </row>
    <row r="17" spans="1:15" ht="29.25">
      <c r="A17" s="1682" t="s">
        <v>141</v>
      </c>
      <c r="B17" s="1683"/>
      <c r="C17" s="1683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7"/>
    </row>
    <row r="18" spans="1:15" ht="27.75">
      <c r="A18" s="1677" t="s">
        <v>142</v>
      </c>
      <c r="B18" s="1678"/>
      <c r="C18" s="1678"/>
      <c r="D18" s="523" t="s">
        <v>143</v>
      </c>
      <c r="E18" s="455">
        <f>'29'!F18</f>
        <v>6</v>
      </c>
      <c r="F18" s="484">
        <v>8</v>
      </c>
      <c r="G18" s="481">
        <f>F18*10</f>
        <v>80</v>
      </c>
      <c r="H18" s="460">
        <f>G18+'29'!H18</f>
        <v>1260</v>
      </c>
      <c r="I18" s="474">
        <f>'1'!I18</f>
        <v>65</v>
      </c>
      <c r="J18" s="552">
        <f>H18/DAY(B2)</f>
        <v>42</v>
      </c>
      <c r="K18" s="428"/>
      <c r="L18" s="377"/>
      <c r="N18" s="440">
        <f>F18-'1'!E18</f>
        <v>2</v>
      </c>
      <c r="O18" s="807"/>
    </row>
    <row r="19" spans="1:15" ht="27.75">
      <c r="A19" s="1677" t="s">
        <v>71</v>
      </c>
      <c r="B19" s="1678"/>
      <c r="C19" s="1678"/>
      <c r="D19" s="523" t="s">
        <v>143</v>
      </c>
      <c r="E19" s="455">
        <f>'29'!F19</f>
        <v>139493</v>
      </c>
      <c r="F19" s="484">
        <v>139551</v>
      </c>
      <c r="G19" s="473">
        <f t="shared" ref="G19" si="1">F19-E19</f>
        <v>58</v>
      </c>
      <c r="H19" s="460">
        <f>G19+'29'!H19</f>
        <v>1739</v>
      </c>
      <c r="I19" s="489"/>
      <c r="J19" s="552">
        <f>H19/DAY(B2)</f>
        <v>57.966666666666669</v>
      </c>
      <c r="K19" s="428"/>
      <c r="L19" s="377"/>
      <c r="N19" s="440">
        <f>F19-'1'!E19</f>
        <v>1739</v>
      </c>
      <c r="O19" s="807"/>
    </row>
    <row r="20" spans="1:15" ht="21.95" customHeight="1">
      <c r="A20" s="585" t="s">
        <v>144</v>
      </c>
      <c r="B20" s="586"/>
      <c r="C20" s="586"/>
      <c r="D20" s="490"/>
      <c r="E20" s="490"/>
      <c r="F20" s="490"/>
      <c r="G20" s="1024">
        <f>G18+G19</f>
        <v>138</v>
      </c>
      <c r="H20" s="460">
        <f>G20+'29'!H20</f>
        <v>2999</v>
      </c>
      <c r="I20" s="492">
        <f>I18-J20</f>
        <v>-34.966666666666669</v>
      </c>
      <c r="J20" s="552">
        <f>H20/DAY(B2)</f>
        <v>99.966666666666669</v>
      </c>
      <c r="K20" s="428"/>
      <c r="L20" s="377"/>
      <c r="N20" s="440">
        <f>F20-'1'!E20</f>
        <v>0</v>
      </c>
      <c r="O20" s="807"/>
    </row>
    <row r="21" spans="1:15" ht="29.25">
      <c r="A21" s="1682" t="s">
        <v>145</v>
      </c>
      <c r="B21" s="1683"/>
      <c r="C21" s="1683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7"/>
    </row>
    <row r="22" spans="1:15" ht="21.95" customHeight="1">
      <c r="A22" s="1143" t="s">
        <v>146</v>
      </c>
      <c r="B22" s="589"/>
      <c r="C22" s="589"/>
      <c r="D22" s="523" t="s">
        <v>147</v>
      </c>
      <c r="E22" s="740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7"/>
    </row>
    <row r="23" spans="1:15" ht="21.95" customHeight="1">
      <c r="A23" s="1143" t="s">
        <v>148</v>
      </c>
      <c r="B23" s="589"/>
      <c r="C23" s="589"/>
      <c r="D23" s="523" t="s">
        <v>147</v>
      </c>
      <c r="E23" s="740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7"/>
    </row>
    <row r="24" spans="1:15" ht="21.95" customHeight="1">
      <c r="A24" s="590" t="s">
        <v>149</v>
      </c>
      <c r="B24" s="591"/>
      <c r="C24" s="591"/>
      <c r="D24" s="511" t="s">
        <v>147</v>
      </c>
      <c r="E24" s="743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7"/>
    </row>
    <row r="25" spans="1:15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7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7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17940</v>
      </c>
      <c r="F27" s="501">
        <v>9</v>
      </c>
      <c r="G27" s="1027">
        <f>E27*F27</f>
        <v>161460</v>
      </c>
      <c r="H27" s="460">
        <f>G27+'29'!H27</f>
        <v>4360725</v>
      </c>
      <c r="I27" s="503"/>
      <c r="J27" s="552">
        <f>H27/DAY(B2)</f>
        <v>145357.5</v>
      </c>
      <c r="K27" s="373"/>
      <c r="L27" s="443"/>
      <c r="N27" s="440"/>
      <c r="O27" s="807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484</v>
      </c>
      <c r="F28" s="501">
        <v>51.45</v>
      </c>
      <c r="G28" s="1027">
        <f>E28*F28</f>
        <v>24901.800000000003</v>
      </c>
      <c r="H28" s="460">
        <f>G28+'29'!H28</f>
        <v>670046.62899999972</v>
      </c>
      <c r="I28" s="505"/>
      <c r="J28" s="552">
        <f>H28/DAY(B2)</f>
        <v>22334.887633333325</v>
      </c>
      <c r="K28" s="373"/>
      <c r="L28" s="443"/>
      <c r="N28" s="440"/>
      <c r="O28" s="807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1027">
        <f>E29*F29</f>
        <v>0</v>
      </c>
      <c r="H29" s="460">
        <f>G29+'29'!H29</f>
        <v>0</v>
      </c>
      <c r="I29" s="505"/>
      <c r="J29" s="552">
        <f>H29/DAY(B2)</f>
        <v>0</v>
      </c>
      <c r="K29" s="373"/>
      <c r="L29" s="443"/>
      <c r="N29" s="440"/>
      <c r="O29" s="807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58</v>
      </c>
      <c r="F30" s="501">
        <v>134</v>
      </c>
      <c r="G30" s="1027">
        <f>E30*F30</f>
        <v>7772</v>
      </c>
      <c r="H30" s="460">
        <f>G30+'29'!H30</f>
        <v>233026</v>
      </c>
      <c r="I30" s="505"/>
      <c r="J30" s="552">
        <f>H30/DAY(B2)</f>
        <v>7767.5333333333338</v>
      </c>
      <c r="K30" s="373"/>
      <c r="L30" s="443"/>
      <c r="N30" s="440"/>
      <c r="O30" s="807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80</v>
      </c>
      <c r="F31" s="501">
        <v>80</v>
      </c>
      <c r="G31" s="1027">
        <f>E31*F31</f>
        <v>6400</v>
      </c>
      <c r="H31" s="460">
        <f>G31+'29'!H31</f>
        <v>100800</v>
      </c>
      <c r="I31" s="505"/>
      <c r="J31" s="552">
        <f>H31/DAY(B2)</f>
        <v>3360</v>
      </c>
      <c r="K31" s="373"/>
      <c r="L31" s="443"/>
      <c r="N31" s="440"/>
      <c r="O31" s="807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200533.8</v>
      </c>
      <c r="H32" s="460">
        <f>G32+'29'!H32</f>
        <v>5364597.6289999997</v>
      </c>
      <c r="I32" s="509"/>
      <c r="J32" s="552">
        <f>H32/DAY(B2)</f>
        <v>178819.92096666666</v>
      </c>
      <c r="K32" s="373"/>
      <c r="L32" s="443"/>
      <c r="N32" s="440"/>
      <c r="O32" s="807"/>
    </row>
    <row r="33" spans="1:15" ht="25.5">
      <c r="A33" s="1687" t="s">
        <v>161</v>
      </c>
      <c r="B33" s="1688"/>
      <c r="C33" s="1688"/>
      <c r="D33" s="1688"/>
      <c r="E33" s="1688"/>
      <c r="F33" s="1688"/>
      <c r="G33" s="1688"/>
      <c r="H33" s="1688"/>
      <c r="I33" s="1688"/>
      <c r="J33" s="1689"/>
      <c r="K33" s="428"/>
      <c r="L33" s="377"/>
      <c r="N33" s="440"/>
      <c r="O33" s="807"/>
    </row>
    <row r="34" spans="1:15" ht="21.95" customHeight="1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7"/>
    </row>
    <row r="35" spans="1:15" ht="21.95" customHeight="1">
      <c r="A35" s="578" t="s">
        <v>163</v>
      </c>
      <c r="B35" s="579"/>
      <c r="C35" s="579"/>
      <c r="D35" s="523" t="s">
        <v>131</v>
      </c>
      <c r="E35" s="455">
        <f>'29'!F35</f>
        <v>945766</v>
      </c>
      <c r="F35" s="510">
        <v>948143</v>
      </c>
      <c r="G35" s="473">
        <f t="shared" ref="G35:G46" si="3">F35-E35</f>
        <v>2377</v>
      </c>
      <c r="H35" s="460">
        <f>G35+'29'!H35</f>
        <v>61684</v>
      </c>
      <c r="I35" s="455"/>
      <c r="J35" s="552">
        <f>H35/DAY(B2)</f>
        <v>2056.1333333333332</v>
      </c>
      <c r="K35" s="428"/>
      <c r="L35" s="377"/>
      <c r="N35" s="440">
        <f>F35-'1'!E35</f>
        <v>61684</v>
      </c>
      <c r="O35" s="807"/>
    </row>
    <row r="36" spans="1:15" ht="21.95" customHeight="1">
      <c r="A36" s="578" t="s">
        <v>164</v>
      </c>
      <c r="B36" s="579"/>
      <c r="C36" s="579"/>
      <c r="D36" s="523" t="s">
        <v>131</v>
      </c>
      <c r="E36" s="455">
        <f>'29'!F36</f>
        <v>347065</v>
      </c>
      <c r="F36" s="510">
        <v>347065</v>
      </c>
      <c r="G36" s="473">
        <f t="shared" si="3"/>
        <v>0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2457</v>
      </c>
      <c r="O36" s="807"/>
    </row>
    <row r="37" spans="1:15" ht="21.95" customHeight="1">
      <c r="A37" s="578" t="s">
        <v>165</v>
      </c>
      <c r="B37" s="579"/>
      <c r="C37" s="579"/>
      <c r="D37" s="523" t="s">
        <v>131</v>
      </c>
      <c r="E37" s="455">
        <f>'29'!F37</f>
        <v>131674</v>
      </c>
      <c r="F37" s="510">
        <v>132976</v>
      </c>
      <c r="G37" s="473">
        <f t="shared" si="3"/>
        <v>1302</v>
      </c>
      <c r="H37" s="460">
        <f>G37+'29'!H37</f>
        <v>37751</v>
      </c>
      <c r="I37" s="455"/>
      <c r="J37" s="552">
        <f>H37/DAY(B2)</f>
        <v>1258.3666666666666</v>
      </c>
      <c r="K37" s="428"/>
      <c r="L37" s="377"/>
      <c r="N37" s="440">
        <f>F37-'1'!E37</f>
        <v>37751</v>
      </c>
      <c r="O37" s="807"/>
    </row>
    <row r="38" spans="1:15" ht="21.95" customHeight="1">
      <c r="A38" s="578" t="s">
        <v>166</v>
      </c>
      <c r="B38" s="579"/>
      <c r="C38" s="579"/>
      <c r="D38" s="523" t="s">
        <v>131</v>
      </c>
      <c r="E38" s="455">
        <f>'29'!F38</f>
        <v>153825</v>
      </c>
      <c r="F38" s="469">
        <v>155156</v>
      </c>
      <c r="G38" s="473">
        <f t="shared" si="3"/>
        <v>1331</v>
      </c>
      <c r="H38" s="460">
        <f>G38+'29'!H38</f>
        <v>35560</v>
      </c>
      <c r="I38" s="455"/>
      <c r="J38" s="552">
        <f>H38/DAY(B2)</f>
        <v>1185.3333333333333</v>
      </c>
      <c r="K38" s="428"/>
      <c r="L38" s="377"/>
      <c r="N38" s="440"/>
      <c r="O38" s="807"/>
    </row>
    <row r="39" spans="1:15" ht="21.95" customHeight="1">
      <c r="A39" s="578" t="s">
        <v>167</v>
      </c>
      <c r="B39" s="579"/>
      <c r="C39" s="579"/>
      <c r="D39" s="523" t="s">
        <v>131</v>
      </c>
      <c r="E39" s="455">
        <f>'29'!F39</f>
        <v>303589</v>
      </c>
      <c r="F39" s="510">
        <v>305998</v>
      </c>
      <c r="G39" s="473">
        <f t="shared" si="3"/>
        <v>2409</v>
      </c>
      <c r="H39" s="460">
        <f>G39+'29'!H39</f>
        <v>59345</v>
      </c>
      <c r="I39" s="455"/>
      <c r="J39" s="552">
        <f>H39/DAY(B2)</f>
        <v>1978.1666666666667</v>
      </c>
      <c r="K39" s="428"/>
      <c r="L39" s="377"/>
      <c r="N39" s="440">
        <f>F39-'1'!E39</f>
        <v>59345</v>
      </c>
      <c r="O39" s="807"/>
    </row>
    <row r="40" spans="1:15" ht="21.95" customHeight="1">
      <c r="A40" s="599" t="s">
        <v>168</v>
      </c>
      <c r="B40" s="600"/>
      <c r="C40" s="600"/>
      <c r="D40" s="523" t="s">
        <v>131</v>
      </c>
      <c r="E40" s="455">
        <f>'29'!F40</f>
        <v>889</v>
      </c>
      <c r="F40" s="510">
        <v>889</v>
      </c>
      <c r="G40" s="473">
        <f t="shared" si="3"/>
        <v>0</v>
      </c>
      <c r="H40" s="460">
        <f>G40+'29'!H40</f>
        <v>888.77</v>
      </c>
      <c r="I40" s="455"/>
      <c r="J40" s="552">
        <f>H40/DAY(B2)</f>
        <v>29.625666666666667</v>
      </c>
      <c r="K40" s="429"/>
      <c r="L40" s="377"/>
      <c r="N40" s="440">
        <f>F40-'1'!E40</f>
        <v>888.77</v>
      </c>
      <c r="O40" s="807"/>
    </row>
    <row r="41" spans="1:15" ht="21.95" customHeight="1">
      <c r="A41" s="578" t="s">
        <v>169</v>
      </c>
      <c r="B41" s="579"/>
      <c r="C41" s="579"/>
      <c r="D41" s="523" t="s">
        <v>131</v>
      </c>
      <c r="E41" s="455">
        <f>'29'!F41</f>
        <v>240478</v>
      </c>
      <c r="F41" s="510">
        <v>240478</v>
      </c>
      <c r="G41" s="473">
        <f t="shared" si="3"/>
        <v>0</v>
      </c>
      <c r="H41" s="460">
        <f>G41+'29'!H41</f>
        <v>58950</v>
      </c>
      <c r="I41" s="455"/>
      <c r="J41" s="552">
        <f>H41/DAY(B2)</f>
        <v>1965</v>
      </c>
      <c r="K41" s="428"/>
      <c r="L41" s="377"/>
      <c r="N41" s="440">
        <f>F41-'1'!E41</f>
        <v>58950</v>
      </c>
      <c r="O41" s="807"/>
    </row>
    <row r="42" spans="1:15" ht="21.95" customHeight="1">
      <c r="A42" s="578" t="s">
        <v>170</v>
      </c>
      <c r="B42" s="579"/>
      <c r="C42" s="579"/>
      <c r="D42" s="523" t="s">
        <v>131</v>
      </c>
      <c r="E42" s="455">
        <f>'29'!F42</f>
        <v>59199</v>
      </c>
      <c r="F42" s="510">
        <v>59199</v>
      </c>
      <c r="G42" s="473">
        <f t="shared" si="3"/>
        <v>0</v>
      </c>
      <c r="H42" s="460">
        <f>G42+'29'!H42</f>
        <v>-1</v>
      </c>
      <c r="I42" s="455"/>
      <c r="J42" s="552">
        <f>H42/DAY(B2)</f>
        <v>-3.3333333333333333E-2</v>
      </c>
      <c r="K42" s="428"/>
      <c r="L42" s="377"/>
      <c r="N42" s="440">
        <f>F42-'1'!E42</f>
        <v>-1</v>
      </c>
      <c r="O42" s="807"/>
    </row>
    <row r="43" spans="1:15" ht="21.95" customHeight="1">
      <c r="A43" s="578" t="s">
        <v>171</v>
      </c>
      <c r="B43" s="579"/>
      <c r="C43" s="579"/>
      <c r="D43" s="523" t="s">
        <v>131</v>
      </c>
      <c r="E43" s="455">
        <f>'29'!F43</f>
        <v>1037660</v>
      </c>
      <c r="F43" s="510">
        <v>1039967</v>
      </c>
      <c r="G43" s="473">
        <f t="shared" si="3"/>
        <v>2307</v>
      </c>
      <c r="H43" s="460">
        <f>G43+'29'!H43</f>
        <v>66009</v>
      </c>
      <c r="I43" s="455"/>
      <c r="J43" s="552">
        <f>H43/DAY(B2)</f>
        <v>2200.3000000000002</v>
      </c>
      <c r="K43" s="428"/>
      <c r="L43" s="377"/>
      <c r="N43" s="440">
        <f>F43-'1'!E43</f>
        <v>66009</v>
      </c>
      <c r="O43" s="807"/>
    </row>
    <row r="44" spans="1:15" ht="21.95" customHeight="1">
      <c r="A44" s="578" t="s">
        <v>172</v>
      </c>
      <c r="B44" s="579"/>
      <c r="C44" s="579"/>
      <c r="D44" s="523" t="s">
        <v>131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7"/>
    </row>
    <row r="45" spans="1:15" ht="21.95" customHeight="1">
      <c r="A45" s="578" t="s">
        <v>173</v>
      </c>
      <c r="B45" s="579"/>
      <c r="C45" s="579"/>
      <c r="D45" s="523" t="s">
        <v>131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0</v>
      </c>
      <c r="O45" s="807"/>
    </row>
    <row r="46" spans="1:15" ht="21.95" customHeight="1">
      <c r="A46" s="578" t="s">
        <v>174</v>
      </c>
      <c r="B46" s="579"/>
      <c r="C46" s="579"/>
      <c r="D46" s="523" t="s">
        <v>131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0</v>
      </c>
      <c r="O46" s="807"/>
    </row>
    <row r="47" spans="1:15" ht="21.95" customHeight="1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9726</v>
      </c>
      <c r="H47" s="460">
        <f>G47+'29'!H47</f>
        <v>323445.20999999996</v>
      </c>
      <c r="I47" s="455"/>
      <c r="J47" s="552">
        <f>H47/DAY(B2)</f>
        <v>10781.507</v>
      </c>
      <c r="K47" s="428"/>
      <c r="L47" s="377"/>
      <c r="N47" s="440">
        <f>F47-'1'!E47</f>
        <v>0</v>
      </c>
      <c r="O47" s="807"/>
    </row>
    <row r="48" spans="1:15" ht="29.25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O48" s="807"/>
    </row>
    <row r="49" spans="1:15" ht="29.25">
      <c r="A49" s="578" t="s">
        <v>163</v>
      </c>
      <c r="B49" s="601"/>
      <c r="C49" s="601"/>
      <c r="D49" s="523" t="s">
        <v>131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</v>
      </c>
      <c r="I49" s="455"/>
      <c r="J49" s="552">
        <f>H49/DAY(B2)</f>
        <v>0</v>
      </c>
      <c r="K49" s="428"/>
      <c r="L49" s="377"/>
      <c r="O49" s="807"/>
    </row>
    <row r="50" spans="1:15" ht="29.25">
      <c r="A50" s="578" t="s">
        <v>177</v>
      </c>
      <c r="B50" s="601"/>
      <c r="C50" s="601"/>
      <c r="D50" s="523" t="s">
        <v>131</v>
      </c>
      <c r="E50" s="455">
        <f>'29'!F50</f>
        <v>500726</v>
      </c>
      <c r="F50" s="510">
        <v>501652</v>
      </c>
      <c r="G50" s="473">
        <f t="shared" si="4"/>
        <v>926</v>
      </c>
      <c r="H50" s="460">
        <f>G50+'29'!H50</f>
        <v>26177</v>
      </c>
      <c r="I50" s="455"/>
      <c r="J50" s="552">
        <f>H50/DAY(B2)</f>
        <v>872.56666666666672</v>
      </c>
      <c r="K50" s="428"/>
      <c r="L50" s="377"/>
      <c r="O50" s="807"/>
    </row>
    <row r="51" spans="1:15" ht="29.25">
      <c r="A51" s="578" t="s">
        <v>165</v>
      </c>
      <c r="B51" s="601"/>
      <c r="C51" s="601"/>
      <c r="D51" s="523" t="s">
        <v>131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7"/>
    </row>
    <row r="52" spans="1:15" ht="29.25">
      <c r="A52" s="578" t="s">
        <v>178</v>
      </c>
      <c r="B52" s="601"/>
      <c r="C52" s="601"/>
      <c r="D52" s="523" t="s">
        <v>131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7"/>
    </row>
    <row r="53" spans="1:15" ht="29.25">
      <c r="A53" s="578" t="s">
        <v>167</v>
      </c>
      <c r="B53" s="601"/>
      <c r="C53" s="601"/>
      <c r="D53" s="523" t="s">
        <v>131</v>
      </c>
      <c r="E53" s="455">
        <f>'29'!F53</f>
        <v>431514</v>
      </c>
      <c r="F53" s="510">
        <v>432059</v>
      </c>
      <c r="G53" s="473">
        <f t="shared" si="4"/>
        <v>545</v>
      </c>
      <c r="H53" s="460">
        <f>G53+'29'!H53</f>
        <v>15249</v>
      </c>
      <c r="I53" s="455"/>
      <c r="J53" s="552">
        <f>H53/DAY(B2)</f>
        <v>508.3</v>
      </c>
      <c r="K53" s="428"/>
      <c r="L53" s="377"/>
      <c r="O53" s="807"/>
    </row>
    <row r="54" spans="1:15" ht="29.25">
      <c r="A54" s="578" t="s">
        <v>179</v>
      </c>
      <c r="B54" s="601"/>
      <c r="C54" s="601"/>
      <c r="D54" s="523" t="s">
        <v>131</v>
      </c>
      <c r="E54" s="455">
        <f>'29'!F54</f>
        <v>13596</v>
      </c>
      <c r="F54" s="510">
        <v>13678</v>
      </c>
      <c r="G54" s="473">
        <f t="shared" si="4"/>
        <v>82</v>
      </c>
      <c r="H54" s="460">
        <f>G54+'29'!H54</f>
        <v>5916</v>
      </c>
      <c r="I54" s="455"/>
      <c r="J54" s="552">
        <f>H54/DAY(B2)</f>
        <v>197.2</v>
      </c>
      <c r="K54" s="428"/>
      <c r="L54" s="377"/>
      <c r="O54" s="807"/>
    </row>
    <row r="55" spans="1:15" ht="29.25">
      <c r="A55" s="578" t="s">
        <v>180</v>
      </c>
      <c r="B55" s="601"/>
      <c r="C55" s="601"/>
      <c r="D55" s="523" t="s">
        <v>131</v>
      </c>
      <c r="E55" s="455">
        <f>'29'!F55</f>
        <v>68111</v>
      </c>
      <c r="F55" s="1059">
        <v>68111</v>
      </c>
      <c r="G55" s="473">
        <f t="shared" si="4"/>
        <v>0</v>
      </c>
      <c r="H55" s="460">
        <f>G55+'29'!H55</f>
        <v>68111</v>
      </c>
      <c r="I55" s="455"/>
      <c r="J55" s="552">
        <f>H55/DAY(B2)</f>
        <v>2270.3666666666668</v>
      </c>
      <c r="K55" s="428"/>
      <c r="L55" s="377"/>
      <c r="O55" s="807"/>
    </row>
    <row r="56" spans="1:15" ht="29.25">
      <c r="A56" s="578" t="s">
        <v>181</v>
      </c>
      <c r="B56" s="601"/>
      <c r="C56" s="601"/>
      <c r="D56" s="523" t="s">
        <v>182</v>
      </c>
      <c r="E56" s="455">
        <f>'29'!F56</f>
        <v>606023</v>
      </c>
      <c r="F56" s="510">
        <v>611596</v>
      </c>
      <c r="G56" s="473">
        <f t="shared" si="4"/>
        <v>5573</v>
      </c>
      <c r="H56" s="460">
        <f>G56+'29'!H56</f>
        <v>22307.640000000014</v>
      </c>
      <c r="I56" s="455"/>
      <c r="J56" s="552">
        <f>H56/DAY(B2)</f>
        <v>743.58800000000042</v>
      </c>
      <c r="K56" s="427"/>
      <c r="L56" s="377"/>
      <c r="O56" s="807"/>
    </row>
    <row r="57" spans="1:15" ht="29.25">
      <c r="A57" s="578" t="s">
        <v>171</v>
      </c>
      <c r="B57" s="601"/>
      <c r="C57" s="601"/>
      <c r="D57" s="523" t="s">
        <v>131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7"/>
    </row>
    <row r="58" spans="1:15" ht="29.25">
      <c r="A58" s="578" t="s">
        <v>183</v>
      </c>
      <c r="B58" s="601"/>
      <c r="C58" s="601"/>
      <c r="D58" s="523" t="s">
        <v>131</v>
      </c>
      <c r="E58" s="455">
        <f>'29'!F58</f>
        <v>49264</v>
      </c>
      <c r="F58" s="510">
        <v>49355</v>
      </c>
      <c r="G58" s="473">
        <f t="shared" si="4"/>
        <v>91</v>
      </c>
      <c r="H58" s="460">
        <f>G58+'29'!H58</f>
        <v>2638</v>
      </c>
      <c r="I58" s="455"/>
      <c r="J58" s="552">
        <f>H58/DAY(B2)</f>
        <v>87.933333333333337</v>
      </c>
      <c r="K58" s="428"/>
      <c r="L58" s="377"/>
      <c r="O58" s="807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7217.0600000000559</v>
      </c>
      <c r="H59" s="460">
        <f>G59+'29'!H59</f>
        <v>140398.64000000001</v>
      </c>
      <c r="I59" s="455">
        <f>G7-G60</f>
        <v>928.93999999994412</v>
      </c>
      <c r="J59" s="552">
        <f>H59/DAY(B2)</f>
        <v>4679.9546666666674</v>
      </c>
      <c r="K59" s="428"/>
      <c r="L59" s="377"/>
      <c r="O59" s="807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16943.060000000056</v>
      </c>
      <c r="H60" s="460">
        <f>G60+'29'!H60</f>
        <v>465427.74000000005</v>
      </c>
      <c r="I60" s="455">
        <f>G13-G60</f>
        <v>363.93999999994412</v>
      </c>
      <c r="J60" s="552">
        <f>H60/DAY(B2)</f>
        <v>15514.258000000002</v>
      </c>
      <c r="K60" s="428"/>
      <c r="L60" s="377"/>
      <c r="O60" s="807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7"/>
    </row>
    <row r="62" spans="1:15" ht="29.25">
      <c r="A62" s="603" t="s">
        <v>98</v>
      </c>
      <c r="B62" s="604"/>
      <c r="C62" s="604"/>
      <c r="D62" s="511" t="s">
        <v>186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0.18199999999706051</v>
      </c>
      <c r="I62" s="515"/>
      <c r="J62" s="552">
        <f>H62/DAY(B2)</f>
        <v>6.066666666568684E-3</v>
      </c>
      <c r="K62" s="428"/>
      <c r="L62" s="377"/>
      <c r="O62" s="807"/>
    </row>
    <row r="63" spans="1:15" ht="29.25">
      <c r="A63" s="603" t="s">
        <v>187</v>
      </c>
      <c r="B63" s="604"/>
      <c r="C63" s="604"/>
      <c r="D63" s="511" t="s">
        <v>186</v>
      </c>
      <c r="E63" s="455">
        <f>'29'!F63</f>
        <v>2468</v>
      </c>
      <c r="F63" s="514">
        <v>2472</v>
      </c>
      <c r="G63" s="473">
        <f t="shared" si="5"/>
        <v>4</v>
      </c>
      <c r="H63" s="460">
        <f>G63+'29'!H63</f>
        <v>113</v>
      </c>
      <c r="I63" s="515"/>
      <c r="J63" s="552">
        <f>H63/DAY(B2)</f>
        <v>3.7666666666666666</v>
      </c>
      <c r="K63" s="428"/>
      <c r="L63" s="377"/>
      <c r="O63" s="807"/>
    </row>
    <row r="64" spans="1:15" ht="27.75">
      <c r="A64" s="1690" t="s">
        <v>99</v>
      </c>
      <c r="B64" s="1526"/>
      <c r="C64" s="1526"/>
      <c r="D64" s="523" t="s">
        <v>186</v>
      </c>
      <c r="E64" s="455">
        <f>'29'!F64</f>
        <v>159553</v>
      </c>
      <c r="F64" s="484">
        <v>159745</v>
      </c>
      <c r="G64" s="473">
        <f t="shared" si="5"/>
        <v>192</v>
      </c>
      <c r="H64" s="460">
        <f>G64+'29'!H64</f>
        <v>6446</v>
      </c>
      <c r="I64" s="480"/>
      <c r="J64" s="552">
        <f>H64/DAY(B2)</f>
        <v>214.86666666666667</v>
      </c>
      <c r="K64" s="428"/>
      <c r="L64" s="377"/>
      <c r="O64" s="807"/>
    </row>
    <row r="65" spans="1:15" ht="27.75">
      <c r="A65" s="1690" t="s">
        <v>100</v>
      </c>
      <c r="B65" s="1526"/>
      <c r="C65" s="1526"/>
      <c r="D65" s="523" t="s">
        <v>186</v>
      </c>
      <c r="E65" s="455">
        <f>'29'!F65</f>
        <v>160561</v>
      </c>
      <c r="F65" s="484">
        <v>160777</v>
      </c>
      <c r="G65" s="473">
        <f t="shared" si="5"/>
        <v>216</v>
      </c>
      <c r="H65" s="460">
        <f>G65+'29'!H65</f>
        <v>6178</v>
      </c>
      <c r="I65" s="489"/>
      <c r="J65" s="552">
        <f>H65/DAY(B2)</f>
        <v>205.93333333333334</v>
      </c>
      <c r="K65" s="428"/>
      <c r="L65" s="377"/>
      <c r="O65" s="807"/>
    </row>
    <row r="66" spans="1:15" ht="27.75">
      <c r="A66" s="1690" t="s">
        <v>101</v>
      </c>
      <c r="B66" s="1526"/>
      <c r="C66" s="1526"/>
      <c r="D66" s="523" t="s">
        <v>186</v>
      </c>
      <c r="E66" s="455">
        <f>'29'!F66</f>
        <v>56221</v>
      </c>
      <c r="F66" s="484">
        <v>56522</v>
      </c>
      <c r="G66" s="473">
        <f t="shared" si="5"/>
        <v>301</v>
      </c>
      <c r="H66" s="460">
        <f>G66+'29'!H66</f>
        <v>7951</v>
      </c>
      <c r="I66" s="480"/>
      <c r="J66" s="552">
        <f>H66/DAY(B2)</f>
        <v>265.03333333333336</v>
      </c>
      <c r="K66" s="428"/>
      <c r="L66" s="377"/>
      <c r="O66" s="807"/>
    </row>
    <row r="67" spans="1:15" ht="27.75">
      <c r="A67" s="1690" t="s">
        <v>102</v>
      </c>
      <c r="B67" s="1526"/>
      <c r="C67" s="1526"/>
      <c r="D67" s="523" t="s">
        <v>186</v>
      </c>
      <c r="E67" s="455">
        <f>'29'!F67</f>
        <v>251244</v>
      </c>
      <c r="F67" s="484">
        <v>251770</v>
      </c>
      <c r="G67" s="473">
        <f t="shared" si="5"/>
        <v>526</v>
      </c>
      <c r="H67" s="460">
        <f>G67+'29'!H67</f>
        <v>8596</v>
      </c>
      <c r="I67" s="489"/>
      <c r="J67" s="552">
        <f>H67/DAY(B2)</f>
        <v>286.53333333333336</v>
      </c>
      <c r="K67" s="429"/>
      <c r="L67" s="377"/>
      <c r="O67" s="807"/>
    </row>
    <row r="68" spans="1:15" ht="27.75">
      <c r="A68" s="1690" t="s">
        <v>103</v>
      </c>
      <c r="B68" s="1526"/>
      <c r="C68" s="1526"/>
      <c r="D68" s="523" t="s">
        <v>186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7"/>
    </row>
    <row r="69" spans="1:15" ht="27.75">
      <c r="A69" s="1690" t="s">
        <v>104</v>
      </c>
      <c r="B69" s="1526"/>
      <c r="C69" s="1526"/>
      <c r="D69" s="523" t="s">
        <v>186</v>
      </c>
      <c r="E69" s="455">
        <f>'29'!F69</f>
        <v>81507</v>
      </c>
      <c r="F69" s="484">
        <v>81645</v>
      </c>
      <c r="G69" s="473">
        <f t="shared" si="5"/>
        <v>138</v>
      </c>
      <c r="H69" s="460">
        <f>G69+'29'!H69</f>
        <v>2651</v>
      </c>
      <c r="I69" s="516"/>
      <c r="J69" s="552">
        <f>H69/DAY(B2)</f>
        <v>88.36666666666666</v>
      </c>
      <c r="K69" s="431"/>
      <c r="L69" s="377"/>
      <c r="O69" s="807"/>
    </row>
    <row r="70" spans="1:15" ht="27.75">
      <c r="A70" s="1691" t="s">
        <v>188</v>
      </c>
      <c r="B70" s="1596"/>
      <c r="C70" s="1596"/>
      <c r="D70" s="523" t="s">
        <v>186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7"/>
    </row>
    <row r="71" spans="1:15" ht="31.5">
      <c r="A71" s="1684" t="s">
        <v>189</v>
      </c>
      <c r="B71" s="1685"/>
      <c r="C71" s="1685"/>
      <c r="D71" s="1685"/>
      <c r="E71" s="1685"/>
      <c r="F71" s="1685"/>
      <c r="G71" s="1685"/>
      <c r="H71" s="1685"/>
      <c r="I71" s="1685"/>
      <c r="J71" s="1686"/>
      <c r="K71" s="430"/>
      <c r="L71" s="377"/>
      <c r="O71" s="807"/>
    </row>
    <row r="72" spans="1:15" ht="27.75">
      <c r="A72" s="1690" t="s">
        <v>190</v>
      </c>
      <c r="B72" s="1526"/>
      <c r="C72" s="1526"/>
      <c r="D72" s="523" t="s">
        <v>186</v>
      </c>
      <c r="E72" s="455">
        <f>'29'!F72</f>
        <v>855817</v>
      </c>
      <c r="F72" s="519">
        <v>855831</v>
      </c>
      <c r="G72" s="473">
        <f t="shared" ref="G72:G84" si="6">F72-E72</f>
        <v>14</v>
      </c>
      <c r="H72" s="460">
        <f>G72+'29'!H72</f>
        <v>359</v>
      </c>
      <c r="I72" s="480"/>
      <c r="J72" s="552">
        <f>H72/DAY(B2)</f>
        <v>11.966666666666667</v>
      </c>
      <c r="K72" s="431"/>
      <c r="L72" s="377"/>
      <c r="O72" s="807"/>
    </row>
    <row r="73" spans="1:15" ht="27.75">
      <c r="A73" s="1690" t="s">
        <v>191</v>
      </c>
      <c r="B73" s="1526"/>
      <c r="C73" s="1526"/>
      <c r="D73" s="523" t="s">
        <v>186</v>
      </c>
      <c r="E73" s="455">
        <f>'29'!F73</f>
        <v>885935</v>
      </c>
      <c r="F73" s="520">
        <v>885936</v>
      </c>
      <c r="G73" s="473">
        <f t="shared" si="6"/>
        <v>1</v>
      </c>
      <c r="H73" s="460">
        <f>G73+'29'!H73</f>
        <v>240</v>
      </c>
      <c r="I73" s="480"/>
      <c r="J73" s="552">
        <f>H73/DAY(B2)</f>
        <v>8</v>
      </c>
      <c r="K73" s="430"/>
      <c r="L73" s="377"/>
      <c r="O73" s="807"/>
    </row>
    <row r="74" spans="1:15" ht="27.75">
      <c r="A74" s="1690" t="s">
        <v>192</v>
      </c>
      <c r="B74" s="1526"/>
      <c r="C74" s="1526"/>
      <c r="D74" s="523" t="s">
        <v>186</v>
      </c>
      <c r="E74" s="455">
        <f>'29'!F74</f>
        <v>2573</v>
      </c>
      <c r="F74" s="521">
        <v>2579</v>
      </c>
      <c r="G74" s="473">
        <f t="shared" si="6"/>
        <v>6</v>
      </c>
      <c r="H74" s="460">
        <f>G74+'29'!H74</f>
        <v>300</v>
      </c>
      <c r="I74" s="480"/>
      <c r="J74" s="552">
        <f>H74/DAY(B2)</f>
        <v>10</v>
      </c>
      <c r="K74" s="431"/>
      <c r="L74" s="377"/>
      <c r="O74" s="807"/>
    </row>
    <row r="75" spans="1:15" ht="27.75">
      <c r="A75" s="1692" t="s">
        <v>193</v>
      </c>
      <c r="B75" s="1693"/>
      <c r="C75" s="1693"/>
      <c r="D75" s="523" t="s">
        <v>186</v>
      </c>
      <c r="E75" s="455">
        <f>'29'!F75</f>
        <v>12561</v>
      </c>
      <c r="F75" s="521">
        <v>12615</v>
      </c>
      <c r="G75" s="473">
        <f t="shared" si="6"/>
        <v>54</v>
      </c>
      <c r="H75" s="460">
        <f>G75+'29'!H75</f>
        <v>1645</v>
      </c>
      <c r="I75" s="480"/>
      <c r="J75" s="552">
        <f>H75/DAY(B2)</f>
        <v>54.833333333333336</v>
      </c>
      <c r="K75" s="430"/>
      <c r="L75" s="377"/>
      <c r="O75" s="807"/>
    </row>
    <row r="76" spans="1:15" ht="27.75">
      <c r="A76" s="1692" t="s">
        <v>194</v>
      </c>
      <c r="B76" s="1693"/>
      <c r="C76" s="1693"/>
      <c r="D76" s="523" t="s">
        <v>186</v>
      </c>
      <c r="E76" s="455">
        <f>'29'!F76</f>
        <v>7308</v>
      </c>
      <c r="F76" s="520">
        <v>7363</v>
      </c>
      <c r="G76" s="473">
        <f t="shared" si="6"/>
        <v>55</v>
      </c>
      <c r="H76" s="460">
        <f>G76+'29'!H76</f>
        <v>1646.0499999999993</v>
      </c>
      <c r="I76" s="505"/>
      <c r="J76" s="552">
        <f>H76/DAY(B2)</f>
        <v>54.868333333333311</v>
      </c>
      <c r="K76" s="430"/>
      <c r="L76" s="377"/>
      <c r="O76" s="807"/>
    </row>
    <row r="77" spans="1:15" ht="27.75">
      <c r="A77" s="1690" t="s">
        <v>195</v>
      </c>
      <c r="B77" s="1526"/>
      <c r="C77" s="1526"/>
      <c r="D77" s="523" t="s">
        <v>186</v>
      </c>
      <c r="E77" s="455">
        <f>'29'!F77</f>
        <v>702750</v>
      </c>
      <c r="F77" s="521">
        <v>702791</v>
      </c>
      <c r="G77" s="473">
        <f t="shared" si="6"/>
        <v>41</v>
      </c>
      <c r="H77" s="460">
        <f>G77+'29'!H77</f>
        <v>1229</v>
      </c>
      <c r="I77" s="505"/>
      <c r="J77" s="552">
        <f>H77/DAY(B2)</f>
        <v>40.966666666666669</v>
      </c>
      <c r="K77" s="430"/>
      <c r="L77" s="377"/>
      <c r="O77" s="807"/>
    </row>
    <row r="78" spans="1:15" ht="27.75">
      <c r="A78" s="1146" t="s">
        <v>196</v>
      </c>
      <c r="B78" s="1119"/>
      <c r="C78" s="1119"/>
      <c r="D78" s="523" t="s">
        <v>186</v>
      </c>
      <c r="E78" s="455">
        <f>'29'!F78</f>
        <v>672760</v>
      </c>
      <c r="F78" s="521">
        <v>672954</v>
      </c>
      <c r="G78" s="473">
        <f t="shared" si="6"/>
        <v>194</v>
      </c>
      <c r="H78" s="460">
        <f>G78+'29'!H78</f>
        <v>2929</v>
      </c>
      <c r="I78" s="505"/>
      <c r="J78" s="552">
        <f>H78/DAY(B2)</f>
        <v>97.63333333333334</v>
      </c>
      <c r="K78" s="430"/>
      <c r="L78" s="377"/>
      <c r="O78" s="807"/>
    </row>
    <row r="79" spans="1:15" ht="27.75">
      <c r="A79" s="1692" t="s">
        <v>92</v>
      </c>
      <c r="B79" s="1693"/>
      <c r="C79" s="1693"/>
      <c r="D79" s="524" t="s">
        <v>186</v>
      </c>
      <c r="E79" s="455">
        <f>'29'!F79</f>
        <v>830691</v>
      </c>
      <c r="F79" s="521">
        <v>830852</v>
      </c>
      <c r="G79" s="473">
        <f t="shared" si="6"/>
        <v>161</v>
      </c>
      <c r="H79" s="460">
        <f>G79+'29'!H79</f>
        <v>3121</v>
      </c>
      <c r="I79" s="505"/>
      <c r="J79" s="552">
        <f>H79/DAY(B2)</f>
        <v>104.03333333333333</v>
      </c>
      <c r="K79" s="430"/>
      <c r="L79" s="377"/>
      <c r="O79" s="807"/>
    </row>
    <row r="80" spans="1:15" ht="27.75">
      <c r="A80" s="1692" t="s">
        <v>197</v>
      </c>
      <c r="B80" s="1693"/>
      <c r="C80" s="1693"/>
      <c r="D80" s="524" t="s">
        <v>186</v>
      </c>
      <c r="E80" s="455">
        <f>'29'!F80</f>
        <v>526918</v>
      </c>
      <c r="F80" s="520">
        <v>527299</v>
      </c>
      <c r="G80" s="473">
        <f t="shared" si="6"/>
        <v>381</v>
      </c>
      <c r="H80" s="460">
        <f>G80+'29'!H80</f>
        <v>7838</v>
      </c>
      <c r="I80" s="505"/>
      <c r="J80" s="552">
        <f>H80/DAY(B2)</f>
        <v>261.26666666666665</v>
      </c>
      <c r="K80" s="430"/>
      <c r="L80" s="377"/>
      <c r="O80" s="807"/>
    </row>
    <row r="81" spans="1:15" ht="27.75">
      <c r="A81" s="1692" t="s">
        <v>198</v>
      </c>
      <c r="B81" s="1693"/>
      <c r="C81" s="1693"/>
      <c r="D81" s="524" t="s">
        <v>186</v>
      </c>
      <c r="E81" s="455">
        <f>'29'!F81</f>
        <v>638711</v>
      </c>
      <c r="F81" s="520">
        <v>638809</v>
      </c>
      <c r="G81" s="473">
        <f t="shared" si="6"/>
        <v>98</v>
      </c>
      <c r="H81" s="460">
        <f>G81+'29'!H81</f>
        <v>2331</v>
      </c>
      <c r="I81" s="505"/>
      <c r="J81" s="552">
        <f>H81/DAY(B2)</f>
        <v>77.7</v>
      </c>
      <c r="K81" s="430"/>
      <c r="L81" s="377"/>
      <c r="O81" s="807"/>
    </row>
    <row r="82" spans="1:15" ht="27.75">
      <c r="A82" s="1692" t="s">
        <v>93</v>
      </c>
      <c r="B82" s="1693"/>
      <c r="C82" s="1693"/>
      <c r="D82" s="485" t="s">
        <v>131</v>
      </c>
      <c r="E82" s="455">
        <f>'29'!F82</f>
        <v>108123</v>
      </c>
      <c r="F82" s="522">
        <v>108146</v>
      </c>
      <c r="G82" s="473">
        <f t="shared" si="6"/>
        <v>23</v>
      </c>
      <c r="H82" s="460">
        <f>G82+'29'!H82</f>
        <v>534</v>
      </c>
      <c r="I82" s="486"/>
      <c r="J82" s="552">
        <f>H82/DAY(B2)</f>
        <v>17.8</v>
      </c>
      <c r="K82" s="430"/>
      <c r="L82" s="377"/>
      <c r="O82" s="807"/>
    </row>
    <row r="83" spans="1:15" ht="27.75">
      <c r="A83" s="1692" t="s">
        <v>199</v>
      </c>
      <c r="B83" s="1693"/>
      <c r="C83" s="1693"/>
      <c r="D83" s="620" t="s">
        <v>131</v>
      </c>
      <c r="E83" s="455">
        <f>'29'!F83</f>
        <v>20089</v>
      </c>
      <c r="F83" s="511">
        <v>20313</v>
      </c>
      <c r="G83" s="473">
        <f t="shared" si="6"/>
        <v>224</v>
      </c>
      <c r="H83" s="460">
        <f>G83+'29'!H83</f>
        <v>5542</v>
      </c>
      <c r="I83" s="481"/>
      <c r="J83" s="552">
        <f>H83/DAY(B2)</f>
        <v>184.73333333333332</v>
      </c>
      <c r="K83" s="429"/>
      <c r="L83" s="377"/>
      <c r="O83" s="807"/>
    </row>
    <row r="84" spans="1:15" ht="29.25">
      <c r="A84" s="1147" t="s">
        <v>200</v>
      </c>
      <c r="B84" s="571"/>
      <c r="C84" s="571"/>
      <c r="D84" s="478" t="s">
        <v>131</v>
      </c>
      <c r="E84" s="455">
        <f>'29'!F84</f>
        <v>498687</v>
      </c>
      <c r="F84" s="523">
        <v>499489</v>
      </c>
      <c r="G84" s="473">
        <f t="shared" si="6"/>
        <v>802</v>
      </c>
      <c r="H84" s="460">
        <f>G84+'29'!H84</f>
        <v>19356</v>
      </c>
      <c r="I84" s="481"/>
      <c r="J84" s="552">
        <f>H84/DAY(B2)</f>
        <v>645.20000000000005</v>
      </c>
      <c r="K84" s="380"/>
      <c r="L84" s="377"/>
      <c r="O84" s="807"/>
    </row>
    <row r="85" spans="1:15" s="379" customFormat="1" ht="21.95" customHeight="1">
      <c r="A85" s="605" t="s">
        <v>201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2054</v>
      </c>
      <c r="H85" s="460">
        <f>G85+'29'!H85</f>
        <v>50579</v>
      </c>
      <c r="I85" s="481"/>
      <c r="J85" s="552">
        <f>H85/DAY(B2)</f>
        <v>1685.9666666666667</v>
      </c>
      <c r="K85" s="380"/>
      <c r="L85" s="378"/>
      <c r="O85" s="807"/>
    </row>
    <row r="86" spans="1:15" s="738" customFormat="1" ht="29.25">
      <c r="A86" s="733" t="s">
        <v>94</v>
      </c>
      <c r="B86" s="734"/>
      <c r="C86" s="734"/>
      <c r="D86" s="735" t="s">
        <v>182</v>
      </c>
      <c r="E86" s="455">
        <f>'29'!F86</f>
        <v>460871</v>
      </c>
      <c r="F86" s="650">
        <v>460907</v>
      </c>
      <c r="G86" s="708">
        <f t="shared" ref="G86:G91" si="7">F86-E86</f>
        <v>36</v>
      </c>
      <c r="H86" s="460">
        <f>G86+'29'!H86</f>
        <v>71</v>
      </c>
      <c r="I86" s="655"/>
      <c r="J86" s="710">
        <f>H86/DAY(B2)</f>
        <v>2.3666666666666667</v>
      </c>
      <c r="K86" s="736"/>
      <c r="L86" s="737"/>
      <c r="O86" s="807"/>
    </row>
    <row r="87" spans="1:15" s="738" customFormat="1" ht="27.75" customHeight="1">
      <c r="A87" s="733" t="s">
        <v>95</v>
      </c>
      <c r="B87" s="734"/>
      <c r="C87" s="734"/>
      <c r="D87" s="735" t="s">
        <v>182</v>
      </c>
      <c r="E87" s="455">
        <f>'29'!F87</f>
        <v>81340</v>
      </c>
      <c r="F87" s="650">
        <v>81352</v>
      </c>
      <c r="G87" s="708">
        <f t="shared" si="7"/>
        <v>12</v>
      </c>
      <c r="H87" s="460">
        <f>G87+'29'!H87</f>
        <v>27</v>
      </c>
      <c r="I87" s="655"/>
      <c r="J87" s="710">
        <f>H87/DAY(B2)</f>
        <v>0.9</v>
      </c>
      <c r="K87" s="736"/>
      <c r="L87" s="737"/>
      <c r="O87" s="807"/>
    </row>
    <row r="88" spans="1:15" s="738" customFormat="1" ht="29.25">
      <c r="A88" s="733" t="s">
        <v>96</v>
      </c>
      <c r="B88" s="734"/>
      <c r="C88" s="734"/>
      <c r="D88" s="735" t="s">
        <v>182</v>
      </c>
      <c r="E88" s="455">
        <f>'29'!F88</f>
        <v>152946</v>
      </c>
      <c r="F88" s="650">
        <v>152970</v>
      </c>
      <c r="G88" s="708">
        <f t="shared" si="7"/>
        <v>24</v>
      </c>
      <c r="H88" s="460">
        <f>G88+'29'!H88</f>
        <v>47</v>
      </c>
      <c r="I88" s="655"/>
      <c r="J88" s="710">
        <f>H88/DAY(B2)</f>
        <v>1.5666666666666667</v>
      </c>
      <c r="K88" s="736"/>
      <c r="L88" s="737"/>
      <c r="O88" s="807"/>
    </row>
    <row r="89" spans="1:15" s="738" customFormat="1" ht="29.25">
      <c r="A89" s="733" t="s">
        <v>203</v>
      </c>
      <c r="B89" s="734"/>
      <c r="C89" s="734"/>
      <c r="D89" s="735" t="s">
        <v>182</v>
      </c>
      <c r="E89" s="455">
        <f>'29'!F89</f>
        <v>65153</v>
      </c>
      <c r="F89" s="650">
        <v>65164</v>
      </c>
      <c r="G89" s="708">
        <f t="shared" si="7"/>
        <v>11</v>
      </c>
      <c r="H89" s="460">
        <f>G89+'29'!H89</f>
        <v>22</v>
      </c>
      <c r="I89" s="655"/>
      <c r="J89" s="710">
        <f>H89/DAY(B2)</f>
        <v>0.73333333333333328</v>
      </c>
      <c r="K89" s="736"/>
      <c r="L89" s="737"/>
      <c r="N89" s="780"/>
      <c r="O89" s="807"/>
    </row>
    <row r="90" spans="1:15" s="738" customFormat="1" ht="29.25">
      <c r="A90" s="733" t="s">
        <v>203</v>
      </c>
      <c r="B90" s="734"/>
      <c r="C90" s="734"/>
      <c r="D90" s="735" t="s">
        <v>182</v>
      </c>
      <c r="E90" s="455">
        <f>'29'!F90</f>
        <v>3274</v>
      </c>
      <c r="F90" s="650">
        <v>3274</v>
      </c>
      <c r="G90" s="708">
        <f t="shared" si="7"/>
        <v>0</v>
      </c>
      <c r="H90" s="460">
        <f>G90+'29'!H90</f>
        <v>0</v>
      </c>
      <c r="I90" s="655"/>
      <c r="J90" s="710">
        <f>H90/DAY(B2)</f>
        <v>0</v>
      </c>
      <c r="K90" s="736"/>
      <c r="L90" s="737"/>
      <c r="N90" s="780"/>
      <c r="O90" s="807"/>
    </row>
    <row r="91" spans="1:15" s="738" customFormat="1" ht="29.25">
      <c r="A91" s="733" t="s">
        <v>361</v>
      </c>
      <c r="B91" s="734"/>
      <c r="C91" s="734"/>
      <c r="D91" s="735"/>
      <c r="E91" s="455">
        <f>'29'!F91</f>
        <v>28014</v>
      </c>
      <c r="F91" s="650">
        <v>28016</v>
      </c>
      <c r="G91" s="708">
        <f t="shared" si="7"/>
        <v>2</v>
      </c>
      <c r="H91" s="708"/>
      <c r="I91" s="655"/>
      <c r="J91" s="710"/>
      <c r="K91" s="736"/>
      <c r="L91" s="737"/>
      <c r="N91" s="780"/>
      <c r="O91" s="382"/>
    </row>
    <row r="92" spans="1:15" s="379" customFormat="1" ht="29.25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O92" s="807"/>
    </row>
    <row r="93" spans="1:15" ht="27.75">
      <c r="A93" s="1677" t="s">
        <v>205</v>
      </c>
      <c r="B93" s="1678"/>
      <c r="C93" s="1678"/>
      <c r="D93" s="523" t="s">
        <v>143</v>
      </c>
      <c r="E93" s="455">
        <f>'29'!F93</f>
        <v>245378</v>
      </c>
      <c r="F93" s="484">
        <v>245378</v>
      </c>
      <c r="G93" s="473">
        <f t="shared" ref="G93:G94" si="8">F93-E93</f>
        <v>0</v>
      </c>
      <c r="H93" s="460">
        <f>G93+'29'!H93</f>
        <v>954</v>
      </c>
      <c r="I93" s="480"/>
      <c r="J93" s="552">
        <f>H93/DAY(B2)</f>
        <v>31.8</v>
      </c>
      <c r="K93" s="429"/>
      <c r="L93" s="377"/>
      <c r="O93" s="807"/>
    </row>
    <row r="94" spans="1:15" ht="27.75">
      <c r="A94" s="1677" t="s">
        <v>206</v>
      </c>
      <c r="B94" s="1678"/>
      <c r="C94" s="1678"/>
      <c r="D94" s="523" t="s">
        <v>143</v>
      </c>
      <c r="E94" s="455">
        <f>'29'!F94</f>
        <v>185930</v>
      </c>
      <c r="F94" s="484">
        <v>186042</v>
      </c>
      <c r="G94" s="473">
        <f t="shared" si="8"/>
        <v>112</v>
      </c>
      <c r="H94" s="460">
        <f>G94+'29'!H94</f>
        <v>2511</v>
      </c>
      <c r="I94" s="480"/>
      <c r="J94" s="552">
        <f>H94/DAY(B2)</f>
        <v>83.7</v>
      </c>
      <c r="K94" s="380"/>
      <c r="L94" s="377"/>
      <c r="O94" s="807"/>
    </row>
    <row r="95" spans="1:15" ht="29.25">
      <c r="A95" s="1694" t="s">
        <v>207</v>
      </c>
      <c r="B95" s="1695"/>
      <c r="C95" s="1695"/>
      <c r="D95" s="523"/>
      <c r="E95" s="455"/>
      <c r="F95" s="484"/>
      <c r="G95" s="473">
        <f>G93+G94</f>
        <v>112</v>
      </c>
      <c r="H95" s="460">
        <f>G95+'29'!H95</f>
        <v>3318</v>
      </c>
      <c r="I95" s="480"/>
      <c r="J95" s="552">
        <f>H95/DAY(B2)</f>
        <v>110.6</v>
      </c>
      <c r="K95" s="380"/>
      <c r="L95" s="377"/>
      <c r="O95" s="807"/>
    </row>
    <row r="96" spans="1:15" ht="27.75">
      <c r="A96" s="1677" t="s">
        <v>208</v>
      </c>
      <c r="B96" s="1678"/>
      <c r="C96" s="1678"/>
      <c r="D96" s="523" t="s">
        <v>143</v>
      </c>
      <c r="E96" s="455">
        <f>'29'!F96</f>
        <v>414191</v>
      </c>
      <c r="F96" s="484">
        <v>414229</v>
      </c>
      <c r="G96" s="473">
        <f t="shared" ref="G96:G100" si="9">F96-E96</f>
        <v>38</v>
      </c>
      <c r="H96" s="460">
        <f>G96+'29'!H96</f>
        <v>1343</v>
      </c>
      <c r="I96" s="480"/>
      <c r="J96" s="552">
        <f>H96/DAY(B2)</f>
        <v>44.766666666666666</v>
      </c>
      <c r="K96" s="380"/>
      <c r="L96" s="377"/>
      <c r="O96" s="807"/>
    </row>
    <row r="97" spans="1:15" ht="27.75">
      <c r="A97" s="1143" t="s">
        <v>209</v>
      </c>
      <c r="B97" s="1144"/>
      <c r="C97" s="1144"/>
      <c r="D97" s="523" t="s">
        <v>143</v>
      </c>
      <c r="E97" s="455">
        <f>'29'!F97</f>
        <v>102623</v>
      </c>
      <c r="F97" s="484">
        <v>102636</v>
      </c>
      <c r="G97" s="473">
        <f t="shared" si="9"/>
        <v>13</v>
      </c>
      <c r="H97" s="460">
        <f>G97+'29'!H97</f>
        <v>293</v>
      </c>
      <c r="I97" s="480"/>
      <c r="J97" s="552">
        <f>H97/DAY(B2)</f>
        <v>9.7666666666666675</v>
      </c>
      <c r="K97" s="427"/>
      <c r="L97" s="377"/>
      <c r="O97" s="807"/>
    </row>
    <row r="98" spans="1:15" ht="27.75">
      <c r="A98" s="1143" t="s">
        <v>210</v>
      </c>
      <c r="B98" s="1144"/>
      <c r="C98" s="1144"/>
      <c r="D98" s="523" t="s">
        <v>143</v>
      </c>
      <c r="E98" s="455">
        <f>'29'!F98</f>
        <v>97897</v>
      </c>
      <c r="F98" s="484">
        <v>97931</v>
      </c>
      <c r="G98" s="473">
        <f t="shared" si="9"/>
        <v>34</v>
      </c>
      <c r="H98" s="460">
        <f>G98+'29'!H98</f>
        <v>504</v>
      </c>
      <c r="I98" s="480"/>
      <c r="J98" s="552">
        <f>H98/DAY(B2)</f>
        <v>16.8</v>
      </c>
      <c r="K98" s="432"/>
      <c r="L98" s="377"/>
      <c r="O98" s="807"/>
    </row>
    <row r="99" spans="1:15" ht="27.75">
      <c r="A99" s="1143" t="s">
        <v>211</v>
      </c>
      <c r="B99" s="1144"/>
      <c r="C99" s="1144"/>
      <c r="D99" s="523" t="s">
        <v>143</v>
      </c>
      <c r="E99" s="455">
        <f>'29'!F99</f>
        <v>149846</v>
      </c>
      <c r="F99" s="484">
        <v>149848</v>
      </c>
      <c r="G99" s="473">
        <f t="shared" si="9"/>
        <v>2</v>
      </c>
      <c r="H99" s="460">
        <f>G99+'29'!H99</f>
        <v>315</v>
      </c>
      <c r="I99" s="480"/>
      <c r="J99" s="552">
        <f>H99/DAY(B2)</f>
        <v>10.5</v>
      </c>
      <c r="K99" s="380"/>
      <c r="L99" s="377"/>
      <c r="O99" s="807"/>
    </row>
    <row r="100" spans="1:15" ht="27.75">
      <c r="A100" s="1143" t="s">
        <v>212</v>
      </c>
      <c r="B100" s="1144"/>
      <c r="C100" s="1144"/>
      <c r="D100" s="523" t="s">
        <v>143</v>
      </c>
      <c r="E100" s="455">
        <f>'29'!F100</f>
        <v>7356</v>
      </c>
      <c r="F100" s="484">
        <v>7363</v>
      </c>
      <c r="G100" s="473">
        <f t="shared" si="9"/>
        <v>7</v>
      </c>
      <c r="H100" s="460">
        <f>G100+'29'!H100</f>
        <v>178</v>
      </c>
      <c r="I100" s="480"/>
      <c r="J100" s="552">
        <f>H100/DAY(B2)</f>
        <v>5.9333333333333336</v>
      </c>
      <c r="K100" s="380"/>
      <c r="L100" s="377"/>
      <c r="O100" s="807"/>
    </row>
    <row r="101" spans="1:15" ht="27.75">
      <c r="A101" s="1143" t="s">
        <v>213</v>
      </c>
      <c r="B101" s="1144"/>
      <c r="C101" s="1144"/>
      <c r="D101" s="523" t="s">
        <v>143</v>
      </c>
      <c r="E101" s="455">
        <f>'29'!F101</f>
        <v>5372</v>
      </c>
      <c r="F101" s="484">
        <v>5383</v>
      </c>
      <c r="G101" s="473">
        <f>F101-E101</f>
        <v>11</v>
      </c>
      <c r="H101" s="460">
        <f>G101+'29'!H101</f>
        <v>245</v>
      </c>
      <c r="I101" s="480"/>
      <c r="J101" s="552">
        <f>H101/DAY(B2)</f>
        <v>8.1666666666666661</v>
      </c>
      <c r="K101" s="380"/>
      <c r="L101" s="377"/>
      <c r="O101" s="807"/>
    </row>
    <row r="102" spans="1:15" ht="29.25">
      <c r="A102" s="1694" t="s">
        <v>215</v>
      </c>
      <c r="B102" s="1695"/>
      <c r="C102" s="1695"/>
      <c r="D102" s="524"/>
      <c r="E102" s="524"/>
      <c r="F102" s="524"/>
      <c r="G102" s="525">
        <f>SUM(G96:G101)</f>
        <v>105</v>
      </c>
      <c r="H102" s="460">
        <f>G102+'29'!H102</f>
        <v>2878</v>
      </c>
      <c r="I102" s="526"/>
      <c r="J102" s="552">
        <f>H102/DAY(B2)</f>
        <v>95.933333333333337</v>
      </c>
      <c r="K102" s="380"/>
      <c r="L102" s="377"/>
      <c r="O102" s="807"/>
    </row>
    <row r="103" spans="1:15" s="442" customFormat="1" ht="27">
      <c r="A103" s="607" t="s">
        <v>216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7"/>
    </row>
    <row r="104" spans="1:15" s="442" customFormat="1" ht="27.75">
      <c r="A104" s="1700" t="s">
        <v>217</v>
      </c>
      <c r="B104" s="1701"/>
      <c r="C104" s="573"/>
      <c r="D104" s="622"/>
      <c r="E104" s="532"/>
      <c r="F104" s="532"/>
      <c r="G104" s="532"/>
      <c r="H104" s="533"/>
      <c r="I104" s="532"/>
      <c r="J104" s="558"/>
      <c r="O104" s="807"/>
    </row>
    <row r="105" spans="1:15" s="442" customFormat="1" ht="27.75">
      <c r="A105" s="1675" t="s">
        <v>218</v>
      </c>
      <c r="B105" s="1676"/>
      <c r="C105" s="1141"/>
      <c r="D105" s="622" t="s">
        <v>143</v>
      </c>
      <c r="E105" s="532">
        <f>'29'!F105</f>
        <v>7484</v>
      </c>
      <c r="F105" s="532">
        <v>7484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7"/>
    </row>
    <row r="106" spans="1:15" s="442" customFormat="1" ht="27.75">
      <c r="A106" s="1675" t="s">
        <v>77</v>
      </c>
      <c r="B106" s="1676"/>
      <c r="C106" s="1141"/>
      <c r="D106" s="622" t="s">
        <v>143</v>
      </c>
      <c r="E106" s="532">
        <f>'29'!F106</f>
        <v>35938</v>
      </c>
      <c r="F106" s="534">
        <v>35938</v>
      </c>
      <c r="G106" s="532">
        <f t="shared" ref="G106:G107" si="10">F106-E106</f>
        <v>0</v>
      </c>
      <c r="H106" s="460">
        <f>G106+'29'!H106</f>
        <v>50</v>
      </c>
      <c r="I106" s="532"/>
      <c r="J106" s="558">
        <f>H106/DAY(B2)</f>
        <v>1.6666666666666667</v>
      </c>
      <c r="O106" s="807"/>
    </row>
    <row r="107" spans="1:15" s="442" customFormat="1" ht="27.75">
      <c r="A107" s="1675" t="s">
        <v>78</v>
      </c>
      <c r="B107" s="1676"/>
      <c r="C107" s="1676"/>
      <c r="D107" s="622" t="s">
        <v>143</v>
      </c>
      <c r="E107" s="532">
        <f>'29'!F107</f>
        <v>19699</v>
      </c>
      <c r="F107" s="532">
        <v>19702</v>
      </c>
      <c r="G107" s="532">
        <f t="shared" si="10"/>
        <v>3</v>
      </c>
      <c r="H107" s="460">
        <f>G107+'29'!H107</f>
        <v>127</v>
      </c>
      <c r="I107" s="532"/>
      <c r="J107" s="558">
        <f>H107/DAY(B2)</f>
        <v>4.2333333333333334</v>
      </c>
      <c r="O107" s="807"/>
    </row>
    <row r="108" spans="1:15" s="442" customFormat="1" ht="27.75">
      <c r="A108" s="1665" t="s">
        <v>201</v>
      </c>
      <c r="B108" s="1666"/>
      <c r="C108" s="1141"/>
      <c r="D108" s="622"/>
      <c r="E108" s="532"/>
      <c r="F108" s="532"/>
      <c r="G108" s="532">
        <f>SUM(G105:G107)</f>
        <v>3</v>
      </c>
      <c r="H108" s="460">
        <f>G108+'29'!H108</f>
        <v>192</v>
      </c>
      <c r="I108" s="532"/>
      <c r="J108" s="558">
        <f>H108/DAY(B2)</f>
        <v>6.4</v>
      </c>
      <c r="O108" s="807"/>
    </row>
    <row r="109" spans="1:15" s="442" customFormat="1" ht="27.75">
      <c r="A109" s="1673" t="s">
        <v>79</v>
      </c>
      <c r="B109" s="1674"/>
      <c r="C109" s="1141"/>
      <c r="D109" s="622" t="s">
        <v>143</v>
      </c>
      <c r="E109" s="532"/>
      <c r="F109" s="532"/>
      <c r="G109" s="532"/>
      <c r="H109" s="533"/>
      <c r="I109" s="532"/>
      <c r="J109" s="558"/>
      <c r="O109" s="807"/>
    </row>
    <row r="110" spans="1:15" s="442" customFormat="1" ht="27.75">
      <c r="A110" s="1675" t="s">
        <v>219</v>
      </c>
      <c r="B110" s="1676"/>
      <c r="C110" s="1141"/>
      <c r="D110" s="622" t="s">
        <v>143</v>
      </c>
      <c r="E110" s="532">
        <f>'29'!F110</f>
        <v>62711</v>
      </c>
      <c r="F110" s="532">
        <v>62770</v>
      </c>
      <c r="G110" s="532">
        <f>F110-E110</f>
        <v>59</v>
      </c>
      <c r="H110" s="460">
        <f>G110+'29'!H110</f>
        <v>206</v>
      </c>
      <c r="I110" s="532"/>
      <c r="J110" s="558">
        <f>H110/DAY(B2)</f>
        <v>6.8666666666666663</v>
      </c>
      <c r="O110" s="807"/>
    </row>
    <row r="111" spans="1:15" s="442" customFormat="1" ht="27.75">
      <c r="A111" s="1675" t="s">
        <v>220</v>
      </c>
      <c r="B111" s="1676"/>
      <c r="C111" s="1141"/>
      <c r="D111" s="622" t="s">
        <v>143</v>
      </c>
      <c r="E111" s="532">
        <f>'29'!F111</f>
        <v>32560</v>
      </c>
      <c r="F111" s="532">
        <v>32578</v>
      </c>
      <c r="G111" s="532">
        <f t="shared" ref="G111:G112" si="11">F111-E111</f>
        <v>18</v>
      </c>
      <c r="H111" s="460">
        <f>G111+'29'!H111</f>
        <v>48</v>
      </c>
      <c r="I111" s="532"/>
      <c r="J111" s="558">
        <f>H111/DAY(B2)</f>
        <v>1.6</v>
      </c>
      <c r="O111" s="807"/>
    </row>
    <row r="112" spans="1:15" s="442" customFormat="1" ht="27.75">
      <c r="A112" s="1675" t="s">
        <v>221</v>
      </c>
      <c r="B112" s="1676"/>
      <c r="C112" s="1141"/>
      <c r="D112" s="622" t="s">
        <v>143</v>
      </c>
      <c r="E112" s="532">
        <f>'29'!F112</f>
        <v>4576</v>
      </c>
      <c r="F112" s="532">
        <v>4576</v>
      </c>
      <c r="G112" s="532">
        <f t="shared" si="11"/>
        <v>0</v>
      </c>
      <c r="H112" s="460">
        <f>G112+'29'!H112</f>
        <v>272</v>
      </c>
      <c r="I112" s="532"/>
      <c r="J112" s="558">
        <f>H112/DAY(B2)</f>
        <v>9.0666666666666664</v>
      </c>
      <c r="O112" s="807"/>
    </row>
    <row r="113" spans="1:15" s="442" customFormat="1" ht="27.75">
      <c r="A113" s="1671" t="s">
        <v>110</v>
      </c>
      <c r="B113" s="1672"/>
      <c r="C113" s="1141"/>
      <c r="D113" s="622"/>
      <c r="E113" s="532"/>
      <c r="F113" s="532"/>
      <c r="G113" s="532">
        <f>SUM(G110:G112)</f>
        <v>77</v>
      </c>
      <c r="H113" s="460">
        <f>G113+'29'!H113</f>
        <v>893</v>
      </c>
      <c r="I113" s="532"/>
      <c r="J113" s="558">
        <f>H113/DAY(B2)</f>
        <v>29.766666666666666</v>
      </c>
      <c r="O113" s="807"/>
    </row>
    <row r="114" spans="1:15" s="442" customFormat="1" ht="27.75">
      <c r="A114" s="1673" t="s">
        <v>222</v>
      </c>
      <c r="B114" s="1674"/>
      <c r="C114" s="1141"/>
      <c r="D114" s="622"/>
      <c r="E114" s="532"/>
      <c r="F114" s="532"/>
      <c r="G114" s="532"/>
      <c r="H114" s="533"/>
      <c r="I114" s="532"/>
      <c r="J114" s="558">
        <f>H114/DAY(B2)</f>
        <v>0</v>
      </c>
      <c r="O114" s="807"/>
    </row>
    <row r="115" spans="1:15" s="442" customFormat="1" ht="27.75">
      <c r="A115" s="1675" t="s">
        <v>223</v>
      </c>
      <c r="B115" s="1676"/>
      <c r="C115" s="574"/>
      <c r="D115" s="622" t="s">
        <v>143</v>
      </c>
      <c r="E115" s="532">
        <f>'29'!F115</f>
        <v>11480</v>
      </c>
      <c r="F115" s="534">
        <v>11489</v>
      </c>
      <c r="G115" s="534">
        <f>F115-E115</f>
        <v>9</v>
      </c>
      <c r="H115" s="460">
        <f>G115+'29'!H115</f>
        <v>16</v>
      </c>
      <c r="I115" s="532"/>
      <c r="J115" s="558">
        <f>H115/DAY(B2)</f>
        <v>0.53333333333333333</v>
      </c>
      <c r="O115" s="807"/>
    </row>
    <row r="116" spans="1:15" s="442" customFormat="1" ht="27.75">
      <c r="A116" s="1675" t="s">
        <v>224</v>
      </c>
      <c r="B116" s="1676"/>
      <c r="C116" s="574"/>
      <c r="D116" s="622" t="s">
        <v>143</v>
      </c>
      <c r="E116" s="532">
        <f>'29'!F116</f>
        <v>8295</v>
      </c>
      <c r="F116" s="534">
        <v>8306</v>
      </c>
      <c r="G116" s="534">
        <f t="shared" ref="G116:G117" si="12">F116-E116</f>
        <v>11</v>
      </c>
      <c r="H116" s="460">
        <f>G116+'29'!H116</f>
        <v>69</v>
      </c>
      <c r="I116" s="532"/>
      <c r="J116" s="558">
        <f>H116/DAY(B2)</f>
        <v>2.2999999999999998</v>
      </c>
      <c r="O116" s="807"/>
    </row>
    <row r="117" spans="1:15" s="442" customFormat="1" ht="27.75">
      <c r="A117" s="1675" t="s">
        <v>225</v>
      </c>
      <c r="B117" s="1676"/>
      <c r="C117" s="574"/>
      <c r="D117" s="622" t="s">
        <v>143</v>
      </c>
      <c r="E117" s="534"/>
      <c r="F117" s="534"/>
      <c r="G117" s="534">
        <f t="shared" si="12"/>
        <v>0</v>
      </c>
      <c r="H117" s="460">
        <f>G117+'29'!H117</f>
        <v>95</v>
      </c>
      <c r="I117" s="532"/>
      <c r="J117" s="558">
        <f>H117/DAY(B2)</f>
        <v>3.1666666666666665</v>
      </c>
      <c r="O117" s="807"/>
    </row>
    <row r="118" spans="1:15" s="445" customFormat="1" ht="27.75">
      <c r="A118" s="1665" t="s">
        <v>201</v>
      </c>
      <c r="B118" s="1666"/>
      <c r="C118" s="574"/>
      <c r="D118" s="623"/>
      <c r="E118" s="534"/>
      <c r="F118" s="534"/>
      <c r="G118" s="534">
        <f>SUM(G115:G117)</f>
        <v>20</v>
      </c>
      <c r="H118" s="460">
        <f>G118+'29'!H118</f>
        <v>105</v>
      </c>
      <c r="I118" s="534"/>
      <c r="J118" s="558">
        <f>H118/DAY(B2)</f>
        <v>3.5</v>
      </c>
      <c r="O118" s="807"/>
    </row>
    <row r="119" spans="1:15" s="446" customFormat="1" ht="27.75">
      <c r="A119" s="1667" t="s">
        <v>226</v>
      </c>
      <c r="B119" s="1668"/>
      <c r="C119" s="1140"/>
      <c r="D119" s="624" t="s">
        <v>143</v>
      </c>
      <c r="E119" s="535"/>
      <c r="F119" s="536"/>
      <c r="G119" s="536">
        <f>SUM(G19+G93)</f>
        <v>58</v>
      </c>
      <c r="H119" s="460">
        <f>G119+'29'!H119</f>
        <v>166</v>
      </c>
      <c r="I119" s="535"/>
      <c r="J119" s="559">
        <f>H119/DAY(B2)</f>
        <v>5.5333333333333332</v>
      </c>
      <c r="O119" s="807"/>
    </row>
    <row r="120" spans="1:15" s="446" customFormat="1" ht="27.75">
      <c r="A120" s="1667" t="s">
        <v>227</v>
      </c>
      <c r="B120" s="1668"/>
      <c r="C120" s="1140"/>
      <c r="D120" s="624" t="s">
        <v>143</v>
      </c>
      <c r="E120" s="535"/>
      <c r="F120" s="536"/>
      <c r="G120" s="536">
        <f>SUM(G96,G97,G98,G100,G101)</f>
        <v>103</v>
      </c>
      <c r="H120" s="460">
        <f>G120+'29'!H120</f>
        <v>215</v>
      </c>
      <c r="I120" s="535"/>
      <c r="J120" s="559">
        <f>H120/DAY(B2)</f>
        <v>7.166666666666667</v>
      </c>
      <c r="O120" s="807"/>
    </row>
    <row r="121" spans="1:15" s="446" customFormat="1" ht="27.75">
      <c r="A121" s="1667" t="s">
        <v>228</v>
      </c>
      <c r="B121" s="1668"/>
      <c r="C121" s="1140"/>
      <c r="D121" s="624" t="s">
        <v>143</v>
      </c>
      <c r="E121" s="535"/>
      <c r="F121" s="534"/>
      <c r="G121" s="534">
        <f>SUM(G113)</f>
        <v>77</v>
      </c>
      <c r="H121" s="460">
        <f>G121+'29'!H121</f>
        <v>184</v>
      </c>
      <c r="I121" s="535"/>
      <c r="J121" s="559">
        <f>H121/DAY(B2)</f>
        <v>6.1333333333333337</v>
      </c>
      <c r="O121" s="807"/>
    </row>
    <row r="122" spans="1:15" s="442" customFormat="1" ht="27.75">
      <c r="A122" s="1669"/>
      <c r="B122" s="1670"/>
      <c r="C122" s="1141"/>
      <c r="D122" s="560"/>
      <c r="E122" s="560"/>
      <c r="F122" s="560"/>
      <c r="G122" s="560"/>
      <c r="H122" s="561"/>
      <c r="I122" s="560"/>
      <c r="J122" s="562"/>
      <c r="O122" s="807"/>
    </row>
    <row r="123" spans="1:15" ht="29.25">
      <c r="A123" s="1696" t="s">
        <v>229</v>
      </c>
      <c r="B123" s="1697"/>
      <c r="C123" s="1697"/>
      <c r="D123" s="472"/>
      <c r="E123" s="472"/>
      <c r="F123" s="472"/>
      <c r="G123" s="483"/>
      <c r="H123" s="483"/>
      <c r="I123" s="483"/>
      <c r="J123" s="563"/>
      <c r="K123" s="380"/>
      <c r="L123" s="377"/>
      <c r="O123" s="807"/>
    </row>
    <row r="124" spans="1:15" ht="21.95" customHeight="1">
      <c r="A124" s="1143" t="s">
        <v>230</v>
      </c>
      <c r="B124" s="1144"/>
      <c r="C124" s="1144"/>
      <c r="D124" s="523" t="s">
        <v>140</v>
      </c>
      <c r="E124" s="455">
        <f>'29'!F124</f>
        <v>831972</v>
      </c>
      <c r="F124" s="478">
        <v>832189</v>
      </c>
      <c r="G124" s="473">
        <f t="shared" ref="G124:G128" si="13">F124-E124</f>
        <v>217</v>
      </c>
      <c r="H124" s="460">
        <f>G124+'29'!H124</f>
        <v>6100.5400000000373</v>
      </c>
      <c r="I124" s="526"/>
      <c r="J124" s="552">
        <f>H124/DAY(B2)</f>
        <v>203.35133333333457</v>
      </c>
      <c r="K124" s="380"/>
      <c r="L124" s="377"/>
      <c r="O124" s="807"/>
    </row>
    <row r="125" spans="1:15" ht="21.95" customHeight="1">
      <c r="A125" s="1143" t="s">
        <v>231</v>
      </c>
      <c r="B125" s="1144"/>
      <c r="C125" s="1144"/>
      <c r="D125" s="523" t="s">
        <v>140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7"/>
    </row>
    <row r="126" spans="1:15" ht="21.95" customHeight="1">
      <c r="A126" s="1690" t="s">
        <v>232</v>
      </c>
      <c r="B126" s="1526"/>
      <c r="C126" s="1526"/>
      <c r="D126" s="523" t="s">
        <v>140</v>
      </c>
      <c r="E126" s="455">
        <f>'29'!F126</f>
        <v>146368</v>
      </c>
      <c r="F126" s="478">
        <v>146433</v>
      </c>
      <c r="G126" s="473">
        <f t="shared" si="13"/>
        <v>65</v>
      </c>
      <c r="H126" s="460">
        <f>G126+'29'!H126</f>
        <v>1745.5599999999977</v>
      </c>
      <c r="I126" s="526"/>
      <c r="J126" s="552">
        <f>H126/DAY(B2)</f>
        <v>58.185333333333254</v>
      </c>
      <c r="K126" s="380"/>
      <c r="L126" s="377"/>
      <c r="O126" s="807"/>
    </row>
    <row r="127" spans="1:15" ht="21.95" customHeight="1">
      <c r="A127" s="609" t="s">
        <v>233</v>
      </c>
      <c r="B127" s="1144"/>
      <c r="C127" s="1144"/>
      <c r="D127" s="523" t="s">
        <v>140</v>
      </c>
      <c r="E127" s="455">
        <f>'29'!F127</f>
        <v>31404</v>
      </c>
      <c r="F127" s="478">
        <v>31404</v>
      </c>
      <c r="G127" s="473">
        <f t="shared" si="13"/>
        <v>0</v>
      </c>
      <c r="H127" s="460">
        <f>G127+'29'!H127</f>
        <v>0</v>
      </c>
      <c r="I127" s="526"/>
      <c r="J127" s="552">
        <f>H127/DAY(B2)</f>
        <v>0</v>
      </c>
      <c r="K127" s="380"/>
      <c r="L127" s="377"/>
      <c r="O127" s="807"/>
    </row>
    <row r="128" spans="1:15" ht="21.95" customHeight="1">
      <c r="A128" s="609" t="s">
        <v>234</v>
      </c>
      <c r="B128" s="1144"/>
      <c r="C128" s="1144"/>
      <c r="D128" s="523" t="s">
        <v>140</v>
      </c>
      <c r="E128" s="455">
        <f>'29'!F128</f>
        <v>8971</v>
      </c>
      <c r="F128" s="478">
        <v>8971</v>
      </c>
      <c r="G128" s="473">
        <f t="shared" si="13"/>
        <v>0</v>
      </c>
      <c r="H128" s="460">
        <f>G128+'29'!H128</f>
        <v>1.2999999999992724</v>
      </c>
      <c r="I128" s="480"/>
      <c r="J128" s="552">
        <f>H128/DAY(B2)</f>
        <v>4.3333333333309083E-2</v>
      </c>
      <c r="K128" s="380"/>
      <c r="L128" s="377"/>
      <c r="O128" s="807"/>
    </row>
    <row r="129" spans="1:15" s="281" customFormat="1" ht="21.75" customHeight="1">
      <c r="A129" s="609" t="s">
        <v>235</v>
      </c>
      <c r="B129" s="1144"/>
      <c r="C129" s="1144"/>
      <c r="D129" s="523"/>
      <c r="E129" s="455"/>
      <c r="F129" s="478"/>
      <c r="G129" s="473">
        <f>G15-SUM(G124:G128)</f>
        <v>201.60000000000582</v>
      </c>
      <c r="H129" s="460"/>
      <c r="I129" s="480"/>
      <c r="J129" s="552"/>
      <c r="K129" s="364"/>
      <c r="L129" s="292"/>
      <c r="O129" s="807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7"/>
    </row>
    <row r="131" spans="1:15" ht="27.75">
      <c r="A131" s="1143" t="s">
        <v>237</v>
      </c>
      <c r="B131" s="1144"/>
      <c r="C131" s="1144"/>
      <c r="D131" s="523" t="s">
        <v>238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7"/>
    </row>
    <row r="132" spans="1:15" ht="27.75">
      <c r="A132" s="1143" t="s">
        <v>239</v>
      </c>
      <c r="B132" s="1144"/>
      <c r="C132" s="1144"/>
      <c r="D132" s="523" t="s">
        <v>238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7"/>
    </row>
    <row r="133" spans="1:15" ht="27.75">
      <c r="A133" s="1143" t="s">
        <v>240</v>
      </c>
      <c r="B133" s="1144"/>
      <c r="C133" s="1144"/>
      <c r="D133" s="523" t="s">
        <v>238</v>
      </c>
      <c r="E133" s="455">
        <f>'29'!F133</f>
        <v>40059</v>
      </c>
      <c r="F133" s="541">
        <v>40059</v>
      </c>
      <c r="G133" s="473">
        <f t="shared" si="14"/>
        <v>0</v>
      </c>
      <c r="H133" s="460">
        <f>G133+'29'!H133</f>
        <v>312.5199999999968</v>
      </c>
      <c r="I133" s="480"/>
      <c r="J133" s="552">
        <f>H133/DAY(B2)</f>
        <v>10.417333333333227</v>
      </c>
      <c r="O133" s="807"/>
    </row>
    <row r="134" spans="1:15" ht="27.75">
      <c r="A134" s="1143" t="s">
        <v>241</v>
      </c>
      <c r="B134" s="1144"/>
      <c r="C134" s="1144"/>
      <c r="D134" s="523" t="s">
        <v>238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0</v>
      </c>
      <c r="J134" s="552">
        <f>H134/DAY(B2)</f>
        <v>0</v>
      </c>
      <c r="O134" s="807"/>
    </row>
    <row r="135" spans="1:15" ht="27.75">
      <c r="A135" s="1143" t="s">
        <v>242</v>
      </c>
      <c r="B135" s="1144"/>
      <c r="C135" s="1144"/>
      <c r="D135" s="523" t="s">
        <v>238</v>
      </c>
      <c r="E135" s="455">
        <f>'29'!F135</f>
        <v>41730</v>
      </c>
      <c r="F135" s="541">
        <v>41730</v>
      </c>
      <c r="G135" s="473">
        <f t="shared" si="14"/>
        <v>0</v>
      </c>
      <c r="H135" s="460">
        <f>G135+'29'!H135</f>
        <v>71.610000000000582</v>
      </c>
      <c r="I135" s="480"/>
      <c r="J135" s="552">
        <f>H135/DAY(B2)</f>
        <v>2.3870000000000196</v>
      </c>
      <c r="O135" s="807"/>
    </row>
    <row r="136" spans="1:15" ht="27.75">
      <c r="A136" s="1143" t="s">
        <v>243</v>
      </c>
      <c r="B136" s="1144"/>
      <c r="C136" s="1144"/>
      <c r="D136" s="523" t="s">
        <v>238</v>
      </c>
      <c r="E136" s="455">
        <f>'29'!F136</f>
        <v>32667.24</v>
      </c>
      <c r="F136" s="541">
        <v>32691.27</v>
      </c>
      <c r="G136" s="473">
        <f t="shared" si="14"/>
        <v>24.029999999998836</v>
      </c>
      <c r="H136" s="460">
        <f>G136+'29'!H136</f>
        <v>121.34000000000015</v>
      </c>
      <c r="I136" s="480"/>
      <c r="J136" s="552">
        <f>H136/DAY(B2)</f>
        <v>4.0446666666666715</v>
      </c>
      <c r="O136" s="807"/>
    </row>
    <row r="137" spans="1:15" ht="27.75">
      <c r="A137" s="1143" t="s">
        <v>244</v>
      </c>
      <c r="B137" s="1144"/>
      <c r="C137" s="1144"/>
      <c r="D137" s="523" t="s">
        <v>238</v>
      </c>
      <c r="E137" s="455">
        <f>'29'!F137</f>
        <v>22799</v>
      </c>
      <c r="F137" s="541">
        <v>22799</v>
      </c>
      <c r="G137" s="473">
        <f t="shared" si="14"/>
        <v>0</v>
      </c>
      <c r="H137" s="460">
        <f>G137+'29'!H137</f>
        <v>59.409999999999854</v>
      </c>
      <c r="I137" s="480">
        <f>G135+G136+G137</f>
        <v>24.029999999998836</v>
      </c>
      <c r="J137" s="552">
        <f>H137/DAY(B2)</f>
        <v>1.9803333333333284</v>
      </c>
      <c r="O137" s="807"/>
    </row>
    <row r="138" spans="1:15" ht="27.75">
      <c r="A138" s="1143" t="s">
        <v>245</v>
      </c>
      <c r="B138" s="1144"/>
      <c r="C138" s="1144"/>
      <c r="D138" s="523" t="s">
        <v>238</v>
      </c>
      <c r="E138" s="455">
        <f>'29'!F138</f>
        <v>25052</v>
      </c>
      <c r="F138" s="541">
        <v>25051.82</v>
      </c>
      <c r="G138" s="473">
        <f t="shared" si="14"/>
        <v>-0.18000000000029104</v>
      </c>
      <c r="H138" s="460">
        <f>G138+'29'!H138</f>
        <v>8.0999999999985448</v>
      </c>
      <c r="I138" s="480"/>
      <c r="J138" s="552">
        <f>H138/DAY(B2)</f>
        <v>0.2699999999999515</v>
      </c>
      <c r="O138" s="807"/>
    </row>
    <row r="139" spans="1:15" ht="27.75">
      <c r="A139" s="1143" t="s">
        <v>246</v>
      </c>
      <c r="B139" s="1144"/>
      <c r="C139" s="1144"/>
      <c r="D139" s="523" t="s">
        <v>238</v>
      </c>
      <c r="E139" s="455">
        <f>'29'!F139</f>
        <v>70402</v>
      </c>
      <c r="F139" s="541">
        <v>70411.740000000005</v>
      </c>
      <c r="G139" s="473">
        <f t="shared" si="14"/>
        <v>9.7400000000052387</v>
      </c>
      <c r="H139" s="460">
        <f>G139+'29'!H139</f>
        <v>47.639999999999418</v>
      </c>
      <c r="I139" s="480">
        <f>G138+G139</f>
        <v>9.5600000000049477</v>
      </c>
      <c r="J139" s="552">
        <f>H139/DAY(B2)</f>
        <v>1.5879999999999805</v>
      </c>
      <c r="O139" s="807"/>
    </row>
    <row r="140" spans="1:15" ht="27.75">
      <c r="A140" s="1143" t="s">
        <v>247</v>
      </c>
      <c r="B140" s="1144"/>
      <c r="C140" s="1144"/>
      <c r="D140" s="523" t="s">
        <v>238</v>
      </c>
      <c r="E140" s="455">
        <f>'29'!F140</f>
        <v>1839.44</v>
      </c>
      <c r="F140" s="484">
        <v>1847.53</v>
      </c>
      <c r="G140" s="473">
        <f t="shared" si="14"/>
        <v>8.0899999999999181</v>
      </c>
      <c r="H140" s="460">
        <f>G140+'29'!H140</f>
        <v>230.67000000000007</v>
      </c>
      <c r="I140" s="542"/>
      <c r="J140" s="552">
        <f>H140/DAY(B2)</f>
        <v>7.6890000000000027</v>
      </c>
      <c r="O140" s="807"/>
    </row>
    <row r="141" spans="1:15" ht="27.75">
      <c r="A141" s="1143" t="s">
        <v>248</v>
      </c>
      <c r="B141" s="1144"/>
      <c r="C141" s="1144"/>
      <c r="D141" s="523" t="s">
        <v>238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7"/>
    </row>
    <row r="142" spans="1:15" ht="21.95" customHeight="1">
      <c r="A142" s="1698" t="s">
        <v>249</v>
      </c>
      <c r="B142" s="1699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O142" s="807"/>
    </row>
    <row r="143" spans="1:15" ht="21.95" customHeight="1">
      <c r="A143" s="1677" t="s">
        <v>250</v>
      </c>
      <c r="B143" s="1678"/>
      <c r="C143" s="1678"/>
      <c r="D143" s="523" t="s">
        <v>131</v>
      </c>
      <c r="E143" s="523"/>
      <c r="F143" s="523"/>
      <c r="G143" s="460">
        <f>G35+G43+G49+G57</f>
        <v>4684</v>
      </c>
      <c r="H143" s="460">
        <f>G143+'29'!H143</f>
        <v>127404</v>
      </c>
      <c r="I143" s="480"/>
      <c r="J143" s="552">
        <f>H143/DAY(B2)</f>
        <v>4246.8</v>
      </c>
      <c r="K143" s="380"/>
      <c r="L143" s="377"/>
      <c r="O143" s="807"/>
    </row>
    <row r="144" spans="1:15" ht="21.95" customHeight="1">
      <c r="A144" s="1677" t="s">
        <v>251</v>
      </c>
      <c r="B144" s="1678"/>
      <c r="C144" s="1678"/>
      <c r="D144" s="523" t="s">
        <v>24</v>
      </c>
      <c r="E144" s="511"/>
      <c r="F144" s="511"/>
      <c r="G144" s="543">
        <f>G143/G7</f>
        <v>0.26208594449418082</v>
      </c>
      <c r="H144" s="460">
        <f>G144+'29'!H144</f>
        <v>7.9368189932090161</v>
      </c>
      <c r="I144" s="544"/>
      <c r="J144" s="552">
        <f>H144/DAY(B2)</f>
        <v>0.2645606331069672</v>
      </c>
      <c r="K144" s="380"/>
      <c r="L144" s="377"/>
      <c r="O144" s="807"/>
    </row>
    <row r="145" spans="1:15" ht="21.95" customHeight="1">
      <c r="A145" s="1677" t="s">
        <v>252</v>
      </c>
      <c r="B145" s="1678"/>
      <c r="C145" s="1678"/>
      <c r="D145" s="523" t="s">
        <v>131</v>
      </c>
      <c r="E145" s="455"/>
      <c r="F145" s="455"/>
      <c r="G145" s="460">
        <f>G41+G42+G55+G56</f>
        <v>5573</v>
      </c>
      <c r="H145" s="460">
        <f>G145+'29'!H145</f>
        <v>149367.53000000003</v>
      </c>
      <c r="I145" s="480"/>
      <c r="J145" s="552">
        <f>H145/DAY(B2)</f>
        <v>4978.9176666666672</v>
      </c>
      <c r="K145" s="380"/>
      <c r="L145" s="377"/>
      <c r="O145" s="807"/>
    </row>
    <row r="146" spans="1:15" ht="21.95" customHeight="1">
      <c r="A146" s="1677" t="s">
        <v>253</v>
      </c>
      <c r="B146" s="1678"/>
      <c r="C146" s="1678"/>
      <c r="D146" s="523" t="s">
        <v>24</v>
      </c>
      <c r="E146" s="455"/>
      <c r="F146" s="455"/>
      <c r="G146" s="543">
        <f>G145/G7</f>
        <v>0.31182855863921216</v>
      </c>
      <c r="H146" s="460">
        <f>G146+'29'!H146</f>
        <v>9.3158529838118991</v>
      </c>
      <c r="I146" s="544"/>
      <c r="J146" s="552">
        <f>H146/DAY(B2)</f>
        <v>0.31052843279372999</v>
      </c>
      <c r="K146" s="380"/>
      <c r="L146" s="377"/>
      <c r="O146" s="807"/>
    </row>
    <row r="147" spans="1:15" ht="21.95" customHeight="1">
      <c r="A147" s="1677" t="s">
        <v>254</v>
      </c>
      <c r="B147" s="1678"/>
      <c r="C147" s="1678"/>
      <c r="D147" s="523" t="s">
        <v>131</v>
      </c>
      <c r="E147" s="455"/>
      <c r="F147" s="455"/>
      <c r="G147" s="460">
        <f>G39+G53</f>
        <v>2954</v>
      </c>
      <c r="H147" s="460">
        <f>G147+'29'!H147</f>
        <v>75117</v>
      </c>
      <c r="I147" s="545"/>
      <c r="J147" s="552">
        <f>H147/DAY(B2)</f>
        <v>2503.9</v>
      </c>
      <c r="K147" s="380"/>
      <c r="L147" s="377"/>
      <c r="O147" s="807"/>
    </row>
    <row r="148" spans="1:15" ht="21.95" customHeight="1">
      <c r="A148" s="1677" t="s">
        <v>255</v>
      </c>
      <c r="B148" s="1678"/>
      <c r="C148" s="1678"/>
      <c r="D148" s="523" t="s">
        <v>24</v>
      </c>
      <c r="E148" s="455"/>
      <c r="F148" s="455"/>
      <c r="G148" s="543">
        <f>G147/G7</f>
        <v>0.16528648164726947</v>
      </c>
      <c r="H148" s="460">
        <f>G148+'29'!H148</f>
        <v>4.6791869682868841</v>
      </c>
      <c r="I148" s="545"/>
      <c r="J148" s="552">
        <f>H148/DAY(B2)</f>
        <v>0.15597289894289615</v>
      </c>
      <c r="O148" s="807"/>
    </row>
    <row r="149" spans="1:15" ht="21.95" customHeight="1">
      <c r="A149" s="1677" t="s">
        <v>256</v>
      </c>
      <c r="B149" s="1678"/>
      <c r="C149" s="1678"/>
      <c r="D149" s="523" t="s">
        <v>182</v>
      </c>
      <c r="E149" s="455"/>
      <c r="F149" s="455"/>
      <c r="G149" s="460">
        <f>G38+G52</f>
        <v>1330.9300000000512</v>
      </c>
      <c r="H149" s="460">
        <f>G149+'29'!H149</f>
        <v>35560</v>
      </c>
      <c r="I149" s="480"/>
      <c r="J149" s="552">
        <f>H149/DAY(B2)</f>
        <v>1185.3333333333333</v>
      </c>
      <c r="K149" s="381"/>
      <c r="O149" s="807"/>
    </row>
    <row r="150" spans="1:15" ht="21.95" customHeight="1">
      <c r="A150" s="1677" t="s">
        <v>257</v>
      </c>
      <c r="B150" s="1678"/>
      <c r="C150" s="1678"/>
      <c r="D150" s="523" t="s">
        <v>24</v>
      </c>
      <c r="E150" s="455"/>
      <c r="F150" s="455"/>
      <c r="G150" s="543">
        <f>G149/G7</f>
        <v>7.4470120859447805E-2</v>
      </c>
      <c r="H150" s="460">
        <f>G150+'29'!H150</f>
        <v>2.2186139550403574</v>
      </c>
      <c r="I150" s="545"/>
      <c r="J150" s="552">
        <f>H150/DAY(B2)</f>
        <v>7.3953798501345244E-2</v>
      </c>
      <c r="O150" s="807"/>
    </row>
    <row r="151" spans="1:15" ht="21.95" customHeight="1">
      <c r="A151" s="1677" t="s">
        <v>258</v>
      </c>
      <c r="B151" s="1678"/>
      <c r="C151" s="1678"/>
      <c r="D151" s="523" t="s">
        <v>182</v>
      </c>
      <c r="E151" s="455"/>
      <c r="F151" s="455"/>
      <c r="G151" s="460">
        <f>G36+G50</f>
        <v>926</v>
      </c>
      <c r="H151" s="460">
        <f>G151+'29'!H151</f>
        <v>29573</v>
      </c>
      <c r="I151" s="545"/>
      <c r="J151" s="552">
        <f>H151/DAY(B2)</f>
        <v>985.76666666666665</v>
      </c>
      <c r="O151" s="807"/>
    </row>
    <row r="152" spans="1:15" ht="21.95" customHeight="1">
      <c r="A152" s="1677" t="s">
        <v>259</v>
      </c>
      <c r="B152" s="1678"/>
      <c r="C152" s="1678"/>
      <c r="D152" s="523" t="s">
        <v>24</v>
      </c>
      <c r="E152" s="455"/>
      <c r="F152" s="455"/>
      <c r="G152" s="543">
        <f>G151/G7</f>
        <v>5.1812891674127129E-2</v>
      </c>
      <c r="H152" s="460">
        <f>G152+'29'!H152</f>
        <v>1.8393506635008967</v>
      </c>
      <c r="I152" s="480"/>
      <c r="J152" s="552">
        <f>H152/DAY(B2)</f>
        <v>6.1311688783363225E-2</v>
      </c>
      <c r="O152" s="807"/>
    </row>
    <row r="153" spans="1:15" ht="27.75">
      <c r="A153" s="1677" t="s">
        <v>260</v>
      </c>
      <c r="B153" s="1678"/>
      <c r="C153" s="1678"/>
      <c r="D153" s="523" t="s">
        <v>182</v>
      </c>
      <c r="E153" s="455"/>
      <c r="F153" s="455"/>
      <c r="G153" s="460">
        <f>G37+G51</f>
        <v>1302.1300000000047</v>
      </c>
      <c r="H153" s="460">
        <f>G153+'29'!H153</f>
        <v>37751</v>
      </c>
      <c r="I153" s="480"/>
      <c r="J153" s="552">
        <f>H153/DAY(B2)</f>
        <v>1258.3666666666666</v>
      </c>
      <c r="O153" s="807"/>
    </row>
    <row r="154" spans="1:15" ht="28.5" thickBot="1">
      <c r="A154" s="1702" t="s">
        <v>261</v>
      </c>
      <c r="B154" s="1703"/>
      <c r="C154" s="1703"/>
      <c r="D154" s="625" t="s">
        <v>24</v>
      </c>
      <c r="E154" s="565"/>
      <c r="F154" s="565"/>
      <c r="G154" s="566">
        <f>G153/G7</f>
        <v>7.2858661593554419E-2</v>
      </c>
      <c r="H154" s="567">
        <f>G154+'29'!H154</f>
        <v>2.3587518772322635</v>
      </c>
      <c r="I154" s="568"/>
      <c r="J154" s="569">
        <f>H154/DAY(B2)</f>
        <v>7.862506257440878E-2</v>
      </c>
      <c r="O154" s="807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7" t="s">
        <v>262</v>
      </c>
      <c r="B161" s="788"/>
      <c r="C161" s="788"/>
      <c r="D161" s="511" t="s">
        <v>186</v>
      </c>
      <c r="E161" s="455">
        <f>'29'!F161</f>
        <v>38267</v>
      </c>
      <c r="F161" s="661">
        <v>38350</v>
      </c>
      <c r="G161" s="473">
        <f t="shared" ref="G161:G164" si="15">F161-E161</f>
        <v>83</v>
      </c>
    </row>
    <row r="162" spans="1:7" ht="21.95" customHeight="1">
      <c r="A162" s="787" t="s">
        <v>263</v>
      </c>
      <c r="B162" s="788"/>
      <c r="C162" s="788"/>
      <c r="D162" s="511" t="s">
        <v>186</v>
      </c>
      <c r="E162" s="455">
        <f>'29'!F162</f>
        <v>94011</v>
      </c>
      <c r="F162" s="661">
        <v>94392</v>
      </c>
      <c r="G162" s="473">
        <f t="shared" si="15"/>
        <v>381</v>
      </c>
    </row>
    <row r="163" spans="1:7" ht="21.95" customHeight="1">
      <c r="A163" s="787" t="s">
        <v>264</v>
      </c>
      <c r="B163" s="788"/>
      <c r="C163" s="788"/>
      <c r="D163" s="511" t="s">
        <v>186</v>
      </c>
      <c r="E163" s="455">
        <f>'29'!F163</f>
        <v>44527</v>
      </c>
      <c r="F163" s="661">
        <v>44727</v>
      </c>
      <c r="G163" s="473">
        <f t="shared" si="15"/>
        <v>200</v>
      </c>
    </row>
    <row r="164" spans="1:7" ht="21.95" customHeight="1">
      <c r="A164" s="787" t="s">
        <v>265</v>
      </c>
      <c r="B164" s="788"/>
      <c r="C164" s="788"/>
      <c r="D164" s="511" t="s">
        <v>186</v>
      </c>
      <c r="E164" s="455">
        <f>'29'!F164</f>
        <v>6549</v>
      </c>
      <c r="F164" s="661">
        <v>6554</v>
      </c>
      <c r="G164" s="473">
        <f t="shared" si="15"/>
        <v>5</v>
      </c>
    </row>
    <row r="165" spans="1:7" ht="21.95" customHeight="1">
      <c r="A165" s="789" t="s">
        <v>98</v>
      </c>
      <c r="B165" s="604"/>
      <c r="C165" s="604"/>
      <c r="D165" s="511" t="s">
        <v>186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9" t="s">
        <v>187</v>
      </c>
      <c r="B166" s="604"/>
      <c r="C166" s="604"/>
      <c r="D166" s="511" t="s">
        <v>186</v>
      </c>
      <c r="E166" s="455">
        <f>'29'!F166</f>
        <v>2468</v>
      </c>
      <c r="F166" s="514">
        <v>2472</v>
      </c>
      <c r="G166" s="473">
        <f t="shared" si="16"/>
        <v>4</v>
      </c>
    </row>
    <row r="167" spans="1:7" ht="21.95" customHeight="1">
      <c r="A167" s="1526" t="s">
        <v>99</v>
      </c>
      <c r="B167" s="1526"/>
      <c r="C167" s="1526"/>
      <c r="D167" s="523" t="s">
        <v>186</v>
      </c>
      <c r="E167" s="455">
        <f>'29'!F167</f>
        <v>159553</v>
      </c>
      <c r="F167" s="514">
        <v>159745</v>
      </c>
      <c r="G167" s="473">
        <f t="shared" si="16"/>
        <v>192</v>
      </c>
    </row>
    <row r="168" spans="1:7" ht="21.95" customHeight="1">
      <c r="A168" s="1526" t="s">
        <v>100</v>
      </c>
      <c r="B168" s="1526"/>
      <c r="C168" s="1526"/>
      <c r="D168" s="523" t="s">
        <v>186</v>
      </c>
      <c r="E168" s="455">
        <f>'29'!F168</f>
        <v>160561</v>
      </c>
      <c r="F168" s="514">
        <f t="shared" ref="F168:F172" si="17">F65</f>
        <v>160777</v>
      </c>
      <c r="G168" s="473">
        <f t="shared" si="16"/>
        <v>216</v>
      </c>
    </row>
    <row r="169" spans="1:7" ht="21.95" customHeight="1">
      <c r="A169" s="1526" t="s">
        <v>101</v>
      </c>
      <c r="B169" s="1526"/>
      <c r="C169" s="1526"/>
      <c r="D169" s="523" t="s">
        <v>186</v>
      </c>
      <c r="E169" s="455">
        <f>'29'!F169</f>
        <v>56221</v>
      </c>
      <c r="F169" s="514">
        <f t="shared" si="17"/>
        <v>56522</v>
      </c>
      <c r="G169" s="473">
        <f t="shared" si="16"/>
        <v>301</v>
      </c>
    </row>
    <row r="170" spans="1:7" ht="21.95" customHeight="1">
      <c r="A170" s="1526" t="s">
        <v>102</v>
      </c>
      <c r="B170" s="1526"/>
      <c r="C170" s="1526"/>
      <c r="D170" s="523" t="s">
        <v>186</v>
      </c>
      <c r="E170" s="455">
        <f>'29'!F170</f>
        <v>251244</v>
      </c>
      <c r="F170" s="514">
        <f t="shared" si="17"/>
        <v>251770</v>
      </c>
      <c r="G170" s="473">
        <f t="shared" si="16"/>
        <v>526</v>
      </c>
    </row>
    <row r="171" spans="1:7" ht="21.95" customHeight="1">
      <c r="A171" s="1526" t="s">
        <v>103</v>
      </c>
      <c r="B171" s="1526"/>
      <c r="C171" s="1526"/>
      <c r="D171" s="523" t="s">
        <v>186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26" t="s">
        <v>104</v>
      </c>
      <c r="B172" s="1526"/>
      <c r="C172" s="1526"/>
      <c r="D172" s="523" t="s">
        <v>186</v>
      </c>
      <c r="E172" s="455">
        <f>'29'!F172</f>
        <v>81507</v>
      </c>
      <c r="F172" s="514">
        <f t="shared" si="17"/>
        <v>81645</v>
      </c>
      <c r="G172" s="473">
        <f t="shared" si="16"/>
        <v>138</v>
      </c>
    </row>
    <row r="173" spans="1:7" ht="21.95" customHeight="1">
      <c r="G173" s="538">
        <f>SUM(G161:G172)</f>
        <v>2046</v>
      </c>
    </row>
  </sheetData>
  <mergeCells count="74">
    <mergeCell ref="A154:C154"/>
    <mergeCell ref="A148:C148"/>
    <mergeCell ref="A149:C149"/>
    <mergeCell ref="A150:C150"/>
    <mergeCell ref="A151:C151"/>
    <mergeCell ref="A152:C152"/>
    <mergeCell ref="A153:C15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topLeftCell="C1" zoomScale="55" zoomScaleNormal="75" zoomScaleSheetLayoutView="55" workbookViewId="0">
      <selection activeCell="F9" sqref="F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9" t="s">
        <v>116</v>
      </c>
      <c r="B1" s="1560"/>
      <c r="C1" s="1560"/>
      <c r="D1" s="1560"/>
      <c r="E1" s="1560"/>
      <c r="F1" s="1560"/>
      <c r="G1" s="1560"/>
      <c r="H1" s="1560"/>
      <c r="I1" s="1560"/>
      <c r="J1" s="1561"/>
    </row>
    <row r="2" spans="1:15" s="281" customFormat="1" ht="27">
      <c r="A2" s="575" t="s">
        <v>341</v>
      </c>
      <c r="B2" s="1115">
        <v>44347</v>
      </c>
      <c r="C2" s="1145" t="s">
        <v>69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5" t="s">
        <v>119</v>
      </c>
      <c r="D3" s="612">
        <v>30</v>
      </c>
      <c r="E3" s="1568" t="s">
        <v>120</v>
      </c>
      <c r="F3" s="156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562" t="s">
        <v>129</v>
      </c>
      <c r="B6" s="1563"/>
      <c r="C6" s="1564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'30'!F7</f>
        <v>326729</v>
      </c>
      <c r="F7" s="455">
        <v>344412</v>
      </c>
      <c r="G7" s="473">
        <f>F7-E7</f>
        <v>17683</v>
      </c>
      <c r="H7" s="460">
        <f>G7+'30'!H7</f>
        <v>499435.00000000006</v>
      </c>
      <c r="I7" s="474">
        <f>'1'!I7</f>
        <v>12000</v>
      </c>
      <c r="J7" s="552">
        <f>H7/DAY(B2)</f>
        <v>16110.806451612905</v>
      </c>
      <c r="K7" s="549">
        <v>1375467</v>
      </c>
      <c r="L7" s="377"/>
      <c r="N7" s="440">
        <f>F7-'1'!E7</f>
        <v>-5383021</v>
      </c>
      <c r="O7" s="382">
        <f>F7-'1'!E7</f>
        <v>-5383021</v>
      </c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'30'!F8</f>
        <v>328766</v>
      </c>
      <c r="F8" s="455">
        <v>346510</v>
      </c>
      <c r="G8" s="476">
        <f>F8-E8</f>
        <v>17744</v>
      </c>
      <c r="H8" s="460">
        <f>G8+'30'!H8</f>
        <v>502269</v>
      </c>
      <c r="I8" s="477"/>
      <c r="J8" s="552">
        <f>H8/DAY(B2)</f>
        <v>16202.225806451614</v>
      </c>
      <c r="K8" s="549">
        <v>1715917</v>
      </c>
      <c r="L8" s="425">
        <v>1728480</v>
      </c>
      <c r="M8" s="440">
        <f>L8-K8</f>
        <v>12563</v>
      </c>
      <c r="N8" s="440">
        <f>F8-'1'!E8</f>
        <v>-5414734</v>
      </c>
      <c r="O8" s="382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'30'!F9</f>
        <v>1456691</v>
      </c>
      <c r="F9" s="478">
        <v>1473690</v>
      </c>
      <c r="G9" s="473">
        <f>F9-E9</f>
        <v>16999</v>
      </c>
      <c r="H9" s="460">
        <f>G9+'30'!H9</f>
        <v>482976</v>
      </c>
      <c r="I9" s="479">
        <f>I7-J7</f>
        <v>-4110.8064516129052</v>
      </c>
      <c r="J9" s="552">
        <f>H9/DAY(B2)</f>
        <v>15579.870967741936</v>
      </c>
      <c r="K9" s="428">
        <f>K8-100</f>
        <v>1715817</v>
      </c>
      <c r="L9" s="377"/>
      <c r="N9" s="440">
        <f>F9-'1'!E9</f>
        <v>482976</v>
      </c>
      <c r="O9" s="382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382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16999</v>
      </c>
      <c r="H13" s="460">
        <f>G13+'30'!H13</f>
        <v>468455</v>
      </c>
      <c r="I13" s="482">
        <f>G7-G13</f>
        <v>684</v>
      </c>
      <c r="J13" s="552">
        <f>H13/DAY(B2)</f>
        <v>15111.451612903225</v>
      </c>
      <c r="K13" s="428"/>
      <c r="L13" s="377"/>
      <c r="N13" s="440">
        <f>F13-'1'!E13</f>
        <v>0</v>
      </c>
      <c r="O13" s="382"/>
    </row>
    <row r="14" spans="1:15" ht="29.25">
      <c r="A14" s="1565" t="s">
        <v>138</v>
      </c>
      <c r="B14" s="1566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3" t="s">
        <v>139</v>
      </c>
      <c r="B15" s="589"/>
      <c r="C15" s="589"/>
      <c r="D15" s="523" t="s">
        <v>140</v>
      </c>
      <c r="E15" s="522">
        <v>1683884</v>
      </c>
      <c r="F15" s="484">
        <v>1684524</v>
      </c>
      <c r="G15" s="473">
        <f>(F15-E15)</f>
        <v>640</v>
      </c>
      <c r="H15" s="460">
        <f>G15+'30'!H15</f>
        <v>13867</v>
      </c>
      <c r="I15" s="474">
        <f>'1'!I15</f>
        <v>800</v>
      </c>
      <c r="J15" s="552">
        <f>H15/DAY(B2)</f>
        <v>447.32258064516128</v>
      </c>
      <c r="K15" s="428"/>
      <c r="L15" s="377"/>
      <c r="N15" s="440">
        <f>F15-'1'!E15</f>
        <v>13867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352.67741935483872</v>
      </c>
      <c r="J16" s="553"/>
      <c r="K16" s="428"/>
      <c r="L16" s="377"/>
      <c r="N16" s="440">
        <f>F16-'1'!E16</f>
        <v>0</v>
      </c>
      <c r="O16" s="382"/>
    </row>
    <row r="17" spans="1:15" ht="29.25">
      <c r="A17" s="1565" t="s">
        <v>141</v>
      </c>
      <c r="B17" s="1566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51" t="s">
        <v>142</v>
      </c>
      <c r="B18" s="1552"/>
      <c r="C18" s="1553"/>
      <c r="D18" s="523" t="s">
        <v>143</v>
      </c>
      <c r="E18" s="455">
        <f>'30'!F18</f>
        <v>8</v>
      </c>
      <c r="F18" s="484">
        <v>6</v>
      </c>
      <c r="G18" s="481">
        <f>F18*10</f>
        <v>60</v>
      </c>
      <c r="H18" s="460">
        <f>G18+'30'!H18</f>
        <v>1320</v>
      </c>
      <c r="I18" s="474">
        <f>'1'!I18</f>
        <v>65</v>
      </c>
      <c r="J18" s="552">
        <f>H18/DAY(B2)</f>
        <v>42.58064516129032</v>
      </c>
      <c r="K18" s="428"/>
      <c r="L18" s="377"/>
      <c r="N18" s="440">
        <f>F18-'1'!E18</f>
        <v>0</v>
      </c>
      <c r="O18" s="382"/>
    </row>
    <row r="19" spans="1:15" ht="27.75">
      <c r="A19" s="1551" t="s">
        <v>71</v>
      </c>
      <c r="B19" s="1552"/>
      <c r="C19" s="1553"/>
      <c r="D19" s="523" t="s">
        <v>143</v>
      </c>
      <c r="E19" s="455">
        <f>'30'!F19</f>
        <v>139551</v>
      </c>
      <c r="F19" s="484">
        <v>139612</v>
      </c>
      <c r="G19" s="473">
        <f t="shared" ref="G19" si="1">F19-E19</f>
        <v>61</v>
      </c>
      <c r="H19" s="460">
        <f>G19+'30'!H19</f>
        <v>1800</v>
      </c>
      <c r="I19" s="489"/>
      <c r="J19" s="552">
        <f>H19/DAY(B2)</f>
        <v>58.064516129032256</v>
      </c>
      <c r="K19" s="428"/>
      <c r="L19" s="377"/>
      <c r="N19" s="440">
        <f>F19-'1'!E19</f>
        <v>1800</v>
      </c>
      <c r="O19" s="382"/>
    </row>
    <row r="20" spans="1:15" ht="29.25">
      <c r="A20" s="585" t="s">
        <v>144</v>
      </c>
      <c r="B20" s="586"/>
      <c r="C20" s="586"/>
      <c r="D20" s="490"/>
      <c r="E20" s="490"/>
      <c r="F20" s="490"/>
      <c r="G20" s="491">
        <f>G18+G19</f>
        <v>121</v>
      </c>
      <c r="H20" s="460">
        <f>G20+'30'!H20</f>
        <v>3120</v>
      </c>
      <c r="I20" s="492">
        <f>I18-J20</f>
        <v>-35.645161290322577</v>
      </c>
      <c r="J20" s="552">
        <f>H20/DAY(B2)</f>
        <v>100.64516129032258</v>
      </c>
      <c r="K20" s="428"/>
      <c r="L20" s="377"/>
      <c r="N20" s="440">
        <f>F20-'1'!E20</f>
        <v>0</v>
      </c>
      <c r="O20" s="382"/>
    </row>
    <row r="21" spans="1:15" ht="29.25">
      <c r="A21" s="1565" t="s">
        <v>145</v>
      </c>
      <c r="B21" s="1566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3" t="s">
        <v>146</v>
      </c>
      <c r="B22" s="589"/>
      <c r="C22" s="589"/>
      <c r="D22" s="523" t="s">
        <v>147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43" t="s">
        <v>148</v>
      </c>
      <c r="B23" s="589"/>
      <c r="C23" s="589"/>
      <c r="D23" s="523" t="s">
        <v>147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149</v>
      </c>
      <c r="B24" s="591"/>
      <c r="C24" s="591"/>
      <c r="D24" s="511" t="s">
        <v>147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70" t="s">
        <v>150</v>
      </c>
      <c r="B25" s="1571"/>
      <c r="C25" s="1572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17744</v>
      </c>
      <c r="F27" s="501">
        <v>9</v>
      </c>
      <c r="G27" s="502">
        <f>E27*F27</f>
        <v>159696</v>
      </c>
      <c r="H27" s="460">
        <f>G27+'30'!H27</f>
        <v>4520421</v>
      </c>
      <c r="I27" s="503"/>
      <c r="J27" s="552">
        <f>H27/DAY(B2)</f>
        <v>145820.03225806452</v>
      </c>
      <c r="K27" s="373"/>
      <c r="L27" s="443"/>
      <c r="N27" s="440">
        <f>F27-'1'!E27</f>
        <v>-16044</v>
      </c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640</v>
      </c>
      <c r="F28" s="501">
        <v>51.45</v>
      </c>
      <c r="G28" s="502">
        <f>E28*F28</f>
        <v>32928</v>
      </c>
      <c r="H28" s="460">
        <f>G28+'30'!H28</f>
        <v>702974.62899999972</v>
      </c>
      <c r="I28" s="505"/>
      <c r="J28" s="552">
        <f>H28/DAY(B2)</f>
        <v>22676.600935483861</v>
      </c>
      <c r="K28" s="373"/>
      <c r="L28" s="443"/>
      <c r="N28" s="440">
        <f>F28-'1'!E28</f>
        <v>-282.55</v>
      </c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0</v>
      </c>
      <c r="I29" s="505"/>
      <c r="J29" s="552">
        <f>H29/DAY(B2)</f>
        <v>0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61</v>
      </c>
      <c r="F30" s="501">
        <v>134</v>
      </c>
      <c r="G30" s="502">
        <f>E30*F30</f>
        <v>8174</v>
      </c>
      <c r="H30" s="460">
        <f>G30+'30'!H30</f>
        <v>241200</v>
      </c>
      <c r="I30" s="505"/>
      <c r="J30" s="552">
        <f>H30/DAY(B2)</f>
        <v>7780.6451612903229</v>
      </c>
      <c r="K30" s="373"/>
      <c r="L30" s="443"/>
      <c r="N30" s="440">
        <f>F30-'1'!E30</f>
        <v>78</v>
      </c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105600</v>
      </c>
      <c r="I31" s="505"/>
      <c r="J31" s="552">
        <f>H31/DAY(B2)</f>
        <v>3406.4516129032259</v>
      </c>
      <c r="K31" s="373"/>
      <c r="L31" s="443"/>
      <c r="N31" s="440">
        <f>F31-'1'!E31</f>
        <v>0</v>
      </c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205598</v>
      </c>
      <c r="H32" s="460">
        <f>G32+'30'!H32</f>
        <v>5570195.6289999997</v>
      </c>
      <c r="I32" s="509"/>
      <c r="J32" s="552">
        <f>H32/DAY(B2)</f>
        <v>179683.72996774194</v>
      </c>
      <c r="K32" s="373"/>
      <c r="L32" s="443"/>
      <c r="N32" s="440">
        <f>F32-'1'!E32</f>
        <v>0</v>
      </c>
      <c r="O32" s="382"/>
    </row>
    <row r="33" spans="1:15" ht="25.5" customHeight="1">
      <c r="A33" s="1573" t="s">
        <v>161</v>
      </c>
      <c r="B33" s="1574"/>
      <c r="C33" s="1574"/>
      <c r="D33" s="1574"/>
      <c r="E33" s="1574"/>
      <c r="F33" s="1574"/>
      <c r="G33" s="1574"/>
      <c r="H33" s="1574"/>
      <c r="I33" s="1574"/>
      <c r="J33" s="1575"/>
      <c r="K33" s="428"/>
      <c r="L33" s="377"/>
      <c r="N33" s="440">
        <f>F33-'1'!E33</f>
        <v>0</v>
      </c>
      <c r="O33" s="382"/>
    </row>
    <row r="34" spans="1:15" ht="29.25">
      <c r="A34" s="598" t="s">
        <v>162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163</v>
      </c>
      <c r="B35" s="579"/>
      <c r="C35" s="579"/>
      <c r="D35" s="523" t="s">
        <v>131</v>
      </c>
      <c r="E35" s="455">
        <f>'30'!F35</f>
        <v>948143</v>
      </c>
      <c r="F35" s="510">
        <v>950488</v>
      </c>
      <c r="G35" s="473">
        <f t="shared" ref="G35:G46" si="3">F35-E35</f>
        <v>2345</v>
      </c>
      <c r="H35" s="460">
        <f>G35+'30'!H35</f>
        <v>64029</v>
      </c>
      <c r="I35" s="455"/>
      <c r="J35" s="552">
        <f>H35/DAY(B2)</f>
        <v>2065.4516129032259</v>
      </c>
      <c r="K35" s="428"/>
      <c r="L35" s="377"/>
      <c r="N35" s="440">
        <f>F35-'1'!E35</f>
        <v>64029</v>
      </c>
      <c r="O35" s="382"/>
    </row>
    <row r="36" spans="1:15" ht="29.25">
      <c r="A36" s="578" t="s">
        <v>164</v>
      </c>
      <c r="B36" s="579"/>
      <c r="C36" s="579"/>
      <c r="D36" s="523" t="s">
        <v>131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-344435</v>
      </c>
      <c r="O36" s="628"/>
    </row>
    <row r="37" spans="1:15" ht="29.25">
      <c r="A37" s="578" t="s">
        <v>165</v>
      </c>
      <c r="B37" s="579"/>
      <c r="C37" s="579"/>
      <c r="D37" s="523" t="s">
        <v>131</v>
      </c>
      <c r="E37" s="455">
        <f>'30'!F37</f>
        <v>132976</v>
      </c>
      <c r="F37" s="510">
        <v>134236</v>
      </c>
      <c r="G37" s="473">
        <f t="shared" si="3"/>
        <v>1260</v>
      </c>
      <c r="H37" s="460">
        <f>G37+'30'!H37</f>
        <v>39011</v>
      </c>
      <c r="I37" s="455"/>
      <c r="J37" s="552">
        <f>H37/DAY(B2)</f>
        <v>1258.4193548387098</v>
      </c>
      <c r="K37" s="428"/>
      <c r="L37" s="377"/>
      <c r="N37" s="440">
        <f>F37-'1'!E37</f>
        <v>39011</v>
      </c>
      <c r="O37" s="629"/>
    </row>
    <row r="38" spans="1:15" ht="29.25">
      <c r="A38" s="578" t="s">
        <v>166</v>
      </c>
      <c r="B38" s="579"/>
      <c r="C38" s="579"/>
      <c r="D38" s="523" t="s">
        <v>131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36809</v>
      </c>
      <c r="I38" s="455"/>
      <c r="J38" s="552">
        <f>H38/DAY(B2)</f>
        <v>1187.3870967741937</v>
      </c>
      <c r="K38" s="428"/>
      <c r="L38" s="377"/>
      <c r="N38" s="440">
        <f>F38-'1'!E38</f>
        <v>36809</v>
      </c>
      <c r="O38" s="382"/>
    </row>
    <row r="39" spans="1:15" ht="29.25">
      <c r="A39" s="578" t="s">
        <v>167</v>
      </c>
      <c r="B39" s="579"/>
      <c r="C39" s="579"/>
      <c r="D39" s="523" t="s">
        <v>131</v>
      </c>
      <c r="E39" s="455">
        <f>'30'!F39</f>
        <v>305998</v>
      </c>
      <c r="F39" s="510">
        <v>308173</v>
      </c>
      <c r="G39" s="473">
        <f t="shared" si="3"/>
        <v>2175</v>
      </c>
      <c r="H39" s="460">
        <f>G39+'30'!H39</f>
        <v>61520</v>
      </c>
      <c r="I39" s="455"/>
      <c r="J39" s="552">
        <f>H39/DAY(B2)</f>
        <v>1984.516129032258</v>
      </c>
      <c r="K39" s="428"/>
      <c r="L39" s="377"/>
      <c r="N39" s="440">
        <f>F39-'1'!E39</f>
        <v>61520</v>
      </c>
      <c r="O39" s="382"/>
    </row>
    <row r="40" spans="1:15" ht="29.25">
      <c r="A40" s="599" t="s">
        <v>168</v>
      </c>
      <c r="B40" s="600"/>
      <c r="C40" s="600"/>
      <c r="D40" s="523" t="s">
        <v>131</v>
      </c>
      <c r="E40" s="455">
        <f>'30'!F40</f>
        <v>889</v>
      </c>
      <c r="F40" s="510">
        <v>889</v>
      </c>
      <c r="G40" s="473">
        <f t="shared" si="3"/>
        <v>0</v>
      </c>
      <c r="H40" s="460">
        <f>G40+'30'!H40</f>
        <v>888.77</v>
      </c>
      <c r="I40" s="455"/>
      <c r="J40" s="552">
        <f>H40/DAY(B2)</f>
        <v>28.669999999999998</v>
      </c>
      <c r="K40" s="429"/>
      <c r="L40" s="377"/>
      <c r="N40" s="440">
        <f>F40-'1'!E40</f>
        <v>888.77</v>
      </c>
      <c r="O40" s="382"/>
    </row>
    <row r="41" spans="1:15" ht="29.25">
      <c r="A41" s="578" t="s">
        <v>169</v>
      </c>
      <c r="B41" s="579"/>
      <c r="C41" s="579"/>
      <c r="D41" s="523" t="s">
        <v>131</v>
      </c>
      <c r="E41" s="455">
        <f>'30'!F41</f>
        <v>240478</v>
      </c>
      <c r="F41" s="510">
        <v>240478</v>
      </c>
      <c r="G41" s="473">
        <f t="shared" si="3"/>
        <v>0</v>
      </c>
      <c r="H41" s="460">
        <f>G41+'30'!H41</f>
        <v>58950</v>
      </c>
      <c r="I41" s="455"/>
      <c r="J41" s="552">
        <f>H41/DAY(B2)</f>
        <v>1901.6129032258063</v>
      </c>
      <c r="K41" s="428"/>
      <c r="L41" s="377"/>
      <c r="N41" s="440">
        <f>F41-'1'!E41</f>
        <v>58950</v>
      </c>
      <c r="O41" s="382"/>
    </row>
    <row r="42" spans="1:15" ht="29.25">
      <c r="A42" s="578" t="s">
        <v>170</v>
      </c>
      <c r="B42" s="579"/>
      <c r="C42" s="579"/>
      <c r="D42" s="523" t="s">
        <v>131</v>
      </c>
      <c r="E42" s="455">
        <f>'30'!F42</f>
        <v>59199</v>
      </c>
      <c r="F42" s="510">
        <v>59200</v>
      </c>
      <c r="G42" s="473">
        <f t="shared" si="3"/>
        <v>1</v>
      </c>
      <c r="H42" s="460">
        <f>G42+'30'!H42</f>
        <v>0</v>
      </c>
      <c r="I42" s="455"/>
      <c r="J42" s="552">
        <f>H42/DAY(B2)</f>
        <v>0</v>
      </c>
      <c r="K42" s="428"/>
      <c r="L42" s="377"/>
      <c r="N42" s="440">
        <f>H42-'1'!E42</f>
        <v>-59200</v>
      </c>
      <c r="O42" s="382"/>
    </row>
    <row r="43" spans="1:15" ht="29.25">
      <c r="A43" s="578" t="s">
        <v>171</v>
      </c>
      <c r="B43" s="579"/>
      <c r="C43" s="579"/>
      <c r="D43" s="523" t="s">
        <v>131</v>
      </c>
      <c r="E43" s="455">
        <f>'30'!F43</f>
        <v>1039967</v>
      </c>
      <c r="F43" s="510">
        <v>1042244</v>
      </c>
      <c r="G43" s="473">
        <f t="shared" si="3"/>
        <v>2277</v>
      </c>
      <c r="H43" s="460">
        <f>G43+'30'!H43</f>
        <v>68286</v>
      </c>
      <c r="I43" s="455"/>
      <c r="J43" s="552">
        <f>H43/DAY(B2)</f>
        <v>2202.7741935483873</v>
      </c>
      <c r="K43" s="428"/>
      <c r="L43" s="377"/>
      <c r="N43" s="440">
        <f>H43-'1'!E43</f>
        <v>-905672</v>
      </c>
      <c r="O43" s="382"/>
    </row>
    <row r="44" spans="1:15" ht="29.25">
      <c r="A44" s="578" t="s">
        <v>172</v>
      </c>
      <c r="B44" s="579"/>
      <c r="C44" s="579"/>
      <c r="D44" s="523" t="s">
        <v>131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173</v>
      </c>
      <c r="B45" s="579"/>
      <c r="C45" s="579"/>
      <c r="D45" s="523" t="s">
        <v>131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>
      <c r="A46" s="578" t="s">
        <v>174</v>
      </c>
      <c r="B46" s="579"/>
      <c r="C46" s="579"/>
      <c r="D46" s="523" t="s">
        <v>131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9480</v>
      </c>
      <c r="H47" s="460">
        <f>G47+'30'!H47</f>
        <v>332925.20999999996</v>
      </c>
      <c r="I47" s="455"/>
      <c r="J47" s="552">
        <f>H47/DAY(B2)</f>
        <v>10739.522903225805</v>
      </c>
      <c r="K47" s="428"/>
      <c r="L47" s="377"/>
      <c r="N47" s="440">
        <f>H47-'1'!E47</f>
        <v>332925.20999999996</v>
      </c>
      <c r="O47" s="382"/>
    </row>
    <row r="48" spans="1:15" ht="29.25">
      <c r="A48" s="598" t="s">
        <v>176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163</v>
      </c>
      <c r="B49" s="601"/>
      <c r="C49" s="601"/>
      <c r="D49" s="523" t="s">
        <v>131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-0.13000000000465661</v>
      </c>
      <c r="I49" s="455"/>
      <c r="J49" s="552">
        <f>H49/DAY(B2)</f>
        <v>-4.1935483872469871E-3</v>
      </c>
      <c r="K49" s="428"/>
      <c r="L49" s="377"/>
      <c r="N49" s="440">
        <f>H49-'1'!E49</f>
        <v>-260732.26</v>
      </c>
      <c r="O49" s="382"/>
    </row>
    <row r="50" spans="1:15" ht="29.25">
      <c r="A50" s="578" t="s">
        <v>177</v>
      </c>
      <c r="B50" s="601"/>
      <c r="C50" s="601"/>
      <c r="D50" s="523" t="s">
        <v>131</v>
      </c>
      <c r="E50" s="455">
        <f>'30'!F50</f>
        <v>501652</v>
      </c>
      <c r="F50" s="510">
        <v>502536</v>
      </c>
      <c r="G50" s="473">
        <f t="shared" si="4"/>
        <v>884</v>
      </c>
      <c r="H50" s="460">
        <f>G50+'30'!H50</f>
        <v>27061</v>
      </c>
      <c r="I50" s="455"/>
      <c r="J50" s="552">
        <f>H50/DAY(B2)</f>
        <v>872.93548387096769</v>
      </c>
      <c r="K50" s="428"/>
      <c r="L50" s="377"/>
      <c r="N50" s="440">
        <f>H50-'1'!E50</f>
        <v>-447475</v>
      </c>
      <c r="O50" s="382"/>
    </row>
    <row r="51" spans="1:15" ht="29.25">
      <c r="A51" s="578" t="s">
        <v>165</v>
      </c>
      <c r="B51" s="601"/>
      <c r="C51" s="601"/>
      <c r="D51" s="523" t="s">
        <v>131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178</v>
      </c>
      <c r="B52" s="601"/>
      <c r="C52" s="601"/>
      <c r="D52" s="523" t="s">
        <v>131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167</v>
      </c>
      <c r="B53" s="601"/>
      <c r="C53" s="601"/>
      <c r="D53" s="523" t="s">
        <v>131</v>
      </c>
      <c r="E53" s="455">
        <f>'30'!F53</f>
        <v>432059</v>
      </c>
      <c r="F53" s="510">
        <v>432568</v>
      </c>
      <c r="G53" s="473">
        <f t="shared" si="4"/>
        <v>509</v>
      </c>
      <c r="H53" s="460">
        <f>G53+'30'!H53</f>
        <v>15758</v>
      </c>
      <c r="I53" s="455"/>
      <c r="J53" s="552">
        <f>H53/DAY(B2)</f>
        <v>508.32258064516128</v>
      </c>
      <c r="K53" s="428"/>
      <c r="L53" s="377"/>
      <c r="N53" s="440">
        <f>H53-'1'!E53</f>
        <v>-400553</v>
      </c>
      <c r="O53" s="382"/>
    </row>
    <row r="54" spans="1:15" ht="29.25">
      <c r="A54" s="578" t="s">
        <v>179</v>
      </c>
      <c r="B54" s="601"/>
      <c r="C54" s="601"/>
      <c r="D54" s="523" t="s">
        <v>131</v>
      </c>
      <c r="E54" s="455">
        <f>'30'!F54</f>
        <v>13678</v>
      </c>
      <c r="F54" s="510">
        <v>13750</v>
      </c>
      <c r="G54" s="473">
        <f t="shared" si="4"/>
        <v>72</v>
      </c>
      <c r="H54" s="460">
        <f>G54+'30'!H54</f>
        <v>5988</v>
      </c>
      <c r="I54" s="455"/>
      <c r="J54" s="552">
        <f>H54/DAY(B2)</f>
        <v>193.16129032258064</v>
      </c>
      <c r="K54" s="428"/>
      <c r="L54" s="377"/>
      <c r="N54" s="440">
        <f>H54-'1'!E54</f>
        <v>-5390</v>
      </c>
      <c r="O54" s="382"/>
    </row>
    <row r="55" spans="1:15" ht="29.25">
      <c r="A55" s="578" t="s">
        <v>180</v>
      </c>
      <c r="B55" s="601"/>
      <c r="C55" s="601"/>
      <c r="D55" s="523" t="s">
        <v>131</v>
      </c>
      <c r="E55" s="455">
        <f>'30'!F55</f>
        <v>68111</v>
      </c>
      <c r="F55" s="510">
        <v>68111</v>
      </c>
      <c r="G55" s="473">
        <f t="shared" si="4"/>
        <v>0</v>
      </c>
      <c r="H55" s="460">
        <f>G55+'30'!H55</f>
        <v>68111</v>
      </c>
      <c r="I55" s="455"/>
      <c r="J55" s="552">
        <f>H55/DAY(B2)</f>
        <v>2197.1290322580644</v>
      </c>
      <c r="K55" s="428"/>
      <c r="L55" s="377"/>
      <c r="N55" s="440">
        <f>H55-'1'!E55</f>
        <v>-278815</v>
      </c>
      <c r="O55" s="382"/>
    </row>
    <row r="56" spans="1:15" ht="29.25">
      <c r="A56" s="578" t="s">
        <v>181</v>
      </c>
      <c r="B56" s="601"/>
      <c r="C56" s="601"/>
      <c r="D56" s="523" t="s">
        <v>182</v>
      </c>
      <c r="E56" s="455">
        <f>'30'!F56</f>
        <v>611596</v>
      </c>
      <c r="F56" s="510">
        <v>617198</v>
      </c>
      <c r="G56" s="473">
        <f t="shared" si="4"/>
        <v>5602</v>
      </c>
      <c r="H56" s="460">
        <f>G56+'30'!H56</f>
        <v>27909.640000000014</v>
      </c>
      <c r="I56" s="455"/>
      <c r="J56" s="552">
        <f>H56/DAY(B2)</f>
        <v>900.31096774193588</v>
      </c>
      <c r="K56" s="427"/>
      <c r="L56" s="377"/>
      <c r="N56" s="440">
        <f>H56-'1'!E56</f>
        <v>-561378.82999999996</v>
      </c>
      <c r="O56" s="382"/>
    </row>
    <row r="57" spans="1:15" ht="29.25">
      <c r="A57" s="578" t="s">
        <v>171</v>
      </c>
      <c r="B57" s="601"/>
      <c r="C57" s="601"/>
      <c r="D57" s="523" t="s">
        <v>131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183</v>
      </c>
      <c r="B58" s="601"/>
      <c r="C58" s="601"/>
      <c r="D58" s="523" t="s">
        <v>131</v>
      </c>
      <c r="E58" s="455">
        <f>'30'!F58</f>
        <v>49355</v>
      </c>
      <c r="F58" s="510">
        <v>49625</v>
      </c>
      <c r="G58" s="473">
        <f t="shared" si="4"/>
        <v>270</v>
      </c>
      <c r="H58" s="460">
        <f>G58+'30'!H58</f>
        <v>2908</v>
      </c>
      <c r="I58" s="455"/>
      <c r="J58" s="552">
        <f>H58/DAY(B2)</f>
        <v>93.806451612903231</v>
      </c>
      <c r="K58" s="428"/>
      <c r="L58" s="377"/>
      <c r="N58" s="440">
        <f>H58-'1'!E58</f>
        <v>-43760</v>
      </c>
      <c r="O58" s="382">
        <f>'1'!E58-'31'!F58</f>
        <v>-2957</v>
      </c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7336.8699999999953</v>
      </c>
      <c r="H59" s="460">
        <f>G59+'30'!H59</f>
        <v>147735.51</v>
      </c>
      <c r="I59" s="455">
        <f>G7-G60</f>
        <v>866.13000000000466</v>
      </c>
      <c r="J59" s="552">
        <f>H59/DAY(B2)</f>
        <v>4765.6616129032263</v>
      </c>
      <c r="K59" s="428"/>
      <c r="L59" s="377"/>
      <c r="N59" s="440">
        <f>H59-'1'!E59</f>
        <v>147735.51</v>
      </c>
      <c r="O59" s="382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16816.869999999995</v>
      </c>
      <c r="H60" s="460">
        <f>G60+'30'!H60</f>
        <v>482244.61000000004</v>
      </c>
      <c r="I60" s="455">
        <f>G13-G60</f>
        <v>182.13000000000466</v>
      </c>
      <c r="J60" s="552">
        <f>H60/DAY(B2)</f>
        <v>15556.277741935486</v>
      </c>
      <c r="K60" s="428"/>
      <c r="L60" s="377"/>
      <c r="N60" s="440">
        <f>H60-'1'!E60</f>
        <v>482244.61000000004</v>
      </c>
      <c r="O60" s="382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186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0.18199999999706051</v>
      </c>
      <c r="I62" s="515"/>
      <c r="J62" s="552">
        <f>H62/DAY(B2)</f>
        <v>5.8709677418406613E-3</v>
      </c>
      <c r="K62" s="428"/>
      <c r="L62" s="377"/>
      <c r="N62" s="440">
        <f>H62-'1'!E62</f>
        <v>-20418.818000000003</v>
      </c>
      <c r="O62" s="382"/>
    </row>
    <row r="63" spans="1:15" ht="29.25">
      <c r="A63" s="603" t="s">
        <v>187</v>
      </c>
      <c r="B63" s="604"/>
      <c r="C63" s="604"/>
      <c r="D63" s="511" t="s">
        <v>186</v>
      </c>
      <c r="E63" s="455">
        <v>0</v>
      </c>
      <c r="F63" s="514">
        <v>0</v>
      </c>
      <c r="G63" s="473">
        <f t="shared" si="5"/>
        <v>0</v>
      </c>
      <c r="H63" s="460">
        <f>G63+'30'!H63</f>
        <v>113</v>
      </c>
      <c r="I63" s="515"/>
      <c r="J63" s="552">
        <f>H63/DAY(B2)</f>
        <v>3.6451612903225805</v>
      </c>
      <c r="K63" s="428"/>
      <c r="L63" s="377"/>
      <c r="N63" s="440">
        <f>H63-'1'!E63</f>
        <v>-2246</v>
      </c>
      <c r="O63" s="382"/>
    </row>
    <row r="64" spans="1:15" ht="27.75">
      <c r="A64" s="1530" t="s">
        <v>99</v>
      </c>
      <c r="B64" s="1531"/>
      <c r="C64" s="1532"/>
      <c r="D64" s="523" t="s">
        <v>186</v>
      </c>
      <c r="E64" s="455">
        <f>'30'!F64</f>
        <v>159745</v>
      </c>
      <c r="F64" s="484">
        <v>159932</v>
      </c>
      <c r="G64" s="473">
        <f t="shared" si="5"/>
        <v>187</v>
      </c>
      <c r="H64" s="460">
        <f>G64+'30'!H64</f>
        <v>6633</v>
      </c>
      <c r="I64" s="480"/>
      <c r="J64" s="552">
        <f>H64/DAY(B2)</f>
        <v>213.96774193548387</v>
      </c>
      <c r="K64" s="428"/>
      <c r="L64" s="377"/>
      <c r="N64" s="440">
        <f>H64-'1'!E64</f>
        <v>-146666</v>
      </c>
      <c r="O64" s="382"/>
    </row>
    <row r="65" spans="1:15" ht="27.75">
      <c r="A65" s="1530" t="s">
        <v>100</v>
      </c>
      <c r="B65" s="1531"/>
      <c r="C65" s="1532"/>
      <c r="D65" s="523" t="s">
        <v>186</v>
      </c>
      <c r="E65" s="455">
        <f>'30'!F65</f>
        <v>160777</v>
      </c>
      <c r="F65" s="484">
        <v>160998</v>
      </c>
      <c r="G65" s="473">
        <f t="shared" si="5"/>
        <v>221</v>
      </c>
      <c r="H65" s="460">
        <f>G65+'30'!H65</f>
        <v>6399</v>
      </c>
      <c r="I65" s="489"/>
      <c r="J65" s="552">
        <f>H65/DAY(B2)</f>
        <v>206.41935483870967</v>
      </c>
      <c r="K65" s="428"/>
      <c r="L65" s="377"/>
      <c r="N65" s="440">
        <f>H65-'1'!E65</f>
        <v>-148200</v>
      </c>
      <c r="O65" s="382"/>
    </row>
    <row r="66" spans="1:15" ht="27.75">
      <c r="A66" s="1530" t="s">
        <v>101</v>
      </c>
      <c r="B66" s="1531"/>
      <c r="C66" s="1532"/>
      <c r="D66" s="523" t="s">
        <v>186</v>
      </c>
      <c r="E66" s="455">
        <f>'30'!F66</f>
        <v>56522</v>
      </c>
      <c r="F66" s="484">
        <v>56805</v>
      </c>
      <c r="G66" s="473">
        <f t="shared" si="5"/>
        <v>283</v>
      </c>
      <c r="H66" s="460">
        <f>G66+'30'!H66</f>
        <v>8234</v>
      </c>
      <c r="I66" s="480"/>
      <c r="J66" s="552">
        <f>H66/DAY(B2)</f>
        <v>265.61290322580646</v>
      </c>
      <c r="K66" s="428"/>
      <c r="L66" s="377"/>
      <c r="N66" s="440">
        <f>H66-'1'!E66</f>
        <v>-40337</v>
      </c>
      <c r="O66" s="382"/>
    </row>
    <row r="67" spans="1:15" ht="27.75">
      <c r="A67" s="1530" t="s">
        <v>102</v>
      </c>
      <c r="B67" s="1531"/>
      <c r="C67" s="1532"/>
      <c r="D67" s="523" t="s">
        <v>186</v>
      </c>
      <c r="E67" s="455">
        <f>'30'!F67</f>
        <v>251770</v>
      </c>
      <c r="F67" s="484">
        <v>252192</v>
      </c>
      <c r="G67" s="473">
        <f t="shared" si="5"/>
        <v>422</v>
      </c>
      <c r="H67" s="460">
        <f>G67+'30'!H67</f>
        <v>9018</v>
      </c>
      <c r="I67" s="489"/>
      <c r="J67" s="552">
        <f>H67/DAY(B2)</f>
        <v>290.90322580645159</v>
      </c>
      <c r="K67" s="429"/>
      <c r="L67" s="377"/>
      <c r="N67" s="440">
        <f>H67-'1'!E67</f>
        <v>-234156</v>
      </c>
      <c r="O67" s="382"/>
    </row>
    <row r="68" spans="1:15" ht="27.75">
      <c r="A68" s="1530" t="s">
        <v>103</v>
      </c>
      <c r="B68" s="1531"/>
      <c r="C68" s="1532"/>
      <c r="D68" s="523" t="s">
        <v>186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30" t="s">
        <v>104</v>
      </c>
      <c r="B69" s="1531"/>
      <c r="C69" s="1532"/>
      <c r="D69" s="523" t="s">
        <v>186</v>
      </c>
      <c r="E69" s="455">
        <f>'30'!F69</f>
        <v>81645</v>
      </c>
      <c r="F69" s="484">
        <v>81749</v>
      </c>
      <c r="G69" s="473">
        <f t="shared" si="5"/>
        <v>104</v>
      </c>
      <c r="H69" s="460">
        <f>G69+'30'!H69</f>
        <v>2755</v>
      </c>
      <c r="I69" s="516"/>
      <c r="J69" s="552">
        <f>H69/DAY(B2)</f>
        <v>88.870967741935488</v>
      </c>
      <c r="K69" s="431"/>
      <c r="L69" s="377"/>
      <c r="N69" s="440">
        <f>H69-'1'!E69</f>
        <v>-76239</v>
      </c>
      <c r="O69" s="382"/>
    </row>
    <row r="70" spans="1:15" ht="27.75">
      <c r="A70" s="1536" t="s">
        <v>188</v>
      </c>
      <c r="B70" s="1537"/>
      <c r="C70" s="1538"/>
      <c r="D70" s="523" t="s">
        <v>186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33" t="s">
        <v>189</v>
      </c>
      <c r="B71" s="1534"/>
      <c r="C71" s="1534"/>
      <c r="D71" s="1534"/>
      <c r="E71" s="1534"/>
      <c r="F71" s="1534"/>
      <c r="G71" s="1534"/>
      <c r="H71" s="1534"/>
      <c r="I71" s="1534"/>
      <c r="J71" s="1535"/>
      <c r="K71" s="430"/>
      <c r="L71" s="377"/>
      <c r="N71" s="440">
        <f>H71-'1'!E71</f>
        <v>0</v>
      </c>
      <c r="O71" s="382"/>
    </row>
    <row r="72" spans="1:15" ht="27.75">
      <c r="A72" s="1530" t="s">
        <v>190</v>
      </c>
      <c r="B72" s="1531"/>
      <c r="C72" s="1532"/>
      <c r="D72" s="523" t="s">
        <v>186</v>
      </c>
      <c r="E72" s="455">
        <f>'30'!F72</f>
        <v>855831</v>
      </c>
      <c r="F72" s="519">
        <v>855843</v>
      </c>
      <c r="G72" s="473">
        <f t="shared" ref="G72:G84" si="6">F72-E72</f>
        <v>12</v>
      </c>
      <c r="H72" s="460">
        <f>G72+'30'!H72</f>
        <v>371</v>
      </c>
      <c r="I72" s="480"/>
      <c r="J72" s="552">
        <f>H72/DAY(B2)</f>
        <v>11.96774193548387</v>
      </c>
      <c r="K72" s="431"/>
      <c r="L72" s="377"/>
      <c r="N72" s="440">
        <f>H72-'1'!E72</f>
        <v>-855090</v>
      </c>
      <c r="O72" s="382"/>
    </row>
    <row r="73" spans="1:15" ht="27.75">
      <c r="A73" s="1530" t="s">
        <v>191</v>
      </c>
      <c r="B73" s="1531"/>
      <c r="C73" s="1532"/>
      <c r="D73" s="523" t="s">
        <v>186</v>
      </c>
      <c r="E73" s="455">
        <f>'30'!F73</f>
        <v>885936</v>
      </c>
      <c r="F73" s="520">
        <v>885937</v>
      </c>
      <c r="G73" s="473">
        <f t="shared" si="6"/>
        <v>1</v>
      </c>
      <c r="H73" s="460">
        <f>G73+'30'!H73</f>
        <v>241</v>
      </c>
      <c r="I73" s="480"/>
      <c r="J73" s="552">
        <f>H73/DAY(B2)</f>
        <v>7.774193548387097</v>
      </c>
      <c r="K73" s="430"/>
      <c r="L73" s="377"/>
      <c r="N73" s="440">
        <f>H73-'1'!E73</f>
        <v>-885635</v>
      </c>
      <c r="O73" s="382"/>
    </row>
    <row r="74" spans="1:15" ht="27.75">
      <c r="A74" s="1530" t="s">
        <v>192</v>
      </c>
      <c r="B74" s="1531"/>
      <c r="C74" s="1532"/>
      <c r="D74" s="523" t="s">
        <v>186</v>
      </c>
      <c r="E74" s="455">
        <f>'30'!F74</f>
        <v>2579</v>
      </c>
      <c r="F74" s="521">
        <v>2586</v>
      </c>
      <c r="G74" s="473">
        <f t="shared" si="6"/>
        <v>7</v>
      </c>
      <c r="H74" s="460">
        <f>G74+'30'!H74</f>
        <v>307</v>
      </c>
      <c r="I74" s="480"/>
      <c r="J74" s="552">
        <f>H74/DAY(B2)</f>
        <v>9.9032258064516121</v>
      </c>
      <c r="K74" s="431"/>
      <c r="L74" s="377"/>
      <c r="N74" s="440">
        <f>H74-'1'!E74</f>
        <v>-1972</v>
      </c>
      <c r="O74" s="382"/>
    </row>
    <row r="75" spans="1:15" ht="27.75">
      <c r="A75" s="1527" t="s">
        <v>193</v>
      </c>
      <c r="B75" s="1528"/>
      <c r="C75" s="1529"/>
      <c r="D75" s="523" t="s">
        <v>186</v>
      </c>
      <c r="E75" s="455">
        <f>'30'!F75</f>
        <v>12615</v>
      </c>
      <c r="F75" s="521">
        <v>12669</v>
      </c>
      <c r="G75" s="473">
        <f t="shared" si="6"/>
        <v>54</v>
      </c>
      <c r="H75" s="460">
        <f>G75+'30'!H75</f>
        <v>1699</v>
      </c>
      <c r="I75" s="480"/>
      <c r="J75" s="552">
        <f>H75/DAY(B2)</f>
        <v>54.806451612903224</v>
      </c>
      <c r="K75" s="430"/>
      <c r="L75" s="377"/>
      <c r="N75" s="440">
        <f>H75-'1'!E75</f>
        <v>-9271</v>
      </c>
      <c r="O75" s="382"/>
    </row>
    <row r="76" spans="1:15" ht="27.75">
      <c r="A76" s="1527" t="s">
        <v>194</v>
      </c>
      <c r="B76" s="1528"/>
      <c r="C76" s="1529"/>
      <c r="D76" s="523" t="s">
        <v>186</v>
      </c>
      <c r="E76" s="455">
        <f>'30'!F76</f>
        <v>7363</v>
      </c>
      <c r="F76" s="520">
        <v>7419</v>
      </c>
      <c r="G76" s="473">
        <f t="shared" si="6"/>
        <v>56</v>
      </c>
      <c r="H76" s="460">
        <f>G76+'30'!H76</f>
        <v>1702.0499999999993</v>
      </c>
      <c r="I76" s="505"/>
      <c r="J76" s="552">
        <f>H76/DAY(B2)</f>
        <v>54.904838709677399</v>
      </c>
      <c r="K76" s="430"/>
      <c r="L76" s="377"/>
      <c r="N76" s="440">
        <f>H76-'1'!E76</f>
        <v>-4006.9500000000007</v>
      </c>
      <c r="O76" s="382"/>
    </row>
    <row r="77" spans="1:15" ht="27.75">
      <c r="A77" s="1530" t="s">
        <v>195</v>
      </c>
      <c r="B77" s="1531"/>
      <c r="C77" s="1532"/>
      <c r="D77" s="523" t="s">
        <v>186</v>
      </c>
      <c r="E77" s="455">
        <f>'30'!F77</f>
        <v>702791</v>
      </c>
      <c r="F77" s="521">
        <v>702839</v>
      </c>
      <c r="G77" s="473">
        <f t="shared" si="6"/>
        <v>48</v>
      </c>
      <c r="H77" s="460">
        <f>G77+'30'!H77</f>
        <v>1277</v>
      </c>
      <c r="I77" s="505"/>
      <c r="J77" s="552">
        <f>H77/DAY(B2)</f>
        <v>41.193548387096776</v>
      </c>
      <c r="K77" s="430"/>
      <c r="L77" s="377"/>
      <c r="N77" s="440">
        <f>H77-'1'!E77</f>
        <v>-700285</v>
      </c>
      <c r="O77" s="382"/>
    </row>
    <row r="78" spans="1:15" ht="27.75">
      <c r="A78" s="1146" t="s">
        <v>196</v>
      </c>
      <c r="B78" s="1119"/>
      <c r="C78" s="1119"/>
      <c r="D78" s="523" t="s">
        <v>186</v>
      </c>
      <c r="E78" s="455">
        <f>'30'!F78</f>
        <v>672954</v>
      </c>
      <c r="F78" s="521">
        <v>673032</v>
      </c>
      <c r="G78" s="473">
        <f t="shared" si="6"/>
        <v>78</v>
      </c>
      <c r="H78" s="460">
        <f>G78+'30'!H78</f>
        <v>3007</v>
      </c>
      <c r="I78" s="505"/>
      <c r="J78" s="552">
        <f>H78/DAY(B2)</f>
        <v>97</v>
      </c>
      <c r="K78" s="430"/>
      <c r="L78" s="377"/>
      <c r="N78" s="440">
        <f>H78-'1'!E78</f>
        <v>-667018</v>
      </c>
      <c r="O78" s="382"/>
    </row>
    <row r="79" spans="1:15" ht="27.75">
      <c r="A79" s="1527" t="s">
        <v>92</v>
      </c>
      <c r="B79" s="1528"/>
      <c r="C79" s="1529"/>
      <c r="D79" s="524" t="s">
        <v>186</v>
      </c>
      <c r="E79" s="455">
        <f>'30'!F79</f>
        <v>830852</v>
      </c>
      <c r="F79" s="521">
        <v>831010</v>
      </c>
      <c r="G79" s="473">
        <f t="shared" si="6"/>
        <v>158</v>
      </c>
      <c r="H79" s="460">
        <f>G79+'30'!H79</f>
        <v>3279</v>
      </c>
      <c r="I79" s="505"/>
      <c r="J79" s="552">
        <f>H79/DAY(B2)</f>
        <v>105.7741935483871</v>
      </c>
      <c r="K79" s="430"/>
      <c r="L79" s="377"/>
      <c r="N79" s="440">
        <f>H79-'1'!E79</f>
        <v>-823505</v>
      </c>
      <c r="O79" s="382"/>
    </row>
    <row r="80" spans="1:15" ht="27.75">
      <c r="A80" s="1527" t="s">
        <v>197</v>
      </c>
      <c r="B80" s="1528"/>
      <c r="C80" s="1529"/>
      <c r="D80" s="524" t="s">
        <v>186</v>
      </c>
      <c r="E80" s="455">
        <f>'30'!F80</f>
        <v>527299</v>
      </c>
      <c r="F80" s="520">
        <v>527658</v>
      </c>
      <c r="G80" s="473">
        <f t="shared" si="6"/>
        <v>359</v>
      </c>
      <c r="H80" s="460">
        <f>G80+'30'!H80</f>
        <v>8197</v>
      </c>
      <c r="I80" s="505"/>
      <c r="J80" s="552">
        <f>H80/DAY(B2)</f>
        <v>264.41935483870969</v>
      </c>
      <c r="K80" s="430"/>
      <c r="L80" s="377"/>
      <c r="N80" s="440">
        <f>H80-'1'!E80</f>
        <v>-508541</v>
      </c>
      <c r="O80" s="382"/>
    </row>
    <row r="81" spans="1:15" ht="27.75">
      <c r="A81" s="1527" t="s">
        <v>198</v>
      </c>
      <c r="B81" s="1528"/>
      <c r="C81" s="1529"/>
      <c r="D81" s="524" t="s">
        <v>186</v>
      </c>
      <c r="E81" s="455">
        <f>'30'!F81</f>
        <v>638809</v>
      </c>
      <c r="F81" s="520">
        <v>638898</v>
      </c>
      <c r="G81" s="473">
        <f t="shared" si="6"/>
        <v>89</v>
      </c>
      <c r="H81" s="460">
        <f>G81+'30'!H81</f>
        <v>2420</v>
      </c>
      <c r="I81" s="505"/>
      <c r="J81" s="552">
        <f>H81/DAY(B2)</f>
        <v>78.064516129032256</v>
      </c>
      <c r="K81" s="430"/>
      <c r="L81" s="377"/>
      <c r="N81" s="440">
        <f>H81-'1'!E81</f>
        <v>-634058</v>
      </c>
      <c r="O81" s="382"/>
    </row>
    <row r="82" spans="1:15" ht="27.75">
      <c r="A82" s="1527" t="s">
        <v>93</v>
      </c>
      <c r="B82" s="1528"/>
      <c r="C82" s="1529"/>
      <c r="D82" s="485" t="s">
        <v>131</v>
      </c>
      <c r="E82" s="455">
        <f>'30'!F82</f>
        <v>108146</v>
      </c>
      <c r="F82" s="522">
        <v>108158</v>
      </c>
      <c r="G82" s="473">
        <f t="shared" si="6"/>
        <v>12</v>
      </c>
      <c r="H82" s="460">
        <f>G82+'30'!H82</f>
        <v>546</v>
      </c>
      <c r="I82" s="486"/>
      <c r="J82" s="552">
        <f>H82/DAY(B2)</f>
        <v>17.612903225806452</v>
      </c>
      <c r="K82" s="430"/>
      <c r="L82" s="377"/>
      <c r="N82" s="440">
        <f>H82-'1'!E82</f>
        <v>-107066</v>
      </c>
      <c r="O82" s="382"/>
    </row>
    <row r="83" spans="1:15" ht="27.75">
      <c r="A83" s="1527" t="s">
        <v>199</v>
      </c>
      <c r="B83" s="1528"/>
      <c r="C83" s="1529"/>
      <c r="D83" s="620" t="s">
        <v>131</v>
      </c>
      <c r="E83" s="455">
        <f>'30'!F83</f>
        <v>20313</v>
      </c>
      <c r="F83" s="511">
        <v>20506</v>
      </c>
      <c r="G83" s="473">
        <f t="shared" si="6"/>
        <v>193</v>
      </c>
      <c r="H83" s="460">
        <f>G83+'30'!H83</f>
        <v>5735</v>
      </c>
      <c r="I83" s="481"/>
      <c r="J83" s="552">
        <f>H83/DAY(B2)</f>
        <v>185</v>
      </c>
      <c r="K83" s="429"/>
      <c r="L83" s="377"/>
      <c r="N83" s="440">
        <f>H83-'1'!E83</f>
        <v>-9036</v>
      </c>
      <c r="O83" s="382"/>
    </row>
    <row r="84" spans="1:15" ht="29.25">
      <c r="A84" s="1147" t="s">
        <v>200</v>
      </c>
      <c r="B84" s="571"/>
      <c r="C84" s="571"/>
      <c r="D84" s="478" t="s">
        <v>131</v>
      </c>
      <c r="E84" s="455">
        <f>'30'!F84</f>
        <v>499489</v>
      </c>
      <c r="F84" s="627">
        <v>500294</v>
      </c>
      <c r="G84" s="473">
        <f t="shared" si="6"/>
        <v>805</v>
      </c>
      <c r="H84" s="460">
        <f>G84+'30'!H84</f>
        <v>20161</v>
      </c>
      <c r="I84" s="481"/>
      <c r="J84" s="552">
        <f>H84/DAY(B2)</f>
        <v>650.35483870967744</v>
      </c>
      <c r="K84" s="380"/>
      <c r="L84" s="377"/>
      <c r="N84" s="440">
        <f>H84-'1'!E84</f>
        <v>-459972</v>
      </c>
      <c r="O84" s="382"/>
    </row>
    <row r="85" spans="1:15" s="379" customFormat="1" ht="29.2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1872</v>
      </c>
      <c r="H85" s="460">
        <f>G85+'30'!H85</f>
        <v>52451</v>
      </c>
      <c r="I85" s="481"/>
      <c r="J85" s="552">
        <f>H85/DAY(B2)</f>
        <v>1691.9677419354839</v>
      </c>
      <c r="K85" s="380"/>
      <c r="L85" s="378"/>
      <c r="N85" s="440">
        <f>H85-'1'!E85</f>
        <v>52451</v>
      </c>
      <c r="O85" s="382"/>
    </row>
    <row r="86" spans="1:15" s="738" customFormat="1" ht="29.25">
      <c r="A86" s="733" t="s">
        <v>94</v>
      </c>
      <c r="B86" s="734"/>
      <c r="C86" s="734"/>
      <c r="D86" s="735" t="s">
        <v>182</v>
      </c>
      <c r="E86" s="455">
        <f>'30'!F86</f>
        <v>460907</v>
      </c>
      <c r="F86" s="650">
        <v>460935</v>
      </c>
      <c r="G86" s="708">
        <f t="shared" ref="G86" si="7">F86-E86</f>
        <v>28</v>
      </c>
      <c r="H86" s="460">
        <f>G86+'30'!H86</f>
        <v>99</v>
      </c>
      <c r="I86" s="655"/>
      <c r="J86" s="710">
        <f>H86/DAY(B2)</f>
        <v>3.193548387096774</v>
      </c>
      <c r="K86" s="736"/>
      <c r="L86" s="737"/>
      <c r="N86" s="440">
        <f>H86-'1'!E86</f>
        <v>-459168</v>
      </c>
      <c r="O86" s="716"/>
    </row>
    <row r="87" spans="1:15" s="738" customFormat="1" ht="29.25">
      <c r="A87" s="733" t="s">
        <v>95</v>
      </c>
      <c r="B87" s="734"/>
      <c r="C87" s="734"/>
      <c r="D87" s="735" t="s">
        <v>182</v>
      </c>
      <c r="E87" s="455">
        <f>'30'!F87</f>
        <v>81352</v>
      </c>
      <c r="F87" s="650">
        <v>81375</v>
      </c>
      <c r="G87" s="708">
        <f t="shared" ref="G87:G91" si="8">F87-E87</f>
        <v>23</v>
      </c>
      <c r="H87" s="460">
        <f>G87+'30'!H87</f>
        <v>50</v>
      </c>
      <c r="I87" s="655"/>
      <c r="J87" s="710">
        <f>H87/DAY(B2)</f>
        <v>1.6129032258064515</v>
      </c>
      <c r="K87" s="736"/>
      <c r="L87" s="737"/>
      <c r="N87" s="440">
        <f>H87-'1'!E87</f>
        <v>-80869</v>
      </c>
      <c r="O87" s="716"/>
    </row>
    <row r="88" spans="1:15" s="738" customFormat="1" ht="29.25">
      <c r="A88" s="733" t="s">
        <v>96</v>
      </c>
      <c r="B88" s="734"/>
      <c r="C88" s="734"/>
      <c r="D88" s="735" t="s">
        <v>182</v>
      </c>
      <c r="E88" s="455">
        <f>'30'!F88</f>
        <v>152970</v>
      </c>
      <c r="F88" s="650">
        <v>153064</v>
      </c>
      <c r="G88" s="708">
        <f t="shared" si="8"/>
        <v>94</v>
      </c>
      <c r="H88" s="460">
        <f>G88+'30'!H88</f>
        <v>141</v>
      </c>
      <c r="I88" s="655"/>
      <c r="J88" s="710">
        <f>H88/DAY(B2)</f>
        <v>4.5483870967741939</v>
      </c>
      <c r="K88" s="736"/>
      <c r="L88" s="737"/>
      <c r="N88" s="440">
        <f>H88-'1'!E88</f>
        <v>-151664</v>
      </c>
      <c r="O88" s="716"/>
    </row>
    <row r="89" spans="1:15" s="738" customFormat="1" ht="29.25">
      <c r="A89" s="733" t="s">
        <v>203</v>
      </c>
      <c r="B89" s="734"/>
      <c r="C89" s="734"/>
      <c r="D89" s="735" t="s">
        <v>182</v>
      </c>
      <c r="E89" s="455">
        <f>'30'!F89</f>
        <v>65164</v>
      </c>
      <c r="F89" s="650">
        <v>65174.6</v>
      </c>
      <c r="G89" s="708">
        <f t="shared" si="8"/>
        <v>10.599999999998545</v>
      </c>
      <c r="H89" s="460">
        <f>G89+'30'!H89</f>
        <v>32.599999999998545</v>
      </c>
      <c r="I89" s="655"/>
      <c r="J89" s="710">
        <f>H89/DAY(B2)</f>
        <v>1.0516129032257595</v>
      </c>
      <c r="K89" s="736"/>
      <c r="L89" s="737"/>
      <c r="N89" s="440">
        <f>H89-'1'!E89</f>
        <v>-64801.4</v>
      </c>
      <c r="O89" s="382"/>
    </row>
    <row r="90" spans="1:15" s="738" customFormat="1" ht="29.25">
      <c r="A90" s="733" t="s">
        <v>203</v>
      </c>
      <c r="B90" s="734"/>
      <c r="C90" s="734"/>
      <c r="D90" s="735" t="s">
        <v>182</v>
      </c>
      <c r="E90" s="455">
        <f>'30'!F90</f>
        <v>3274</v>
      </c>
      <c r="F90" s="650">
        <v>3273.6</v>
      </c>
      <c r="G90" s="708">
        <f t="shared" si="8"/>
        <v>-0.40000000000009095</v>
      </c>
      <c r="H90" s="460">
        <f>G90+'30'!H90</f>
        <v>-0.40000000000009095</v>
      </c>
      <c r="I90" s="655"/>
      <c r="J90" s="710">
        <f>H90/DAY(B2)</f>
        <v>-1.2903225806454546E-2</v>
      </c>
      <c r="K90" s="736"/>
      <c r="L90" s="737"/>
      <c r="N90" s="440">
        <f>H90-'1'!E90</f>
        <v>-3272.4</v>
      </c>
      <c r="O90" s="382"/>
    </row>
    <row r="91" spans="1:15" s="738" customFormat="1" ht="29.25">
      <c r="A91" s="733" t="s">
        <v>361</v>
      </c>
      <c r="B91" s="734"/>
      <c r="C91" s="734"/>
      <c r="D91" s="735"/>
      <c r="E91" s="455">
        <f>'30'!F91</f>
        <v>28016</v>
      </c>
      <c r="F91" s="650">
        <v>28022</v>
      </c>
      <c r="G91" s="708">
        <f t="shared" si="8"/>
        <v>6</v>
      </c>
      <c r="H91" s="460">
        <f>G91+'30'!H91</f>
        <v>6</v>
      </c>
      <c r="I91" s="655"/>
      <c r="J91" s="710">
        <f>H91/DAY(B2)</f>
        <v>0.19354838709677419</v>
      </c>
      <c r="K91" s="736"/>
      <c r="L91" s="737"/>
      <c r="N91" s="780"/>
      <c r="O91" s="382"/>
    </row>
    <row r="92" spans="1:15" s="379" customFormat="1" ht="29.25">
      <c r="A92" s="606" t="s">
        <v>204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51" t="s">
        <v>205</v>
      </c>
      <c r="B93" s="1552"/>
      <c r="C93" s="1553"/>
      <c r="D93" s="523" t="s">
        <v>143</v>
      </c>
      <c r="E93" s="455">
        <f>'30'!F93</f>
        <v>245378</v>
      </c>
      <c r="F93" s="484">
        <v>245488</v>
      </c>
      <c r="G93" s="473">
        <f t="shared" ref="G93:G94" si="9">F93-E93</f>
        <v>110</v>
      </c>
      <c r="H93" s="460">
        <f>G93+'30'!H93</f>
        <v>1064</v>
      </c>
      <c r="I93" s="480"/>
      <c r="J93" s="552">
        <f>H93/DAY(B2)</f>
        <v>34.322580645161288</v>
      </c>
      <c r="K93" s="429"/>
      <c r="L93" s="377"/>
      <c r="N93" s="440">
        <f>H93-'1'!E93</f>
        <v>-243460</v>
      </c>
      <c r="O93" s="382"/>
    </row>
    <row r="94" spans="1:15" ht="27.75">
      <c r="A94" s="1551" t="s">
        <v>206</v>
      </c>
      <c r="B94" s="1552"/>
      <c r="C94" s="1553"/>
      <c r="D94" s="523" t="s">
        <v>143</v>
      </c>
      <c r="E94" s="455">
        <f>'30'!F94</f>
        <v>186042</v>
      </c>
      <c r="F94" s="484">
        <v>186121</v>
      </c>
      <c r="G94" s="473">
        <f t="shared" si="9"/>
        <v>79</v>
      </c>
      <c r="H94" s="460">
        <f>G94+'30'!H94</f>
        <v>2590</v>
      </c>
      <c r="I94" s="480"/>
      <c r="J94" s="552">
        <f>H94/DAY(B2)</f>
        <v>83.548387096774192</v>
      </c>
      <c r="K94" s="380"/>
      <c r="L94" s="377"/>
      <c r="N94" s="440">
        <f>H94-'1'!E94</f>
        <v>-180941</v>
      </c>
      <c r="O94" s="382"/>
    </row>
    <row r="95" spans="1:15" ht="29.25">
      <c r="A95" s="1579" t="s">
        <v>207</v>
      </c>
      <c r="B95" s="1580"/>
      <c r="C95" s="1581"/>
      <c r="D95" s="523"/>
      <c r="E95" s="484"/>
      <c r="F95" s="484"/>
      <c r="G95" s="473">
        <f>G93+G94</f>
        <v>189</v>
      </c>
      <c r="H95" s="460">
        <f>G95+'30'!H95</f>
        <v>3507</v>
      </c>
      <c r="I95" s="480"/>
      <c r="J95" s="552">
        <f>H95/DAY(B2)</f>
        <v>113.12903225806451</v>
      </c>
      <c r="K95" s="380"/>
      <c r="L95" s="377"/>
      <c r="N95" s="440">
        <f>H95-'1'!E95</f>
        <v>3507</v>
      </c>
      <c r="O95" s="382"/>
    </row>
    <row r="96" spans="1:15" ht="27.75">
      <c r="A96" s="1551" t="s">
        <v>208</v>
      </c>
      <c r="B96" s="1552"/>
      <c r="C96" s="1553"/>
      <c r="D96" s="523" t="s">
        <v>143</v>
      </c>
      <c r="E96" s="455">
        <f>'30'!F96</f>
        <v>414229</v>
      </c>
      <c r="F96" s="484">
        <v>414283</v>
      </c>
      <c r="G96" s="473">
        <f t="shared" ref="G96:G101" si="10">F96-E96</f>
        <v>54</v>
      </c>
      <c r="H96" s="460">
        <f>G96+'30'!H96</f>
        <v>1397</v>
      </c>
      <c r="I96" s="480"/>
      <c r="J96" s="552">
        <f>H96/DAY(B2)</f>
        <v>45.064516129032256</v>
      </c>
      <c r="K96" s="380"/>
      <c r="L96" s="377"/>
      <c r="N96" s="440">
        <f>H96-'1'!E96</f>
        <v>-411489</v>
      </c>
      <c r="O96" s="382"/>
    </row>
    <row r="97" spans="1:15" ht="27.75">
      <c r="A97" s="1143" t="s">
        <v>209</v>
      </c>
      <c r="B97" s="1144"/>
      <c r="C97" s="1144"/>
      <c r="D97" s="523" t="s">
        <v>143</v>
      </c>
      <c r="E97" s="455">
        <f>'30'!F97</f>
        <v>102636</v>
      </c>
      <c r="F97" s="484">
        <v>102648</v>
      </c>
      <c r="G97" s="473">
        <f t="shared" si="10"/>
        <v>12</v>
      </c>
      <c r="H97" s="460">
        <f>G97+'30'!H97</f>
        <v>305</v>
      </c>
      <c r="I97" s="480"/>
      <c r="J97" s="552">
        <f>H97/DAY(B2)</f>
        <v>9.8387096774193541</v>
      </c>
      <c r="K97" s="427"/>
      <c r="L97" s="377"/>
      <c r="N97" s="440">
        <f>H97-'1'!E97</f>
        <v>-102038</v>
      </c>
      <c r="O97" s="382"/>
    </row>
    <row r="98" spans="1:15" ht="27.75">
      <c r="A98" s="1143" t="s">
        <v>210</v>
      </c>
      <c r="B98" s="1144"/>
      <c r="C98" s="1144"/>
      <c r="D98" s="523" t="s">
        <v>143</v>
      </c>
      <c r="E98" s="455">
        <f>'30'!F98</f>
        <v>97931</v>
      </c>
      <c r="F98" s="484">
        <v>97950</v>
      </c>
      <c r="G98" s="473">
        <f t="shared" si="10"/>
        <v>19</v>
      </c>
      <c r="H98" s="460">
        <f>G98+'30'!H98</f>
        <v>523</v>
      </c>
      <c r="I98" s="480"/>
      <c r="J98" s="552">
        <f>H98/DAY(B2)</f>
        <v>16.870967741935484</v>
      </c>
      <c r="K98" s="432"/>
      <c r="L98" s="377"/>
      <c r="N98" s="440">
        <f>H98-'1'!E98</f>
        <v>-96904</v>
      </c>
      <c r="O98" s="382"/>
    </row>
    <row r="99" spans="1:15" ht="27.75">
      <c r="A99" s="1143" t="s">
        <v>211</v>
      </c>
      <c r="B99" s="1144"/>
      <c r="C99" s="1144"/>
      <c r="D99" s="523" t="s">
        <v>143</v>
      </c>
      <c r="E99" s="455">
        <f>'30'!F99</f>
        <v>149848</v>
      </c>
      <c r="F99" s="484">
        <v>149852</v>
      </c>
      <c r="G99" s="473">
        <f t="shared" si="10"/>
        <v>4</v>
      </c>
      <c r="H99" s="460">
        <f>G99+'30'!H99</f>
        <v>319</v>
      </c>
      <c r="I99" s="480"/>
      <c r="J99" s="552">
        <f>H99/DAY(B2)</f>
        <v>10.290322580645162</v>
      </c>
      <c r="K99" s="380"/>
      <c r="L99" s="377"/>
      <c r="N99" s="440">
        <f>H99-'1'!E99</f>
        <v>-149214</v>
      </c>
      <c r="O99" s="382"/>
    </row>
    <row r="100" spans="1:15" ht="27.75">
      <c r="A100" s="1143" t="s">
        <v>212</v>
      </c>
      <c r="B100" s="1144"/>
      <c r="C100" s="1144"/>
      <c r="D100" s="523" t="s">
        <v>143</v>
      </c>
      <c r="E100" s="455">
        <f>'30'!F100</f>
        <v>7363</v>
      </c>
      <c r="F100" s="484">
        <v>7369</v>
      </c>
      <c r="G100" s="473">
        <f t="shared" si="10"/>
        <v>6</v>
      </c>
      <c r="H100" s="460">
        <f>G100+'30'!H100</f>
        <v>184</v>
      </c>
      <c r="I100" s="480"/>
      <c r="J100" s="552">
        <f>H100/DAY(B2)</f>
        <v>5.935483870967742</v>
      </c>
      <c r="K100" s="380"/>
      <c r="L100" s="377"/>
      <c r="N100" s="440">
        <f>H100-'1'!E100</f>
        <v>-7001</v>
      </c>
      <c r="O100" s="382"/>
    </row>
    <row r="101" spans="1:15" ht="27.75">
      <c r="A101" s="1143" t="s">
        <v>213</v>
      </c>
      <c r="B101" s="1144"/>
      <c r="C101" s="1144"/>
      <c r="D101" s="523" t="s">
        <v>143</v>
      </c>
      <c r="E101" s="455">
        <f>'30'!F101</f>
        <v>5383</v>
      </c>
      <c r="F101" s="484">
        <v>5391</v>
      </c>
      <c r="G101" s="473">
        <f t="shared" si="10"/>
        <v>8</v>
      </c>
      <c r="H101" s="460">
        <f>G101+'30'!H101</f>
        <v>253</v>
      </c>
      <c r="I101" s="480"/>
      <c r="J101" s="552">
        <f>H101/DAY(B2)</f>
        <v>8.1612903225806459</v>
      </c>
      <c r="K101" s="380"/>
      <c r="L101" s="377"/>
      <c r="N101" s="440">
        <f>H101-'1'!E101</f>
        <v>-4885</v>
      </c>
      <c r="O101" s="382"/>
    </row>
    <row r="102" spans="1:15" ht="29.25">
      <c r="A102" s="1579" t="s">
        <v>215</v>
      </c>
      <c r="B102" s="1580"/>
      <c r="C102" s="1581"/>
      <c r="D102" s="524"/>
      <c r="E102" s="524"/>
      <c r="F102" s="524"/>
      <c r="G102" s="525">
        <f>SUM(G96:G101)</f>
        <v>103</v>
      </c>
      <c r="H102" s="460">
        <f>G102+'30'!H102</f>
        <v>2981</v>
      </c>
      <c r="I102" s="526"/>
      <c r="J102" s="552">
        <f>H102/DAY(B2)</f>
        <v>96.161290322580641</v>
      </c>
      <c r="K102" s="380"/>
      <c r="L102" s="377"/>
      <c r="N102" s="440">
        <f>H102-'1'!E102</f>
        <v>2981</v>
      </c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82" t="s">
        <v>217</v>
      </c>
      <c r="B104" s="1583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43" t="s">
        <v>218</v>
      </c>
      <c r="B105" s="1544"/>
      <c r="C105" s="1141"/>
      <c r="D105" s="622" t="s">
        <v>143</v>
      </c>
      <c r="E105" s="532">
        <f>'30'!F105</f>
        <v>7484</v>
      </c>
      <c r="F105" s="532">
        <v>7484</v>
      </c>
      <c r="G105" s="532">
        <f>F105-E105</f>
        <v>0</v>
      </c>
      <c r="H105" s="460">
        <f>G105+'30'!H105</f>
        <v>57</v>
      </c>
      <c r="I105" s="532"/>
      <c r="J105" s="558">
        <f>H105/DAY(B2)</f>
        <v>1.8387096774193548</v>
      </c>
      <c r="N105" s="440">
        <f>H105-'1'!E105</f>
        <v>-7374</v>
      </c>
      <c r="O105" s="382"/>
    </row>
    <row r="106" spans="1:15" s="442" customFormat="1" ht="27.75">
      <c r="A106" s="1543" t="s">
        <v>77</v>
      </c>
      <c r="B106" s="1544"/>
      <c r="C106" s="1141"/>
      <c r="D106" s="622" t="s">
        <v>143</v>
      </c>
      <c r="E106" s="532">
        <f>'30'!F106</f>
        <v>35938</v>
      </c>
      <c r="F106" s="534">
        <v>35953</v>
      </c>
      <c r="G106" s="532">
        <f t="shared" ref="G106:G107" si="11">F106-E106</f>
        <v>15</v>
      </c>
      <c r="H106" s="460">
        <f>G106+'30'!H106</f>
        <v>65</v>
      </c>
      <c r="I106" s="532"/>
      <c r="J106" s="558">
        <f>H106/DAY(B2)</f>
        <v>2.096774193548387</v>
      </c>
      <c r="N106" s="440">
        <f>H106-'1'!E106</f>
        <v>-35763</v>
      </c>
      <c r="O106" s="382"/>
    </row>
    <row r="107" spans="1:15" s="442" customFormat="1" ht="27.75">
      <c r="A107" s="1543" t="s">
        <v>78</v>
      </c>
      <c r="B107" s="1584"/>
      <c r="C107" s="1544"/>
      <c r="D107" s="622" t="s">
        <v>143</v>
      </c>
      <c r="E107" s="532">
        <f>'30'!F107</f>
        <v>19702</v>
      </c>
      <c r="F107" s="532">
        <v>19708</v>
      </c>
      <c r="G107" s="532">
        <f t="shared" si="11"/>
        <v>6</v>
      </c>
      <c r="H107" s="460">
        <f>G107+'30'!H107</f>
        <v>133</v>
      </c>
      <c r="I107" s="532"/>
      <c r="J107" s="558">
        <f>H107/DAY(B2)</f>
        <v>4.290322580645161</v>
      </c>
      <c r="N107" s="440">
        <f>H107-'1'!E107</f>
        <v>-19484</v>
      </c>
      <c r="O107" s="382"/>
    </row>
    <row r="108" spans="1:15" s="442" customFormat="1" ht="27.75">
      <c r="A108" s="1545" t="s">
        <v>201</v>
      </c>
      <c r="B108" s="1546"/>
      <c r="C108" s="1141"/>
      <c r="D108" s="622"/>
      <c r="E108" s="532"/>
      <c r="F108" s="532"/>
      <c r="G108" s="532">
        <f>SUM(G105:G107)</f>
        <v>21</v>
      </c>
      <c r="H108" s="460">
        <f>G108+'30'!H108</f>
        <v>213</v>
      </c>
      <c r="I108" s="532"/>
      <c r="J108" s="558">
        <f>H108/DAY(B2)</f>
        <v>6.870967741935484</v>
      </c>
      <c r="N108" s="440">
        <f>H108-'1'!E108</f>
        <v>213</v>
      </c>
      <c r="O108" s="382"/>
    </row>
    <row r="109" spans="1:15" s="442" customFormat="1" ht="27.75">
      <c r="A109" s="1549" t="s">
        <v>79</v>
      </c>
      <c r="B109" s="1550"/>
      <c r="C109" s="1141"/>
      <c r="D109" s="622" t="s">
        <v>143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43" t="s">
        <v>219</v>
      </c>
      <c r="B110" s="1544"/>
      <c r="C110" s="1141"/>
      <c r="D110" s="622" t="s">
        <v>143</v>
      </c>
      <c r="E110" s="532">
        <f>'30'!F110</f>
        <v>62770</v>
      </c>
      <c r="F110" s="532">
        <v>62834</v>
      </c>
      <c r="G110" s="532">
        <f>F110-E110</f>
        <v>64</v>
      </c>
      <c r="H110" s="460">
        <f>G110+'30'!H110</f>
        <v>270</v>
      </c>
      <c r="I110" s="532"/>
      <c r="J110" s="558">
        <f>H110/DAY(B2)</f>
        <v>8.7096774193548381</v>
      </c>
      <c r="N110" s="440">
        <f>H110-'1'!E110</f>
        <v>-60904</v>
      </c>
      <c r="O110" s="382"/>
    </row>
    <row r="111" spans="1:15" s="442" customFormat="1" ht="27.75">
      <c r="A111" s="1543" t="s">
        <v>220</v>
      </c>
      <c r="B111" s="1544"/>
      <c r="C111" s="1141"/>
      <c r="D111" s="622" t="s">
        <v>143</v>
      </c>
      <c r="E111" s="532">
        <f>'30'!F111</f>
        <v>32578</v>
      </c>
      <c r="F111" s="532">
        <v>32578</v>
      </c>
      <c r="G111" s="532">
        <f t="shared" ref="G111:G112" si="12">F111-E111</f>
        <v>0</v>
      </c>
      <c r="H111" s="460">
        <f>G111+'30'!H111</f>
        <v>48</v>
      </c>
      <c r="I111" s="532"/>
      <c r="J111" s="558">
        <f>H111/DAY(B2)</f>
        <v>1.5483870967741935</v>
      </c>
      <c r="N111" s="440">
        <f>H111-'1'!E111</f>
        <v>-32187</v>
      </c>
      <c r="O111" s="382"/>
    </row>
    <row r="112" spans="1:15" s="442" customFormat="1" ht="27.75">
      <c r="A112" s="1543" t="s">
        <v>221</v>
      </c>
      <c r="B112" s="1544"/>
      <c r="C112" s="1141"/>
      <c r="D112" s="622" t="s">
        <v>143</v>
      </c>
      <c r="E112" s="532">
        <f>'30'!F112</f>
        <v>4576</v>
      </c>
      <c r="F112" s="532">
        <v>4576</v>
      </c>
      <c r="G112" s="532">
        <f t="shared" si="12"/>
        <v>0</v>
      </c>
      <c r="H112" s="460">
        <f>G112+'30'!H112</f>
        <v>272</v>
      </c>
      <c r="I112" s="532"/>
      <c r="J112" s="558">
        <f>H112/DAY(B2)</f>
        <v>8.7741935483870961</v>
      </c>
      <c r="N112" s="440">
        <f>H112-'1'!E112</f>
        <v>-4096</v>
      </c>
      <c r="O112" s="382"/>
    </row>
    <row r="113" spans="1:15" s="442" customFormat="1" ht="27.75">
      <c r="A113" s="1547" t="s">
        <v>110</v>
      </c>
      <c r="B113" s="1548"/>
      <c r="C113" s="1141"/>
      <c r="D113" s="622"/>
      <c r="E113" s="532"/>
      <c r="F113" s="532"/>
      <c r="G113" s="532">
        <f>SUM(G110:G112)</f>
        <v>64</v>
      </c>
      <c r="H113" s="460">
        <f>G113+'30'!H113</f>
        <v>957</v>
      </c>
      <c r="I113" s="532"/>
      <c r="J113" s="558">
        <f>H113/DAY(B2)</f>
        <v>30.870967741935484</v>
      </c>
      <c r="N113" s="440">
        <f>H113-'1'!E113</f>
        <v>957</v>
      </c>
      <c r="O113" s="382"/>
    </row>
    <row r="114" spans="1:15" s="442" customFormat="1" ht="27.75">
      <c r="A114" s="1549" t="s">
        <v>222</v>
      </c>
      <c r="B114" s="1550"/>
      <c r="C114" s="1141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43" t="s">
        <v>223</v>
      </c>
      <c r="B115" s="1544"/>
      <c r="C115" s="574"/>
      <c r="D115" s="622" t="s">
        <v>143</v>
      </c>
      <c r="E115" s="532">
        <f>'30'!F115</f>
        <v>11489</v>
      </c>
      <c r="F115" s="534">
        <v>11497</v>
      </c>
      <c r="G115" s="534">
        <f>F115-E115</f>
        <v>8</v>
      </c>
      <c r="H115" s="460">
        <f>G115+'30'!H115</f>
        <v>24</v>
      </c>
      <c r="I115" s="532"/>
      <c r="J115" s="558">
        <f>H115/DAY(B2)</f>
        <v>0.77419354838709675</v>
      </c>
      <c r="N115" s="440">
        <f>H115-'1'!E115</f>
        <v>-11235</v>
      </c>
      <c r="O115" s="382"/>
    </row>
    <row r="116" spans="1:15" s="442" customFormat="1" ht="27.75">
      <c r="A116" s="1543" t="s">
        <v>224</v>
      </c>
      <c r="B116" s="1544"/>
      <c r="C116" s="574"/>
      <c r="D116" s="622" t="s">
        <v>143</v>
      </c>
      <c r="E116" s="532">
        <f>'30'!F116</f>
        <v>8306</v>
      </c>
      <c r="F116" s="534">
        <v>8312</v>
      </c>
      <c r="G116" s="534">
        <f t="shared" ref="G116:G117" si="13">F116-E116</f>
        <v>6</v>
      </c>
      <c r="H116" s="460">
        <f>G116+'30'!H116</f>
        <v>75</v>
      </c>
      <c r="I116" s="532"/>
      <c r="J116" s="558">
        <f>H116/DAY(B2)</f>
        <v>2.4193548387096775</v>
      </c>
      <c r="N116" s="440">
        <f>H116-'1'!E116</f>
        <v>-8051</v>
      </c>
      <c r="O116" s="382"/>
    </row>
    <row r="117" spans="1:15" s="442" customFormat="1" ht="27.75">
      <c r="A117" s="1543" t="s">
        <v>225</v>
      </c>
      <c r="B117" s="1544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G117+'30'!H117</f>
        <v>95</v>
      </c>
      <c r="I117" s="532"/>
      <c r="J117" s="558">
        <f>H117/DAY(B2)</f>
        <v>3.064516129032258</v>
      </c>
      <c r="N117" s="440">
        <f>H117-'1'!E117</f>
        <v>95</v>
      </c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534">
        <f>SUM(G115:G117)</f>
        <v>14</v>
      </c>
      <c r="H118" s="460">
        <f>G118+'30'!H118</f>
        <v>119</v>
      </c>
      <c r="I118" s="534"/>
      <c r="J118" s="558">
        <f>H118/DAY(B2)</f>
        <v>3.838709677419355</v>
      </c>
      <c r="N118" s="440">
        <f>H118-'1'!E118</f>
        <v>119</v>
      </c>
      <c r="O118" s="382"/>
    </row>
    <row r="119" spans="1:15" s="446" customFormat="1" ht="27.75">
      <c r="A119" s="1539" t="s">
        <v>226</v>
      </c>
      <c r="B119" s="1540"/>
      <c r="C119" s="1140"/>
      <c r="D119" s="624" t="s">
        <v>143</v>
      </c>
      <c r="E119" s="536"/>
      <c r="F119" s="536"/>
      <c r="G119" s="536">
        <f>SUM(G19+G93)</f>
        <v>171</v>
      </c>
      <c r="H119" s="460">
        <f>G119+'30'!H119</f>
        <v>337</v>
      </c>
      <c r="I119" s="535"/>
      <c r="J119" s="559">
        <f>H119/DAY(B2)</f>
        <v>10.870967741935484</v>
      </c>
      <c r="N119" s="440">
        <f>H119-'1'!E119</f>
        <v>337</v>
      </c>
      <c r="O119" s="382"/>
    </row>
    <row r="120" spans="1:15" s="446" customFormat="1" ht="27.75">
      <c r="A120" s="1539" t="s">
        <v>227</v>
      </c>
      <c r="B120" s="1540"/>
      <c r="C120" s="1140"/>
      <c r="D120" s="624" t="s">
        <v>143</v>
      </c>
      <c r="E120" s="536"/>
      <c r="F120" s="536"/>
      <c r="G120" s="536">
        <f>SUM(G96,G97,G98,G100,G101)</f>
        <v>99</v>
      </c>
      <c r="H120" s="460">
        <f>G120+'30'!H120</f>
        <v>314</v>
      </c>
      <c r="I120" s="535"/>
      <c r="J120" s="559">
        <f>H120/DAY(B2)</f>
        <v>10.129032258064516</v>
      </c>
      <c r="N120" s="440">
        <f>H120-'1'!E120</f>
        <v>314</v>
      </c>
      <c r="O120" s="382"/>
    </row>
    <row r="121" spans="1:15" s="446" customFormat="1" ht="27.75">
      <c r="A121" s="1539" t="s">
        <v>228</v>
      </c>
      <c r="B121" s="1540"/>
      <c r="C121" s="1140"/>
      <c r="D121" s="624" t="s">
        <v>143</v>
      </c>
      <c r="E121" s="534"/>
      <c r="F121" s="534"/>
      <c r="G121" s="534">
        <f>SUM(G113)</f>
        <v>64</v>
      </c>
      <c r="H121" s="460">
        <f>G121+'30'!H121</f>
        <v>248</v>
      </c>
      <c r="I121" s="535"/>
      <c r="J121" s="559">
        <f>H121/DAY(B2)</f>
        <v>8</v>
      </c>
      <c r="N121" s="440">
        <f>H121-'1'!E121</f>
        <v>248</v>
      </c>
      <c r="O121" s="382"/>
    </row>
    <row r="122" spans="1:15" s="442" customFormat="1" ht="27.75">
      <c r="A122" s="1541"/>
      <c r="B122" s="1542"/>
      <c r="C122" s="1141"/>
      <c r="D122" s="560"/>
      <c r="E122" s="560" t="s">
        <v>214</v>
      </c>
      <c r="F122" s="560"/>
      <c r="G122" s="560"/>
      <c r="H122" s="561"/>
      <c r="I122" s="560"/>
      <c r="J122" s="562"/>
      <c r="N122" s="440">
        <f>H122-'1'!E122</f>
        <v>0</v>
      </c>
      <c r="O122" s="382"/>
    </row>
    <row r="123" spans="1:15" ht="29.25">
      <c r="A123" s="1576" t="s">
        <v>229</v>
      </c>
      <c r="B123" s="1577"/>
      <c r="C123" s="1578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3" t="s">
        <v>230</v>
      </c>
      <c r="B124" s="1144"/>
      <c r="C124" s="1144"/>
      <c r="D124" s="523" t="s">
        <v>140</v>
      </c>
      <c r="E124" s="455">
        <f>'30'!F124</f>
        <v>832189</v>
      </c>
      <c r="F124" s="478">
        <v>832366</v>
      </c>
      <c r="G124" s="473">
        <f t="shared" ref="G124:G128" si="14">F124-E124</f>
        <v>177</v>
      </c>
      <c r="H124" s="460">
        <f>G124+'30'!H124</f>
        <v>6277.5400000000373</v>
      </c>
      <c r="I124" s="526"/>
      <c r="J124" s="552">
        <f>H124/DAY(B2)</f>
        <v>202.50129032258184</v>
      </c>
      <c r="K124" s="380"/>
      <c r="L124" s="377"/>
      <c r="N124" s="440">
        <f>H124-'1'!E124</f>
        <v>-819810.91999999993</v>
      </c>
      <c r="O124" s="382"/>
    </row>
    <row r="125" spans="1:15" ht="27.75">
      <c r="A125" s="1143" t="s">
        <v>231</v>
      </c>
      <c r="B125" s="1144"/>
      <c r="C125" s="1144"/>
      <c r="D125" s="523" t="s">
        <v>140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30" t="s">
        <v>232</v>
      </c>
      <c r="B126" s="1531"/>
      <c r="C126" s="1532"/>
      <c r="D126" s="523" t="s">
        <v>140</v>
      </c>
      <c r="E126" s="455">
        <f>'30'!F126</f>
        <v>146433</v>
      </c>
      <c r="F126" s="478">
        <v>146491</v>
      </c>
      <c r="G126" s="473">
        <f t="shared" si="14"/>
        <v>58</v>
      </c>
      <c r="H126" s="460">
        <f>G126+'30'!H126</f>
        <v>1803.5599999999977</v>
      </c>
      <c r="I126" s="526"/>
      <c r="J126" s="552">
        <f>H126/DAY(B2)</f>
        <v>58.1793548387096</v>
      </c>
      <c r="K126" s="380"/>
      <c r="L126" s="377"/>
      <c r="N126" s="440">
        <f>H126-'1'!E126</f>
        <v>-142883.88</v>
      </c>
      <c r="O126" s="382"/>
    </row>
    <row r="127" spans="1:15" ht="27.75">
      <c r="A127" s="609" t="s">
        <v>233</v>
      </c>
      <c r="B127" s="1144"/>
      <c r="C127" s="1144"/>
      <c r="D127" s="523" t="s">
        <v>140</v>
      </c>
      <c r="E127" s="455">
        <f>'30'!F127</f>
        <v>31404</v>
      </c>
      <c r="F127" s="626">
        <v>31406</v>
      </c>
      <c r="G127" s="473">
        <f t="shared" si="14"/>
        <v>2</v>
      </c>
      <c r="H127" s="460">
        <f>G127+'30'!H127</f>
        <v>2</v>
      </c>
      <c r="I127" s="526"/>
      <c r="J127" s="552">
        <f>H127/DAY(B2)</f>
        <v>6.4516129032258063E-2</v>
      </c>
      <c r="K127" s="380"/>
      <c r="L127" s="377"/>
      <c r="N127" s="440">
        <f>H127-'1'!E127</f>
        <v>-31402</v>
      </c>
      <c r="O127" s="382"/>
    </row>
    <row r="128" spans="1:15" ht="27.75">
      <c r="A128" s="609" t="s">
        <v>234</v>
      </c>
      <c r="B128" s="1144"/>
      <c r="C128" s="1144"/>
      <c r="D128" s="523" t="s">
        <v>140</v>
      </c>
      <c r="E128" s="455">
        <f>'30'!F128</f>
        <v>8971</v>
      </c>
      <c r="F128" s="626">
        <v>8972</v>
      </c>
      <c r="G128" s="473">
        <f t="shared" si="14"/>
        <v>1</v>
      </c>
      <c r="H128" s="460">
        <f>G128+'30'!H128</f>
        <v>2.2999999999992724</v>
      </c>
      <c r="I128" s="480"/>
      <c r="J128" s="552">
        <f>H128/DAY(B2)</f>
        <v>7.4193548387073302E-2</v>
      </c>
      <c r="K128" s="380"/>
      <c r="L128" s="377"/>
      <c r="N128" s="440">
        <f>H128-'1'!E128</f>
        <v>-8967.4000000000015</v>
      </c>
      <c r="O128" s="382"/>
    </row>
    <row r="129" spans="1:15" s="281" customFormat="1" ht="27.75">
      <c r="A129" s="609" t="s">
        <v>235</v>
      </c>
      <c r="B129" s="1144"/>
      <c r="C129" s="1144"/>
      <c r="D129" s="523"/>
      <c r="E129" s="478"/>
      <c r="F129" s="478"/>
      <c r="G129" s="473">
        <f>G15-SUM(G124:G128)</f>
        <v>402</v>
      </c>
      <c r="H129" s="460">
        <f>G129+'30'!H129</f>
        <v>402</v>
      </c>
      <c r="I129" s="480"/>
      <c r="J129" s="552"/>
      <c r="K129" s="364"/>
      <c r="L129" s="292"/>
      <c r="N129" s="440">
        <f>H129-'1'!E129</f>
        <v>402</v>
      </c>
      <c r="O129" s="382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3" t="s">
        <v>237</v>
      </c>
      <c r="B131" s="1144"/>
      <c r="C131" s="1144"/>
      <c r="D131" s="523" t="s">
        <v>238</v>
      </c>
      <c r="E131" s="455">
        <f>'30'!F131</f>
        <v>0</v>
      </c>
      <c r="F131" s="478">
        <v>0</v>
      </c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3" t="s">
        <v>239</v>
      </c>
      <c r="B132" s="1144"/>
      <c r="C132" s="1144"/>
      <c r="D132" s="523" t="s">
        <v>238</v>
      </c>
      <c r="E132" s="455">
        <f>'30'!F132</f>
        <v>0</v>
      </c>
      <c r="F132" s="626">
        <v>0</v>
      </c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3" t="s">
        <v>240</v>
      </c>
      <c r="B133" s="1144"/>
      <c r="C133" s="1144"/>
      <c r="D133" s="523" t="s">
        <v>238</v>
      </c>
      <c r="E133" s="455">
        <f>'30'!F133</f>
        <v>40059</v>
      </c>
      <c r="F133" s="478">
        <v>40059</v>
      </c>
      <c r="G133" s="473">
        <f t="shared" si="15"/>
        <v>0</v>
      </c>
      <c r="H133" s="460">
        <f>G133+'30'!H133</f>
        <v>312.5199999999968</v>
      </c>
      <c r="I133" s="480"/>
      <c r="J133" s="552">
        <f>H133/DAY(B2)</f>
        <v>10.081290322580541</v>
      </c>
      <c r="O133" s="382"/>
    </row>
    <row r="134" spans="1:15" ht="27.75">
      <c r="A134" s="1143" t="s">
        <v>241</v>
      </c>
      <c r="B134" s="1144"/>
      <c r="C134" s="1144"/>
      <c r="D134" s="523" t="s">
        <v>238</v>
      </c>
      <c r="E134" s="455">
        <f>'30'!F134</f>
        <v>300</v>
      </c>
      <c r="F134" s="626">
        <v>300</v>
      </c>
      <c r="G134" s="473">
        <f t="shared" si="15"/>
        <v>0</v>
      </c>
      <c r="H134" s="460">
        <f>G134+'30'!H134</f>
        <v>0</v>
      </c>
      <c r="I134" s="480">
        <f>G131+G132+G133+G134</f>
        <v>0</v>
      </c>
      <c r="J134" s="552">
        <f>H134/DAY(B2)</f>
        <v>0</v>
      </c>
      <c r="O134" s="382"/>
    </row>
    <row r="135" spans="1:15" ht="27.75">
      <c r="A135" s="1143" t="s">
        <v>242</v>
      </c>
      <c r="B135" s="1144"/>
      <c r="C135" s="1144"/>
      <c r="D135" s="523" t="s">
        <v>238</v>
      </c>
      <c r="E135" s="455">
        <f>'30'!F135</f>
        <v>41730</v>
      </c>
      <c r="F135" s="626">
        <v>41730</v>
      </c>
      <c r="G135" s="473">
        <f t="shared" si="15"/>
        <v>0</v>
      </c>
      <c r="H135" s="460">
        <f>G135+'30'!H135</f>
        <v>71.610000000000582</v>
      </c>
      <c r="I135" s="480"/>
      <c r="J135" s="552">
        <f>H135/DAY(B2)</f>
        <v>2.3100000000000187</v>
      </c>
      <c r="O135" s="382"/>
    </row>
    <row r="136" spans="1:15" ht="27.75">
      <c r="A136" s="1143" t="s">
        <v>243</v>
      </c>
      <c r="B136" s="1144"/>
      <c r="C136" s="1144"/>
      <c r="D136" s="523" t="s">
        <v>238</v>
      </c>
      <c r="E136" s="455">
        <f>'30'!F136</f>
        <v>32691.27</v>
      </c>
      <c r="F136" s="541">
        <v>32715</v>
      </c>
      <c r="G136" s="473">
        <f t="shared" si="15"/>
        <v>23.729999999999563</v>
      </c>
      <c r="H136" s="460">
        <f>G136+'30'!H136</f>
        <v>145.06999999999971</v>
      </c>
      <c r="I136" s="480"/>
      <c r="J136" s="552">
        <f>H136/DAY(B2)</f>
        <v>4.6796774193548289</v>
      </c>
      <c r="O136" s="382"/>
    </row>
    <row r="137" spans="1:15" ht="27.75">
      <c r="A137" s="1143" t="s">
        <v>244</v>
      </c>
      <c r="B137" s="1144"/>
      <c r="C137" s="1144"/>
      <c r="D137" s="523" t="s">
        <v>238</v>
      </c>
      <c r="E137" s="455">
        <f>'30'!F137</f>
        <v>22799</v>
      </c>
      <c r="F137" s="541">
        <v>22807.24</v>
      </c>
      <c r="G137" s="473">
        <f t="shared" si="15"/>
        <v>8.2400000000016007</v>
      </c>
      <c r="H137" s="460">
        <f>G137+'30'!H137</f>
        <v>67.650000000001455</v>
      </c>
      <c r="I137" s="480">
        <f>G135+G136+G137</f>
        <v>31.970000000001164</v>
      </c>
      <c r="J137" s="552">
        <f>H137/DAY(B2)</f>
        <v>2.182258064516176</v>
      </c>
      <c r="O137" s="382"/>
    </row>
    <row r="138" spans="1:15" ht="27.75">
      <c r="A138" s="1143" t="s">
        <v>245</v>
      </c>
      <c r="B138" s="1144"/>
      <c r="C138" s="1144"/>
      <c r="D138" s="523" t="s">
        <v>238</v>
      </c>
      <c r="E138" s="455">
        <f>'30'!F138</f>
        <v>25051.82</v>
      </c>
      <c r="F138" s="541">
        <v>25051.82</v>
      </c>
      <c r="G138" s="473">
        <f t="shared" si="15"/>
        <v>0</v>
      </c>
      <c r="H138" s="460">
        <f>G138+'30'!H138</f>
        <v>8.0999999999985448</v>
      </c>
      <c r="I138" s="480"/>
      <c r="J138" s="552">
        <f>H138/DAY(B2)</f>
        <v>0.2612903225805982</v>
      </c>
      <c r="O138" s="382"/>
    </row>
    <row r="139" spans="1:15" ht="27.75">
      <c r="A139" s="1143" t="s">
        <v>246</v>
      </c>
      <c r="B139" s="1144"/>
      <c r="C139" s="1144"/>
      <c r="D139" s="523" t="s">
        <v>238</v>
      </c>
      <c r="E139" s="455">
        <f>'30'!F139</f>
        <v>70411.740000000005</v>
      </c>
      <c r="F139" s="541">
        <v>70411.740000000005</v>
      </c>
      <c r="G139" s="473">
        <f t="shared" si="15"/>
        <v>0</v>
      </c>
      <c r="H139" s="460">
        <f>G139+'30'!H139</f>
        <v>47.639999999999418</v>
      </c>
      <c r="I139" s="480">
        <f>G138+G139</f>
        <v>0</v>
      </c>
      <c r="J139" s="552">
        <f>H139/DAY(B2)</f>
        <v>1.5367741935483683</v>
      </c>
      <c r="O139" s="382"/>
    </row>
    <row r="140" spans="1:15" ht="27.75">
      <c r="A140" s="1143" t="s">
        <v>247</v>
      </c>
      <c r="B140" s="1144"/>
      <c r="C140" s="1144"/>
      <c r="D140" s="523" t="s">
        <v>238</v>
      </c>
      <c r="E140" s="455">
        <f>'30'!F140</f>
        <v>1847.53</v>
      </c>
      <c r="F140" s="484">
        <v>1854.3</v>
      </c>
      <c r="G140" s="473">
        <f t="shared" si="15"/>
        <v>6.7699999999999818</v>
      </c>
      <c r="H140" s="460">
        <f>G140+'30'!H140</f>
        <v>237.44000000000005</v>
      </c>
      <c r="I140" s="542"/>
      <c r="J140" s="552">
        <f>H140/DAY(B2)</f>
        <v>7.659354838709679</v>
      </c>
      <c r="O140" s="382"/>
    </row>
    <row r="141" spans="1:15" ht="27.75">
      <c r="A141" s="1143" t="s">
        <v>248</v>
      </c>
      <c r="B141" s="1144"/>
      <c r="C141" s="1144"/>
      <c r="D141" s="523" t="s">
        <v>238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57" t="s">
        <v>249</v>
      </c>
      <c r="B142" s="1558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1" t="s">
        <v>250</v>
      </c>
      <c r="B143" s="1552"/>
      <c r="C143" s="1553"/>
      <c r="D143" s="523" t="s">
        <v>131</v>
      </c>
      <c r="E143" s="523"/>
      <c r="F143" s="523"/>
      <c r="G143" s="460">
        <f>G35+G43+G49+G57</f>
        <v>4621.8699999999953</v>
      </c>
      <c r="H143" s="460">
        <f>G143+'30'!H143</f>
        <v>132025.87</v>
      </c>
      <c r="I143" s="480"/>
      <c r="J143" s="552">
        <f>H143/DAY(B2)</f>
        <v>4258.8990322580639</v>
      </c>
      <c r="K143" s="380"/>
      <c r="L143" s="377"/>
      <c r="O143" s="382"/>
    </row>
    <row r="144" spans="1:15" ht="27.75">
      <c r="A144" s="1551" t="s">
        <v>251</v>
      </c>
      <c r="B144" s="1552"/>
      <c r="C144" s="1553"/>
      <c r="D144" s="523" t="s">
        <v>24</v>
      </c>
      <c r="E144" s="511"/>
      <c r="F144" s="511"/>
      <c r="G144" s="543">
        <f>G143/G7</f>
        <v>0.26137363569530031</v>
      </c>
      <c r="H144" s="460">
        <f>G144+'30'!H144</f>
        <v>8.1981926289043159</v>
      </c>
      <c r="I144" s="544"/>
      <c r="J144" s="552">
        <f>H144/DAY(B2)</f>
        <v>0.26445782673884888</v>
      </c>
      <c r="K144" s="380"/>
      <c r="L144" s="377"/>
      <c r="O144" s="382"/>
    </row>
    <row r="145" spans="1:15" ht="27.75">
      <c r="A145" s="1551" t="s">
        <v>252</v>
      </c>
      <c r="B145" s="1552"/>
      <c r="C145" s="1553"/>
      <c r="D145" s="523" t="s">
        <v>131</v>
      </c>
      <c r="E145" s="455"/>
      <c r="F145" s="455"/>
      <c r="G145" s="460">
        <f>G41+G42+G55+G56</f>
        <v>5603</v>
      </c>
      <c r="H145" s="460">
        <f>G145+'30'!H145</f>
        <v>154970.53000000003</v>
      </c>
      <c r="I145" s="480"/>
      <c r="J145" s="552">
        <f>H145/DAY(B2)</f>
        <v>4999.0493548387103</v>
      </c>
      <c r="K145" s="380"/>
      <c r="L145" s="377"/>
      <c r="O145" s="382"/>
    </row>
    <row r="146" spans="1:15" ht="27.75">
      <c r="A146" s="1551" t="s">
        <v>253</v>
      </c>
      <c r="B146" s="1552"/>
      <c r="C146" s="1553"/>
      <c r="D146" s="523" t="s">
        <v>24</v>
      </c>
      <c r="E146" s="455"/>
      <c r="F146" s="455"/>
      <c r="G146" s="543">
        <f>G145/G7</f>
        <v>0.31685799920827912</v>
      </c>
      <c r="H146" s="460">
        <f>G146+'30'!H146</f>
        <v>9.6327109830201785</v>
      </c>
      <c r="I146" s="544"/>
      <c r="J146" s="552">
        <f>H146/DAY(B2)</f>
        <v>0.3107326123554896</v>
      </c>
      <c r="K146" s="380"/>
      <c r="L146" s="377"/>
      <c r="O146" s="382"/>
    </row>
    <row r="147" spans="1:15" ht="27.75">
      <c r="A147" s="1551" t="s">
        <v>254</v>
      </c>
      <c r="B147" s="1552"/>
      <c r="C147" s="1553"/>
      <c r="D147" s="523" t="s">
        <v>131</v>
      </c>
      <c r="E147" s="455"/>
      <c r="F147" s="455"/>
      <c r="G147" s="460">
        <f>G39+G53</f>
        <v>2684</v>
      </c>
      <c r="H147" s="460">
        <f>G147+'30'!H147</f>
        <v>77801</v>
      </c>
      <c r="I147" s="545"/>
      <c r="J147" s="552">
        <f>H147/DAY(B2)</f>
        <v>2509.7096774193546</v>
      </c>
      <c r="K147" s="380"/>
      <c r="L147" s="377"/>
      <c r="O147" s="382"/>
    </row>
    <row r="148" spans="1:15" ht="27.75">
      <c r="A148" s="1551" t="s">
        <v>255</v>
      </c>
      <c r="B148" s="1552"/>
      <c r="C148" s="1553"/>
      <c r="D148" s="523" t="s">
        <v>24</v>
      </c>
      <c r="E148" s="455"/>
      <c r="F148" s="455"/>
      <c r="G148" s="543">
        <f>G147/G7</f>
        <v>0.15178419951365718</v>
      </c>
      <c r="H148" s="460">
        <f>G148+'30'!H148</f>
        <v>4.8309711678005414</v>
      </c>
      <c r="I148" s="545"/>
      <c r="J148" s="552">
        <f>H148/DAY(B2)</f>
        <v>0.15583777960646908</v>
      </c>
      <c r="O148" s="382"/>
    </row>
    <row r="149" spans="1:15" ht="27.75">
      <c r="A149" s="1551" t="s">
        <v>256</v>
      </c>
      <c r="B149" s="1552"/>
      <c r="C149" s="1553"/>
      <c r="D149" s="523" t="s">
        <v>182</v>
      </c>
      <c r="E149" s="455"/>
      <c r="F149" s="455"/>
      <c r="G149" s="460">
        <f>G38+G52</f>
        <v>1249</v>
      </c>
      <c r="H149" s="460">
        <f>G149+'30'!H149</f>
        <v>36809</v>
      </c>
      <c r="I149" s="480"/>
      <c r="J149" s="552">
        <f>H149/DAY(B2)</f>
        <v>1187.3870967741937</v>
      </c>
      <c r="K149" s="381"/>
      <c r="O149" s="382"/>
    </row>
    <row r="150" spans="1:15" ht="27.75">
      <c r="A150" s="1551" t="s">
        <v>257</v>
      </c>
      <c r="B150" s="1552"/>
      <c r="C150" s="1553"/>
      <c r="D150" s="523" t="s">
        <v>24</v>
      </c>
      <c r="E150" s="455"/>
      <c r="F150" s="455"/>
      <c r="G150" s="543">
        <f>G149/G7</f>
        <v>7.0632811174574456E-2</v>
      </c>
      <c r="H150" s="460">
        <f>G150+'30'!H150</f>
        <v>2.2892467662149318</v>
      </c>
      <c r="I150" s="545"/>
      <c r="J150" s="552">
        <f>H150/DAY(B2)</f>
        <v>7.3846669877901033E-2</v>
      </c>
      <c r="O150" s="382"/>
    </row>
    <row r="151" spans="1:15" ht="27.75">
      <c r="A151" s="1551" t="s">
        <v>258</v>
      </c>
      <c r="B151" s="1552"/>
      <c r="C151" s="1553"/>
      <c r="D151" s="523" t="s">
        <v>182</v>
      </c>
      <c r="E151" s="455"/>
      <c r="F151" s="455"/>
      <c r="G151" s="460">
        <f>G36+G50</f>
        <v>1057</v>
      </c>
      <c r="H151" s="460">
        <f>G151+'30'!H151</f>
        <v>30630</v>
      </c>
      <c r="I151" s="545"/>
      <c r="J151" s="552">
        <f>H151/DAY(B2)</f>
        <v>988.06451612903231</v>
      </c>
      <c r="O151" s="382"/>
    </row>
    <row r="152" spans="1:15" ht="27.75">
      <c r="A152" s="1551" t="s">
        <v>259</v>
      </c>
      <c r="B152" s="1552"/>
      <c r="C152" s="1553"/>
      <c r="D152" s="523" t="s">
        <v>24</v>
      </c>
      <c r="E152" s="455"/>
      <c r="F152" s="455"/>
      <c r="G152" s="543">
        <f>G151/G7</f>
        <v>5.9774925069275578E-2</v>
      </c>
      <c r="H152" s="460">
        <f>G152+'30'!H152</f>
        <v>1.8991255885701723</v>
      </c>
      <c r="I152" s="480"/>
      <c r="J152" s="552">
        <f>H152/DAY(B2)</f>
        <v>6.126211576032814E-2</v>
      </c>
      <c r="O152" s="382"/>
    </row>
    <row r="153" spans="1:15" ht="27.75">
      <c r="A153" s="1551" t="s">
        <v>260</v>
      </c>
      <c r="B153" s="1552"/>
      <c r="C153" s="1553"/>
      <c r="D153" s="523" t="s">
        <v>182</v>
      </c>
      <c r="E153" s="455"/>
      <c r="F153" s="455"/>
      <c r="G153" s="460">
        <f>G37+G51</f>
        <v>1260</v>
      </c>
      <c r="H153" s="460">
        <f>G153+'30'!H153</f>
        <v>39011</v>
      </c>
      <c r="I153" s="480"/>
      <c r="J153" s="552">
        <f>H153/DAY(B2)</f>
        <v>1258.4193548387098</v>
      </c>
      <c r="O153" s="382"/>
    </row>
    <row r="154" spans="1:15" ht="28.5" thickBot="1">
      <c r="A154" s="1554" t="s">
        <v>261</v>
      </c>
      <c r="B154" s="1555"/>
      <c r="C154" s="1556"/>
      <c r="D154" s="625" t="s">
        <v>24</v>
      </c>
      <c r="E154" s="565"/>
      <c r="F154" s="565"/>
      <c r="G154" s="566">
        <f>G153/G7</f>
        <v>7.1254877566023861E-2</v>
      </c>
      <c r="H154" s="460">
        <f>G154+'30'!H154</f>
        <v>2.4300067547982875</v>
      </c>
      <c r="I154" s="568"/>
      <c r="J154" s="569">
        <f>H154/DAY(B2)</f>
        <v>7.8387314670912506E-2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7" t="s">
        <v>262</v>
      </c>
      <c r="B161" s="788"/>
      <c r="C161" s="788"/>
      <c r="D161" s="511" t="s">
        <v>186</v>
      </c>
      <c r="E161" s="661">
        <v>38350</v>
      </c>
      <c r="F161" s="661">
        <v>38434</v>
      </c>
      <c r="G161" s="473">
        <f t="shared" ref="G161:G164" si="16">F161-E161</f>
        <v>84</v>
      </c>
    </row>
    <row r="162" spans="1:7" ht="29.25">
      <c r="A162" s="787" t="s">
        <v>263</v>
      </c>
      <c r="B162" s="788"/>
      <c r="C162" s="788"/>
      <c r="D162" s="511" t="s">
        <v>186</v>
      </c>
      <c r="E162" s="661">
        <v>94392</v>
      </c>
      <c r="F162" s="661">
        <v>94790</v>
      </c>
      <c r="G162" s="473">
        <f t="shared" si="16"/>
        <v>398</v>
      </c>
    </row>
    <row r="163" spans="1:7" ht="29.25">
      <c r="A163" s="787" t="s">
        <v>264</v>
      </c>
      <c r="B163" s="788"/>
      <c r="C163" s="788"/>
      <c r="D163" s="511" t="s">
        <v>186</v>
      </c>
      <c r="E163" s="661">
        <v>44727</v>
      </c>
      <c r="F163" s="661">
        <v>44933</v>
      </c>
      <c r="G163" s="473">
        <f t="shared" si="16"/>
        <v>206</v>
      </c>
    </row>
    <row r="164" spans="1:7" ht="29.25">
      <c r="A164" s="787" t="s">
        <v>265</v>
      </c>
      <c r="B164" s="788"/>
      <c r="C164" s="788"/>
      <c r="D164" s="511" t="s">
        <v>186</v>
      </c>
      <c r="E164" s="661">
        <v>6554</v>
      </c>
      <c r="F164" s="661">
        <v>6560</v>
      </c>
      <c r="G164" s="473">
        <f t="shared" si="16"/>
        <v>6</v>
      </c>
    </row>
    <row r="165" spans="1:7" ht="29.25">
      <c r="A165" s="789" t="s">
        <v>98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9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26" t="s">
        <v>99</v>
      </c>
      <c r="B167" s="1526"/>
      <c r="C167" s="1526"/>
      <c r="D167" s="523" t="s">
        <v>186</v>
      </c>
      <c r="E167" s="514">
        <f t="shared" ref="E167:E172" si="18">E64</f>
        <v>159745</v>
      </c>
      <c r="F167" s="514">
        <f t="shared" ref="F167:F172" si="19">F64</f>
        <v>159932</v>
      </c>
      <c r="G167" s="473">
        <f t="shared" si="17"/>
        <v>187</v>
      </c>
    </row>
    <row r="168" spans="1:7" ht="27.75">
      <c r="A168" s="1526" t="s">
        <v>100</v>
      </c>
      <c r="B168" s="1526"/>
      <c r="C168" s="1526"/>
      <c r="D168" s="523" t="s">
        <v>186</v>
      </c>
      <c r="E168" s="514">
        <f t="shared" si="18"/>
        <v>160777</v>
      </c>
      <c r="F168" s="514">
        <f t="shared" si="19"/>
        <v>160998</v>
      </c>
      <c r="G168" s="473">
        <f t="shared" si="17"/>
        <v>221</v>
      </c>
    </row>
    <row r="169" spans="1:7" ht="27.75">
      <c r="A169" s="1526" t="s">
        <v>101</v>
      </c>
      <c r="B169" s="1526"/>
      <c r="C169" s="1526"/>
      <c r="D169" s="523" t="s">
        <v>186</v>
      </c>
      <c r="E169" s="514">
        <f t="shared" si="18"/>
        <v>56522</v>
      </c>
      <c r="F169" s="514">
        <f t="shared" si="19"/>
        <v>56805</v>
      </c>
      <c r="G169" s="473">
        <f t="shared" si="17"/>
        <v>283</v>
      </c>
    </row>
    <row r="170" spans="1:7" ht="27.75">
      <c r="A170" s="1526" t="s">
        <v>102</v>
      </c>
      <c r="B170" s="1526"/>
      <c r="C170" s="1526"/>
      <c r="D170" s="523" t="s">
        <v>186</v>
      </c>
      <c r="E170" s="514">
        <f t="shared" si="18"/>
        <v>251770</v>
      </c>
      <c r="F170" s="514">
        <f t="shared" si="19"/>
        <v>252192</v>
      </c>
      <c r="G170" s="473">
        <f t="shared" si="17"/>
        <v>422</v>
      </c>
    </row>
    <row r="171" spans="1:7" ht="27.75">
      <c r="A171" s="1526" t="s">
        <v>103</v>
      </c>
      <c r="B171" s="1526"/>
      <c r="C171" s="152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6" t="s">
        <v>104</v>
      </c>
      <c r="B172" s="1526"/>
      <c r="C172" s="1526"/>
      <c r="D172" s="523" t="s">
        <v>186</v>
      </c>
      <c r="E172" s="514">
        <f t="shared" si="18"/>
        <v>81645</v>
      </c>
      <c r="F172" s="514">
        <f t="shared" si="19"/>
        <v>81749</v>
      </c>
      <c r="G172" s="473">
        <f t="shared" si="17"/>
        <v>104</v>
      </c>
    </row>
    <row r="173" spans="1:7" ht="29.25">
      <c r="G173" s="539">
        <f>SUM(G161:G172)</f>
        <v>1911</v>
      </c>
    </row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07"/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  <c r="M1" s="1507"/>
      <c r="N1" s="1507"/>
      <c r="O1" s="1507"/>
    </row>
    <row r="2" spans="1:15" ht="28.5" customHeight="1">
      <c r="A2" s="1" t="s">
        <v>0</v>
      </c>
      <c r="B2" s="1" t="s">
        <v>0</v>
      </c>
      <c r="C2" s="1117" t="s">
        <v>1</v>
      </c>
      <c r="D2" s="4" t="s">
        <v>4</v>
      </c>
      <c r="E2" s="1509" t="s">
        <v>7</v>
      </c>
      <c r="F2" s="1509"/>
      <c r="G2" s="1509"/>
      <c r="H2" s="1515" t="s">
        <v>15</v>
      </c>
      <c r="I2" s="1515"/>
      <c r="J2" s="1515"/>
      <c r="K2" s="1117" t="s">
        <v>16</v>
      </c>
      <c r="L2" s="1515" t="s">
        <v>17</v>
      </c>
      <c r="M2" s="1515"/>
      <c r="N2" s="1515"/>
      <c r="O2" s="1117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278</v>
      </c>
      <c r="O3" s="12"/>
    </row>
    <row r="4" spans="1:15">
      <c r="A4" s="16">
        <v>1</v>
      </c>
      <c r="B4" s="17">
        <v>1</v>
      </c>
      <c r="C4" s="18"/>
      <c r="D4" s="19">
        <f>'1'!F8</f>
        <v>5777297</v>
      </c>
      <c r="E4" s="19">
        <f>'1'!G97</f>
        <v>12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82</v>
      </c>
      <c r="J4" s="19">
        <f>'1'!G70</f>
        <v>0</v>
      </c>
      <c r="K4" s="23">
        <f>H4+I4</f>
        <v>82</v>
      </c>
      <c r="L4" s="19">
        <f>'1'!G71</f>
        <v>0</v>
      </c>
      <c r="M4" s="19">
        <f>'1'!G72</f>
        <v>17</v>
      </c>
      <c r="N4" s="19">
        <v>0</v>
      </c>
      <c r="O4" s="23">
        <f>L4+M4+N4</f>
        <v>17</v>
      </c>
    </row>
    <row r="5" spans="1:15">
      <c r="A5" s="16">
        <v>2</v>
      </c>
      <c r="B5" s="26">
        <v>2</v>
      </c>
      <c r="C5" s="26"/>
      <c r="D5" s="19">
        <f>'2'!F8</f>
        <v>5793328</v>
      </c>
      <c r="E5" s="19">
        <f>'2'!G96</f>
        <v>42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93</v>
      </c>
      <c r="J5" s="19">
        <f>'2'!G70</f>
        <v>0</v>
      </c>
      <c r="K5" s="23">
        <f t="shared" ref="K5:K18" si="1">H5+I5</f>
        <v>93</v>
      </c>
      <c r="L5" s="19">
        <f>'2'!G71</f>
        <v>0</v>
      </c>
      <c r="M5" s="19">
        <f>'2'!G72</f>
        <v>15</v>
      </c>
      <c r="N5" s="19">
        <v>0</v>
      </c>
      <c r="O5" s="23">
        <f t="shared" ref="O5:O18" si="2">L5+M5+N5</f>
        <v>15</v>
      </c>
    </row>
    <row r="6" spans="1:15">
      <c r="A6" s="16">
        <v>3</v>
      </c>
      <c r="B6" s="26">
        <v>3</v>
      </c>
      <c r="C6" s="26"/>
      <c r="D6" s="19">
        <f>'4'!F8</f>
        <v>5825643</v>
      </c>
      <c r="E6" s="19">
        <f>'3'!G96</f>
        <v>61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78</v>
      </c>
      <c r="J6" s="19">
        <f>'4'!G70</f>
        <v>0</v>
      </c>
      <c r="K6" s="23">
        <f t="shared" si="1"/>
        <v>78</v>
      </c>
      <c r="L6" s="19">
        <f>'4'!G71</f>
        <v>0</v>
      </c>
      <c r="M6" s="19">
        <f>'4'!G72</f>
        <v>17</v>
      </c>
      <c r="N6" s="19">
        <v>0</v>
      </c>
      <c r="O6" s="23">
        <f t="shared" si="2"/>
        <v>17</v>
      </c>
    </row>
    <row r="7" spans="1:15">
      <c r="A7" s="16">
        <v>4</v>
      </c>
      <c r="B7" s="27">
        <v>4</v>
      </c>
      <c r="C7" s="27"/>
      <c r="D7" s="19">
        <f>'3'!F8</f>
        <v>5809417</v>
      </c>
      <c r="E7" s="19">
        <f>'4'!G96</f>
        <v>62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85</v>
      </c>
      <c r="J7" s="19">
        <f>'3'!G70</f>
        <v>0</v>
      </c>
      <c r="K7" s="23">
        <f t="shared" si="1"/>
        <v>85</v>
      </c>
      <c r="L7" s="19">
        <f>'3'!G71</f>
        <v>0</v>
      </c>
      <c r="M7" s="19">
        <f>'3'!G72</f>
        <v>15</v>
      </c>
      <c r="N7" s="19">
        <v>0</v>
      </c>
      <c r="O7" s="23">
        <f t="shared" si="2"/>
        <v>15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5857109</v>
      </c>
      <c r="E9" s="19">
        <f>'6'!G96</f>
        <v>39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41</v>
      </c>
      <c r="J9" s="19">
        <f>'6'!G70</f>
        <v>0</v>
      </c>
      <c r="K9" s="23">
        <f t="shared" si="1"/>
        <v>41</v>
      </c>
      <c r="L9" s="19">
        <f>'6'!G71</f>
        <v>0</v>
      </c>
      <c r="M9" s="19">
        <f>'6'!G72</f>
        <v>31</v>
      </c>
      <c r="N9" s="19">
        <v>0</v>
      </c>
      <c r="O9" s="23">
        <f t="shared" si="2"/>
        <v>31</v>
      </c>
    </row>
    <row r="10" spans="1:15">
      <c r="A10" s="16">
        <v>7</v>
      </c>
      <c r="B10" s="26">
        <v>7</v>
      </c>
      <c r="C10" s="27"/>
      <c r="D10" s="19">
        <f>'7'!F8</f>
        <v>5872131</v>
      </c>
      <c r="E10" s="19">
        <f>'7'!G96</f>
        <v>31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34</v>
      </c>
      <c r="J10" s="19">
        <f>'7'!G70</f>
        <v>0</v>
      </c>
      <c r="K10" s="23">
        <f t="shared" si="1"/>
        <v>34</v>
      </c>
      <c r="L10" s="19">
        <f>'7'!G71</f>
        <v>0</v>
      </c>
      <c r="M10" s="19">
        <f>'7'!G72</f>
        <v>2</v>
      </c>
      <c r="N10" s="19">
        <v>0</v>
      </c>
      <c r="O10" s="23">
        <f t="shared" si="2"/>
        <v>2</v>
      </c>
    </row>
    <row r="11" spans="1:15">
      <c r="A11" s="16">
        <v>8</v>
      </c>
      <c r="B11" s="26">
        <v>8</v>
      </c>
      <c r="C11" s="18"/>
      <c r="D11" s="19">
        <f>'8'!F8</f>
        <v>5891695</v>
      </c>
      <c r="E11" s="19">
        <f>'8'!G96</f>
        <v>78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141.39999999999418</v>
      </c>
      <c r="J11" s="19">
        <f>'8'!G70</f>
        <v>0</v>
      </c>
      <c r="K11" s="23">
        <f t="shared" si="1"/>
        <v>141.39999999999418</v>
      </c>
      <c r="L11" s="19">
        <f>'8'!G71</f>
        <v>0</v>
      </c>
      <c r="M11" s="19">
        <f>'8'!G72</f>
        <v>15</v>
      </c>
      <c r="N11" s="19">
        <v>0</v>
      </c>
      <c r="O11" s="23">
        <f t="shared" si="2"/>
        <v>15</v>
      </c>
    </row>
    <row r="12" spans="1:15">
      <c r="A12" s="16">
        <v>9</v>
      </c>
      <c r="B12" s="27">
        <v>9</v>
      </c>
      <c r="C12" s="26"/>
      <c r="D12" s="19">
        <f>'9'!F8</f>
        <v>5907092</v>
      </c>
      <c r="E12" s="19">
        <f>'9'!G96</f>
        <v>40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112.60000000000582</v>
      </c>
      <c r="J12" s="19">
        <f>'9'!G70</f>
        <v>0</v>
      </c>
      <c r="K12" s="23">
        <f t="shared" si="1"/>
        <v>112.60000000000582</v>
      </c>
      <c r="L12" s="19">
        <f>'9'!G71</f>
        <v>0</v>
      </c>
      <c r="M12" s="19">
        <f>'9'!G72</f>
        <v>16</v>
      </c>
      <c r="N12" s="19">
        <v>0</v>
      </c>
      <c r="O12" s="23">
        <f t="shared" si="2"/>
        <v>16</v>
      </c>
    </row>
    <row r="13" spans="1:15">
      <c r="A13" s="16">
        <v>10</v>
      </c>
      <c r="B13" s="27">
        <v>10</v>
      </c>
      <c r="C13" s="26"/>
      <c r="D13" s="19">
        <f>'10'!F8</f>
        <v>5922347</v>
      </c>
      <c r="E13" s="19">
        <f>'10'!G96</f>
        <v>24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100</v>
      </c>
      <c r="J13" s="19">
        <f>'10'!G70</f>
        <v>0</v>
      </c>
      <c r="K13" s="23">
        <f t="shared" si="1"/>
        <v>100</v>
      </c>
      <c r="L13" s="19">
        <f>'10'!G71</f>
        <v>0</v>
      </c>
      <c r="M13" s="19">
        <f>'10'!G72</f>
        <v>17</v>
      </c>
      <c r="N13" s="19">
        <v>0</v>
      </c>
      <c r="O13" s="23">
        <f t="shared" si="2"/>
        <v>17</v>
      </c>
    </row>
    <row r="14" spans="1:15">
      <c r="A14" s="16">
        <v>11</v>
      </c>
      <c r="B14" s="17">
        <v>11</v>
      </c>
      <c r="C14" s="27"/>
      <c r="D14" s="19">
        <f>'11'!F8</f>
        <v>19957.82</v>
      </c>
      <c r="E14" s="19">
        <f>'11'!G96</f>
        <v>26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39.610000000000582</v>
      </c>
      <c r="J14" s="19">
        <f>'11'!G70</f>
        <v>0</v>
      </c>
      <c r="K14" s="23">
        <f t="shared" si="1"/>
        <v>39.610000000000582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35217.71</v>
      </c>
      <c r="E15" s="19">
        <f>'12'!G96</f>
        <v>35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43.210000000006403</v>
      </c>
      <c r="J15" s="19">
        <f>'12'!G70</f>
        <v>0</v>
      </c>
      <c r="K15" s="23">
        <f t="shared" si="1"/>
        <v>43.210000000006403</v>
      </c>
      <c r="L15" s="19">
        <f>'12'!G71</f>
        <v>0</v>
      </c>
      <c r="M15" s="19">
        <f>'12'!G72</f>
        <v>9</v>
      </c>
      <c r="N15" s="19">
        <v>0</v>
      </c>
      <c r="O15" s="23">
        <f t="shared" si="2"/>
        <v>9</v>
      </c>
    </row>
    <row r="16" spans="1:15">
      <c r="A16" s="16">
        <v>13</v>
      </c>
      <c r="B16" s="26">
        <v>13</v>
      </c>
      <c r="C16" s="26"/>
      <c r="D16" s="19">
        <f>'13'!F8</f>
        <v>49888.73</v>
      </c>
      <c r="E16" s="19">
        <f>'13'!G96</f>
        <v>52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43.44999999999709</v>
      </c>
      <c r="J16" s="19">
        <f>'13'!G70</f>
        <v>0</v>
      </c>
      <c r="K16" s="23">
        <f t="shared" si="1"/>
        <v>43.44999999999709</v>
      </c>
      <c r="L16" s="19">
        <f>'13'!G71</f>
        <v>0</v>
      </c>
      <c r="M16" s="19">
        <f>'13'!G72</f>
        <v>11</v>
      </c>
      <c r="N16" s="19">
        <v>0</v>
      </c>
      <c r="O16" s="23">
        <f t="shared" si="2"/>
        <v>11</v>
      </c>
    </row>
    <row r="17" spans="1:15">
      <c r="A17" s="16">
        <v>14</v>
      </c>
      <c r="B17" s="17">
        <v>14</v>
      </c>
      <c r="C17" s="27"/>
      <c r="D17" s="19">
        <f>'14'!F8</f>
        <v>64319.28</v>
      </c>
      <c r="E17" s="19">
        <f>'14'!G96</f>
        <v>46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42.80000000000291</v>
      </c>
      <c r="J17" s="19">
        <f>'14'!G71</f>
        <v>0</v>
      </c>
      <c r="K17" s="23">
        <f t="shared" si="1"/>
        <v>42.80000000000291</v>
      </c>
      <c r="L17" s="19">
        <f>'14'!G72</f>
        <v>10</v>
      </c>
      <c r="M17" s="19">
        <f>'14'!G73</f>
        <v>1</v>
      </c>
      <c r="N17" s="19">
        <v>0</v>
      </c>
      <c r="O17" s="23">
        <f t="shared" si="2"/>
        <v>11</v>
      </c>
    </row>
    <row r="18" spans="1:15">
      <c r="A18" s="16">
        <v>15</v>
      </c>
      <c r="B18" s="26">
        <v>15</v>
      </c>
      <c r="C18" s="18"/>
      <c r="D18" s="19">
        <f>'15'!F8</f>
        <v>81436</v>
      </c>
      <c r="E18" s="19">
        <f>'15'!G96</f>
        <v>42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89.929999999993015</v>
      </c>
      <c r="J18" s="19">
        <f>'15'!G71</f>
        <v>0</v>
      </c>
      <c r="K18" s="23">
        <f t="shared" si="1"/>
        <v>89.929999999993015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26" t="s">
        <v>116</v>
      </c>
      <c r="B1" s="1726"/>
      <c r="C1" s="1726"/>
      <c r="D1" s="1726"/>
      <c r="E1" s="1726"/>
      <c r="F1" s="1726"/>
      <c r="G1" s="1726"/>
      <c r="H1" s="1726"/>
      <c r="I1" s="1726"/>
      <c r="J1" s="1726"/>
    </row>
    <row r="2" spans="1:12" ht="23.25" customHeight="1">
      <c r="A2" s="214" t="s">
        <v>279</v>
      </c>
      <c r="B2" s="195">
        <v>42328</v>
      </c>
      <c r="C2" s="1727" t="s">
        <v>280</v>
      </c>
      <c r="D2" s="1728"/>
      <c r="E2" s="191" t="s">
        <v>117</v>
      </c>
      <c r="F2" s="191" t="s">
        <v>6</v>
      </c>
      <c r="G2" s="191" t="s">
        <v>8</v>
      </c>
      <c r="H2" s="40" t="s">
        <v>118</v>
      </c>
      <c r="I2" s="41"/>
      <c r="J2" s="42"/>
    </row>
    <row r="3" spans="1:12" ht="18.75" customHeight="1">
      <c r="A3" s="1137" t="s">
        <v>281</v>
      </c>
      <c r="B3" s="189"/>
      <c r="C3" s="189"/>
      <c r="D3" s="1138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282</v>
      </c>
      <c r="J3" s="42" t="s">
        <v>283</v>
      </c>
      <c r="K3" s="116"/>
      <c r="L3" s="117"/>
    </row>
    <row r="4" spans="1:12" ht="18.75" customHeight="1">
      <c r="A4" s="45" t="s">
        <v>284</v>
      </c>
      <c r="B4" s="46" t="s">
        <v>285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122</v>
      </c>
      <c r="B5" s="217"/>
      <c r="C5" s="218"/>
      <c r="D5" s="219" t="s">
        <v>123</v>
      </c>
      <c r="E5" s="220" t="s">
        <v>124</v>
      </c>
      <c r="F5" s="220" t="s">
        <v>111</v>
      </c>
      <c r="G5" s="22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18.75" customHeight="1">
      <c r="A6" s="1734" t="s">
        <v>129</v>
      </c>
      <c r="B6" s="1735"/>
      <c r="C6" s="1736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130</v>
      </c>
      <c r="B7" s="251"/>
      <c r="C7" s="252"/>
      <c r="D7" s="133" t="s">
        <v>131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133</v>
      </c>
      <c r="B9" s="65"/>
      <c r="C9" s="66"/>
      <c r="D9" s="55" t="s">
        <v>131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134</v>
      </c>
      <c r="B10" s="193"/>
      <c r="C10" s="194"/>
      <c r="D10" s="55" t="s">
        <v>131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135</v>
      </c>
      <c r="B11" s="193"/>
      <c r="C11" s="194"/>
      <c r="D11" s="55" t="s">
        <v>131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136</v>
      </c>
      <c r="B12" s="193"/>
      <c r="C12" s="194"/>
      <c r="D12" s="55" t="s">
        <v>131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137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20" t="s">
        <v>138</v>
      </c>
      <c r="B14" s="1721"/>
      <c r="C14" s="1722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139</v>
      </c>
      <c r="B15" s="184"/>
      <c r="C15" s="185"/>
      <c r="D15" s="133" t="s">
        <v>140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20" t="s">
        <v>141</v>
      </c>
      <c r="B17" s="1721"/>
      <c r="C17" s="1722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04" t="s">
        <v>142</v>
      </c>
      <c r="B18" s="1705"/>
      <c r="C18" s="1706"/>
      <c r="D18" s="55" t="s">
        <v>143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04" t="s">
        <v>71</v>
      </c>
      <c r="B19" s="1705"/>
      <c r="C19" s="1706"/>
      <c r="D19" s="55" t="s">
        <v>143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144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20" t="s">
        <v>145</v>
      </c>
      <c r="B21" s="1721"/>
      <c r="C21" s="1722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4" t="s">
        <v>146</v>
      </c>
      <c r="B22" s="1135"/>
      <c r="C22" s="1136"/>
      <c r="D22" s="55" t="s">
        <v>147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4" t="s">
        <v>148</v>
      </c>
      <c r="B23" s="1135"/>
      <c r="C23" s="1136"/>
      <c r="D23" s="55" t="s">
        <v>147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149</v>
      </c>
      <c r="B24" s="171"/>
      <c r="C24" s="172"/>
      <c r="D24" s="54" t="s">
        <v>147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23" t="s">
        <v>150</v>
      </c>
      <c r="B25" s="1724"/>
      <c r="C25" s="1725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151</v>
      </c>
      <c r="B26" s="165"/>
      <c r="C26" s="166"/>
      <c r="D26" s="144" t="s">
        <v>152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131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153</v>
      </c>
      <c r="B28" s="165"/>
      <c r="C28" s="166"/>
      <c r="D28" s="146" t="s">
        <v>154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155</v>
      </c>
      <c r="B29" s="165"/>
      <c r="C29" s="166"/>
      <c r="D29" s="146" t="s">
        <v>156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158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160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29" t="s">
        <v>161</v>
      </c>
      <c r="B32" s="1730"/>
      <c r="C32" s="1730"/>
      <c r="D32" s="1730"/>
      <c r="E32" s="1730"/>
      <c r="F32" s="1730"/>
      <c r="G32" s="1730"/>
      <c r="H32" s="1730"/>
      <c r="I32" s="1730"/>
      <c r="J32" s="1731"/>
      <c r="K32" s="59"/>
      <c r="L32" s="117"/>
    </row>
    <row r="33" spans="1:12" ht="18.75" customHeight="1">
      <c r="A33" s="1150" t="s">
        <v>162</v>
      </c>
      <c r="B33" s="1151"/>
      <c r="C33" s="1152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163</v>
      </c>
      <c r="B34" s="193"/>
      <c r="C34" s="194"/>
      <c r="D34" s="55" t="s">
        <v>131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164</v>
      </c>
      <c r="B35" s="193"/>
      <c r="C35" s="194"/>
      <c r="D35" s="55" t="s">
        <v>131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165</v>
      </c>
      <c r="B36" s="193"/>
      <c r="C36" s="194"/>
      <c r="D36" s="55" t="s">
        <v>131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166</v>
      </c>
      <c r="B37" s="193"/>
      <c r="C37" s="194"/>
      <c r="D37" s="55" t="s">
        <v>131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167</v>
      </c>
      <c r="B38" s="193"/>
      <c r="C38" s="194"/>
      <c r="D38" s="55" t="s">
        <v>131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168</v>
      </c>
      <c r="B39" s="77"/>
      <c r="C39" s="78"/>
      <c r="D39" s="55" t="s">
        <v>131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169</v>
      </c>
      <c r="B40" s="193"/>
      <c r="C40" s="194"/>
      <c r="D40" s="55" t="s">
        <v>131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170</v>
      </c>
      <c r="B41" s="193"/>
      <c r="C41" s="194"/>
      <c r="D41" s="55" t="s">
        <v>131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171</v>
      </c>
      <c r="B42" s="193"/>
      <c r="C42" s="194"/>
      <c r="D42" s="55" t="s">
        <v>131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172</v>
      </c>
      <c r="B43" s="193"/>
      <c r="C43" s="194"/>
      <c r="D43" s="55" t="s">
        <v>131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173</v>
      </c>
      <c r="B44" s="193"/>
      <c r="C44" s="194"/>
      <c r="D44" s="55" t="s">
        <v>131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174</v>
      </c>
      <c r="B45" s="193"/>
      <c r="C45" s="194"/>
      <c r="D45" s="55" t="s">
        <v>131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175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0" t="s">
        <v>176</v>
      </c>
      <c r="B47" s="1151"/>
      <c r="C47" s="1152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163</v>
      </c>
      <c r="B48" s="175"/>
      <c r="C48" s="176"/>
      <c r="D48" s="55" t="s">
        <v>131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177</v>
      </c>
      <c r="B49" s="175"/>
      <c r="C49" s="176"/>
      <c r="D49" s="55" t="s">
        <v>131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165</v>
      </c>
      <c r="B50" s="175"/>
      <c r="C50" s="176"/>
      <c r="D50" s="55" t="s">
        <v>131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178</v>
      </c>
      <c r="B51" s="175"/>
      <c r="C51" s="176"/>
      <c r="D51" s="55" t="s">
        <v>131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167</v>
      </c>
      <c r="B52" s="175"/>
      <c r="C52" s="176"/>
      <c r="D52" s="55" t="s">
        <v>131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179</v>
      </c>
      <c r="B53" s="175"/>
      <c r="C53" s="176"/>
      <c r="D53" s="55" t="s">
        <v>131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180</v>
      </c>
      <c r="B54" s="175"/>
      <c r="C54" s="176"/>
      <c r="D54" s="55" t="s">
        <v>131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181</v>
      </c>
      <c r="B55" s="175"/>
      <c r="C55" s="176"/>
      <c r="D55" s="55" t="s">
        <v>182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171</v>
      </c>
      <c r="B56" s="175"/>
      <c r="C56" s="176"/>
      <c r="D56" s="55" t="s">
        <v>131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183</v>
      </c>
      <c r="B57" s="175"/>
      <c r="C57" s="176"/>
      <c r="D57" s="55" t="s">
        <v>131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175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184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185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186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187</v>
      </c>
      <c r="B62" s="244"/>
      <c r="C62" s="245"/>
      <c r="D62" s="54" t="s">
        <v>186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16" t="s">
        <v>99</v>
      </c>
      <c r="B63" s="1717"/>
      <c r="C63" s="1718"/>
      <c r="D63" s="55" t="s">
        <v>186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16" t="s">
        <v>100</v>
      </c>
      <c r="B64" s="1717"/>
      <c r="C64" s="1718"/>
      <c r="D64" s="55" t="s">
        <v>186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16" t="s">
        <v>101</v>
      </c>
      <c r="B65" s="1717"/>
      <c r="C65" s="1718"/>
      <c r="D65" s="55" t="s">
        <v>186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16" t="s">
        <v>102</v>
      </c>
      <c r="B66" s="1717"/>
      <c r="C66" s="1718"/>
      <c r="D66" s="55" t="s">
        <v>186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16" t="s">
        <v>103</v>
      </c>
      <c r="B67" s="1717"/>
      <c r="C67" s="1718"/>
      <c r="D67" s="55" t="s">
        <v>186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16" t="s">
        <v>104</v>
      </c>
      <c r="B68" s="1717"/>
      <c r="C68" s="1718"/>
      <c r="D68" s="55" t="s">
        <v>186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189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16" t="s">
        <v>190</v>
      </c>
      <c r="B70" s="1717"/>
      <c r="C70" s="1718"/>
      <c r="D70" s="55" t="s">
        <v>186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16" t="s">
        <v>191</v>
      </c>
      <c r="B71" s="1717"/>
      <c r="C71" s="1718"/>
      <c r="D71" s="55" t="s">
        <v>186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16" t="s">
        <v>192</v>
      </c>
      <c r="B72" s="1717"/>
      <c r="C72" s="1718"/>
      <c r="D72" s="55" t="s">
        <v>186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13" t="s">
        <v>193</v>
      </c>
      <c r="B73" s="1714"/>
      <c r="C73" s="1715"/>
      <c r="D73" s="55" t="s">
        <v>186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13" t="s">
        <v>194</v>
      </c>
      <c r="B74" s="1714"/>
      <c r="C74" s="1715"/>
      <c r="D74" s="55" t="s">
        <v>186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16" t="s">
        <v>195</v>
      </c>
      <c r="B75" s="1717"/>
      <c r="C75" s="1718"/>
      <c r="D75" s="55" t="s">
        <v>186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19" t="s">
        <v>92</v>
      </c>
      <c r="B76" s="1711"/>
      <c r="C76" s="1712"/>
      <c r="D76" s="81" t="s">
        <v>186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19" t="s">
        <v>197</v>
      </c>
      <c r="B77" s="1711"/>
      <c r="C77" s="1712"/>
      <c r="D77" s="81" t="s">
        <v>186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19" t="s">
        <v>198</v>
      </c>
      <c r="B78" s="1711"/>
      <c r="C78" s="1712"/>
      <c r="D78" s="81" t="s">
        <v>186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10" t="s">
        <v>93</v>
      </c>
      <c r="B79" s="1711"/>
      <c r="C79" s="1712"/>
      <c r="D79" s="207" t="s">
        <v>131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10" t="s">
        <v>199</v>
      </c>
      <c r="B80" s="1711"/>
      <c r="C80" s="1712"/>
      <c r="D80" s="208" t="s">
        <v>131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10" t="s">
        <v>286</v>
      </c>
      <c r="B81" s="1711"/>
      <c r="C81" s="1712"/>
      <c r="D81" s="209" t="s">
        <v>131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201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204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04" t="s">
        <v>206</v>
      </c>
      <c r="B84" s="1705"/>
      <c r="C84" s="1706"/>
      <c r="D84" s="55" t="s">
        <v>143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04" t="s">
        <v>208</v>
      </c>
      <c r="B85" s="1705"/>
      <c r="C85" s="1706"/>
      <c r="D85" s="55" t="s">
        <v>143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04" t="s">
        <v>209</v>
      </c>
      <c r="B86" s="1705"/>
      <c r="C86" s="1706"/>
      <c r="D86" s="55" t="s">
        <v>143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04" t="s">
        <v>210</v>
      </c>
      <c r="B87" s="1705"/>
      <c r="C87" s="1706"/>
      <c r="D87" s="55" t="s">
        <v>143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04" t="s">
        <v>211</v>
      </c>
      <c r="B88" s="1705"/>
      <c r="C88" s="1706"/>
      <c r="D88" s="55" t="s">
        <v>143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04" t="s">
        <v>212</v>
      </c>
      <c r="B89" s="1705"/>
      <c r="C89" s="1706"/>
      <c r="D89" s="55" t="s">
        <v>143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04" t="s">
        <v>213</v>
      </c>
      <c r="B90" s="1705"/>
      <c r="C90" s="1706"/>
      <c r="D90" s="55" t="s">
        <v>143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04" t="s">
        <v>218</v>
      </c>
      <c r="B91" s="1705"/>
      <c r="C91" s="1706"/>
      <c r="D91" s="55" t="s">
        <v>143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04" t="s">
        <v>77</v>
      </c>
      <c r="B92" s="1705"/>
      <c r="C92" s="1706"/>
      <c r="D92" s="55" t="s">
        <v>143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04" t="s">
        <v>78</v>
      </c>
      <c r="B93" s="1705"/>
      <c r="C93" s="1706"/>
      <c r="D93" s="55" t="s">
        <v>143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04" t="s">
        <v>205</v>
      </c>
      <c r="B94" s="1705"/>
      <c r="C94" s="1706"/>
      <c r="D94" s="55" t="s">
        <v>143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07" t="s">
        <v>229</v>
      </c>
      <c r="B95" s="1708"/>
      <c r="C95" s="1709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230</v>
      </c>
      <c r="B96" s="187"/>
      <c r="C96" s="188"/>
      <c r="D96" s="137" t="s">
        <v>140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232</v>
      </c>
      <c r="B97" s="1135"/>
      <c r="C97" s="1136"/>
      <c r="D97" s="55" t="s">
        <v>140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32" t="s">
        <v>249</v>
      </c>
      <c r="B98" s="1733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04" t="s">
        <v>250</v>
      </c>
      <c r="B99" s="1705"/>
      <c r="C99" s="1706"/>
      <c r="D99" s="55" t="s">
        <v>131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04" t="s">
        <v>251</v>
      </c>
      <c r="B100" s="1705"/>
      <c r="C100" s="1706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04" t="s">
        <v>252</v>
      </c>
      <c r="B101" s="1705"/>
      <c r="C101" s="1706"/>
      <c r="D101" s="55" t="s">
        <v>131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04" t="s">
        <v>253</v>
      </c>
      <c r="B102" s="1705"/>
      <c r="C102" s="1706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04" t="s">
        <v>254</v>
      </c>
      <c r="B103" s="1705"/>
      <c r="C103" s="1706"/>
      <c r="D103" s="55" t="s">
        <v>131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04" t="s">
        <v>255</v>
      </c>
      <c r="B104" s="1705"/>
      <c r="C104" s="1706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04" t="s">
        <v>256</v>
      </c>
      <c r="B105" s="1705"/>
      <c r="C105" s="1706"/>
      <c r="D105" s="55" t="s">
        <v>182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04" t="s">
        <v>257</v>
      </c>
      <c r="B106" s="1705"/>
      <c r="C106" s="1706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04" t="s">
        <v>258</v>
      </c>
      <c r="B107" s="1705"/>
      <c r="C107" s="1706"/>
      <c r="D107" s="55" t="s">
        <v>182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04" t="s">
        <v>259</v>
      </c>
      <c r="B108" s="1705"/>
      <c r="C108" s="1706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04" t="s">
        <v>260</v>
      </c>
      <c r="B109" s="1705"/>
      <c r="C109" s="1706"/>
      <c r="D109" s="55" t="s">
        <v>182</v>
      </c>
      <c r="E109" s="70"/>
      <c r="F109" s="70"/>
      <c r="G109" s="132"/>
      <c r="H109" s="57"/>
      <c r="I109" s="86"/>
      <c r="J109" s="58"/>
    </row>
    <row r="110" spans="1:12" ht="18.75" customHeight="1">
      <c r="A110" s="1704" t="s">
        <v>261</v>
      </c>
      <c r="B110" s="1705"/>
      <c r="C110" s="1706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236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237</v>
      </c>
      <c r="B112" s="197"/>
      <c r="C112" s="197"/>
      <c r="D112" s="55" t="s">
        <v>238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239</v>
      </c>
      <c r="B113" s="197"/>
      <c r="C113" s="197"/>
      <c r="D113" s="55" t="s">
        <v>238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240</v>
      </c>
      <c r="B114" s="197"/>
      <c r="C114" s="197"/>
      <c r="D114" s="55" t="s">
        <v>238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241</v>
      </c>
      <c r="B115" s="197"/>
      <c r="C115" s="197"/>
      <c r="D115" s="55" t="s">
        <v>238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242</v>
      </c>
      <c r="B116" s="197"/>
      <c r="C116" s="197"/>
      <c r="D116" s="55" t="s">
        <v>238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243</v>
      </c>
      <c r="B117" s="197"/>
      <c r="C117" s="197"/>
      <c r="D117" s="55" t="s">
        <v>238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244</v>
      </c>
      <c r="B118" s="197"/>
      <c r="C118" s="197"/>
      <c r="D118" s="55" t="s">
        <v>238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245</v>
      </c>
      <c r="B119" s="197"/>
      <c r="C119" s="197"/>
      <c r="D119" s="55" t="s">
        <v>238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246</v>
      </c>
      <c r="B120" s="197"/>
      <c r="C120" s="197"/>
      <c r="D120" s="55" t="s">
        <v>238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247</v>
      </c>
      <c r="B121" s="197"/>
      <c r="C121" s="197"/>
      <c r="D121" s="55" t="s">
        <v>238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248</v>
      </c>
      <c r="B122" s="197"/>
      <c r="C122" s="197"/>
      <c r="D122" s="55" t="s">
        <v>238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26" t="s">
        <v>116</v>
      </c>
      <c r="B1" s="1726"/>
      <c r="C1" s="1726"/>
      <c r="D1" s="1726"/>
      <c r="E1" s="1726"/>
      <c r="F1" s="1726"/>
      <c r="G1" s="1726"/>
      <c r="H1" s="1726"/>
      <c r="I1" s="1726"/>
      <c r="J1" s="1726"/>
    </row>
    <row r="2" spans="1:12" ht="23.25" customHeight="1">
      <c r="A2" s="282" t="s">
        <v>287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117</v>
      </c>
      <c r="H2" s="285" t="s">
        <v>6</v>
      </c>
      <c r="I2" s="285" t="s">
        <v>8</v>
      </c>
      <c r="J2" s="286" t="s">
        <v>118</v>
      </c>
    </row>
    <row r="3" spans="1:12" ht="23.25" customHeight="1">
      <c r="A3" s="288"/>
      <c r="B3" s="289"/>
      <c r="C3" s="1133" t="s">
        <v>119</v>
      </c>
      <c r="D3" s="386">
        <v>32</v>
      </c>
      <c r="E3" s="1740" t="s">
        <v>120</v>
      </c>
      <c r="F3" s="1741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121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122</v>
      </c>
      <c r="B5" s="297"/>
      <c r="C5" s="298"/>
      <c r="D5" s="299" t="s">
        <v>123</v>
      </c>
      <c r="E5" s="300" t="s">
        <v>124</v>
      </c>
      <c r="F5" s="300" t="s">
        <v>111</v>
      </c>
      <c r="G5" s="30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23.25" customHeight="1">
      <c r="A6" s="1742" t="s">
        <v>129</v>
      </c>
      <c r="B6" s="1743"/>
      <c r="C6" s="1744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130</v>
      </c>
      <c r="B7" s="303"/>
      <c r="C7" s="304"/>
      <c r="D7" s="305" t="s">
        <v>131</v>
      </c>
      <c r="E7" s="159">
        <f>'29'!F7</f>
        <v>308857</v>
      </c>
      <c r="F7" s="306">
        <v>3615871.9</v>
      </c>
      <c r="G7" s="307">
        <f>F7-E7</f>
        <v>3307014.9</v>
      </c>
      <c r="H7" s="57">
        <f>G7+'29'!H7</f>
        <v>3770894.9</v>
      </c>
      <c r="I7" s="276">
        <f>'1'!I7</f>
        <v>12000</v>
      </c>
      <c r="J7" s="58">
        <f>H7/DAY(B2)</f>
        <v>125696.49666666666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133</v>
      </c>
      <c r="B9" s="316"/>
      <c r="C9" s="317"/>
      <c r="D9" s="268" t="s">
        <v>131</v>
      </c>
      <c r="E9" s="56">
        <f>'29'!F9</f>
        <v>1439384</v>
      </c>
      <c r="F9" s="264">
        <v>2288314.7000000002</v>
      </c>
      <c r="G9" s="318">
        <f t="shared" ref="G9:G11" si="0">F9-E9</f>
        <v>848930.70000000019</v>
      </c>
      <c r="H9" s="57">
        <f>G9+'29'!H9</f>
        <v>1297600.7000000002</v>
      </c>
      <c r="I9" s="278">
        <f>I7-J7</f>
        <v>-113696.49666666666</v>
      </c>
      <c r="J9" s="58">
        <f>H9/DAY(B2)</f>
        <v>43253.356666666674</v>
      </c>
      <c r="K9" s="59"/>
      <c r="L9" s="117"/>
    </row>
    <row r="10" spans="1:12" ht="23.25" customHeight="1">
      <c r="A10" s="320" t="s">
        <v>134</v>
      </c>
      <c r="B10" s="321"/>
      <c r="C10" s="322"/>
      <c r="D10" s="268" t="s">
        <v>131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1223736.8199999998</v>
      </c>
      <c r="I10" s="69"/>
      <c r="J10" s="58">
        <f>H10/DAY(B2)</f>
        <v>40791.227333333329</v>
      </c>
      <c r="K10" s="59"/>
      <c r="L10" s="117"/>
    </row>
    <row r="11" spans="1:12" ht="23.25" customHeight="1">
      <c r="A11" s="320" t="s">
        <v>135</v>
      </c>
      <c r="B11" s="321"/>
      <c r="C11" s="322"/>
      <c r="D11" s="268" t="s">
        <v>131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136</v>
      </c>
      <c r="B12" s="321"/>
      <c r="C12" s="322"/>
      <c r="D12" s="268" t="s">
        <v>131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137</v>
      </c>
      <c r="B13" s="401"/>
      <c r="C13" s="402"/>
      <c r="D13" s="268"/>
      <c r="E13" s="422"/>
      <c r="F13" s="279"/>
      <c r="G13" s="279">
        <f>G9+G10+G11+G12</f>
        <v>2069527.52</v>
      </c>
      <c r="H13" s="57">
        <f>G13+'29'!H13</f>
        <v>2503676.52</v>
      </c>
      <c r="I13" s="369">
        <f>G7-G13</f>
        <v>1237487.3799999999</v>
      </c>
      <c r="J13" s="308">
        <f>H13/DAY(B2)</f>
        <v>83455.884000000005</v>
      </c>
      <c r="K13" s="59"/>
      <c r="L13" s="117"/>
    </row>
    <row r="14" spans="1:12" ht="23.25" customHeight="1">
      <c r="A14" s="1745" t="s">
        <v>138</v>
      </c>
      <c r="B14" s="1746"/>
      <c r="C14" s="1747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139</v>
      </c>
      <c r="B15" s="324"/>
      <c r="C15" s="325"/>
      <c r="D15" s="305" t="s">
        <v>140</v>
      </c>
      <c r="E15" s="159">
        <f>'29'!F15</f>
        <v>1683400</v>
      </c>
      <c r="F15" s="266">
        <v>1040573.68</v>
      </c>
      <c r="G15" s="318">
        <f>(F15-E15)</f>
        <v>-642826.31999999995</v>
      </c>
      <c r="H15" s="57">
        <f>G15+'29'!H15</f>
        <v>-630083.31999999995</v>
      </c>
      <c r="I15" s="276">
        <f>'1'!I15</f>
        <v>800</v>
      </c>
      <c r="J15" s="58">
        <f>H15/DAY(B2)</f>
        <v>-21002.777333333332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21802.777333333332</v>
      </c>
      <c r="J16" s="229"/>
      <c r="K16" s="59"/>
      <c r="L16" s="117"/>
    </row>
    <row r="17" spans="1:12" ht="23.25" customHeight="1">
      <c r="A17" s="1745" t="s">
        <v>141</v>
      </c>
      <c r="B17" s="1746"/>
      <c r="C17" s="1747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37" t="s">
        <v>142</v>
      </c>
      <c r="B18" s="1738"/>
      <c r="C18" s="1739"/>
      <c r="D18" s="268" t="s">
        <v>143</v>
      </c>
      <c r="E18" s="415">
        <f>'29'!F18</f>
        <v>6</v>
      </c>
      <c r="F18" s="267">
        <v>24</v>
      </c>
      <c r="G18" s="279">
        <f>F18*10</f>
        <v>240</v>
      </c>
      <c r="H18" s="57">
        <f>G18+'29'!H18</f>
        <v>1420</v>
      </c>
      <c r="I18" s="158">
        <f>'1'!I18</f>
        <v>65</v>
      </c>
      <c r="J18" s="58">
        <f>H18/DAY(B2)</f>
        <v>47.333333333333336</v>
      </c>
      <c r="K18" s="59"/>
      <c r="L18" s="117"/>
    </row>
    <row r="19" spans="1:12" ht="23.25" customHeight="1">
      <c r="A19" s="1737" t="s">
        <v>71</v>
      </c>
      <c r="B19" s="1738"/>
      <c r="C19" s="1739"/>
      <c r="D19" s="268" t="s">
        <v>143</v>
      </c>
      <c r="E19" s="56">
        <f>'29'!F19</f>
        <v>139493</v>
      </c>
      <c r="F19" s="267">
        <v>99778</v>
      </c>
      <c r="G19" s="318">
        <f t="shared" ref="G19" si="1">F19-E19</f>
        <v>-39715</v>
      </c>
      <c r="H19" s="57">
        <f>G19+'29'!H19</f>
        <v>-38034</v>
      </c>
      <c r="I19" s="80"/>
      <c r="J19" s="58">
        <f>H19/DAY(B2)</f>
        <v>-1267.8</v>
      </c>
      <c r="K19" s="59"/>
      <c r="L19" s="117"/>
    </row>
    <row r="20" spans="1:12" ht="23.25" customHeight="1">
      <c r="A20" s="400" t="s">
        <v>144</v>
      </c>
      <c r="B20" s="401"/>
      <c r="C20" s="402"/>
      <c r="D20" s="330"/>
      <c r="E20" s="421"/>
      <c r="F20" s="330"/>
      <c r="G20" s="331">
        <f>G18+G19</f>
        <v>-39475</v>
      </c>
      <c r="H20" s="57">
        <f>G20+'29'!H20</f>
        <v>-36614</v>
      </c>
      <c r="I20" s="127">
        <f>J20-I18</f>
        <v>-1285.4666666666667</v>
      </c>
      <c r="J20" s="58">
        <f>H20/DAY(B2)</f>
        <v>-1220.4666666666667</v>
      </c>
      <c r="K20" s="59"/>
      <c r="L20" s="117"/>
    </row>
    <row r="21" spans="1:12" ht="23.25" customHeight="1">
      <c r="A21" s="1745" t="s">
        <v>145</v>
      </c>
      <c r="B21" s="1746"/>
      <c r="C21" s="1747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5" t="s">
        <v>146</v>
      </c>
      <c r="B22" s="1126"/>
      <c r="C22" s="1127"/>
      <c r="D22" s="268" t="s">
        <v>147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5" t="s">
        <v>148</v>
      </c>
      <c r="B23" s="1126"/>
      <c r="C23" s="1127"/>
      <c r="D23" s="268" t="s">
        <v>147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149</v>
      </c>
      <c r="B24" s="404"/>
      <c r="C24" s="405"/>
      <c r="D24" s="269" t="s">
        <v>147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51" t="s">
        <v>150</v>
      </c>
      <c r="B25" s="1752"/>
      <c r="C25" s="1753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151</v>
      </c>
      <c r="B26" s="334"/>
      <c r="C26" s="335"/>
      <c r="D26" s="336" t="s">
        <v>152</v>
      </c>
      <c r="E26" s="337" t="s">
        <v>288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131</v>
      </c>
      <c r="E27" s="340">
        <f>G7</f>
        <v>3307014.9</v>
      </c>
      <c r="F27" s="412">
        <v>10.86</v>
      </c>
      <c r="G27" s="366">
        <f>E27*F27</f>
        <v>35914181.813999996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153</v>
      </c>
      <c r="B28" s="334"/>
      <c r="C28" s="335"/>
      <c r="D28" s="339" t="s">
        <v>154</v>
      </c>
      <c r="E28" s="341">
        <f>G15</f>
        <v>-642826.31999999995</v>
      </c>
      <c r="F28" s="412">
        <v>44</v>
      </c>
      <c r="G28" s="366">
        <f>E28*F28</f>
        <v>-28284358.079999998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155</v>
      </c>
      <c r="B29" s="334"/>
      <c r="C29" s="335"/>
      <c r="D29" s="339" t="s">
        <v>156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158</v>
      </c>
      <c r="E30" s="342">
        <f>G20</f>
        <v>-39475</v>
      </c>
      <c r="F30" s="412">
        <v>95</v>
      </c>
      <c r="G30" s="366">
        <f>E30*F30</f>
        <v>-3750125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160</v>
      </c>
      <c r="B31" s="407"/>
      <c r="C31" s="408"/>
      <c r="D31" s="343"/>
      <c r="E31" s="343"/>
      <c r="F31" s="343"/>
      <c r="G31" s="367">
        <f>G27+G28+G29+G30</f>
        <v>3879698.7339999974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29" t="s">
        <v>161</v>
      </c>
      <c r="B32" s="1730"/>
      <c r="C32" s="1730"/>
      <c r="D32" s="1730"/>
      <c r="E32" s="1730"/>
      <c r="F32" s="1730"/>
      <c r="G32" s="1730"/>
      <c r="H32" s="1730"/>
      <c r="I32" s="1730"/>
      <c r="J32" s="1731"/>
      <c r="K32" s="59"/>
      <c r="L32" s="117"/>
    </row>
    <row r="33" spans="1:12" ht="23.25" customHeight="1">
      <c r="A33" s="1120" t="s">
        <v>162</v>
      </c>
      <c r="B33" s="1121"/>
      <c r="C33" s="1122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163</v>
      </c>
      <c r="B34" s="321"/>
      <c r="C34" s="322"/>
      <c r="D34" s="268" t="s">
        <v>131</v>
      </c>
      <c r="E34" s="415">
        <f>'29'!F35</f>
        <v>945766</v>
      </c>
      <c r="F34" s="344">
        <v>0</v>
      </c>
      <c r="G34" s="318">
        <f t="shared" ref="G34:G45" si="3">F34-E34</f>
        <v>-945766</v>
      </c>
      <c r="H34" s="57">
        <f>G34+'29'!H35</f>
        <v>-886459</v>
      </c>
      <c r="I34" s="56"/>
      <c r="J34" s="58">
        <f>H34/DAY(B2)</f>
        <v>-29548.633333333335</v>
      </c>
      <c r="K34" s="59"/>
      <c r="L34" s="117"/>
    </row>
    <row r="35" spans="1:12" ht="23.25" customHeight="1">
      <c r="A35" s="320" t="s">
        <v>164</v>
      </c>
      <c r="B35" s="321"/>
      <c r="C35" s="322"/>
      <c r="D35" s="268" t="s">
        <v>131</v>
      </c>
      <c r="E35" s="56">
        <f>'29'!F36</f>
        <v>347065</v>
      </c>
      <c r="F35" s="344">
        <v>694322.47</v>
      </c>
      <c r="G35" s="318">
        <f t="shared" si="3"/>
        <v>347257.47</v>
      </c>
      <c r="H35" s="57">
        <f>G35+'29'!H36</f>
        <v>349714.47</v>
      </c>
      <c r="I35" s="56"/>
      <c r="J35" s="58">
        <f>H35/DAY(B2)</f>
        <v>11657.148999999999</v>
      </c>
      <c r="K35" s="59"/>
      <c r="L35" s="117"/>
    </row>
    <row r="36" spans="1:12" ht="23.25" customHeight="1">
      <c r="A36" s="320" t="s">
        <v>165</v>
      </c>
      <c r="B36" s="321"/>
      <c r="C36" s="322"/>
      <c r="D36" s="268" t="s">
        <v>131</v>
      </c>
      <c r="E36" s="56">
        <f>'29'!F37</f>
        <v>131674</v>
      </c>
      <c r="F36" s="344">
        <v>392708.87</v>
      </c>
      <c r="G36" s="318">
        <f t="shared" si="3"/>
        <v>261034.87</v>
      </c>
      <c r="H36" s="57">
        <f>G36+'29'!H37</f>
        <v>297483.87</v>
      </c>
      <c r="I36" s="56"/>
      <c r="J36" s="58">
        <f>H36/DAY(B2)</f>
        <v>9916.128999999999</v>
      </c>
      <c r="K36" s="59"/>
      <c r="L36" s="117"/>
    </row>
    <row r="37" spans="1:12" ht="23.25" customHeight="1">
      <c r="A37" s="320" t="s">
        <v>166</v>
      </c>
      <c r="B37" s="321"/>
      <c r="C37" s="322"/>
      <c r="D37" s="268" t="s">
        <v>131</v>
      </c>
      <c r="E37" s="56">
        <f>'29'!F38</f>
        <v>153825</v>
      </c>
      <c r="F37" s="345">
        <v>675505.75</v>
      </c>
      <c r="G37" s="318">
        <f t="shared" si="3"/>
        <v>521680.75</v>
      </c>
      <c r="H37" s="57">
        <f>G37+'29'!H38</f>
        <v>555909.75</v>
      </c>
      <c r="I37" s="56"/>
      <c r="J37" s="58">
        <f>H37/DAY(B2)</f>
        <v>18530.325000000001</v>
      </c>
      <c r="K37" s="59"/>
      <c r="L37" s="117"/>
    </row>
    <row r="38" spans="1:12" ht="23.25" customHeight="1">
      <c r="A38" s="320" t="s">
        <v>167</v>
      </c>
      <c r="B38" s="321"/>
      <c r="C38" s="322"/>
      <c r="D38" s="268" t="s">
        <v>131</v>
      </c>
      <c r="E38" s="56">
        <f>'29'!F39</f>
        <v>303589</v>
      </c>
      <c r="F38" s="344">
        <v>2497766.1</v>
      </c>
      <c r="G38" s="318">
        <f t="shared" si="3"/>
        <v>2194177.1</v>
      </c>
      <c r="H38" s="57">
        <f>G38+'29'!H39</f>
        <v>2251113.1</v>
      </c>
      <c r="I38" s="56"/>
      <c r="J38" s="58">
        <f>H38/DAY(B2)</f>
        <v>75037.103333333333</v>
      </c>
      <c r="K38" s="59"/>
      <c r="L38" s="117"/>
    </row>
    <row r="39" spans="1:12" ht="23.25" customHeight="1">
      <c r="A39" s="346" t="s">
        <v>168</v>
      </c>
      <c r="B39" s="347"/>
      <c r="C39" s="348"/>
      <c r="D39" s="268" t="s">
        <v>131</v>
      </c>
      <c r="E39" s="56">
        <f>'29'!F40</f>
        <v>889</v>
      </c>
      <c r="F39" s="344">
        <v>0</v>
      </c>
      <c r="G39" s="318">
        <f t="shared" si="3"/>
        <v>-889</v>
      </c>
      <c r="H39" s="57">
        <f>G39+'29'!H40</f>
        <v>-0.23000000000001819</v>
      </c>
      <c r="I39" s="56"/>
      <c r="J39" s="58">
        <f>H39/DAY(B2)</f>
        <v>-7.6666666666672734E-3</v>
      </c>
      <c r="K39" s="75"/>
      <c r="L39" s="117"/>
    </row>
    <row r="40" spans="1:12" ht="23.25" customHeight="1">
      <c r="A40" s="320" t="s">
        <v>169</v>
      </c>
      <c r="B40" s="321"/>
      <c r="C40" s="322"/>
      <c r="D40" s="268" t="s">
        <v>131</v>
      </c>
      <c r="E40" s="56">
        <f>'29'!F41</f>
        <v>240478</v>
      </c>
      <c r="F40" s="344">
        <v>1138016.5</v>
      </c>
      <c r="G40" s="318">
        <f t="shared" si="3"/>
        <v>897538.5</v>
      </c>
      <c r="H40" s="57">
        <f>G40+'29'!H41</f>
        <v>956488.5</v>
      </c>
      <c r="I40" s="56"/>
      <c r="J40" s="58">
        <f>H40/DAY(B2)</f>
        <v>31882.95</v>
      </c>
      <c r="K40" s="59"/>
      <c r="L40" s="117"/>
    </row>
    <row r="41" spans="1:12" ht="23.25" customHeight="1">
      <c r="A41" s="320" t="s">
        <v>170</v>
      </c>
      <c r="B41" s="321"/>
      <c r="C41" s="322"/>
      <c r="D41" s="268" t="s">
        <v>131</v>
      </c>
      <c r="E41" s="56">
        <f>'29'!F42</f>
        <v>59199</v>
      </c>
      <c r="F41" s="344">
        <v>1251783.8</v>
      </c>
      <c r="G41" s="318">
        <f t="shared" si="3"/>
        <v>1192584.8</v>
      </c>
      <c r="H41" s="57">
        <f>G41+'29'!H42</f>
        <v>1192583.8</v>
      </c>
      <c r="I41" s="56"/>
      <c r="J41" s="58">
        <f>H41/DAY(B2)</f>
        <v>39752.793333333335</v>
      </c>
      <c r="K41" s="59"/>
      <c r="L41" s="117"/>
    </row>
    <row r="42" spans="1:12" ht="23.25" customHeight="1">
      <c r="A42" s="320" t="s">
        <v>171</v>
      </c>
      <c r="B42" s="321"/>
      <c r="C42" s="322"/>
      <c r="D42" s="268" t="s">
        <v>131</v>
      </c>
      <c r="E42" s="56">
        <f>'29'!F43</f>
        <v>1037660</v>
      </c>
      <c r="F42" s="344">
        <v>1479848.9</v>
      </c>
      <c r="G42" s="318">
        <f t="shared" si="3"/>
        <v>442188.89999999991</v>
      </c>
      <c r="H42" s="57">
        <f>G42+'29'!H43</f>
        <v>505890.89999999991</v>
      </c>
      <c r="I42" s="56"/>
      <c r="J42" s="58">
        <f>H42/DAY(B2)</f>
        <v>16863.029999999995</v>
      </c>
      <c r="K42" s="59"/>
      <c r="L42" s="117"/>
    </row>
    <row r="43" spans="1:12" ht="23.25" customHeight="1">
      <c r="A43" s="320" t="s">
        <v>172</v>
      </c>
      <c r="B43" s="321"/>
      <c r="C43" s="322"/>
      <c r="D43" s="268" t="s">
        <v>131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173</v>
      </c>
      <c r="B44" s="321"/>
      <c r="C44" s="322"/>
      <c r="D44" s="268" t="s">
        <v>131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174</v>
      </c>
      <c r="B45" s="321"/>
      <c r="C45" s="322"/>
      <c r="D45" s="268" t="s">
        <v>131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175</v>
      </c>
      <c r="B46" s="401"/>
      <c r="C46" s="402"/>
      <c r="D46" s="349"/>
      <c r="E46" s="414"/>
      <c r="F46" s="269"/>
      <c r="G46" s="279">
        <f>G34+G35+G36+G37+G38+G39+G40+G41+G42+G43+G44+G45</f>
        <v>4911226.3900000006</v>
      </c>
      <c r="H46" s="57">
        <f>G46+'29'!H47</f>
        <v>5224945.6000000006</v>
      </c>
      <c r="I46" s="56"/>
      <c r="J46" s="58">
        <f>H46/DAY(B2)</f>
        <v>174164.85333333336</v>
      </c>
      <c r="K46" s="59"/>
      <c r="L46" s="117"/>
    </row>
    <row r="47" spans="1:12" ht="23.25" customHeight="1">
      <c r="A47" s="1120" t="s">
        <v>176</v>
      </c>
      <c r="B47" s="1121"/>
      <c r="C47" s="1122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163</v>
      </c>
      <c r="B48" s="350"/>
      <c r="C48" s="351"/>
      <c r="D48" s="268" t="s">
        <v>131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532972.57999999996</v>
      </c>
      <c r="I48" s="56"/>
      <c r="J48" s="58">
        <f>H48/DAY(B2)</f>
        <v>17765.752666666664</v>
      </c>
      <c r="K48" s="59"/>
      <c r="L48" s="117"/>
    </row>
    <row r="49" spans="1:12" ht="23.25" customHeight="1">
      <c r="A49" s="320" t="s">
        <v>177</v>
      </c>
      <c r="B49" s="350"/>
      <c r="C49" s="351"/>
      <c r="D49" s="268" t="s">
        <v>131</v>
      </c>
      <c r="E49" s="56">
        <f>'29'!F50</f>
        <v>500726</v>
      </c>
      <c r="F49" s="344">
        <v>707853.75</v>
      </c>
      <c r="G49" s="318">
        <f t="shared" si="4"/>
        <v>207127.75</v>
      </c>
      <c r="H49" s="57">
        <f>G49+'29'!H50</f>
        <v>232378.75</v>
      </c>
      <c r="I49" s="56"/>
      <c r="J49" s="58">
        <f>H49/DAY(B2)</f>
        <v>7745.958333333333</v>
      </c>
      <c r="K49" s="59"/>
      <c r="L49" s="117"/>
    </row>
    <row r="50" spans="1:12" ht="23.25" customHeight="1">
      <c r="A50" s="320" t="s">
        <v>165</v>
      </c>
      <c r="B50" s="350"/>
      <c r="C50" s="351"/>
      <c r="D50" s="268" t="s">
        <v>131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178</v>
      </c>
      <c r="B51" s="350"/>
      <c r="C51" s="351"/>
      <c r="D51" s="268" t="s">
        <v>131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167</v>
      </c>
      <c r="B52" s="350"/>
      <c r="C52" s="351"/>
      <c r="D52" s="268" t="s">
        <v>131</v>
      </c>
      <c r="E52" s="56">
        <f>'29'!F53</f>
        <v>431514</v>
      </c>
      <c r="F52" s="344">
        <v>495803.59</v>
      </c>
      <c r="G52" s="318">
        <f t="shared" si="4"/>
        <v>64289.590000000026</v>
      </c>
      <c r="H52" s="57">
        <f>G52+'29'!H53</f>
        <v>78993.590000000026</v>
      </c>
      <c r="I52" s="56"/>
      <c r="J52" s="58">
        <f>H52/DAY(B2)</f>
        <v>2633.1196666666674</v>
      </c>
      <c r="K52" s="59"/>
      <c r="L52" s="117"/>
    </row>
    <row r="53" spans="1:12" ht="23.25" customHeight="1">
      <c r="A53" s="320" t="s">
        <v>179</v>
      </c>
      <c r="B53" s="350"/>
      <c r="C53" s="351"/>
      <c r="D53" s="268" t="s">
        <v>131</v>
      </c>
      <c r="E53" s="56">
        <f>'29'!F54</f>
        <v>13596</v>
      </c>
      <c r="F53" s="344">
        <v>55471.01</v>
      </c>
      <c r="G53" s="318">
        <f t="shared" si="4"/>
        <v>41875.01</v>
      </c>
      <c r="H53" s="57">
        <f>G53+'29'!H54</f>
        <v>47709.01</v>
      </c>
      <c r="I53" s="56"/>
      <c r="J53" s="58">
        <f>H53/DAY(B2)</f>
        <v>1590.3003333333334</v>
      </c>
      <c r="K53" s="59"/>
      <c r="L53" s="117"/>
    </row>
    <row r="54" spans="1:12" ht="23.25" customHeight="1">
      <c r="A54" s="320" t="s">
        <v>180</v>
      </c>
      <c r="B54" s="350"/>
      <c r="C54" s="351"/>
      <c r="D54" s="268" t="s">
        <v>131</v>
      </c>
      <c r="E54" s="56">
        <f>'29'!F55</f>
        <v>68111</v>
      </c>
      <c r="F54" s="344">
        <v>741511.59</v>
      </c>
      <c r="G54" s="318">
        <f t="shared" si="4"/>
        <v>673400.59</v>
      </c>
      <c r="H54" s="57">
        <f>G54+'29'!H55</f>
        <v>741511.59</v>
      </c>
      <c r="I54" s="56"/>
      <c r="J54" s="58">
        <f>H54/DAY(B2)</f>
        <v>24717.053</v>
      </c>
      <c r="K54" s="59"/>
      <c r="L54" s="117"/>
    </row>
    <row r="55" spans="1:12" ht="23.25" customHeight="1">
      <c r="A55" s="320" t="s">
        <v>181</v>
      </c>
      <c r="B55" s="350"/>
      <c r="C55" s="351"/>
      <c r="D55" s="268" t="s">
        <v>182</v>
      </c>
      <c r="E55" s="56">
        <f>'29'!F56</f>
        <v>606023</v>
      </c>
      <c r="F55" s="344">
        <v>334966</v>
      </c>
      <c r="G55" s="318">
        <f t="shared" si="4"/>
        <v>-271057</v>
      </c>
      <c r="H55" s="57">
        <f>G55+'29'!H56</f>
        <v>-254322.36</v>
      </c>
      <c r="I55" s="56"/>
      <c r="J55" s="58">
        <f>H55/DAY(B2)</f>
        <v>-8477.4120000000003</v>
      </c>
      <c r="K55" s="43"/>
      <c r="L55" s="117"/>
    </row>
    <row r="56" spans="1:12" ht="23.25" customHeight="1">
      <c r="A56" s="320" t="s">
        <v>171</v>
      </c>
      <c r="B56" s="350"/>
      <c r="C56" s="351"/>
      <c r="D56" s="268" t="s">
        <v>131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183</v>
      </c>
      <c r="B57" s="350"/>
      <c r="C57" s="351"/>
      <c r="D57" s="268" t="s">
        <v>131</v>
      </c>
      <c r="E57" s="56">
        <f>'29'!F58</f>
        <v>49264</v>
      </c>
      <c r="F57" s="344">
        <v>2065.9499999999998</v>
      </c>
      <c r="G57" s="318">
        <f t="shared" si="4"/>
        <v>-47198.05</v>
      </c>
      <c r="H57" s="57">
        <f>G57+'29'!H58</f>
        <v>-44651.05</v>
      </c>
      <c r="I57" s="56"/>
      <c r="J57" s="58">
        <f>H57/DAY(B2)</f>
        <v>-1488.3683333333333</v>
      </c>
      <c r="K57" s="59"/>
      <c r="L57" s="117"/>
    </row>
    <row r="58" spans="1:12" ht="23.25" customHeight="1">
      <c r="A58" s="400" t="s">
        <v>175</v>
      </c>
      <c r="B58" s="401"/>
      <c r="C58" s="402"/>
      <c r="D58" s="269"/>
      <c r="E58" s="414"/>
      <c r="F58" s="269"/>
      <c r="G58" s="279">
        <f>G48+G49+G50+G51+G52+G53+G54+G55+G56+G57</f>
        <v>2305616.6</v>
      </c>
      <c r="H58" s="57">
        <f>G58+'29'!H59</f>
        <v>2438798.1800000002</v>
      </c>
      <c r="I58" s="56">
        <f>G7-G59</f>
        <v>-3909828.0900000003</v>
      </c>
      <c r="J58" s="58">
        <f>H58/DAY(B2)</f>
        <v>81293.272666666671</v>
      </c>
      <c r="K58" s="59"/>
      <c r="L58" s="117"/>
    </row>
    <row r="59" spans="1:12" ht="23.25" customHeight="1">
      <c r="A59" s="352"/>
      <c r="B59" s="352"/>
      <c r="C59" s="352"/>
      <c r="D59" s="269" t="s">
        <v>184</v>
      </c>
      <c r="E59" s="269"/>
      <c r="F59" s="269"/>
      <c r="G59" s="279">
        <f>G46+G58</f>
        <v>7216842.9900000002</v>
      </c>
      <c r="H59" s="57">
        <f>G59+'29'!H60</f>
        <v>7665327.6699999999</v>
      </c>
      <c r="I59" s="56">
        <f>G13-G59</f>
        <v>-5147315.4700000007</v>
      </c>
      <c r="J59" s="58">
        <f>H59/DAY(B2)</f>
        <v>255510.92233333332</v>
      </c>
      <c r="K59" s="59"/>
      <c r="L59" s="117"/>
    </row>
    <row r="60" spans="1:12" ht="23.25" customHeight="1">
      <c r="A60" s="392" t="s">
        <v>185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186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34666.182000000001</v>
      </c>
      <c r="I61" s="201"/>
      <c r="J61" s="58">
        <f>H61/DAY(B2)</f>
        <v>1155.5394000000001</v>
      </c>
      <c r="K61" s="59"/>
      <c r="L61" s="117"/>
    </row>
    <row r="62" spans="1:12" ht="23.25" customHeight="1">
      <c r="A62" s="353" t="s">
        <v>187</v>
      </c>
      <c r="B62" s="354"/>
      <c r="C62" s="355"/>
      <c r="D62" s="269" t="s">
        <v>186</v>
      </c>
      <c r="E62" s="56">
        <f>'29'!F63</f>
        <v>2468</v>
      </c>
      <c r="F62" s="270">
        <v>113360.74</v>
      </c>
      <c r="G62" s="318">
        <f t="shared" si="5"/>
        <v>110892.74</v>
      </c>
      <c r="H62" s="57">
        <f>G62+'29'!H63</f>
        <v>111001.74</v>
      </c>
      <c r="I62" s="201"/>
      <c r="J62" s="58">
        <f>H62/DAY(B2)</f>
        <v>3700.058</v>
      </c>
      <c r="K62" s="59"/>
      <c r="L62" s="117"/>
    </row>
    <row r="63" spans="1:12" ht="23.25" customHeight="1">
      <c r="A63" s="1754" t="s">
        <v>99</v>
      </c>
      <c r="B63" s="1755"/>
      <c r="C63" s="1756"/>
      <c r="D63" s="268" t="s">
        <v>186</v>
      </c>
      <c r="E63" s="56">
        <f>'29'!F64</f>
        <v>159553</v>
      </c>
      <c r="F63" s="267">
        <v>274089</v>
      </c>
      <c r="G63" s="318">
        <f t="shared" si="5"/>
        <v>114536</v>
      </c>
      <c r="H63" s="57">
        <f>G63+'29'!H64</f>
        <v>120790</v>
      </c>
      <c r="I63" s="69"/>
      <c r="J63" s="58">
        <f>H63/DAY(B2)</f>
        <v>4026.3333333333335</v>
      </c>
      <c r="K63" s="59"/>
      <c r="L63" s="117"/>
    </row>
    <row r="64" spans="1:12" ht="23.25" customHeight="1">
      <c r="A64" s="1754" t="s">
        <v>100</v>
      </c>
      <c r="B64" s="1755"/>
      <c r="C64" s="1756"/>
      <c r="D64" s="268" t="s">
        <v>186</v>
      </c>
      <c r="E64" s="56">
        <f>'29'!F65</f>
        <v>160561</v>
      </c>
      <c r="F64" s="267">
        <v>218102.43</v>
      </c>
      <c r="G64" s="318">
        <f t="shared" si="5"/>
        <v>57541.429999999993</v>
      </c>
      <c r="H64" s="57">
        <f>G64+'29'!H65</f>
        <v>63503.429999999993</v>
      </c>
      <c r="I64" s="80"/>
      <c r="J64" s="58">
        <f>H64/DAY(B2)</f>
        <v>2116.7809999999999</v>
      </c>
      <c r="K64" s="59"/>
      <c r="L64" s="117"/>
    </row>
    <row r="65" spans="1:12" ht="23.25" customHeight="1">
      <c r="A65" s="1754" t="s">
        <v>101</v>
      </c>
      <c r="B65" s="1755"/>
      <c r="C65" s="1756"/>
      <c r="D65" s="268" t="s">
        <v>186</v>
      </c>
      <c r="E65" s="56">
        <f>'29'!F66</f>
        <v>56221</v>
      </c>
      <c r="F65" s="267">
        <v>7977.92</v>
      </c>
      <c r="G65" s="318">
        <f t="shared" si="5"/>
        <v>-48243.08</v>
      </c>
      <c r="H65" s="57">
        <f>G65+'29'!H66</f>
        <v>-40593.08</v>
      </c>
      <c r="I65" s="69"/>
      <c r="J65" s="58">
        <f>H65/DAY(B2)</f>
        <v>-1353.1026666666667</v>
      </c>
      <c r="K65" s="59"/>
      <c r="L65" s="117"/>
    </row>
    <row r="66" spans="1:12" ht="23.25" customHeight="1">
      <c r="A66" s="1754" t="s">
        <v>102</v>
      </c>
      <c r="B66" s="1755"/>
      <c r="C66" s="1756"/>
      <c r="D66" s="268" t="s">
        <v>186</v>
      </c>
      <c r="E66" s="56">
        <f>'29'!F67</f>
        <v>251244</v>
      </c>
      <c r="F66" s="267">
        <v>350190.03</v>
      </c>
      <c r="G66" s="318">
        <f t="shared" si="5"/>
        <v>98946.030000000028</v>
      </c>
      <c r="H66" s="57">
        <f>G66+'29'!H67</f>
        <v>107016.03000000003</v>
      </c>
      <c r="I66" s="80"/>
      <c r="J66" s="58">
        <f>H66/DAY(B2)</f>
        <v>3567.2010000000009</v>
      </c>
      <c r="K66" s="75"/>
      <c r="L66" s="117"/>
    </row>
    <row r="67" spans="1:12" ht="23.25" customHeight="1">
      <c r="A67" s="1754" t="s">
        <v>103</v>
      </c>
      <c r="B67" s="1755"/>
      <c r="C67" s="1756"/>
      <c r="D67" s="268" t="s">
        <v>186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54" t="s">
        <v>104</v>
      </c>
      <c r="B68" s="1755"/>
      <c r="C68" s="1756"/>
      <c r="D68" s="268" t="s">
        <v>186</v>
      </c>
      <c r="E68" s="56">
        <f>'29'!F69</f>
        <v>81507</v>
      </c>
      <c r="F68" s="267">
        <v>156094.09</v>
      </c>
      <c r="G68" s="318">
        <f t="shared" si="5"/>
        <v>74587.09</v>
      </c>
      <c r="H68" s="57">
        <f>G68+'29'!H69</f>
        <v>77100.09</v>
      </c>
      <c r="I68" s="105"/>
      <c r="J68" s="58">
        <f>H68/DAY(B2)</f>
        <v>2570.0029999999997</v>
      </c>
      <c r="K68" s="85"/>
      <c r="L68" s="117"/>
    </row>
    <row r="69" spans="1:12" ht="23.25" customHeight="1">
      <c r="A69" s="1757" t="s">
        <v>188</v>
      </c>
      <c r="B69" s="1758"/>
      <c r="C69" s="1759"/>
      <c r="D69" s="268" t="s">
        <v>186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48" t="s">
        <v>189</v>
      </c>
      <c r="B70" s="1749"/>
      <c r="C70" s="1749"/>
      <c r="D70" s="1749"/>
      <c r="E70" s="1749"/>
      <c r="F70" s="1749"/>
      <c r="G70" s="1749"/>
      <c r="H70" s="1749"/>
      <c r="I70" s="1749"/>
      <c r="J70" s="1750"/>
      <c r="K70" s="83"/>
      <c r="L70" s="117"/>
    </row>
    <row r="71" spans="1:12" ht="23.25" customHeight="1">
      <c r="A71" s="1754" t="s">
        <v>190</v>
      </c>
      <c r="B71" s="1755"/>
      <c r="C71" s="1756"/>
      <c r="D71" s="268" t="s">
        <v>186</v>
      </c>
      <c r="E71" s="415">
        <f>'29'!F72</f>
        <v>855817</v>
      </c>
      <c r="F71" s="271">
        <v>788748</v>
      </c>
      <c r="G71" s="318">
        <f t="shared" ref="G71:G83" si="6">F71-E71</f>
        <v>-67069</v>
      </c>
      <c r="H71" s="57">
        <f>G71+'29'!H72</f>
        <v>-66724</v>
      </c>
      <c r="I71" s="69"/>
      <c r="J71" s="58">
        <f>H71/DAY(B2)</f>
        <v>-2224.1333333333332</v>
      </c>
      <c r="K71" s="85"/>
      <c r="L71" s="117"/>
    </row>
    <row r="72" spans="1:12" ht="23.25" customHeight="1">
      <c r="A72" s="1754" t="s">
        <v>191</v>
      </c>
      <c r="B72" s="1755"/>
      <c r="C72" s="1756"/>
      <c r="D72" s="268" t="s">
        <v>186</v>
      </c>
      <c r="E72" s="56">
        <f>'29'!F73</f>
        <v>885935</v>
      </c>
      <c r="F72" s="271">
        <v>883770</v>
      </c>
      <c r="G72" s="318">
        <f t="shared" si="6"/>
        <v>-2165</v>
      </c>
      <c r="H72" s="57">
        <f>G72+'29'!H73</f>
        <v>-1926</v>
      </c>
      <c r="I72" s="69"/>
      <c r="J72" s="58">
        <f>H72/DAY(B2)</f>
        <v>-64.2</v>
      </c>
      <c r="K72" s="83"/>
      <c r="L72" s="117"/>
    </row>
    <row r="73" spans="1:12" ht="23.25" customHeight="1">
      <c r="A73" s="1754" t="s">
        <v>192</v>
      </c>
      <c r="B73" s="1755"/>
      <c r="C73" s="1756"/>
      <c r="D73" s="268" t="s">
        <v>186</v>
      </c>
      <c r="E73" s="56">
        <f>'29'!F74</f>
        <v>2573</v>
      </c>
      <c r="F73" s="271">
        <v>783142</v>
      </c>
      <c r="G73" s="318">
        <f t="shared" si="6"/>
        <v>780569</v>
      </c>
      <c r="H73" s="57">
        <f>G73+'29'!H74</f>
        <v>780863</v>
      </c>
      <c r="I73" s="69"/>
      <c r="J73" s="58">
        <f>H73/DAY(B2)</f>
        <v>26028.766666666666</v>
      </c>
      <c r="K73" s="85"/>
      <c r="L73" s="117"/>
    </row>
    <row r="74" spans="1:12" ht="23.25" customHeight="1">
      <c r="A74" s="1760" t="s">
        <v>193</v>
      </c>
      <c r="B74" s="1761"/>
      <c r="C74" s="1762"/>
      <c r="D74" s="268" t="s">
        <v>186</v>
      </c>
      <c r="E74" s="56">
        <f>'29'!F75</f>
        <v>12561</v>
      </c>
      <c r="F74" s="271">
        <v>641404</v>
      </c>
      <c r="G74" s="318">
        <f t="shared" si="6"/>
        <v>628843</v>
      </c>
      <c r="H74" s="57">
        <f>G74+'29'!H75</f>
        <v>630434</v>
      </c>
      <c r="I74" s="69"/>
      <c r="J74" s="58">
        <f>H74/DAY(B2)</f>
        <v>21014.466666666667</v>
      </c>
      <c r="K74" s="83"/>
      <c r="L74" s="117"/>
    </row>
    <row r="75" spans="1:12" ht="23.25" customHeight="1">
      <c r="A75" s="1760" t="s">
        <v>194</v>
      </c>
      <c r="B75" s="1761"/>
      <c r="C75" s="1762"/>
      <c r="D75" s="268" t="s">
        <v>186</v>
      </c>
      <c r="E75" s="56">
        <f>'29'!F76</f>
        <v>7308</v>
      </c>
      <c r="F75" s="271">
        <v>615603</v>
      </c>
      <c r="G75" s="318">
        <f t="shared" si="6"/>
        <v>608295</v>
      </c>
      <c r="H75" s="57">
        <f>G75+'29'!H76</f>
        <v>609886.05000000005</v>
      </c>
      <c r="I75" s="112"/>
      <c r="J75" s="58">
        <f>H75/DAY(B2)</f>
        <v>20329.535</v>
      </c>
      <c r="K75" s="83"/>
      <c r="L75" s="117"/>
    </row>
    <row r="76" spans="1:12" ht="23.25" customHeight="1">
      <c r="A76" s="1754" t="s">
        <v>195</v>
      </c>
      <c r="B76" s="1755"/>
      <c r="C76" s="1756"/>
      <c r="D76" s="268" t="s">
        <v>186</v>
      </c>
      <c r="E76" s="56">
        <f>'29'!F77</f>
        <v>702750</v>
      </c>
      <c r="F76" s="271">
        <v>669905</v>
      </c>
      <c r="G76" s="318">
        <f t="shared" si="6"/>
        <v>-32845</v>
      </c>
      <c r="H76" s="57">
        <f>G76+'29'!H77</f>
        <v>-31657</v>
      </c>
      <c r="I76" s="112"/>
      <c r="J76" s="58">
        <f>H76/DAY(B2)</f>
        <v>-1055.2333333333333</v>
      </c>
      <c r="K76" s="83"/>
      <c r="L76" s="117"/>
    </row>
    <row r="77" spans="1:12" ht="23.25" customHeight="1">
      <c r="A77" s="1128" t="s">
        <v>196</v>
      </c>
      <c r="B77" s="1129"/>
      <c r="C77" s="1130"/>
      <c r="D77" s="268" t="s">
        <v>186</v>
      </c>
      <c r="E77" s="56">
        <f>'29'!F78</f>
        <v>672760</v>
      </c>
      <c r="F77" s="271">
        <v>487314</v>
      </c>
      <c r="G77" s="318">
        <f t="shared" si="6"/>
        <v>-185446</v>
      </c>
      <c r="H77" s="57">
        <f>G77+'29'!H78</f>
        <v>-182711</v>
      </c>
      <c r="I77" s="112"/>
      <c r="J77" s="58">
        <f>H77/DAY(B2)</f>
        <v>-6090.3666666666668</v>
      </c>
      <c r="K77" s="83"/>
      <c r="L77" s="117"/>
    </row>
    <row r="78" spans="1:12" ht="23.25" customHeight="1">
      <c r="A78" s="1763" t="s">
        <v>92</v>
      </c>
      <c r="B78" s="1764"/>
      <c r="C78" s="1765"/>
      <c r="D78" s="356" t="s">
        <v>186</v>
      </c>
      <c r="E78" s="56">
        <f>'29'!F79</f>
        <v>830691</v>
      </c>
      <c r="F78" s="271">
        <v>677157</v>
      </c>
      <c r="G78" s="318">
        <f t="shared" si="6"/>
        <v>-153534</v>
      </c>
      <c r="H78" s="57">
        <f>G78+'29'!H79</f>
        <v>-150574</v>
      </c>
      <c r="I78" s="112"/>
      <c r="J78" s="58">
        <f>H78/DAY(B2)</f>
        <v>-5019.1333333333332</v>
      </c>
      <c r="K78" s="83"/>
      <c r="L78" s="117"/>
    </row>
    <row r="79" spans="1:12" ht="23.25" customHeight="1">
      <c r="A79" s="1763" t="s">
        <v>197</v>
      </c>
      <c r="B79" s="1764"/>
      <c r="C79" s="1765"/>
      <c r="D79" s="356" t="s">
        <v>186</v>
      </c>
      <c r="E79" s="56">
        <f>'29'!F80</f>
        <v>526918</v>
      </c>
      <c r="F79" s="271">
        <v>341072.6</v>
      </c>
      <c r="G79" s="318">
        <f t="shared" si="6"/>
        <v>-185845.40000000002</v>
      </c>
      <c r="H79" s="57">
        <f>G79+'29'!H80</f>
        <v>-178388.40000000002</v>
      </c>
      <c r="I79" s="112"/>
      <c r="J79" s="58">
        <f>H79/DAY(B2)</f>
        <v>-5946.2800000000007</v>
      </c>
      <c r="K79" s="83"/>
      <c r="L79" s="117"/>
    </row>
    <row r="80" spans="1:12" ht="23.25" customHeight="1">
      <c r="A80" s="1763" t="s">
        <v>198</v>
      </c>
      <c r="B80" s="1764"/>
      <c r="C80" s="1765"/>
      <c r="D80" s="356" t="s">
        <v>186</v>
      </c>
      <c r="E80" s="56">
        <f>'29'!F81</f>
        <v>638711</v>
      </c>
      <c r="F80" s="271">
        <v>407588.2</v>
      </c>
      <c r="G80" s="318">
        <f t="shared" si="6"/>
        <v>-231122.8</v>
      </c>
      <c r="H80" s="57">
        <f>G80+'29'!H81</f>
        <v>-228889.8</v>
      </c>
      <c r="I80" s="112"/>
      <c r="J80" s="58">
        <f>H80/DAY(B2)</f>
        <v>-7629.66</v>
      </c>
      <c r="K80" s="83"/>
      <c r="L80" s="117"/>
    </row>
    <row r="81" spans="1:12" ht="23.25" customHeight="1">
      <c r="A81" s="1766" t="s">
        <v>93</v>
      </c>
      <c r="B81" s="1764"/>
      <c r="C81" s="1765"/>
      <c r="D81" s="357" t="s">
        <v>131</v>
      </c>
      <c r="E81" s="56">
        <f>'29'!F82</f>
        <v>108123</v>
      </c>
      <c r="F81" s="272">
        <v>72586.12</v>
      </c>
      <c r="G81" s="318">
        <f t="shared" si="6"/>
        <v>-35536.880000000005</v>
      </c>
      <c r="H81" s="57">
        <f>G81+'29'!H82</f>
        <v>-35025.880000000005</v>
      </c>
      <c r="I81" s="206"/>
      <c r="J81" s="58">
        <f>H81/DAY(B2)</f>
        <v>-1167.5293333333334</v>
      </c>
      <c r="K81" s="83"/>
      <c r="L81" s="117"/>
    </row>
    <row r="82" spans="1:12" ht="23.25" customHeight="1">
      <c r="A82" s="1766" t="s">
        <v>199</v>
      </c>
      <c r="B82" s="1764"/>
      <c r="C82" s="1765"/>
      <c r="D82" s="273" t="s">
        <v>131</v>
      </c>
      <c r="E82" s="56">
        <f>'29'!F83</f>
        <v>20089</v>
      </c>
      <c r="F82" s="269">
        <v>725847</v>
      </c>
      <c r="G82" s="318">
        <f t="shared" si="6"/>
        <v>705758</v>
      </c>
      <c r="H82" s="57">
        <f>G82+'29'!H83</f>
        <v>711076</v>
      </c>
      <c r="I82" s="68"/>
      <c r="J82" s="58">
        <f>H82/DAY(B2)</f>
        <v>23702.533333333333</v>
      </c>
      <c r="K82" s="75"/>
      <c r="L82" s="117"/>
    </row>
    <row r="83" spans="1:12" ht="23.25" customHeight="1">
      <c r="A83" s="1131" t="s">
        <v>200</v>
      </c>
      <c r="B83" s="1131"/>
      <c r="C83" s="1132"/>
      <c r="D83" s="358" t="s">
        <v>131</v>
      </c>
      <c r="E83" s="56">
        <f>'29'!F84</f>
        <v>498687</v>
      </c>
      <c r="F83" s="268">
        <v>960770</v>
      </c>
      <c r="G83" s="318">
        <f t="shared" si="6"/>
        <v>462083</v>
      </c>
      <c r="H83" s="57">
        <f>G83+'29'!H84</f>
        <v>480637</v>
      </c>
      <c r="I83" s="68"/>
      <c r="J83" s="58">
        <f>H83/DAY(B2)</f>
        <v>16021.233333333334</v>
      </c>
      <c r="K83" s="88"/>
      <c r="L83" s="117"/>
    </row>
    <row r="84" spans="1:12" s="38" customFormat="1" ht="23.25" customHeight="1">
      <c r="A84" s="409" t="s">
        <v>201</v>
      </c>
      <c r="B84" s="410"/>
      <c r="C84" s="410"/>
      <c r="D84" s="359"/>
      <c r="E84" s="312"/>
      <c r="F84" s="268"/>
      <c r="G84" s="368">
        <f xml:space="preserve"> SUM(G71:G83)</f>
        <v>2291983.92</v>
      </c>
      <c r="H84" s="57">
        <f>G84+'29'!H85</f>
        <v>2340508.92</v>
      </c>
      <c r="I84" s="68"/>
      <c r="J84" s="58">
        <f>H84/DAY(B2)</f>
        <v>78016.963999999993</v>
      </c>
      <c r="K84" s="88"/>
      <c r="L84" s="44"/>
    </row>
    <row r="85" spans="1:12" s="38" customFormat="1" ht="23.25" customHeight="1">
      <c r="A85" s="1123" t="s">
        <v>204</v>
      </c>
      <c r="B85" s="398"/>
      <c r="C85" s="1124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37" t="s">
        <v>205</v>
      </c>
      <c r="B86" s="1738"/>
      <c r="C86" s="1739"/>
      <c r="D86" s="268" t="s">
        <v>143</v>
      </c>
      <c r="E86" s="415">
        <f>'29'!F93</f>
        <v>245378</v>
      </c>
      <c r="F86" s="267">
        <v>175511</v>
      </c>
      <c r="G86" s="318">
        <f t="shared" ref="G86:G87" si="7">F86-E86</f>
        <v>-69867</v>
      </c>
      <c r="H86" s="57">
        <f>G86+'29'!H93</f>
        <v>-68913</v>
      </c>
      <c r="I86" s="69"/>
      <c r="J86" s="58">
        <f>H86/DAY(B2)</f>
        <v>-2297.1</v>
      </c>
      <c r="K86" s="75"/>
      <c r="L86" s="117"/>
    </row>
    <row r="87" spans="1:12" ht="23.25" customHeight="1">
      <c r="A87" s="1737" t="s">
        <v>206</v>
      </c>
      <c r="B87" s="1738"/>
      <c r="C87" s="1739"/>
      <c r="D87" s="268" t="s">
        <v>143</v>
      </c>
      <c r="E87" s="56">
        <f>'29'!F94</f>
        <v>185930</v>
      </c>
      <c r="F87" s="267">
        <v>60336</v>
      </c>
      <c r="G87" s="318">
        <f t="shared" si="7"/>
        <v>-125594</v>
      </c>
      <c r="H87" s="57">
        <f>G87+'29'!H94</f>
        <v>-123195</v>
      </c>
      <c r="I87" s="69"/>
      <c r="J87" s="58">
        <f>H87/DAY(B2)</f>
        <v>-4106.5</v>
      </c>
      <c r="K87" s="88"/>
      <c r="L87" s="117"/>
    </row>
    <row r="88" spans="1:12" ht="23.25" customHeight="1">
      <c r="A88" s="1767" t="s">
        <v>207</v>
      </c>
      <c r="B88" s="1768"/>
      <c r="C88" s="1769"/>
      <c r="D88" s="268"/>
      <c r="E88" s="56">
        <f>'29'!F95</f>
        <v>3</v>
      </c>
      <c r="F88" s="267"/>
      <c r="G88" s="318">
        <f>G86+G87</f>
        <v>-195461</v>
      </c>
      <c r="H88" s="57">
        <f>G88+'29'!H95</f>
        <v>-192255</v>
      </c>
      <c r="I88" s="69"/>
      <c r="J88" s="58">
        <f>H88/DAY(B2)</f>
        <v>-6408.5</v>
      </c>
      <c r="K88" s="88"/>
      <c r="L88" s="117"/>
    </row>
    <row r="89" spans="1:12" ht="23.25" customHeight="1">
      <c r="A89" s="1737" t="s">
        <v>208</v>
      </c>
      <c r="B89" s="1738"/>
      <c r="C89" s="1739"/>
      <c r="D89" s="268" t="s">
        <v>143</v>
      </c>
      <c r="E89" s="56">
        <f>'29'!F96</f>
        <v>414191</v>
      </c>
      <c r="F89" s="267">
        <v>351186</v>
      </c>
      <c r="G89" s="318">
        <f t="shared" ref="G89:G94" si="8">F89-E89</f>
        <v>-63005</v>
      </c>
      <c r="H89" s="57">
        <f>G89+'29'!H96</f>
        <v>-61700</v>
      </c>
      <c r="I89" s="69"/>
      <c r="J89" s="58">
        <f>H89/DAY(B2)</f>
        <v>-2056.6666666666665</v>
      </c>
      <c r="K89" s="88"/>
      <c r="L89" s="117"/>
    </row>
    <row r="90" spans="1:12" ht="23.25" customHeight="1">
      <c r="A90" s="1125" t="s">
        <v>209</v>
      </c>
      <c r="B90" s="1126"/>
      <c r="C90" s="1127"/>
      <c r="D90" s="268" t="s">
        <v>143</v>
      </c>
      <c r="E90" s="56">
        <v>72</v>
      </c>
      <c r="F90" s="267">
        <v>84</v>
      </c>
      <c r="G90" s="318">
        <f t="shared" si="8"/>
        <v>12</v>
      </c>
      <c r="H90" s="57">
        <f>G90+'29'!H97</f>
        <v>292</v>
      </c>
      <c r="I90" s="69"/>
      <c r="J90" s="58">
        <f>H90/DAY(B2)</f>
        <v>9.7333333333333325</v>
      </c>
      <c r="K90" s="43"/>
      <c r="L90" s="117"/>
    </row>
    <row r="91" spans="1:12" ht="23.25" customHeight="1">
      <c r="A91" s="1125" t="s">
        <v>210</v>
      </c>
      <c r="B91" s="1126"/>
      <c r="C91" s="1127"/>
      <c r="D91" s="268" t="s">
        <v>143</v>
      </c>
      <c r="E91" s="56">
        <f>'29'!F98</f>
        <v>97897</v>
      </c>
      <c r="F91" s="267">
        <v>82333</v>
      </c>
      <c r="G91" s="318">
        <f t="shared" si="8"/>
        <v>-15564</v>
      </c>
      <c r="H91" s="57">
        <f>G91+'29'!H98</f>
        <v>-15094</v>
      </c>
      <c r="I91" s="69"/>
      <c r="J91" s="58">
        <f>H91/DAY(B2)</f>
        <v>-503.13333333333333</v>
      </c>
      <c r="K91" s="51"/>
      <c r="L91" s="117"/>
    </row>
    <row r="92" spans="1:12" ht="23.25" customHeight="1">
      <c r="A92" s="1125" t="s">
        <v>211</v>
      </c>
      <c r="B92" s="1126"/>
      <c r="C92" s="1127"/>
      <c r="D92" s="268" t="s">
        <v>143</v>
      </c>
      <c r="E92" s="56">
        <f>'29'!F99</f>
        <v>149846</v>
      </c>
      <c r="F92" s="267">
        <v>115948</v>
      </c>
      <c r="G92" s="318">
        <f t="shared" si="8"/>
        <v>-33898</v>
      </c>
      <c r="H92" s="57">
        <f>G92+'29'!H99</f>
        <v>-33585</v>
      </c>
      <c r="I92" s="69"/>
      <c r="J92" s="58">
        <f>H92/DAY(B2)</f>
        <v>-1119.5</v>
      </c>
      <c r="K92" s="88"/>
      <c r="L92" s="117"/>
    </row>
    <row r="93" spans="1:12" ht="23.25" customHeight="1">
      <c r="A93" s="1125" t="s">
        <v>212</v>
      </c>
      <c r="B93" s="1126"/>
      <c r="C93" s="1127"/>
      <c r="D93" s="268" t="s">
        <v>143</v>
      </c>
      <c r="E93" s="56">
        <f>'29'!F100</f>
        <v>7356</v>
      </c>
      <c r="F93" s="267">
        <v>2658</v>
      </c>
      <c r="G93" s="318">
        <f t="shared" si="8"/>
        <v>-4698</v>
      </c>
      <c r="H93" s="57">
        <f>G93+'29'!H100</f>
        <v>-4527</v>
      </c>
      <c r="I93" s="69"/>
      <c r="J93" s="58">
        <f>H93/DAY(B2)</f>
        <v>-150.9</v>
      </c>
      <c r="K93" s="88"/>
      <c r="L93" s="117"/>
    </row>
    <row r="94" spans="1:12" ht="23.25" customHeight="1">
      <c r="A94" s="1125" t="s">
        <v>213</v>
      </c>
      <c r="B94" s="1126"/>
      <c r="C94" s="1127"/>
      <c r="D94" s="268" t="s">
        <v>143</v>
      </c>
      <c r="E94" s="56">
        <f>'29'!F101</f>
        <v>5372</v>
      </c>
      <c r="F94" s="267">
        <v>2507</v>
      </c>
      <c r="G94" s="318">
        <f t="shared" si="8"/>
        <v>-2865</v>
      </c>
      <c r="H94" s="57">
        <f>G94+'29'!H101</f>
        <v>-2631</v>
      </c>
      <c r="I94" s="69"/>
      <c r="J94" s="58">
        <f>H94/DAY(B2)</f>
        <v>-87.7</v>
      </c>
      <c r="K94" s="88"/>
      <c r="L94" s="117"/>
    </row>
    <row r="95" spans="1:12" ht="23.25" customHeight="1">
      <c r="A95" s="1767" t="s">
        <v>215</v>
      </c>
      <c r="B95" s="1768"/>
      <c r="C95" s="1769"/>
      <c r="D95" s="274"/>
      <c r="E95" s="416"/>
      <c r="F95" s="274"/>
      <c r="G95" s="411">
        <f>SUM(G89:G94)</f>
        <v>-120018</v>
      </c>
      <c r="H95" s="57">
        <f>G95+'29'!H102</f>
        <v>-117245</v>
      </c>
      <c r="I95" s="140"/>
      <c r="J95" s="58">
        <f>H95/DAY(B2)</f>
        <v>-3908.1666666666665</v>
      </c>
      <c r="K95" s="88"/>
      <c r="L95" s="117"/>
    </row>
    <row r="96" spans="1:12" ht="23.25" customHeight="1">
      <c r="A96" s="1770" t="s">
        <v>229</v>
      </c>
      <c r="B96" s="1771"/>
      <c r="C96" s="1772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230</v>
      </c>
      <c r="B97" s="361"/>
      <c r="C97" s="362"/>
      <c r="D97" s="312" t="s">
        <v>140</v>
      </c>
      <c r="E97" s="415">
        <f>'29'!F124</f>
        <v>831972</v>
      </c>
      <c r="F97" s="275">
        <v>650192.71</v>
      </c>
      <c r="G97" s="318">
        <f t="shared" ref="G97:G101" si="9">F97-E97</f>
        <v>-181779.29000000004</v>
      </c>
      <c r="H97" s="57">
        <f>G97+'29'!H124</f>
        <v>-175895.75</v>
      </c>
      <c r="I97" s="87"/>
      <c r="J97" s="58">
        <f>H97/DAY(B2)</f>
        <v>-5863.1916666666666</v>
      </c>
      <c r="K97" s="88"/>
      <c r="L97" s="117"/>
    </row>
    <row r="98" spans="1:12" ht="23.25" customHeight="1">
      <c r="A98" s="360" t="s">
        <v>231</v>
      </c>
      <c r="B98" s="361"/>
      <c r="C98" s="362"/>
      <c r="D98" s="312" t="s">
        <v>140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54" t="s">
        <v>232</v>
      </c>
      <c r="B99" s="1755"/>
      <c r="C99" s="1756"/>
      <c r="D99" s="268" t="s">
        <v>140</v>
      </c>
      <c r="E99" s="56">
        <f>'29'!F126</f>
        <v>146368</v>
      </c>
      <c r="F99" s="264">
        <v>83294.490000000005</v>
      </c>
      <c r="G99" s="318">
        <f t="shared" si="9"/>
        <v>-63073.509999999995</v>
      </c>
      <c r="H99" s="57">
        <f>G99+'29'!H126</f>
        <v>-61392.95</v>
      </c>
      <c r="I99" s="363"/>
      <c r="J99" s="58">
        <f>H99/DAY(B2)</f>
        <v>-2046.4316666666666</v>
      </c>
      <c r="K99" s="88"/>
      <c r="L99" s="117"/>
    </row>
    <row r="100" spans="1:12" ht="23.25" customHeight="1">
      <c r="A100" s="385" t="s">
        <v>233</v>
      </c>
      <c r="B100" s="1126"/>
      <c r="C100" s="1127"/>
      <c r="D100" s="268" t="s">
        <v>140</v>
      </c>
      <c r="E100" s="56">
        <f>'29'!F127</f>
        <v>31404</v>
      </c>
      <c r="F100" s="264">
        <v>39666</v>
      </c>
      <c r="G100" s="318">
        <f t="shared" si="9"/>
        <v>8262</v>
      </c>
      <c r="H100" s="57">
        <f>G100+'29'!H127</f>
        <v>8262</v>
      </c>
      <c r="I100" s="363"/>
      <c r="J100" s="58">
        <f>H100/DAY(B2)</f>
        <v>275.39999999999998</v>
      </c>
      <c r="K100" s="88"/>
      <c r="L100" s="117"/>
    </row>
    <row r="101" spans="1:12" ht="23.25" customHeight="1">
      <c r="A101" s="385" t="s">
        <v>234</v>
      </c>
      <c r="B101" s="1126"/>
      <c r="C101" s="1127"/>
      <c r="D101" s="268" t="s">
        <v>140</v>
      </c>
      <c r="E101" s="56">
        <f>'29'!F128</f>
        <v>8971</v>
      </c>
      <c r="F101" s="264">
        <v>6221.3</v>
      </c>
      <c r="G101" s="318">
        <f t="shared" si="9"/>
        <v>-2749.7</v>
      </c>
      <c r="H101" s="57">
        <f>G101+'29'!H128</f>
        <v>-2748.4000000000005</v>
      </c>
      <c r="I101" s="319"/>
      <c r="J101" s="308">
        <f>H101/DAY(B2)</f>
        <v>-91.613333333333358</v>
      </c>
      <c r="K101" s="88"/>
      <c r="L101" s="117"/>
    </row>
    <row r="102" spans="1:12" ht="23.25" customHeight="1">
      <c r="A102" s="1773" t="s">
        <v>249</v>
      </c>
      <c r="B102" s="1774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37" t="s">
        <v>250</v>
      </c>
      <c r="B103" s="1738"/>
      <c r="C103" s="1739"/>
      <c r="D103" s="268" t="s">
        <v>131</v>
      </c>
      <c r="E103" s="268"/>
      <c r="F103" s="268"/>
      <c r="G103" s="277">
        <f>G34+G42+G48+G56</f>
        <v>21684.479999999865</v>
      </c>
      <c r="H103" s="57">
        <f>G103+'29'!H143</f>
        <v>144404.47999999986</v>
      </c>
      <c r="I103" s="69"/>
      <c r="J103" s="58">
        <f>H103/DAY(B2)</f>
        <v>4813.4826666666622</v>
      </c>
      <c r="K103" s="88"/>
      <c r="L103" s="117"/>
    </row>
    <row r="104" spans="1:12" ht="23.25" customHeight="1">
      <c r="A104" s="1737" t="s">
        <v>251</v>
      </c>
      <c r="B104" s="1738"/>
      <c r="C104" s="1739"/>
      <c r="D104" s="268" t="s">
        <v>24</v>
      </c>
      <c r="E104" s="269"/>
      <c r="F104" s="269"/>
      <c r="G104" s="280">
        <f>G103/G7</f>
        <v>6.5571159053440806E-3</v>
      </c>
      <c r="H104" s="57">
        <f>G104+'29'!H144</f>
        <v>7.6812901646201794</v>
      </c>
      <c r="I104" s="84"/>
      <c r="J104" s="58">
        <f>H104/DAY(B2)</f>
        <v>0.25604300548733933</v>
      </c>
      <c r="K104" s="111"/>
      <c r="L104" s="117"/>
    </row>
    <row r="105" spans="1:12" ht="23.25" customHeight="1">
      <c r="A105" s="1737" t="s">
        <v>252</v>
      </c>
      <c r="B105" s="1738"/>
      <c r="C105" s="1739"/>
      <c r="D105" s="268" t="s">
        <v>131</v>
      </c>
      <c r="E105" s="265"/>
      <c r="F105" s="265"/>
      <c r="G105" s="277">
        <f>G40+G41+G54+G55</f>
        <v>2492466.89</v>
      </c>
      <c r="H105" s="57">
        <f>G105+'29'!H145</f>
        <v>2636261.42</v>
      </c>
      <c r="I105" s="69"/>
      <c r="J105" s="58">
        <f>H105/DAY(B2)</f>
        <v>87875.380666666664</v>
      </c>
      <c r="K105" s="111"/>
      <c r="L105" s="117"/>
    </row>
    <row r="106" spans="1:12" ht="23.25" customHeight="1">
      <c r="A106" s="1737" t="s">
        <v>253</v>
      </c>
      <c r="B106" s="1738"/>
      <c r="C106" s="1739"/>
      <c r="D106" s="268" t="s">
        <v>24</v>
      </c>
      <c r="E106" s="265"/>
      <c r="F106" s="265"/>
      <c r="G106" s="280">
        <f>G105/G7</f>
        <v>0.75369085576239769</v>
      </c>
      <c r="H106" s="57">
        <f>G106+'29'!H146</f>
        <v>9.757715280935086</v>
      </c>
      <c r="I106" s="84"/>
      <c r="J106" s="58">
        <f>H106/DAY(B2)</f>
        <v>0.32525717603116955</v>
      </c>
      <c r="K106" s="111"/>
      <c r="L106" s="117"/>
    </row>
    <row r="107" spans="1:12" ht="23.25" customHeight="1">
      <c r="A107" s="1737" t="s">
        <v>254</v>
      </c>
      <c r="B107" s="1738"/>
      <c r="C107" s="1739"/>
      <c r="D107" s="268" t="s">
        <v>131</v>
      </c>
      <c r="E107" s="265"/>
      <c r="F107" s="265"/>
      <c r="G107" s="277">
        <f>G38+G52</f>
        <v>2258466.69</v>
      </c>
      <c r="H107" s="57">
        <f>G107+'29'!H147</f>
        <v>2330629.69</v>
      </c>
      <c r="I107" s="86"/>
      <c r="J107" s="58">
        <f>H107/DAY(B2)</f>
        <v>77687.656333333332</v>
      </c>
      <c r="K107" s="111"/>
      <c r="L107" s="117"/>
    </row>
    <row r="108" spans="1:12" ht="23.25" customHeight="1">
      <c r="A108" s="1737" t="s">
        <v>255</v>
      </c>
      <c r="B108" s="1738"/>
      <c r="C108" s="1739"/>
      <c r="D108" s="268" t="s">
        <v>24</v>
      </c>
      <c r="E108" s="265"/>
      <c r="F108" s="265"/>
      <c r="G108" s="280">
        <f>G107/G7</f>
        <v>0.68293211802583653</v>
      </c>
      <c r="H108" s="57">
        <f>G108+'29'!H148</f>
        <v>5.1968326046654507</v>
      </c>
      <c r="I108" s="86"/>
      <c r="J108" s="58">
        <f>H108/DAY(B2)</f>
        <v>0.17322775348884836</v>
      </c>
    </row>
    <row r="109" spans="1:12" ht="23.25" customHeight="1">
      <c r="A109" s="1737" t="s">
        <v>256</v>
      </c>
      <c r="B109" s="1738"/>
      <c r="C109" s="1739"/>
      <c r="D109" s="268" t="s">
        <v>182</v>
      </c>
      <c r="E109" s="265"/>
      <c r="F109" s="265"/>
      <c r="G109" s="277">
        <f>G37+G51</f>
        <v>1226135.6800000002</v>
      </c>
      <c r="H109" s="57">
        <f>G109+'29'!H149</f>
        <v>1260364.75</v>
      </c>
      <c r="I109" s="69"/>
      <c r="J109" s="58">
        <f>H109/DAY(B2)</f>
        <v>42012.158333333333</v>
      </c>
      <c r="K109" s="153"/>
    </row>
    <row r="110" spans="1:12" ht="23.25" customHeight="1">
      <c r="A110" s="1737" t="s">
        <v>257</v>
      </c>
      <c r="B110" s="1738"/>
      <c r="C110" s="1739"/>
      <c r="D110" s="268" t="s">
        <v>24</v>
      </c>
      <c r="E110" s="265"/>
      <c r="F110" s="265"/>
      <c r="G110" s="280">
        <f>G109/G7</f>
        <v>0.37076811477323557</v>
      </c>
      <c r="H110" s="57">
        <f>G110+'29'!H150</f>
        <v>2.5149119489541452</v>
      </c>
      <c r="I110" s="86"/>
      <c r="J110" s="58">
        <f>H110/DAY(B2)</f>
        <v>8.3830398298471512E-2</v>
      </c>
    </row>
    <row r="111" spans="1:12" ht="23.25" customHeight="1">
      <c r="A111" s="1737" t="s">
        <v>258</v>
      </c>
      <c r="B111" s="1738"/>
      <c r="C111" s="1739"/>
      <c r="D111" s="268" t="s">
        <v>182</v>
      </c>
      <c r="E111" s="265"/>
      <c r="F111" s="265"/>
      <c r="G111" s="277">
        <f>G35+G49</f>
        <v>554385.22</v>
      </c>
      <c r="H111" s="57">
        <f>G111+'29'!H151</f>
        <v>583032.22</v>
      </c>
      <c r="I111" s="86"/>
      <c r="J111" s="58">
        <f>H111/DAY(B2)</f>
        <v>19434.407333333333</v>
      </c>
    </row>
    <row r="112" spans="1:12" ht="23.25" customHeight="1">
      <c r="A112" s="1737" t="s">
        <v>259</v>
      </c>
      <c r="B112" s="1738"/>
      <c r="C112" s="1739"/>
      <c r="D112" s="268" t="s">
        <v>24</v>
      </c>
      <c r="E112" s="265"/>
      <c r="F112" s="265"/>
      <c r="G112" s="280">
        <f>G111/G7</f>
        <v>0.16763916606483992</v>
      </c>
      <c r="H112" s="57">
        <f>G112+'29'!H152</f>
        <v>1.9551769378916095</v>
      </c>
      <c r="I112" s="69"/>
      <c r="J112" s="58">
        <f>H112/DAY(B2)</f>
        <v>6.5172564596386984E-2</v>
      </c>
    </row>
    <row r="113" spans="1:10" ht="23.25" customHeight="1">
      <c r="A113" s="1737" t="s">
        <v>260</v>
      </c>
      <c r="B113" s="1738"/>
      <c r="C113" s="1739"/>
      <c r="D113" s="268" t="s">
        <v>182</v>
      </c>
      <c r="E113" s="265"/>
      <c r="F113" s="265"/>
      <c r="G113" s="277">
        <f>G36+G50</f>
        <v>668497.06999999995</v>
      </c>
      <c r="H113" s="57">
        <f>G113+'29'!H153</f>
        <v>704945.94</v>
      </c>
      <c r="I113" s="69"/>
      <c r="J113" s="58">
        <f>H113/DAY(B2)</f>
        <v>23498.197999999997</v>
      </c>
    </row>
    <row r="114" spans="1:10" ht="23.25" customHeight="1">
      <c r="A114" s="1737" t="s">
        <v>261</v>
      </c>
      <c r="B114" s="1738"/>
      <c r="C114" s="1739"/>
      <c r="D114" s="268" t="s">
        <v>24</v>
      </c>
      <c r="E114" s="265"/>
      <c r="F114" s="265"/>
      <c r="G114" s="280">
        <f>G113/G7</f>
        <v>0.20214516420836204</v>
      </c>
      <c r="H114" s="57">
        <f>G114+'29'!H154</f>
        <v>2.4880383798470715</v>
      </c>
      <c r="I114" s="69"/>
      <c r="J114" s="58">
        <f>H114/DAY(B2)</f>
        <v>8.2934612661569054E-2</v>
      </c>
    </row>
    <row r="115" spans="1:10" ht="23.25" customHeight="1">
      <c r="A115" s="388" t="s">
        <v>236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237</v>
      </c>
      <c r="B116" s="436"/>
      <c r="C116" s="436"/>
      <c r="D116" s="268" t="s">
        <v>238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239</v>
      </c>
      <c r="B117" s="436"/>
      <c r="C117" s="436"/>
      <c r="D117" s="268" t="s">
        <v>238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240</v>
      </c>
      <c r="B118" s="436"/>
      <c r="C118" s="436"/>
      <c r="D118" s="268" t="s">
        <v>238</v>
      </c>
      <c r="E118" s="56">
        <f>'29'!F133</f>
        <v>40059</v>
      </c>
      <c r="F118" s="267">
        <v>36196</v>
      </c>
      <c r="G118" s="318">
        <f t="shared" si="10"/>
        <v>-3863</v>
      </c>
      <c r="H118" s="57">
        <f>G118+'29'!H133</f>
        <v>-3550.4800000000032</v>
      </c>
      <c r="I118" s="69"/>
      <c r="J118" s="58">
        <f>H118/DAY(B2)</f>
        <v>-118.34933333333343</v>
      </c>
    </row>
    <row r="119" spans="1:10" ht="23.25" customHeight="1">
      <c r="A119" s="436" t="s">
        <v>241</v>
      </c>
      <c r="B119" s="436"/>
      <c r="C119" s="436"/>
      <c r="D119" s="268" t="s">
        <v>238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28234.32</v>
      </c>
      <c r="J119" s="58">
        <f>H119/DAY(B2)</f>
        <v>1069.9106666666667</v>
      </c>
    </row>
    <row r="120" spans="1:10" ht="23.25" customHeight="1">
      <c r="A120" s="436" t="s">
        <v>242</v>
      </c>
      <c r="B120" s="436"/>
      <c r="C120" s="436"/>
      <c r="D120" s="268" t="s">
        <v>238</v>
      </c>
      <c r="E120" s="56">
        <f>'29'!F135</f>
        <v>41730</v>
      </c>
      <c r="F120" s="267">
        <v>30495.25</v>
      </c>
      <c r="G120" s="318">
        <f t="shared" si="10"/>
        <v>-11234.75</v>
      </c>
      <c r="H120" s="57">
        <f>G120+'29'!H135</f>
        <v>-11163.14</v>
      </c>
      <c r="I120" s="69"/>
      <c r="J120" s="58">
        <f>H120/DAY(B2)</f>
        <v>-372.10466666666667</v>
      </c>
    </row>
    <row r="121" spans="1:10" ht="23.25" customHeight="1">
      <c r="A121" s="436" t="s">
        <v>243</v>
      </c>
      <c r="B121" s="436"/>
      <c r="C121" s="436"/>
      <c r="D121" s="268" t="s">
        <v>238</v>
      </c>
      <c r="E121" s="56">
        <f>'29'!F136</f>
        <v>32667.24</v>
      </c>
      <c r="F121" s="267">
        <v>25683.26</v>
      </c>
      <c r="G121" s="318">
        <f t="shared" si="10"/>
        <v>-6983.9800000000032</v>
      </c>
      <c r="H121" s="57">
        <f>G121+'29'!H136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244</v>
      </c>
      <c r="B122" s="436"/>
      <c r="C122" s="436"/>
      <c r="D122" s="268" t="s">
        <v>238</v>
      </c>
      <c r="E122" s="56">
        <f>'29'!F137</f>
        <v>22799</v>
      </c>
      <c r="F122" s="267">
        <v>21285.49</v>
      </c>
      <c r="G122" s="318">
        <f t="shared" si="10"/>
        <v>-1513.5099999999984</v>
      </c>
      <c r="H122" s="57">
        <f>G122+'29'!H137</f>
        <v>-1454.0999999999985</v>
      </c>
      <c r="I122" s="69">
        <f>G120+G121+G122</f>
        <v>-19732.240000000002</v>
      </c>
      <c r="J122" s="58">
        <f>H122/DAY(B2)</f>
        <v>-48.469999999999949</v>
      </c>
    </row>
    <row r="123" spans="1:10" ht="23.25" customHeight="1">
      <c r="A123" s="436" t="s">
        <v>245</v>
      </c>
      <c r="B123" s="436"/>
      <c r="C123" s="436"/>
      <c r="D123" s="268" t="s">
        <v>238</v>
      </c>
      <c r="E123" s="56">
        <f>'29'!F138</f>
        <v>25052</v>
      </c>
      <c r="F123" s="267">
        <v>22354.720000000001</v>
      </c>
      <c r="G123" s="318">
        <f t="shared" si="10"/>
        <v>-2697.2799999999988</v>
      </c>
      <c r="H123" s="57">
        <f>G123+'29'!H138</f>
        <v>-2689</v>
      </c>
      <c r="I123" s="69"/>
      <c r="J123" s="58">
        <f>H123/DAY(B2)</f>
        <v>-89.63333333333334</v>
      </c>
    </row>
    <row r="124" spans="1:10" ht="23.25" customHeight="1">
      <c r="A124" s="436" t="s">
        <v>246</v>
      </c>
      <c r="B124" s="436"/>
      <c r="C124" s="436"/>
      <c r="D124" s="268" t="s">
        <v>238</v>
      </c>
      <c r="E124" s="56">
        <f>'29'!F139</f>
        <v>70402</v>
      </c>
      <c r="F124" s="267">
        <v>64789.37</v>
      </c>
      <c r="G124" s="318">
        <f t="shared" si="10"/>
        <v>-5612.6299999999974</v>
      </c>
      <c r="H124" s="57">
        <f>G124+'29'!H139</f>
        <v>-5574.7300000000032</v>
      </c>
      <c r="I124" s="69">
        <f>G123+G124</f>
        <v>-8309.9099999999962</v>
      </c>
      <c r="J124" s="58">
        <f>H124/DAY(B2)</f>
        <v>-185.82433333333344</v>
      </c>
    </row>
    <row r="125" spans="1:10" ht="23.25" customHeight="1">
      <c r="A125" s="436" t="s">
        <v>247</v>
      </c>
      <c r="B125" s="436"/>
      <c r="C125" s="436"/>
      <c r="D125" s="268" t="s">
        <v>238</v>
      </c>
      <c r="E125" s="56">
        <f>'29'!F140</f>
        <v>1839.44</v>
      </c>
      <c r="F125" s="267">
        <v>17.899999999999999</v>
      </c>
      <c r="G125" s="318">
        <f t="shared" si="10"/>
        <v>-1821.54</v>
      </c>
      <c r="H125" s="57">
        <f>G125+'29'!H140</f>
        <v>-1598.9599999999998</v>
      </c>
      <c r="J125" s="58">
        <f>H125/DAY(B2)</f>
        <v>-53.298666666666662</v>
      </c>
    </row>
    <row r="126" spans="1:10" ht="23.25" customHeight="1" thickBot="1">
      <c r="A126" s="436" t="s">
        <v>248</v>
      </c>
      <c r="B126" s="436"/>
      <c r="C126" s="436"/>
      <c r="D126" s="268" t="s">
        <v>238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15988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15961</v>
      </c>
      <c r="B4" s="213"/>
    </row>
    <row r="5" spans="1:9">
      <c r="A5" s="213">
        <f>'3'!G7</f>
        <v>16029</v>
      </c>
    </row>
    <row r="6" spans="1:9">
      <c r="A6" s="213">
        <f>'4'!G7</f>
        <v>16163</v>
      </c>
    </row>
    <row r="7" spans="1:9">
      <c r="A7" s="213">
        <f>'5'!G7</f>
        <v>15754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2021-06-12T10:16:15Z</dcterms:modified>
</cp:coreProperties>
</file>