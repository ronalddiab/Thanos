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2" i="7" l="1"/>
  <c r="CQ22" i="7" l="1"/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<sst xmlns="http://schemas.openxmlformats.org/spreadsheetml/2006/main" count="315" uniqueCount="148">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</sst>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9360.0000000002092</v>
      </c>
      <c r="F16" s="11">
        <f t="shared" si="1"/>
        <v>0.58765030286592534</v>
      </c>
      <c r="G16" s="12">
        <f>(Submetering!AX16+Submetering!AY16+Submetering!AZ16+Submetering!BA16+Submetering!BB16)</f>
        <v>23.8095</v>
      </c>
      <c r="H16" s="11">
        <f t="shared" si="2"/>
        <v>0.99</v>
      </c>
      <c r="I16" s="12">
        <f>'FS Desroches Daily'!CM18</f>
        <v>62</v>
      </c>
      <c r="J16" s="11">
        <f t="shared" si="3"/>
        <v>10.487297712684205</v>
      </c>
      <c r="K16" s="13">
        <f>'FS Desroches Daily'!CN18</f>
        <v>8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9699.9999999996962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49</v>
      </c>
      <c r="J17" s="11">
        <f t="shared" si="3"/>
        <v>10.487297712684205</v>
      </c>
      <c r="K17" s="13">
        <f>'FS Desroches Daily'!CN19</f>
        <v>8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9080.0000000000364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73</v>
      </c>
      <c r="J18" s="11">
        <f t="shared" si="3"/>
        <v>10.487297712684205</v>
      </c>
      <c r="K18" s="13">
        <f>'FS Desroches Daily'!CN20</f>
        <v>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8759.9999999999345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178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8800.0000000002874</v>
      </c>
      <c r="F20" s="11">
        <f t="shared" si="1"/>
        <v>0.58765030286592534</v>
      </c>
      <c r="G20" s="12">
        <f>(Submetering!AX20+Submetering!AY20+Submetering!AZ20+Submetering!BA20+Submetering!BB20)</f>
        <v>20.146499999999996</v>
      </c>
      <c r="H20" s="11">
        <f t="shared" si="2"/>
        <v>0.99</v>
      </c>
      <c r="I20" s="12">
        <f>'FS Desroches Daily'!CM22</f>
        <v>69</v>
      </c>
      <c r="J20" s="11">
        <f t="shared" si="3"/>
        <v>10.487297712684205</v>
      </c>
      <c r="K20" s="13">
        <f>'FS Desroches Daily'!CN22</f>
        <v>13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9139.9999999997399</v>
      </c>
      <c r="F21" s="11">
        <f t="shared" si="1"/>
        <v>0.58765030286592534</v>
      </c>
      <c r="G21" s="12">
        <f>(Submetering!AX21+Submetering!AY21+Submetering!AZ21+Submetering!BA21+Submetering!BB21)</f>
        <v>27.472499999999997</v>
      </c>
      <c r="H21" s="11">
        <f t="shared" si="2"/>
        <v>0.99</v>
      </c>
      <c r="I21" s="12">
        <f>'FS Desroches Daily'!CM23</f>
        <v>94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9099.9999999997272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8910.0000000004875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64</v>
      </c>
      <c r="J23" s="11">
        <f t="shared" si="3"/>
        <v>10.487297712684205</v>
      </c>
      <c r="K23" s="13">
        <f>'FS Desroches Daily'!CN25</f>
        <v>10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7969.9999999995471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66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1900.0000000000127</v>
      </c>
      <c r="F16" s="32">
        <f>'FS Desroches Daily'!F18</f>
        <v>3200.0000000000919</v>
      </c>
      <c r="G16" s="31">
        <f>'FS Desroches Daily'!H18</f>
        <v>2699.9999999999245</v>
      </c>
      <c r="H16" s="32">
        <f>'FS Desroches Daily'!J18</f>
        <v>1300.0000000000789</v>
      </c>
      <c r="I16" s="31">
        <f>'FS Desroches Daily'!L18</f>
        <v>2200.0000000002019</v>
      </c>
      <c r="J16" s="32">
        <f>'FS Desroches Daily'!N18</f>
        <v>1000.0000000001119</v>
      </c>
      <c r="K16" s="13">
        <f>'FS Desroches Daily'!P18</f>
        <v>21</v>
      </c>
      <c r="L16" s="31">
        <f>'FS Desroches Daily'!R18</f>
        <v>5</v>
      </c>
      <c r="M16" s="31">
        <f>'FS Desroches Daily'!T18</f>
        <v>864.79999999993015</v>
      </c>
      <c r="N16" s="31">
        <f>'FS Desroches Daily'!V18</f>
        <v>380.09999999997672</v>
      </c>
      <c r="O16" s="31">
        <f>'FS Desroches Daily'!X18</f>
        <v>379.99999999999545</v>
      </c>
      <c r="P16" s="31">
        <f>'FS Desroches Daily'!Z18</f>
        <v>2800.0000000001355</v>
      </c>
      <c r="Q16" s="31">
        <f>'FS Desroches Daily'!AB18</f>
        <v>220.00000000002728</v>
      </c>
      <c r="R16" s="31">
        <f>'FS Desroches Daily'!AD18</f>
        <v>259.99999999999091</v>
      </c>
      <c r="S16" s="31">
        <f>'FS Desroches Daily'!AF18</f>
        <v>379.99999999999545</v>
      </c>
      <c r="T16" s="31">
        <f>'FS Desroches Daily'!AH18</f>
        <v>35</v>
      </c>
      <c r="U16" s="35">
        <f>'FS Desroches Daily'!AJ18</f>
        <v>950.00000000004547</v>
      </c>
      <c r="V16" s="35">
        <f>'FS Desroches Daily'!AL18</f>
        <v>240.00000000000909</v>
      </c>
      <c r="W16" s="35">
        <f>'FS Desroches Daily'!AN18</f>
        <v>60.000000000002274</v>
      </c>
      <c r="X16" s="35">
        <f>'FS Desroches Daily'!AP18</f>
        <v>260.00000000001933</v>
      </c>
      <c r="Y16" s="35">
        <f>'FS Desroches Daily'!AR18</f>
        <v>40.000000000020464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60.000000000002274</v>
      </c>
      <c r="AC16" s="35">
        <f>'FS Desroches Daily'!AZ18</f>
        <v>29.999999999972715</v>
      </c>
      <c r="AD16" s="35">
        <f>'FS Desroches Daily'!BB18</f>
        <v>9.9999999999909051</v>
      </c>
      <c r="AE16" s="35">
        <f>'FS Desroches Daily'!BD18</f>
        <v>19.99999999998181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50.000000000011369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19.99999999998181</v>
      </c>
      <c r="AL16" s="32">
        <f>'FS Desroches Daily'!BR18</f>
        <v>26</v>
      </c>
      <c r="AM16" s="32">
        <f>'FS Desroches Daily'!BT18</f>
        <v>19.99999999998181</v>
      </c>
      <c r="AN16" s="32">
        <f>'FS Desroches Daily'!BV18</f>
        <v>50</v>
      </c>
      <c r="AO16" s="32">
        <f>'FS Desroches Daily'!BX18</f>
        <v>19.99999999998181</v>
      </c>
      <c r="AP16" s="32">
        <f>'FS Desroches Daily'!BZ18</f>
        <v>51</v>
      </c>
      <c r="AQ16" s="31">
        <f>'FS Desroches Daily'!CB18</f>
        <v>44.900000000001455</v>
      </c>
      <c r="AR16" s="31">
        <f>'FS Desroches Daily'!CD18</f>
        <v>11.5</v>
      </c>
      <c r="AS16" s="31">
        <f>'FS Desroches Daily'!CF18</f>
        <v>24.699999999999818</v>
      </c>
      <c r="AT16" s="31">
        <f>'FS Desroches Daily'!CH18</f>
        <v>24.19999999999709</v>
      </c>
      <c r="AU16" s="31">
        <f>'FS Desroches Daily'!CJ18</f>
        <v>234.69999999995343</v>
      </c>
      <c r="AV16" s="31">
        <f>'FS Desroches Daily'!CL18</f>
        <v>740.00000000000909</v>
      </c>
      <c r="AW16" s="31">
        <f>'FS Desroches Daily'!CM18</f>
        <v>62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8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1900.0000000000127</v>
      </c>
      <c r="F17" s="32">
        <f>'FS Desroches Daily'!F19</f>
        <v>3199.9999999996476</v>
      </c>
      <c r="G17" s="31">
        <f>'FS Desroches Daily'!H19</f>
        <v>2800.0000000001355</v>
      </c>
      <c r="H17" s="32">
        <f>'FS Desroches Daily'!J19</f>
        <v>1400.0000000000678</v>
      </c>
      <c r="I17" s="31">
        <f>'FS Desroches Daily'!L19</f>
        <v>1999.9999999997797</v>
      </c>
      <c r="J17" s="32">
        <f>'FS Desroches Daily'!N19</f>
        <v>1099.9999999998788</v>
      </c>
      <c r="K17" s="13">
        <f>'FS Desroches Daily'!P19</f>
        <v>16</v>
      </c>
      <c r="L17" s="31">
        <f>'FS Desroches Daily'!R19</f>
        <v>5</v>
      </c>
      <c r="M17" s="31">
        <f>'FS Desroches Daily'!T19</f>
        <v>888.80000000004657</v>
      </c>
      <c r="N17" s="31">
        <f>'FS Desroches Daily'!V19</f>
        <v>364</v>
      </c>
      <c r="O17" s="31">
        <f>'FS Desroches Daily'!X19</f>
        <v>310.00000000000227</v>
      </c>
      <c r="P17" s="31">
        <f>'FS Desroches Daily'!Z19</f>
        <v>2899.9999999999027</v>
      </c>
      <c r="Q17" s="31">
        <f>'FS Desroches Daily'!AB19</f>
        <v>379.99999999999545</v>
      </c>
      <c r="R17" s="31">
        <f>'FS Desroches Daily'!AD19</f>
        <v>209.99999999997954</v>
      </c>
      <c r="S17" s="31">
        <f>'FS Desroches Daily'!AF19</f>
        <v>389.99999999998636</v>
      </c>
      <c r="T17" s="31">
        <f>'FS Desroches Daily'!AH19</f>
        <v>36</v>
      </c>
      <c r="U17" s="35">
        <f>'FS Desroches Daily'!AJ19</f>
        <v>809.99999999994543</v>
      </c>
      <c r="V17" s="35">
        <f>'FS Desroches Daily'!AL19</f>
        <v>219.99999999999886</v>
      </c>
      <c r="W17" s="35">
        <f>'FS Desroches Daily'!AN19</f>
        <v>99.999999999994316</v>
      </c>
      <c r="X17" s="35">
        <f>'FS Desroches Daily'!AP19</f>
        <v>250</v>
      </c>
      <c r="Y17" s="35">
        <f>'FS Desroches Daily'!AR19</f>
        <v>49.999999999982947</v>
      </c>
      <c r="Z17" s="35">
        <f>'FS Desroches Daily'!AU20</f>
        <v>283.17</v>
      </c>
      <c r="AA17" s="35">
        <f>'FS Desroches Daily'!AU20</f>
        <v>283.17</v>
      </c>
      <c r="AB17" s="35">
        <f>'FS Desroches Daily'!AV19</f>
        <v>50.000000000011369</v>
      </c>
      <c r="AC17" s="35">
        <f>'FS Desroches Daily'!AZ19</f>
        <v>30.000000000029559</v>
      </c>
      <c r="AD17" s="35">
        <f>'FS Desroches Daily'!BB19</f>
        <v>19.99999999998181</v>
      </c>
      <c r="AE17" s="35">
        <f>'FS Desroches Daily'!BD19</f>
        <v>20.000000000010232</v>
      </c>
      <c r="AF17" s="31">
        <f>'FS Desroches Daily'!BF19</f>
        <v>39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39.999999999992042</v>
      </c>
      <c r="AJ17" s="32">
        <f>'FS Desroches Daily'!BN19</f>
        <v>50.000000000011369</v>
      </c>
      <c r="AK17" s="32">
        <f>'FS Desroches Daily'!BP19</f>
        <v>29.999999999972715</v>
      </c>
      <c r="AL17" s="32">
        <f>'FS Desroches Daily'!BR19</f>
        <v>27</v>
      </c>
      <c r="AM17" s="32">
        <f>'FS Desroches Daily'!BT19</f>
        <v>0</v>
      </c>
      <c r="AN17" s="32">
        <f>'FS Desroches Daily'!BV19</f>
        <v>49</v>
      </c>
      <c r="AO17" s="32">
        <f>'FS Desroches Daily'!BX19</f>
        <v>30.000000000001137</v>
      </c>
      <c r="AP17" s="32">
        <f>'FS Desroches Daily'!BZ19</f>
        <v>57</v>
      </c>
      <c r="AQ17" s="31">
        <f>'FS Desroches Daily'!CB19</f>
        <v>43.5</v>
      </c>
      <c r="AR17" s="31">
        <f>'FS Desroches Daily'!CD19</f>
        <v>5.6000000000003638</v>
      </c>
      <c r="AS17" s="31">
        <f>'FS Desroches Daily'!CF19</f>
        <v>11.300000000000182</v>
      </c>
      <c r="AT17" s="31">
        <f>'FS Desroches Daily'!CH19</f>
        <v>17.80000000000291</v>
      </c>
      <c r="AU17" s="31">
        <f>'FS Desroches Daily'!CJ19</f>
        <v>343.30000000004657</v>
      </c>
      <c r="AV17" s="31">
        <f>'FS Desroches Daily'!CL19</f>
        <v>700.00000000004547</v>
      </c>
      <c r="AW17" s="31">
        <f>'FS Desroches Daily'!CM19</f>
        <v>49</v>
      </c>
      <c r="AX17" s="31">
        <f>IF(LPG!F24-LPG!F23&lt;0,"0",(LPG!F24-LPG!F23)*1.8315)</f>
        <v>9.1574999999999989</v>
      </c>
      <c r="AY17" s="31">
        <f>IF(LPG!H24-LPG!H23&lt;0,"0",(LPG!H24-LPG!H23)*1.8315)</f>
        <v>1.8314999999999999</v>
      </c>
      <c r="AZ17" s="31">
        <f>IF(LPG!J24-LPG!J23&lt;0,"0",(LPG!J24-LPG!J23)*1.8315)</f>
        <v>1.8314999999999999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8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1900.0000000000127</v>
      </c>
      <c r="F18" s="32">
        <f>'FS Desroches Daily'!F20</f>
        <v>3100.0000000003247</v>
      </c>
      <c r="G18" s="31">
        <f>'FS Desroches Daily'!H20</f>
        <v>2399.9999999997358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1000.0000000001119</v>
      </c>
      <c r="K18" s="13">
        <f>'FS Desroches Daily'!P20</f>
        <v>9</v>
      </c>
      <c r="L18" s="31">
        <f>'FS Desroches Daily'!R20</f>
        <v>4</v>
      </c>
      <c r="M18" s="31">
        <f>'FS Desroches Daily'!T20</f>
        <v>670.59999999997672</v>
      </c>
      <c r="N18" s="31">
        <f>'FS Desroches Daily'!V20</f>
        <v>302.09999999997672</v>
      </c>
      <c r="O18" s="31">
        <f>'FS Desroches Daily'!X20</f>
        <v>290.00000000002046</v>
      </c>
      <c r="P18" s="31">
        <f>'FS Desroches Daily'!Z20</f>
        <v>2800.0000000001355</v>
      </c>
      <c r="Q18" s="31">
        <f>'FS Desroches Daily'!AB20</f>
        <v>339.99999999997499</v>
      </c>
      <c r="R18" s="31">
        <f>'FS Desroches Daily'!AD20</f>
        <v>180.00000000000682</v>
      </c>
      <c r="S18" s="31">
        <f>'FS Desroches Daily'!AF20</f>
        <v>379.99999999999545</v>
      </c>
      <c r="T18" s="31">
        <f>'FS Desroches Daily'!AH20</f>
        <v>32</v>
      </c>
      <c r="U18" s="35">
        <f>'FS Desroches Daily'!AJ20</f>
        <v>700.00000000004547</v>
      </c>
      <c r="V18" s="35">
        <f>'FS Desroches Daily'!AL20</f>
        <v>180.00000000000682</v>
      </c>
      <c r="W18" s="35">
        <f>'FS Desroches Daily'!AN20</f>
        <v>69.999999999993179</v>
      </c>
      <c r="X18" s="35">
        <f>'FS Desroches Daily'!AP20</f>
        <v>250</v>
      </c>
      <c r="Y18" s="35">
        <f>'FS Desroches Daily'!AR20</f>
        <v>80.000000000012506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69.999999999993179</v>
      </c>
      <c r="AC18" s="35">
        <f>'FS Desroches Daily'!AZ20</f>
        <v>29.999999999972715</v>
      </c>
      <c r="AD18" s="35">
        <f>'FS Desroches Daily'!BB20</f>
        <v>40.000000000020464</v>
      </c>
      <c r="AE18" s="35">
        <f>'FS Desroches Daily'!BD20</f>
        <v>30.000000000001137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21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46</v>
      </c>
      <c r="AQ18" s="31">
        <f>'FS Desroches Daily'!CB20</f>
        <v>45.899999999997817</v>
      </c>
      <c r="AR18" s="31">
        <f>'FS Desroches Daily'!CD20</f>
        <v>8.7999999999992724</v>
      </c>
      <c r="AS18" s="31">
        <f>'FS Desroches Daily'!CF20</f>
        <v>4.1000000000003638</v>
      </c>
      <c r="AT18" s="31">
        <f>'FS Desroches Daily'!CH20</f>
        <v>25.19999999999709</v>
      </c>
      <c r="AU18" s="31">
        <f>'FS Desroches Daily'!CJ20</f>
        <v>319</v>
      </c>
      <c r="AV18" s="31">
        <f>'FS Desroches Daily'!CL20</f>
        <v>620.00000000000455</v>
      </c>
      <c r="AW18" s="31">
        <f>'FS Desroches Daily'!CM20</f>
        <v>73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2099.9999999999909</v>
      </c>
      <c r="F19" s="32">
        <f>'FS Desroches Daily'!F21</f>
        <v>2799.9999999996917</v>
      </c>
      <c r="G19" s="31">
        <f>'FS Desroches Daily'!H21</f>
        <v>2200.0000000002019</v>
      </c>
      <c r="H19" s="32">
        <f>'FS Desroches Daily'!J21</f>
        <v>1400.0000000000678</v>
      </c>
      <c r="I19" s="31">
        <f>'FS Desroches Daily'!L21</f>
        <v>2000.0000000002237</v>
      </c>
      <c r="J19" s="32">
        <f>'FS Desroches Daily'!N21</f>
        <v>699.99999999992292</v>
      </c>
      <c r="K19" s="13">
        <f>'FS Desroches Daily'!P21</f>
        <v>14</v>
      </c>
      <c r="L19" s="31">
        <f>'FS Desroches Daily'!R21</f>
        <v>4</v>
      </c>
      <c r="M19" s="31">
        <f>'FS Desroches Daily'!T21</f>
        <v>633.59999999997672</v>
      </c>
      <c r="N19" s="31">
        <f>'FS Desroches Daily'!V21</f>
        <v>307.60000000003492</v>
      </c>
      <c r="O19" s="31">
        <f>'FS Desroches Daily'!X21</f>
        <v>319.99999999999318</v>
      </c>
      <c r="P19" s="31">
        <f>'FS Desroches Daily'!Z21</f>
        <v>2499.9999999999468</v>
      </c>
      <c r="Q19" s="31">
        <f>'FS Desroches Daily'!AB21</f>
        <v>199.99999999998863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34</v>
      </c>
      <c r="U19" s="35">
        <f>'FS Desroches Daily'!AJ21</f>
        <v>679.99999999994998</v>
      </c>
      <c r="V19" s="35">
        <f>'FS Desroches Daily'!AL21</f>
        <v>219.99999999999886</v>
      </c>
      <c r="W19" s="35">
        <f>'FS Desroches Daily'!AN21</f>
        <v>189.99999999999773</v>
      </c>
      <c r="X19" s="35">
        <f>'FS Desroches Daily'!AP21</f>
        <v>229.99999999998977</v>
      </c>
      <c r="Y19" s="35">
        <f>'FS Desroches Daily'!AR21</f>
        <v>109.99999999998522</v>
      </c>
      <c r="Z19" s="35">
        <f>'FS Desroches Daily'!AT21</f>
        <v>60.000000000002274</v>
      </c>
      <c r="AA19" s="35">
        <f>'FS Desroches Daily'!AT21</f>
        <v>60.000000000002274</v>
      </c>
      <c r="AB19" s="35">
        <f>'FS Desroches Daily'!AV21</f>
        <v>60.000000000002274</v>
      </c>
      <c r="AC19" s="35">
        <f>'FS Desroches Daily'!AZ21</f>
        <v>40.000000000020464</v>
      </c>
      <c r="AD19" s="35">
        <f>'FS Desroches Daily'!BB21</f>
        <v>30.000000000029559</v>
      </c>
      <c r="AE19" s="35">
        <f>'FS Desroches Daily'!BD21</f>
        <v>39.999999999992042</v>
      </c>
      <c r="AF19" s="31">
        <f>'FS Desroches Daily'!BF21</f>
        <v>44</v>
      </c>
      <c r="AG19" s="32">
        <f>'FS Desroches Daily'!BH21</f>
        <v>20.000000000010232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40.000000000020464</v>
      </c>
      <c r="AL19" s="32">
        <f>'FS Desroches Daily'!BR21</f>
        <v>25</v>
      </c>
      <c r="AM19" s="32">
        <f>'FS Desroches Daily'!BT21</f>
        <v>19.99999999998181</v>
      </c>
      <c r="AN19" s="32">
        <f>'FS Desroches Daily'!BV21</f>
        <v>40</v>
      </c>
      <c r="AO19" s="32">
        <f>'FS Desroches Daily'!BX21</f>
        <v>19.99999999998181</v>
      </c>
      <c r="AP19" s="32">
        <f>'FS Desroches Daily'!BZ21</f>
        <v>48</v>
      </c>
      <c r="AQ19" s="31">
        <f>'FS Desroches Daily'!CB21</f>
        <v>42.80000000000291</v>
      </c>
      <c r="AR19" s="31">
        <f>'FS Desroches Daily'!CD21</f>
        <v>11.400000000001455</v>
      </c>
      <c r="AS19" s="31">
        <f>'FS Desroches Daily'!CF21</f>
        <v>24.5</v>
      </c>
      <c r="AT19" s="31">
        <f>'FS Desroches Daily'!CH21</f>
        <v>25.400000000001455</v>
      </c>
      <c r="AU19" s="31">
        <f>'FS Desroches Daily'!CJ21</f>
        <v>359</v>
      </c>
      <c r="AV19" s="31">
        <f>'FS Desroches Daily'!CL21</f>
        <v>439.99999999994088</v>
      </c>
      <c r="AW19" s="31">
        <f>'FS Desroches Daily'!CM21</f>
        <v>178</v>
      </c>
      <c r="AX19" s="31">
        <f>IF(LPG!F26-LPG!F25&lt;0,"0",(LPG!F26-LPG!F25)*1.8315)</f>
        <v>10.988999999999999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1999.9999999997797</v>
      </c>
      <c r="F20" s="32">
        <f>'FS Desroches Daily'!F22</f>
        <v>2800.0000000001355</v>
      </c>
      <c r="G20" s="31">
        <f>'FS Desroches Daily'!H22</f>
        <v>2600.0000000001578</v>
      </c>
      <c r="H20" s="32">
        <f>'FS Desroches Daily'!J22</f>
        <v>1400.0000000000678</v>
      </c>
      <c r="I20" s="31">
        <f>'FS Desroches Daily'!L22</f>
        <v>1999.9999999997797</v>
      </c>
      <c r="J20" s="32">
        <f>'FS Desroches Daily'!N22</f>
        <v>900.0000000001229</v>
      </c>
      <c r="K20" s="13">
        <f>'FS Desroches Daily'!P22</f>
        <v>12</v>
      </c>
      <c r="L20" s="31">
        <f>'FS Desroches Daily'!R22</f>
        <v>5</v>
      </c>
      <c r="M20" s="31">
        <f>'FS Desroches Daily'!T22</f>
        <v>646</v>
      </c>
      <c r="N20" s="31">
        <f>'FS Desroches Daily'!V22</f>
        <v>291.09999999997672</v>
      </c>
      <c r="O20" s="31">
        <f>'FS Desroches Daily'!X22</f>
        <v>339.99999999997499</v>
      </c>
      <c r="P20" s="31">
        <f>'FS Desroches Daily'!Z22</f>
        <v>2299.9999999999686</v>
      </c>
      <c r="Q20" s="31">
        <f>'FS Desroches Daily'!AB22</f>
        <v>340.00000000003183</v>
      </c>
      <c r="R20" s="31">
        <f>'FS Desroches Daily'!AD22</f>
        <v>189.99999999999773</v>
      </c>
      <c r="S20" s="31">
        <f>'FS Desroches Daily'!AF22</f>
        <v>240.00000000000909</v>
      </c>
      <c r="T20" s="31">
        <f>'FS Desroches Daily'!AH22</f>
        <v>37</v>
      </c>
      <c r="U20" s="35">
        <f>'FS Desroches Daily'!AJ22</f>
        <v>750</v>
      </c>
      <c r="V20" s="35">
        <f>'FS Desroches Daily'!AL22</f>
        <v>219.99999999999886</v>
      </c>
      <c r="W20" s="35">
        <f>'FS Desroches Daily'!AN22</f>
        <v>180.00000000000682</v>
      </c>
      <c r="X20" s="35">
        <f>'FS Desroches Daily'!AP22</f>
        <v>219.99999999999886</v>
      </c>
      <c r="Y20" s="35">
        <f>'FS Desroches Daily'!AR22</f>
        <v>159.99999999999659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49.999999999954525</v>
      </c>
      <c r="AC20" s="35">
        <f>'FS Desroches Daily'!AZ22</f>
        <v>50.000000000011369</v>
      </c>
      <c r="AD20" s="35">
        <f>'FS Desroches Daily'!BB22</f>
        <v>19.99999999998181</v>
      </c>
      <c r="AE20" s="35">
        <f>'FS Desroches Daily'!BD22</f>
        <v>40.000000000020464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40.000000000020464</v>
      </c>
      <c r="AI20" s="32">
        <f>'FS Desroches Daily'!BL22</f>
        <v>40.000000000020464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20.000000000010232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51</v>
      </c>
      <c r="AQ20" s="31">
        <f>'FS Desroches Daily'!CB22</f>
        <v>41.299999999999272</v>
      </c>
      <c r="AR20" s="31">
        <f>'FS Desroches Daily'!CD22</f>
        <v>8.0999999999985448</v>
      </c>
      <c r="AS20" s="31">
        <f>'FS Desroches Daily'!CF22</f>
        <v>1.3999999999996362</v>
      </c>
      <c r="AT20" s="31">
        <f>'FS Desroches Daily'!CH22</f>
        <v>26.400000000001455</v>
      </c>
      <c r="AU20" s="31">
        <f>'FS Desroches Daily'!CJ22</f>
        <v>251</v>
      </c>
      <c r="AV20" s="31">
        <f>'FS Desroches Daily'!CL22</f>
        <v>899.99999999997726</v>
      </c>
      <c r="AW20" s="31">
        <f>'FS Desroches Daily'!CM22</f>
        <v>69</v>
      </c>
      <c r="AX20" s="31">
        <f>IF(LPG!F27-LPG!F26&lt;0,"0",(LPG!F27-LPG!F26)*1.8315)</f>
        <v>9.1574999999999989</v>
      </c>
      <c r="AY20" s="31">
        <f>IF(LPG!H27-LPG!H26&lt;0,"0",(LPG!H27-LPG!H26)*1.8315)</f>
        <v>0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13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2099.9999999999909</v>
      </c>
      <c r="F21" s="32">
        <f>'FS Desroches Daily'!F23</f>
        <v>3000.0000000001137</v>
      </c>
      <c r="G21" s="31">
        <f>'FS Desroches Daily'!H23</f>
        <v>2899.9999999999027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799.99999999991189</v>
      </c>
      <c r="K21" s="13">
        <f>'FS Desroches Daily'!P23</f>
        <v>1</v>
      </c>
      <c r="L21" s="31">
        <f>'FS Desroches Daily'!R23</f>
        <v>5</v>
      </c>
      <c r="M21" s="31">
        <f>'FS Desroches Daily'!T23</f>
        <v>711</v>
      </c>
      <c r="N21" s="31">
        <f>'FS Desroches Daily'!V23</f>
        <v>301.5</v>
      </c>
      <c r="O21" s="31">
        <f>'FS Desroches Daily'!X23</f>
        <v>310.00000000000227</v>
      </c>
      <c r="P21" s="31">
        <f>'FS Desroches Daily'!Z23</f>
        <v>2800.0000000001355</v>
      </c>
      <c r="Q21" s="31">
        <f>'FS Desroches Daily'!AB23</f>
        <v>209.99999999997954</v>
      </c>
      <c r="R21" s="31">
        <f>'FS Desroches Daily'!AD23</f>
        <v>189.99999999999773</v>
      </c>
      <c r="S21" s="31">
        <f>'FS Desroches Daily'!AF23</f>
        <v>240.00000000000909</v>
      </c>
      <c r="T21" s="31">
        <f>'FS Desroches Daily'!AH23</f>
        <v>39</v>
      </c>
      <c r="U21" s="35">
        <f>'FS Desroches Daily'!AJ23</f>
        <v>740.00000000000909</v>
      </c>
      <c r="V21" s="35">
        <f>'FS Desroches Daily'!AL23</f>
        <v>240.00000000000909</v>
      </c>
      <c r="W21" s="35">
        <f>'FS Desroches Daily'!AN23</f>
        <v>219.99999999999886</v>
      </c>
      <c r="X21" s="35">
        <f>'FS Desroches Daily'!AP23</f>
        <v>229.99999999998977</v>
      </c>
      <c r="Y21" s="35">
        <f>'FS Desroches Daily'!AR23</f>
        <v>240.00000000000909</v>
      </c>
      <c r="Z21" s="35">
        <f>'FS Desroches Daily'!AT23</f>
        <v>39.99999999996362</v>
      </c>
      <c r="AA21" s="35">
        <f>'FS Desroches Daily'!AT23</f>
        <v>39.99999999996362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19.99999999998181</v>
      </c>
      <c r="AE21" s="35">
        <f>'FS Desroches Daily'!BD23</f>
        <v>19.99999999998181</v>
      </c>
      <c r="AF21" s="31">
        <f>'FS Desroches Daily'!BF23</f>
        <v>34</v>
      </c>
      <c r="AG21" s="32">
        <f>'FS Desroches Daily'!BH23</f>
        <v>30.000000000001137</v>
      </c>
      <c r="AH21" s="32">
        <f>'FS Desroches Daily'!BJ23</f>
        <v>39.99999999996362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23</v>
      </c>
      <c r="AM21" s="32">
        <f>'FS Desroches Daily'!BT23</f>
        <v>20.000000000010232</v>
      </c>
      <c r="AN21" s="32">
        <f>'FS Desroches Daily'!BV23</f>
        <v>38</v>
      </c>
      <c r="AO21" s="32">
        <f>'FS Desroches Daily'!BX23</f>
        <v>20.000000000010232</v>
      </c>
      <c r="AP21" s="32">
        <f>'FS Desroches Daily'!BZ23</f>
        <v>48</v>
      </c>
      <c r="AQ21" s="31">
        <f>'FS Desroches Daily'!CB23</f>
        <v>43</v>
      </c>
      <c r="AR21" s="31">
        <f>'FS Desroches Daily'!CD23</f>
        <v>5.8000000000010914</v>
      </c>
      <c r="AS21" s="31">
        <f>'FS Desroches Daily'!CF23</f>
        <v>0.5</v>
      </c>
      <c r="AT21" s="31">
        <f>'FS Desroches Daily'!CH23</f>
        <v>38.19999999999709</v>
      </c>
      <c r="AU21" s="31">
        <f>'FS Desroches Daily'!CJ23</f>
        <v>278</v>
      </c>
      <c r="AV21" s="31">
        <f>'FS Desroches Daily'!CL23</f>
        <v>960.00000000003638</v>
      </c>
      <c r="AW21" s="31">
        <f>'FS Desroches Daily'!CM23</f>
        <v>94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2200.0000000002019</v>
      </c>
      <c r="F22" s="32">
        <f>'FS Desroches Daily'!F24</f>
        <v>2799.9999999996917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1999.9999999997797</v>
      </c>
      <c r="J22" s="32">
        <f>'FS Desroches Daily'!N24</f>
        <v>899.99999999990087</v>
      </c>
      <c r="K22" s="13">
        <f>'FS Desroches Daily'!P24</f>
        <v>11</v>
      </c>
      <c r="L22" s="31">
        <f>'FS Desroches Daily'!R24</f>
        <v>4</v>
      </c>
      <c r="M22" s="31">
        <f>'FS Desroches Daily'!T24</f>
        <v>809</v>
      </c>
      <c r="N22" s="31">
        <f>'FS Desroches Daily'!V24</f>
        <v>344.90000000002328</v>
      </c>
      <c r="O22" s="31">
        <f>'FS Desroches Daily'!X24</f>
        <v>310.00000000000227</v>
      </c>
      <c r="P22" s="31">
        <f>'FS Desroches Daily'!Z24</f>
        <v>2499.9999999999468</v>
      </c>
      <c r="Q22" s="31">
        <f>'FS Desroches Daily'!AB24</f>
        <v>389.99999999998636</v>
      </c>
      <c r="R22" s="31">
        <f>'FS Desroches Daily'!AD24</f>
        <v>189.99999999999773</v>
      </c>
      <c r="S22" s="31">
        <f>'FS Desroches Daily'!AF24</f>
        <v>289.99999999996362</v>
      </c>
      <c r="T22" s="31">
        <f>'FS Desroches Daily'!AH24</f>
        <v>40</v>
      </c>
      <c r="U22" s="35">
        <f>'FS Desroches Daily'!AJ24</f>
        <v>750</v>
      </c>
      <c r="V22" s="35">
        <f>'FS Desroches Daily'!AL24</f>
        <v>209.99999999997954</v>
      </c>
      <c r="W22" s="35">
        <f>'FS Desroches Daily'!AN24</f>
        <v>159.99999999999659</v>
      </c>
      <c r="X22" s="35">
        <f>'FS Desroches Daily'!AP24</f>
        <v>240.00000000000909</v>
      </c>
      <c r="Y22" s="35">
        <f>'FS Desroches Daily'!AR24</f>
        <v>219.99999999999886</v>
      </c>
      <c r="Z22" s="35">
        <f>'FS Desroches Daily'!AT24</f>
        <v>100.00000000002274</v>
      </c>
      <c r="AA22" s="35">
        <f>'FS Desroches Daily'!AT24</f>
        <v>100.00000000002274</v>
      </c>
      <c r="AB22" s="35">
        <f>'FS Desroches Daily'!AV24</f>
        <v>60.000000000002274</v>
      </c>
      <c r="AC22" s="35">
        <f>'FS Desroches Daily'!AZ24</f>
        <v>30.000000000029559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46</v>
      </c>
      <c r="AG22" s="32">
        <f>'FS Desroches Daily'!BH24</f>
        <v>30.000000000001137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30.000000000029559</v>
      </c>
      <c r="AL22" s="32">
        <f>'FS Desroches Daily'!BR24</f>
        <v>23</v>
      </c>
      <c r="AM22" s="32">
        <f>'FS Desroches Daily'!BT24</f>
        <v>19.99999999998181</v>
      </c>
      <c r="AN22" s="32">
        <f>'FS Desroches Daily'!BV24</f>
        <v>39</v>
      </c>
      <c r="AO22" s="32">
        <f>'FS Desroches Daily'!BX24</f>
        <v>30.000000000001137</v>
      </c>
      <c r="AP22" s="32">
        <f>'FS Desroches Daily'!BZ24</f>
        <v>49</v>
      </c>
      <c r="AQ22" s="31">
        <f>'FS Desroches Daily'!CB24</f>
        <v>45.099999999998545</v>
      </c>
      <c r="AR22" s="31">
        <f>'FS Desroches Daily'!CD24</f>
        <v>9.8999999999996362</v>
      </c>
      <c r="AS22" s="31">
        <f>'FS Desroches Daily'!CF24</f>
        <v>7.5</v>
      </c>
      <c r="AT22" s="31">
        <f>'FS Desroches Daily'!CH24</f>
        <v>33.900000000001455</v>
      </c>
      <c r="AU22" s="31">
        <f>'FS Desroches Daily'!CJ24</f>
        <v>332</v>
      </c>
      <c r="AV22" s="31">
        <f>'FS Desroches Daily'!CL24</f>
        <v>800.00000000006821</v>
      </c>
      <c r="AW22" s="31">
        <f>'FS Desroches Daily'!CM24</f>
        <v>71</v>
      </c>
      <c r="AX22" s="31">
        <f>IF(LPG!F29-LPG!F28&lt;0,"0",(LPG!F29-LPG!F28)*1.8315)</f>
        <v>9.1574999999999989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10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1900.0000000000127</v>
      </c>
      <c r="F23" s="32">
        <f>'FS Desroches Daily'!F25</f>
        <v>2900.0000000003465</v>
      </c>
      <c r="G23" s="31">
        <f>'FS Desroches Daily'!H25</f>
        <v>2899.9999999999027</v>
      </c>
      <c r="H23" s="32">
        <f>'FS Desroches Daily'!J25</f>
        <v>1300.0000000000789</v>
      </c>
      <c r="I23" s="31">
        <f>'FS Desroches Daily'!L25</f>
        <v>2200.0000000002019</v>
      </c>
      <c r="J23" s="32">
        <f>'FS Desroches Daily'!N25</f>
        <v>800.00000000013392</v>
      </c>
      <c r="K23" s="13">
        <f>'FS Desroches Daily'!P25</f>
        <v>10</v>
      </c>
      <c r="L23" s="31">
        <f>'FS Desroches Daily'!R25</f>
        <v>5</v>
      </c>
      <c r="M23" s="31">
        <f>'FS Desroches Daily'!T25</f>
        <v>769.20000000006985</v>
      </c>
      <c r="N23" s="31">
        <f>'FS Desroches Daily'!V25</f>
        <v>305.5</v>
      </c>
      <c r="O23" s="31">
        <f>'FS Desroches Daily'!X25</f>
        <v>290.00000000002046</v>
      </c>
      <c r="P23" s="31">
        <f>'FS Desroches Daily'!Z25</f>
        <v>2499.9999999999468</v>
      </c>
      <c r="Q23" s="31">
        <f>'FS Desroches Daily'!AB25</f>
        <v>200.00000000004547</v>
      </c>
      <c r="R23" s="31">
        <f>'FS Desroches Daily'!AD25</f>
        <v>180.00000000000682</v>
      </c>
      <c r="S23" s="31">
        <f>'FS Desroches Daily'!AF25</f>
        <v>230.00000000001819</v>
      </c>
      <c r="T23" s="31">
        <f>'FS Desroches Daily'!AH25</f>
        <v>36</v>
      </c>
      <c r="U23" s="35">
        <f>'FS Desroches Daily'!AJ25</f>
        <v>720.00000000002728</v>
      </c>
      <c r="V23" s="35">
        <f>'FS Desroches Daily'!AL25</f>
        <v>159.99999999999659</v>
      </c>
      <c r="W23" s="35">
        <f>'FS Desroches Daily'!AN25</f>
        <v>189.99999999999773</v>
      </c>
      <c r="X23" s="35">
        <f>'FS Desroches Daily'!AP25</f>
        <v>129.99999999999545</v>
      </c>
      <c r="Y23" s="35">
        <f>'FS Desroches Daily'!AR25</f>
        <v>200.00000000001705</v>
      </c>
      <c r="Z23" s="35">
        <f>'FS Desroches Daily'!AT25</f>
        <v>69.999999999993179</v>
      </c>
      <c r="AA23" s="35">
        <f>'FS Desroches Daily'!AT25</f>
        <v>69.999999999993179</v>
      </c>
      <c r="AB23" s="35">
        <f>'FS Desroches Daily'!AV25</f>
        <v>40.000000000020464</v>
      </c>
      <c r="AC23" s="35">
        <f>'FS Desroches Daily'!AZ25</f>
        <v>29.999999999972715</v>
      </c>
      <c r="AD23" s="35">
        <f>'FS Desroches Daily'!BB25</f>
        <v>20.000000000038654</v>
      </c>
      <c r="AE23" s="35">
        <f>'FS Desroches Daily'!BD25</f>
        <v>19.99999999998181</v>
      </c>
      <c r="AF23" s="31">
        <f>'FS Desroches Daily'!BF25</f>
        <v>25</v>
      </c>
      <c r="AG23" s="32">
        <f>'FS Desroches Daily'!BH25</f>
        <v>30.000000000001137</v>
      </c>
      <c r="AH23" s="32">
        <f>'FS Desroches Daily'!BJ25</f>
        <v>40.000000000020464</v>
      </c>
      <c r="AI23" s="32">
        <f>'FS Desroches Daily'!BL25</f>
        <v>30.000000000001137</v>
      </c>
      <c r="AJ23" s="32">
        <f>'FS Desroches Daily'!BN25</f>
        <v>30.000000000001137</v>
      </c>
      <c r="AK23" s="32">
        <f>'FS Desroches Daily'!BP25</f>
        <v>29.999999999972715</v>
      </c>
      <c r="AL23" s="32">
        <f>'FS Desroches Daily'!BR25</f>
        <v>21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20.000000000010232</v>
      </c>
      <c r="AP23" s="32">
        <f>'FS Desroches Daily'!BZ25</f>
        <v>42</v>
      </c>
      <c r="AQ23" s="31">
        <f>'FS Desroches Daily'!CB25</f>
        <v>42.5</v>
      </c>
      <c r="AR23" s="31">
        <f>'FS Desroches Daily'!CD25</f>
        <v>10.799999999999272</v>
      </c>
      <c r="AS23" s="31">
        <f>'FS Desroches Daily'!CF25</f>
        <v>1</v>
      </c>
      <c r="AT23" s="31">
        <f>'FS Desroches Daily'!CH25</f>
        <v>35.700000000004366</v>
      </c>
      <c r="AU23" s="31">
        <f>'FS Desroches Daily'!CJ25</f>
        <v>322</v>
      </c>
      <c r="AV23" s="31">
        <f>'FS Desroches Daily'!CL25</f>
        <v>889.99999999998636</v>
      </c>
      <c r="AW23" s="31">
        <f>'FS Desroches Daily'!CM25</f>
        <v>64</v>
      </c>
      <c r="AX23" s="31">
        <f>IF(LPG!F30-LPG!F29&lt;0,"0",(LPG!F30-LPG!F29)*1.8315)</f>
        <v>7.3259999999999996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5.4944999999999995</v>
      </c>
      <c r="BB23" s="31">
        <f>IF(LPG!Q30-LPG!Q29&lt;0,"0",(LPG!Q30-LPG!Q29)*1.8315)</f>
        <v>18.314999999999998</v>
      </c>
      <c r="BC23" s="13">
        <f>'FS Desroches Daily'!CN25</f>
        <v>10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1599.9999999998238</v>
      </c>
      <c r="F24" s="32">
        <f>'FS Desroches Daily'!F26</f>
        <v>2599.9999999997135</v>
      </c>
      <c r="G24" s="31">
        <f>'FS Desroches Daily'!H26</f>
        <v>2600.0000000001578</v>
      </c>
      <c r="H24" s="32">
        <f>'FS Desroches Daily'!J26</f>
        <v>1199.9999999998679</v>
      </c>
      <c r="I24" s="31">
        <f>'FS Desroches Daily'!L26</f>
        <v>1999.9999999997797</v>
      </c>
      <c r="J24" s="32">
        <f>'FS Desroches Daily'!N26</f>
        <v>799.99999999991189</v>
      </c>
      <c r="K24" s="13">
        <f>'FS Desroches Daily'!P26</f>
        <v>9</v>
      </c>
      <c r="L24" s="31">
        <f>'FS Desroches Daily'!R26</f>
        <v>3</v>
      </c>
      <c r="M24" s="31">
        <f>'FS Desroches Daily'!T26</f>
        <v>670.59999999997672</v>
      </c>
      <c r="N24" s="31">
        <f>'FS Desroches Daily'!V26</f>
        <v>276.39999999996508</v>
      </c>
      <c r="O24" s="31">
        <f>'FS Desroches Daily'!X26</f>
        <v>279.99999999997272</v>
      </c>
      <c r="P24" s="31">
        <f>'FS Desroches Daily'!Z26</f>
        <v>2199.9999999997576</v>
      </c>
      <c r="Q24" s="31">
        <f>'FS Desroches Daily'!AB26</f>
        <v>329.99999999998408</v>
      </c>
      <c r="R24" s="31">
        <f>'FS Desroches Daily'!AD26</f>
        <v>140.0000000000432</v>
      </c>
      <c r="S24" s="31">
        <f>'FS Desroches Daily'!AF26</f>
        <v>200.00000000004547</v>
      </c>
      <c r="T24" s="31">
        <f>'FS Desroches Daily'!AH26</f>
        <v>33</v>
      </c>
      <c r="U24" s="35">
        <f>'FS Desroches Daily'!AJ26</f>
        <v>639.99999999998636</v>
      </c>
      <c r="V24" s="35">
        <f>'FS Desroches Daily'!AL26</f>
        <v>160.00000000002501</v>
      </c>
      <c r="W24" s="35">
        <f>'FS Desroches Daily'!AN26</f>
        <v>150.00000000000568</v>
      </c>
      <c r="X24" s="35">
        <f>'FS Desroches Daily'!AP26</f>
        <v>80.000000000012506</v>
      </c>
      <c r="Y24" s="35">
        <f>'FS Desroches Daily'!AR26</f>
        <v>169.99999999998749</v>
      </c>
      <c r="Z24" s="35">
        <f>'FS Desroches Daily'!AT26</f>
        <v>60.000000000002274</v>
      </c>
      <c r="AA24" s="35">
        <f>'FS Desroches Daily'!AT26</f>
        <v>60.000000000002274</v>
      </c>
      <c r="AB24" s="35">
        <f>'FS Desroches Daily'!AV26</f>
        <v>50.000000000011369</v>
      </c>
      <c r="AC24" s="35">
        <f>'FS Desroches Daily'!AZ26</f>
        <v>30.000000000029559</v>
      </c>
      <c r="AD24" s="35">
        <f>'FS Desroches Daily'!BB26</f>
        <v>9.9999999999909051</v>
      </c>
      <c r="AE24" s="35">
        <f>'FS Desroches Daily'!BD26</f>
        <v>20.000000000010232</v>
      </c>
      <c r="AF24" s="31">
        <f>'FS Desroches Daily'!BF26</f>
        <v>24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39.999999999992042</v>
      </c>
      <c r="AJ24" s="32">
        <f>'FS Desroches Daily'!BN26</f>
        <v>30.000000000001137</v>
      </c>
      <c r="AK24" s="32">
        <f>'FS Desroches Daily'!BP26</f>
        <v>60.000000000002274</v>
      </c>
      <c r="AL24" s="32">
        <f>'FS Desroches Daily'!BR26</f>
        <v>23</v>
      </c>
      <c r="AM24" s="32">
        <f>'FS Desroches Daily'!BT26</f>
        <v>20.000000000010232</v>
      </c>
      <c r="AN24" s="32">
        <f>'FS Desroches Daily'!BV26</f>
        <v>35</v>
      </c>
      <c r="AO24" s="32">
        <f>'FS Desroches Daily'!BX26</f>
        <v>19.99999999998181</v>
      </c>
      <c r="AP24" s="32">
        <f>'FS Desroches Daily'!BZ26</f>
        <v>42</v>
      </c>
      <c r="AQ24" s="31">
        <f>'FS Desroches Daily'!CB26</f>
        <v>42.700000000000728</v>
      </c>
      <c r="AR24" s="31">
        <f>'FS Desroches Daily'!CD26</f>
        <v>10.200000000000728</v>
      </c>
      <c r="AS24" s="31">
        <f>'FS Desroches Daily'!CF26</f>
        <v>12.199999999999818</v>
      </c>
      <c r="AT24" s="31">
        <f>'FS Desroches Daily'!CH26</f>
        <v>32.799999999995634</v>
      </c>
      <c r="AU24" s="31">
        <f>'FS Desroches Daily'!CJ26</f>
        <v>272</v>
      </c>
      <c r="AV24" s="31">
        <f>'FS Desroches Daily'!CL26</f>
        <v>829.99999999992724</v>
      </c>
      <c r="AW24" s="31">
        <f>'FS Desroches Daily'!CM26</f>
        <v>66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43699.999999999876</v>
      </c>
      <c r="F33" s="17">
        <f t="shared" ref="F33:BC33" si="1">SUM(F2:F32)</f>
        <v>68799.999999999985</v>
      </c>
      <c r="G33" s="17">
        <f t="shared" si="1"/>
        <v>59900.000000000306</v>
      </c>
      <c r="H33" s="17">
        <f t="shared" si="1"/>
        <v>31399.999999999884</v>
      </c>
      <c r="I33" s="17">
        <f t="shared" si="1"/>
        <v>47600.000000000109</v>
      </c>
      <c r="J33" s="17">
        <f t="shared" si="1"/>
        <v>21499.999999999854</v>
      </c>
      <c r="K33" s="17">
        <f t="shared" si="1"/>
        <v>252</v>
      </c>
      <c r="L33" s="17">
        <f t="shared" si="1"/>
        <v>105</v>
      </c>
      <c r="M33" s="17">
        <f t="shared" si="1"/>
        <v>17900.199999999953</v>
      </c>
      <c r="N33" s="17">
        <f t="shared" si="1"/>
        <v>7997.3999999999651</v>
      </c>
      <c r="O33" s="17">
        <f t="shared" si="1"/>
        <v>7449.9999999999854</v>
      </c>
      <c r="P33" s="17">
        <f t="shared" si="1"/>
        <v>61399.99999999992</v>
      </c>
      <c r="Q33" s="17">
        <f t="shared" si="1"/>
        <v>7189.9999999999982</v>
      </c>
      <c r="R33" s="17">
        <f t="shared" si="1"/>
        <v>4680.0000000000073</v>
      </c>
      <c r="S33" s="17">
        <f t="shared" si="1"/>
        <v>7080.0000000000409</v>
      </c>
      <c r="T33" s="17">
        <f t="shared" si="1"/>
        <v>792</v>
      </c>
      <c r="U33" s="35">
        <f t="shared" si="1"/>
        <v>16829.999999999927</v>
      </c>
      <c r="V33" s="35">
        <f t="shared" si="1"/>
        <v>4270.0000000000109</v>
      </c>
      <c r="W33" s="35">
        <f t="shared" si="1"/>
        <v>2569.9999999999936</v>
      </c>
      <c r="X33" s="35">
        <f t="shared" si="1"/>
        <v>4099.9999999999955</v>
      </c>
      <c r="Y33" s="35">
        <f t="shared" si="1"/>
        <v>3479.99999999999</v>
      </c>
      <c r="Z33" s="35">
        <f t="shared" si="1"/>
        <v>1673.1700000000433</v>
      </c>
      <c r="AA33" s="35">
        <f t="shared" si="1"/>
        <v>1673.1700000000433</v>
      </c>
      <c r="AB33" s="35">
        <f t="shared" si="1"/>
        <v>2060.0000000000023</v>
      </c>
      <c r="AC33" s="35">
        <f t="shared" si="1"/>
        <v>730.00000000001819</v>
      </c>
      <c r="AD33" s="35">
        <f t="shared" si="1"/>
        <v>480.00000000001819</v>
      </c>
      <c r="AE33" s="35">
        <f t="shared" si="1"/>
        <v>919.99999999998749</v>
      </c>
      <c r="AF33" s="17">
        <f t="shared" si="1"/>
        <v>859</v>
      </c>
      <c r="AG33" s="32">
        <f t="shared" si="1"/>
        <v>900.00000000000568</v>
      </c>
      <c r="AH33" s="32">
        <f t="shared" si="1"/>
        <v>959.99999999997954</v>
      </c>
      <c r="AI33" s="32">
        <f t="shared" si="1"/>
        <v>870.00000000000455</v>
      </c>
      <c r="AJ33" s="32">
        <f t="shared" si="1"/>
        <v>870.00000000000455</v>
      </c>
      <c r="AK33" s="32">
        <f t="shared" si="1"/>
        <v>669.99999999995907</v>
      </c>
      <c r="AL33" s="32">
        <f t="shared" si="1"/>
        <v>591</v>
      </c>
      <c r="AM33" s="32">
        <f t="shared" si="1"/>
        <v>490.00000000000909</v>
      </c>
      <c r="AN33" s="32">
        <f t="shared" si="1"/>
        <v>988</v>
      </c>
      <c r="AO33" s="32">
        <f t="shared" si="1"/>
        <v>629.99999999999545</v>
      </c>
      <c r="AP33" s="32">
        <f t="shared" si="1"/>
        <v>1052</v>
      </c>
      <c r="AQ33" s="17">
        <f t="shared" si="1"/>
        <v>813.29999999999927</v>
      </c>
      <c r="AR33" s="17">
        <f t="shared" si="1"/>
        <v>236</v>
      </c>
      <c r="AS33" s="17">
        <f t="shared" si="1"/>
        <v>193.30000000000018</v>
      </c>
      <c r="AT33" s="17">
        <f t="shared" si="1"/>
        <v>673.79999999999563</v>
      </c>
      <c r="AU33" s="17">
        <f t="shared" si="1"/>
        <v>6887</v>
      </c>
      <c r="AV33" s="17">
        <f t="shared" si="1"/>
        <v>15879.999999999996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227</v>
      </c>
    </row>
    <row r="35" spans="5:55" x14ac:dyDescent="0.25">
      <c r="E35" s="38">
        <f>E33/E37</f>
        <v>0.20190539554052381</v>
      </c>
      <c r="G35" s="29">
        <f>G33-M36</f>
        <v>34002.400000000387</v>
      </c>
      <c r="AE35" s="35">
        <f>SUM(U33:AE33)</f>
        <v>38786.340000000026</v>
      </c>
      <c r="AG35" s="32">
        <f>SUM(AG33:AP33)</f>
        <v>8020.9999999999582</v>
      </c>
    </row>
    <row r="36" spans="5:55" x14ac:dyDescent="0.25">
      <c r="G36" s="29">
        <f>G35-633*14</f>
        <v>25140.400000000387</v>
      </c>
      <c r="M36" s="29">
        <f>M33+N33</f>
        <v>25897.599999999919</v>
      </c>
    </row>
    <row r="37" spans="5:55" x14ac:dyDescent="0.25">
      <c r="E37" s="17">
        <f>E33+F33+G33+H33+J33-633*14</f>
        <v>216437.99999999991</v>
      </c>
      <c r="G37" s="37">
        <f>M36/E37</f>
        <v>0.11965366525286654</v>
      </c>
      <c r="M37" s="35">
        <f>AE35</f>
        <v>38786.340000000026</v>
      </c>
    </row>
    <row r="38" spans="5:55" x14ac:dyDescent="0.25">
      <c r="L38" s="27">
        <f>M38/E37</f>
        <v>3.7059111616259445E-2</v>
      </c>
      <c r="M38" s="29">
        <f>AG35</f>
        <v>8020.9999999999582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xSplit="1" ySplit="1" topLeftCell="CJ15" activePane="bottomRight" state="frozen"/>
      <selection pane="topRight" activeCell="B1" sqref="B1"/>
      <selection pane="bottomLeft" activeCell="A2" sqref="A2"/>
      <selection pane="bottomRight" activeCell="CX27" sqref="CX27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>
        <v>2.2086000000000001</v>
      </c>
      <c r="D18" s="62">
        <f t="shared" si="0"/>
        <v>1900.0000000000127</v>
      </c>
      <c r="E18" s="56">
        <v>3.1413000000000002</v>
      </c>
      <c r="F18" s="62">
        <f t="shared" si="1"/>
        <v>3200.0000000000919</v>
      </c>
      <c r="G18" s="56">
        <v>3.2098</v>
      </c>
      <c r="H18" s="62">
        <f t="shared" si="2"/>
        <v>2699.9999999999245</v>
      </c>
      <c r="I18" s="56">
        <v>1.5826</v>
      </c>
      <c r="J18" s="62">
        <f t="shared" si="3"/>
        <v>1300.0000000000789</v>
      </c>
      <c r="K18" s="56">
        <v>2.5577000000000001</v>
      </c>
      <c r="L18" s="62">
        <f t="shared" si="37"/>
        <v>2200.0000000002019</v>
      </c>
      <c r="M18" s="56">
        <v>1.4189000000000001</v>
      </c>
      <c r="N18" s="62">
        <f t="shared" si="4"/>
        <v>1000.0000000001119</v>
      </c>
      <c r="O18" s="56">
        <v>14053</v>
      </c>
      <c r="P18" s="65">
        <f t="shared" si="43"/>
        <v>21</v>
      </c>
      <c r="Q18" s="56">
        <v>884</v>
      </c>
      <c r="R18" s="65">
        <f t="shared" si="6"/>
        <v>5</v>
      </c>
      <c r="S18" s="56">
        <v>961406.2</v>
      </c>
      <c r="T18" s="65">
        <f t="shared" si="7"/>
        <v>864.79999999993015</v>
      </c>
      <c r="U18" s="56">
        <v>404296</v>
      </c>
      <c r="V18" s="65">
        <f t="shared" si="38"/>
        <v>380.09999999997672</v>
      </c>
      <c r="W18" s="56">
        <v>385.2</v>
      </c>
      <c r="X18" s="63">
        <f t="shared" si="41"/>
        <v>379.99999999999545</v>
      </c>
      <c r="Y18" s="56">
        <v>2.7433000000000001</v>
      </c>
      <c r="Z18" s="63">
        <f t="shared" si="8"/>
        <v>2800.0000000001355</v>
      </c>
      <c r="AA18" s="56">
        <v>383.67</v>
      </c>
      <c r="AB18" s="63">
        <f t="shared" si="9"/>
        <v>220.00000000002728</v>
      </c>
      <c r="AC18" s="56">
        <v>360.25</v>
      </c>
      <c r="AD18" s="63">
        <f t="shared" si="10"/>
        <v>259.99999999999091</v>
      </c>
      <c r="AE18" s="56">
        <v>554.59</v>
      </c>
      <c r="AF18" s="63">
        <f t="shared" si="11"/>
        <v>379.99999999999545</v>
      </c>
      <c r="AG18" s="56">
        <v>2958</v>
      </c>
      <c r="AH18" s="65">
        <f t="shared" si="12"/>
        <v>35</v>
      </c>
      <c r="AI18" s="56">
        <v>586.62</v>
      </c>
      <c r="AJ18" s="63">
        <f t="shared" si="13"/>
        <v>950.00000000004547</v>
      </c>
      <c r="AK18" s="56">
        <v>196</v>
      </c>
      <c r="AL18" s="63">
        <f t="shared" si="13"/>
        <v>240.00000000000909</v>
      </c>
      <c r="AM18" s="56">
        <v>187.77</v>
      </c>
      <c r="AN18" s="63">
        <f t="shared" si="13"/>
        <v>60.000000000002274</v>
      </c>
      <c r="AO18" s="56">
        <v>183.8</v>
      </c>
      <c r="AP18" s="63">
        <f t="shared" si="13"/>
        <v>260.00000000001933</v>
      </c>
      <c r="AQ18" s="56">
        <v>240.99</v>
      </c>
      <c r="AR18" s="63">
        <f t="shared" si="14"/>
        <v>40.000000000020464</v>
      </c>
      <c r="AS18" s="56">
        <v>366.16</v>
      </c>
      <c r="AT18" s="63">
        <f t="shared" si="15"/>
        <v>60.000000000002274</v>
      </c>
      <c r="AU18" s="56">
        <v>283.05</v>
      </c>
      <c r="AV18" s="63">
        <f t="shared" si="16"/>
        <v>60.000000000002274</v>
      </c>
      <c r="AW18" s="56">
        <v>315.61</v>
      </c>
      <c r="AX18" s="63">
        <f t="shared" si="17"/>
        <v>20.000000000038654</v>
      </c>
      <c r="AY18" s="56">
        <v>359.65</v>
      </c>
      <c r="AZ18" s="63">
        <f t="shared" si="18"/>
        <v>29.999999999972715</v>
      </c>
      <c r="BA18" s="56">
        <v>380.13</v>
      </c>
      <c r="BB18" s="63">
        <f t="shared" si="19"/>
        <v>9.9999999999909051</v>
      </c>
      <c r="BC18" s="56">
        <v>240.73</v>
      </c>
      <c r="BD18" s="63">
        <f t="shared" si="20"/>
        <v>19.99999999998181</v>
      </c>
      <c r="BE18" s="57">
        <v>38959</v>
      </c>
      <c r="BF18" s="65">
        <f t="shared" si="39"/>
        <v>40</v>
      </c>
      <c r="BG18" s="58">
        <v>232.66</v>
      </c>
      <c r="BH18" s="63">
        <f t="shared" si="21"/>
        <v>30.000000000001137</v>
      </c>
      <c r="BI18" s="58">
        <v>291.89</v>
      </c>
      <c r="BJ18" s="63">
        <f t="shared" si="40"/>
        <v>50.000000000011369</v>
      </c>
      <c r="BK18" s="58">
        <v>235.56</v>
      </c>
      <c r="BL18" s="63">
        <f t="shared" si="22"/>
        <v>30.000000000001137</v>
      </c>
      <c r="BM18" s="58">
        <v>222.28</v>
      </c>
      <c r="BN18" s="63">
        <f t="shared" si="23"/>
        <v>39.999999999992042</v>
      </c>
      <c r="BO18" s="58">
        <v>286.37</v>
      </c>
      <c r="BP18" s="63">
        <f t="shared" si="24"/>
        <v>19.99999999998181</v>
      </c>
      <c r="BQ18" s="58">
        <v>44241</v>
      </c>
      <c r="BR18" s="63">
        <f t="shared" si="25"/>
        <v>26</v>
      </c>
      <c r="BS18" s="58">
        <v>199.85</v>
      </c>
      <c r="BT18" s="63">
        <f t="shared" si="42"/>
        <v>19.99999999998181</v>
      </c>
      <c r="BU18" s="58">
        <v>38954</v>
      </c>
      <c r="BV18" s="63">
        <f t="shared" si="26"/>
        <v>50</v>
      </c>
      <c r="BW18" s="58">
        <v>230.85</v>
      </c>
      <c r="BX18" s="63">
        <f t="shared" si="27"/>
        <v>19.99999999998181</v>
      </c>
      <c r="BY18" s="58">
        <v>58268</v>
      </c>
      <c r="BZ18" s="65">
        <f t="shared" si="28"/>
        <v>51</v>
      </c>
      <c r="CA18" s="58">
        <v>30442.2</v>
      </c>
      <c r="CB18" s="65">
        <f>IF((CA18-CA17&lt;0), "",CA18-CA17)</f>
        <v>44.900000000001455</v>
      </c>
      <c r="CC18" s="58">
        <v>11829.4</v>
      </c>
      <c r="CD18" s="65">
        <f t="shared" si="30"/>
        <v>11.5</v>
      </c>
      <c r="CE18" s="58">
        <v>6188.7</v>
      </c>
      <c r="CF18" s="65">
        <f t="shared" si="31"/>
        <v>24.699999999999818</v>
      </c>
      <c r="CG18" s="58">
        <v>58143.199999999997</v>
      </c>
      <c r="CH18" s="65">
        <f t="shared" si="32"/>
        <v>24.19999999999709</v>
      </c>
      <c r="CI18" s="58">
        <v>936449.7</v>
      </c>
      <c r="CJ18" s="65">
        <f t="shared" si="33"/>
        <v>234.69999999995343</v>
      </c>
      <c r="CK18" s="58">
        <v>732.9</v>
      </c>
      <c r="CL18" s="62">
        <f t="shared" si="34"/>
        <v>740.00000000000909</v>
      </c>
      <c r="CM18" s="63">
        <f t="shared" si="35"/>
        <v>62</v>
      </c>
      <c r="CN18" s="60">
        <v>8</v>
      </c>
      <c r="CO18" s="60">
        <v>24</v>
      </c>
      <c r="CP18" s="66">
        <v>7513</v>
      </c>
      <c r="CQ18" s="65">
        <f t="shared" si="36"/>
        <v>46</v>
      </c>
      <c r="CR18" s="66">
        <v>13272</v>
      </c>
      <c r="CS18" s="65">
        <f t="shared" si="36"/>
        <v>16</v>
      </c>
      <c r="CT18" s="73">
        <v>5924</v>
      </c>
      <c r="CU18" s="65">
        <f t="shared" si="36"/>
        <v>12</v>
      </c>
      <c r="CV18" s="66">
        <v>14402</v>
      </c>
      <c r="CW18" s="65">
        <f t="shared" si="36"/>
        <v>40</v>
      </c>
    </row>
    <row r="19" spans="1:101" ht="25.5" customHeight="1" thickBot="1" x14ac:dyDescent="0.45">
      <c r="A19" s="61">
        <v>44332</v>
      </c>
      <c r="B19" s="44"/>
      <c r="C19" s="56">
        <v>2.2105000000000001</v>
      </c>
      <c r="D19" s="62">
        <f t="shared" si="0"/>
        <v>1900.0000000000127</v>
      </c>
      <c r="E19" s="56">
        <v>3.1444999999999999</v>
      </c>
      <c r="F19" s="62">
        <f t="shared" si="1"/>
        <v>3199.9999999996476</v>
      </c>
      <c r="G19" s="56">
        <v>3.2126000000000001</v>
      </c>
      <c r="H19" s="62">
        <f t="shared" si="2"/>
        <v>2800.0000000001355</v>
      </c>
      <c r="I19" s="56">
        <v>1.5840000000000001</v>
      </c>
      <c r="J19" s="62">
        <f t="shared" si="3"/>
        <v>1400.0000000000678</v>
      </c>
      <c r="K19" s="56">
        <v>2.5596999999999999</v>
      </c>
      <c r="L19" s="62">
        <f t="shared" si="37"/>
        <v>1999.9999999997797</v>
      </c>
      <c r="M19" s="56">
        <v>1.42</v>
      </c>
      <c r="N19" s="62">
        <f t="shared" si="4"/>
        <v>1099.9999999998788</v>
      </c>
      <c r="O19" s="56">
        <v>14069</v>
      </c>
      <c r="P19" s="65">
        <f t="shared" si="43"/>
        <v>16</v>
      </c>
      <c r="Q19" s="56">
        <v>889</v>
      </c>
      <c r="R19" s="65">
        <f t="shared" si="6"/>
        <v>5</v>
      </c>
      <c r="S19" s="56">
        <v>962295</v>
      </c>
      <c r="T19" s="65">
        <f t="shared" si="7"/>
        <v>888.80000000004657</v>
      </c>
      <c r="U19" s="56">
        <v>404660</v>
      </c>
      <c r="V19" s="65">
        <f t="shared" si="38"/>
        <v>364</v>
      </c>
      <c r="W19" s="56">
        <v>385.51</v>
      </c>
      <c r="X19" s="63">
        <f t="shared" si="41"/>
        <v>310.00000000000227</v>
      </c>
      <c r="Y19" s="56">
        <v>2.7462</v>
      </c>
      <c r="Z19" s="63">
        <f t="shared" si="8"/>
        <v>2899.9999999999027</v>
      </c>
      <c r="AA19" s="56">
        <v>384.05</v>
      </c>
      <c r="AB19" s="63">
        <f t="shared" si="9"/>
        <v>379.99999999999545</v>
      </c>
      <c r="AC19" s="56">
        <v>360.46</v>
      </c>
      <c r="AD19" s="63">
        <f t="shared" si="10"/>
        <v>209.99999999997954</v>
      </c>
      <c r="AE19" s="56">
        <v>554.98</v>
      </c>
      <c r="AF19" s="63">
        <f t="shared" si="11"/>
        <v>389.99999999998636</v>
      </c>
      <c r="AG19" s="56">
        <v>2994</v>
      </c>
      <c r="AH19" s="65">
        <f t="shared" si="12"/>
        <v>36</v>
      </c>
      <c r="AI19" s="56">
        <v>587.42999999999995</v>
      </c>
      <c r="AJ19" s="63">
        <f t="shared" si="13"/>
        <v>809.99999999994543</v>
      </c>
      <c r="AK19" s="56">
        <v>196.22</v>
      </c>
      <c r="AL19" s="63">
        <f t="shared" si="13"/>
        <v>219.99999999999886</v>
      </c>
      <c r="AM19" s="56">
        <v>187.87</v>
      </c>
      <c r="AN19" s="63">
        <f t="shared" si="13"/>
        <v>99.999999999994316</v>
      </c>
      <c r="AO19" s="56">
        <v>184.05</v>
      </c>
      <c r="AP19" s="63">
        <f t="shared" si="13"/>
        <v>250</v>
      </c>
      <c r="AQ19" s="56">
        <v>241.04</v>
      </c>
      <c r="AR19" s="63">
        <f t="shared" si="14"/>
        <v>49.999999999982947</v>
      </c>
      <c r="AS19" s="56">
        <v>366.21</v>
      </c>
      <c r="AT19" s="63">
        <f t="shared" si="15"/>
        <v>49.999999999954525</v>
      </c>
      <c r="AU19" s="56">
        <v>283.10000000000002</v>
      </c>
      <c r="AV19" s="63">
        <f t="shared" si="16"/>
        <v>50.000000000011369</v>
      </c>
      <c r="AW19" s="56">
        <v>315.64999999999998</v>
      </c>
      <c r="AX19" s="63">
        <f t="shared" si="17"/>
        <v>39.99999999996362</v>
      </c>
      <c r="AY19" s="56">
        <v>359.68</v>
      </c>
      <c r="AZ19" s="63">
        <f t="shared" si="18"/>
        <v>30.000000000029559</v>
      </c>
      <c r="BA19" s="56">
        <v>380.15</v>
      </c>
      <c r="BB19" s="63">
        <f t="shared" si="19"/>
        <v>19.99999999998181</v>
      </c>
      <c r="BC19" s="56">
        <v>240.75</v>
      </c>
      <c r="BD19" s="63">
        <f t="shared" si="20"/>
        <v>20.000000000010232</v>
      </c>
      <c r="BE19" s="57">
        <v>38998</v>
      </c>
      <c r="BF19" s="65">
        <f t="shared" si="39"/>
        <v>39</v>
      </c>
      <c r="BG19" s="58">
        <v>232.7</v>
      </c>
      <c r="BH19" s="63">
        <f t="shared" si="21"/>
        <v>39.999999999992042</v>
      </c>
      <c r="BI19" s="58">
        <v>291.93</v>
      </c>
      <c r="BJ19" s="63">
        <f t="shared" si="40"/>
        <v>40.000000000020464</v>
      </c>
      <c r="BK19" s="58">
        <v>235.6</v>
      </c>
      <c r="BL19" s="63">
        <f t="shared" si="22"/>
        <v>39.999999999992042</v>
      </c>
      <c r="BM19" s="58">
        <v>222.33</v>
      </c>
      <c r="BN19" s="63">
        <f t="shared" si="23"/>
        <v>50.000000000011369</v>
      </c>
      <c r="BO19" s="58">
        <v>286.39999999999998</v>
      </c>
      <c r="BP19" s="63">
        <f t="shared" si="24"/>
        <v>29.999999999972715</v>
      </c>
      <c r="BQ19" s="58">
        <v>44268</v>
      </c>
      <c r="BR19" s="63">
        <f t="shared" si="25"/>
        <v>27</v>
      </c>
      <c r="BS19" s="58">
        <v>199.85</v>
      </c>
      <c r="BT19" s="63">
        <f t="shared" si="42"/>
        <v>0</v>
      </c>
      <c r="BU19" s="58">
        <v>39003</v>
      </c>
      <c r="BV19" s="63">
        <f t="shared" si="26"/>
        <v>49</v>
      </c>
      <c r="BW19" s="58">
        <v>230.88</v>
      </c>
      <c r="BX19" s="63">
        <f t="shared" si="27"/>
        <v>30.000000000001137</v>
      </c>
      <c r="BY19" s="58">
        <v>58325</v>
      </c>
      <c r="BZ19" s="65">
        <f t="shared" si="28"/>
        <v>57</v>
      </c>
      <c r="CA19" s="58">
        <v>30485.7</v>
      </c>
      <c r="CB19" s="65">
        <f t="shared" si="29"/>
        <v>43.5</v>
      </c>
      <c r="CC19" s="58">
        <v>11835</v>
      </c>
      <c r="CD19" s="65">
        <f t="shared" si="30"/>
        <v>5.6000000000003638</v>
      </c>
      <c r="CE19" s="58">
        <v>6200</v>
      </c>
      <c r="CF19" s="65">
        <f t="shared" si="31"/>
        <v>11.300000000000182</v>
      </c>
      <c r="CG19" s="58">
        <v>58161</v>
      </c>
      <c r="CH19" s="65">
        <f t="shared" si="32"/>
        <v>17.80000000000291</v>
      </c>
      <c r="CI19" s="58">
        <v>936793</v>
      </c>
      <c r="CJ19" s="65">
        <f t="shared" si="33"/>
        <v>343.30000000004657</v>
      </c>
      <c r="CK19" s="58">
        <v>733.6</v>
      </c>
      <c r="CL19" s="62">
        <f t="shared" si="34"/>
        <v>700.00000000004547</v>
      </c>
      <c r="CM19" s="63">
        <f t="shared" si="35"/>
        <v>49</v>
      </c>
      <c r="CN19" s="60">
        <v>8</v>
      </c>
      <c r="CO19" s="60">
        <v>24</v>
      </c>
      <c r="CP19" s="66">
        <v>7550</v>
      </c>
      <c r="CQ19" s="65">
        <f t="shared" si="36"/>
        <v>37</v>
      </c>
      <c r="CR19" s="66">
        <v>13284</v>
      </c>
      <c r="CS19" s="65">
        <f t="shared" si="36"/>
        <v>12</v>
      </c>
      <c r="CT19" s="73">
        <v>5936</v>
      </c>
      <c r="CU19" s="65">
        <f t="shared" si="36"/>
        <v>12</v>
      </c>
      <c r="CV19" s="66">
        <v>14422</v>
      </c>
      <c r="CW19" s="65">
        <f t="shared" si="36"/>
        <v>20</v>
      </c>
    </row>
    <row r="20" spans="1:101" ht="25.5" customHeight="1" thickBot="1" x14ac:dyDescent="0.45">
      <c r="A20" s="61">
        <v>44333</v>
      </c>
      <c r="B20" s="44"/>
      <c r="C20" s="56">
        <v>2.2124000000000001</v>
      </c>
      <c r="D20" s="62">
        <f t="shared" si="0"/>
        <v>1900.0000000000127</v>
      </c>
      <c r="E20" s="56">
        <v>3.1476000000000002</v>
      </c>
      <c r="F20" s="62">
        <f t="shared" si="1"/>
        <v>3100.0000000003247</v>
      </c>
      <c r="G20" s="56">
        <v>3.2149999999999999</v>
      </c>
      <c r="H20" s="62">
        <f t="shared" si="2"/>
        <v>2399.9999999997358</v>
      </c>
      <c r="I20" s="56">
        <v>1.5852999999999999</v>
      </c>
      <c r="J20" s="62">
        <f t="shared" si="3"/>
        <v>1299.9999999998568</v>
      </c>
      <c r="K20" s="56">
        <v>2.5615999999999999</v>
      </c>
      <c r="L20" s="62">
        <f t="shared" si="37"/>
        <v>1900.0000000000127</v>
      </c>
      <c r="M20" s="56">
        <v>1.421</v>
      </c>
      <c r="N20" s="62">
        <f t="shared" si="4"/>
        <v>1000.0000000001119</v>
      </c>
      <c r="O20" s="56">
        <v>14078</v>
      </c>
      <c r="P20" s="65">
        <f t="shared" si="43"/>
        <v>9</v>
      </c>
      <c r="Q20" s="56">
        <v>893</v>
      </c>
      <c r="R20" s="65">
        <f t="shared" si="6"/>
        <v>4</v>
      </c>
      <c r="S20" s="56">
        <v>962965.6</v>
      </c>
      <c r="T20" s="65">
        <f t="shared" si="7"/>
        <v>670.59999999997672</v>
      </c>
      <c r="U20" s="56">
        <v>404962.1</v>
      </c>
      <c r="V20" s="65">
        <f t="shared" si="38"/>
        <v>302.09999999997672</v>
      </c>
      <c r="W20" s="56">
        <v>385.8</v>
      </c>
      <c r="X20" s="63">
        <f t="shared" si="41"/>
        <v>290.00000000002046</v>
      </c>
      <c r="Y20" s="56">
        <v>2.7490000000000001</v>
      </c>
      <c r="Z20" s="63">
        <f t="shared" si="8"/>
        <v>2800.0000000001355</v>
      </c>
      <c r="AA20" s="56">
        <v>384.39</v>
      </c>
      <c r="AB20" s="63">
        <f t="shared" si="9"/>
        <v>339.99999999997499</v>
      </c>
      <c r="AC20" s="56">
        <v>360.64</v>
      </c>
      <c r="AD20" s="63">
        <f t="shared" si="10"/>
        <v>180.00000000000682</v>
      </c>
      <c r="AE20" s="56">
        <v>555.36</v>
      </c>
      <c r="AF20" s="63">
        <f t="shared" si="11"/>
        <v>379.99999999999545</v>
      </c>
      <c r="AG20" s="56">
        <v>3026</v>
      </c>
      <c r="AH20" s="65">
        <f t="shared" si="12"/>
        <v>32</v>
      </c>
      <c r="AI20" s="56">
        <v>588.13</v>
      </c>
      <c r="AJ20" s="63">
        <f t="shared" si="13"/>
        <v>700.00000000004547</v>
      </c>
      <c r="AK20" s="56">
        <v>196.4</v>
      </c>
      <c r="AL20" s="63">
        <f t="shared" si="13"/>
        <v>180.00000000000682</v>
      </c>
      <c r="AM20" s="56">
        <v>187.94</v>
      </c>
      <c r="AN20" s="63">
        <f t="shared" si="13"/>
        <v>69.999999999993179</v>
      </c>
      <c r="AO20" s="56">
        <v>184.3</v>
      </c>
      <c r="AP20" s="63">
        <f t="shared" si="13"/>
        <v>250</v>
      </c>
      <c r="AQ20" s="56">
        <v>241.12</v>
      </c>
      <c r="AR20" s="63">
        <f t="shared" si="14"/>
        <v>80.000000000012506</v>
      </c>
      <c r="AS20" s="56">
        <v>366.32</v>
      </c>
      <c r="AT20" s="63">
        <f t="shared" si="15"/>
        <v>110.00000000001364</v>
      </c>
      <c r="AU20" s="56">
        <v>283.17</v>
      </c>
      <c r="AV20" s="63">
        <f t="shared" si="16"/>
        <v>69.999999999993179</v>
      </c>
      <c r="AW20" s="56">
        <v>315.74</v>
      </c>
      <c r="AX20" s="63">
        <f t="shared" si="17"/>
        <v>90.000000000031832</v>
      </c>
      <c r="AY20" s="56">
        <v>359.71</v>
      </c>
      <c r="AZ20" s="63">
        <f t="shared" si="18"/>
        <v>29.999999999972715</v>
      </c>
      <c r="BA20" s="56">
        <v>380.19</v>
      </c>
      <c r="BB20" s="63">
        <f t="shared" si="19"/>
        <v>40.000000000020464</v>
      </c>
      <c r="BC20" s="56">
        <v>240.78</v>
      </c>
      <c r="BD20" s="63">
        <f t="shared" si="20"/>
        <v>30.000000000001137</v>
      </c>
      <c r="BE20" s="57">
        <v>39029</v>
      </c>
      <c r="BF20" s="65">
        <f t="shared" si="39"/>
        <v>31</v>
      </c>
      <c r="BG20" s="58">
        <v>232.73</v>
      </c>
      <c r="BH20" s="63">
        <f t="shared" si="21"/>
        <v>30.000000000001137</v>
      </c>
      <c r="BI20" s="58">
        <v>291.97000000000003</v>
      </c>
      <c r="BJ20" s="63">
        <f t="shared" si="40"/>
        <v>40.000000000020464</v>
      </c>
      <c r="BK20" s="58">
        <v>235.64</v>
      </c>
      <c r="BL20" s="63">
        <f t="shared" si="22"/>
        <v>39.999999999992042</v>
      </c>
      <c r="BM20" s="58">
        <v>222.36</v>
      </c>
      <c r="BN20" s="63">
        <f t="shared" si="23"/>
        <v>30.000000000001137</v>
      </c>
      <c r="BO20" s="58">
        <v>286.43</v>
      </c>
      <c r="BP20" s="63">
        <f t="shared" si="24"/>
        <v>30.000000000029559</v>
      </c>
      <c r="BQ20" s="58">
        <v>44289</v>
      </c>
      <c r="BR20" s="63">
        <f t="shared" si="25"/>
        <v>21</v>
      </c>
      <c r="BS20" s="58">
        <v>199.87</v>
      </c>
      <c r="BT20" s="63">
        <f t="shared" si="42"/>
        <v>20.000000000010232</v>
      </c>
      <c r="BU20" s="58">
        <v>39041</v>
      </c>
      <c r="BV20" s="63">
        <f t="shared" si="26"/>
        <v>38</v>
      </c>
      <c r="BW20" s="58">
        <v>230.9</v>
      </c>
      <c r="BX20" s="63">
        <f t="shared" si="27"/>
        <v>20.000000000010232</v>
      </c>
      <c r="BY20" s="58">
        <v>58371</v>
      </c>
      <c r="BZ20" s="65">
        <f t="shared" si="28"/>
        <v>46</v>
      </c>
      <c r="CA20" s="58">
        <v>30531.599999999999</v>
      </c>
      <c r="CB20" s="65">
        <f t="shared" si="29"/>
        <v>45.899999999997817</v>
      </c>
      <c r="CC20" s="58">
        <v>11843.8</v>
      </c>
      <c r="CD20" s="65">
        <f t="shared" si="30"/>
        <v>8.7999999999992724</v>
      </c>
      <c r="CE20" s="58">
        <v>6204.1</v>
      </c>
      <c r="CF20" s="65">
        <f t="shared" si="31"/>
        <v>4.1000000000003638</v>
      </c>
      <c r="CG20" s="58">
        <v>58186.2</v>
      </c>
      <c r="CH20" s="65">
        <f t="shared" si="32"/>
        <v>25.19999999999709</v>
      </c>
      <c r="CI20" s="58">
        <v>937112</v>
      </c>
      <c r="CJ20" s="65">
        <f t="shared" si="33"/>
        <v>319</v>
      </c>
      <c r="CK20" s="58">
        <v>734.22</v>
      </c>
      <c r="CL20" s="62">
        <f t="shared" si="34"/>
        <v>620.00000000000455</v>
      </c>
      <c r="CM20" s="63">
        <f t="shared" si="35"/>
        <v>73</v>
      </c>
      <c r="CN20" s="60">
        <v>9</v>
      </c>
      <c r="CO20" s="60">
        <v>25</v>
      </c>
      <c r="CP20" s="66">
        <v>7605</v>
      </c>
      <c r="CQ20" s="65">
        <f t="shared" si="36"/>
        <v>55</v>
      </c>
      <c r="CR20" s="66">
        <v>13302</v>
      </c>
      <c r="CS20" s="65">
        <f t="shared" si="36"/>
        <v>18</v>
      </c>
      <c r="CT20" s="73">
        <v>5949</v>
      </c>
      <c r="CU20" s="65">
        <f t="shared" si="36"/>
        <v>13</v>
      </c>
      <c r="CV20" s="66">
        <v>14445</v>
      </c>
      <c r="CW20" s="65">
        <f t="shared" si="36"/>
        <v>23</v>
      </c>
    </row>
    <row r="21" spans="1:101" ht="25.5" customHeight="1" thickBot="1" x14ac:dyDescent="0.45">
      <c r="A21" s="61">
        <v>44334</v>
      </c>
      <c r="B21" s="44"/>
      <c r="C21" s="56">
        <v>2.2145000000000001</v>
      </c>
      <c r="D21" s="62">
        <f t="shared" si="0"/>
        <v>2099.9999999999909</v>
      </c>
      <c r="E21" s="56">
        <v>3.1503999999999999</v>
      </c>
      <c r="F21" s="62">
        <f t="shared" si="1"/>
        <v>2799.9999999996917</v>
      </c>
      <c r="G21" s="56">
        <v>3.2172000000000001</v>
      </c>
      <c r="H21" s="62">
        <f t="shared" si="2"/>
        <v>2200.0000000002019</v>
      </c>
      <c r="I21" s="56">
        <v>1.5867</v>
      </c>
      <c r="J21" s="62">
        <f t="shared" si="3"/>
        <v>1400.0000000000678</v>
      </c>
      <c r="K21" s="56">
        <v>2.5636000000000001</v>
      </c>
      <c r="L21" s="62">
        <f t="shared" si="37"/>
        <v>2000.0000000002237</v>
      </c>
      <c r="M21" s="56">
        <v>1.4217</v>
      </c>
      <c r="N21" s="62">
        <f t="shared" si="4"/>
        <v>699.99999999992292</v>
      </c>
      <c r="O21" s="56">
        <v>14092</v>
      </c>
      <c r="P21" s="65">
        <f t="shared" si="43"/>
        <v>14</v>
      </c>
      <c r="Q21" s="56">
        <v>897</v>
      </c>
      <c r="R21" s="65">
        <f t="shared" si="6"/>
        <v>4</v>
      </c>
      <c r="S21" s="56">
        <v>963599.2</v>
      </c>
      <c r="T21" s="65">
        <f t="shared" si="7"/>
        <v>633.59999999997672</v>
      </c>
      <c r="U21" s="56">
        <v>405269.7</v>
      </c>
      <c r="V21" s="65">
        <f t="shared" si="38"/>
        <v>307.60000000003492</v>
      </c>
      <c r="W21" s="56">
        <v>386.12</v>
      </c>
      <c r="X21" s="63">
        <f t="shared" si="41"/>
        <v>319.99999999999318</v>
      </c>
      <c r="Y21" s="56">
        <v>2.7515000000000001</v>
      </c>
      <c r="Z21" s="63">
        <f t="shared" si="8"/>
        <v>2499.9999999999468</v>
      </c>
      <c r="AA21" s="56">
        <v>384.59</v>
      </c>
      <c r="AB21" s="63">
        <f t="shared" si="9"/>
        <v>199.99999999998863</v>
      </c>
      <c r="AC21" s="56">
        <v>360.83</v>
      </c>
      <c r="AD21" s="63">
        <f t="shared" si="10"/>
        <v>189.99999999999773</v>
      </c>
      <c r="AE21" s="56">
        <v>555.63</v>
      </c>
      <c r="AF21" s="63">
        <f t="shared" si="11"/>
        <v>269.99999999998181</v>
      </c>
      <c r="AG21" s="56">
        <v>3060</v>
      </c>
      <c r="AH21" s="65">
        <f t="shared" si="12"/>
        <v>34</v>
      </c>
      <c r="AI21" s="56">
        <v>588.80999999999995</v>
      </c>
      <c r="AJ21" s="63">
        <f t="shared" si="13"/>
        <v>679.99999999994998</v>
      </c>
      <c r="AK21" s="56">
        <v>196.62</v>
      </c>
      <c r="AL21" s="63">
        <f t="shared" si="13"/>
        <v>219.99999999999886</v>
      </c>
      <c r="AM21" s="56">
        <v>188.13</v>
      </c>
      <c r="AN21" s="63">
        <f t="shared" si="13"/>
        <v>189.99999999999773</v>
      </c>
      <c r="AO21" s="56">
        <v>184.53</v>
      </c>
      <c r="AP21" s="63">
        <f t="shared" si="13"/>
        <v>229.99999999998977</v>
      </c>
      <c r="AQ21" s="56">
        <v>241.23</v>
      </c>
      <c r="AR21" s="63">
        <f t="shared" si="14"/>
        <v>109.99999999998522</v>
      </c>
      <c r="AS21" s="56">
        <v>366.38</v>
      </c>
      <c r="AT21" s="63">
        <f t="shared" si="15"/>
        <v>60.000000000002274</v>
      </c>
      <c r="AU21" s="56">
        <v>283.23</v>
      </c>
      <c r="AV21" s="63">
        <f t="shared" si="16"/>
        <v>60.000000000002274</v>
      </c>
      <c r="AW21" s="56">
        <v>315.81</v>
      </c>
      <c r="AX21" s="63">
        <f t="shared" si="17"/>
        <v>69.999999999993179</v>
      </c>
      <c r="AY21" s="56">
        <v>359.75</v>
      </c>
      <c r="AZ21" s="63">
        <f t="shared" si="18"/>
        <v>40.000000000020464</v>
      </c>
      <c r="BA21" s="56">
        <v>380.22</v>
      </c>
      <c r="BB21" s="63">
        <f t="shared" si="19"/>
        <v>30.000000000029559</v>
      </c>
      <c r="BC21" s="56">
        <v>240.82</v>
      </c>
      <c r="BD21" s="63">
        <f t="shared" si="20"/>
        <v>39.999999999992042</v>
      </c>
      <c r="BE21" s="57">
        <v>39073</v>
      </c>
      <c r="BF21" s="65">
        <f t="shared" si="39"/>
        <v>44</v>
      </c>
      <c r="BG21" s="58">
        <v>232.75</v>
      </c>
      <c r="BH21" s="63">
        <f t="shared" si="21"/>
        <v>20.000000000010232</v>
      </c>
      <c r="BI21" s="58">
        <v>292.01</v>
      </c>
      <c r="BJ21" s="63">
        <f t="shared" si="40"/>
        <v>39.99999999996362</v>
      </c>
      <c r="BK21" s="58">
        <v>235.67</v>
      </c>
      <c r="BL21" s="63">
        <f t="shared" si="22"/>
        <v>30.000000000001137</v>
      </c>
      <c r="BM21" s="58">
        <v>222.4</v>
      </c>
      <c r="BN21" s="63">
        <f t="shared" si="23"/>
        <v>39.999999999992042</v>
      </c>
      <c r="BO21" s="58">
        <v>286.47000000000003</v>
      </c>
      <c r="BP21" s="63">
        <f t="shared" si="24"/>
        <v>40.000000000020464</v>
      </c>
      <c r="BQ21" s="58">
        <v>44314</v>
      </c>
      <c r="BR21" s="63">
        <f t="shared" si="25"/>
        <v>25</v>
      </c>
      <c r="BS21" s="58">
        <v>199.89</v>
      </c>
      <c r="BT21" s="63">
        <f t="shared" si="42"/>
        <v>19.99999999998181</v>
      </c>
      <c r="BU21" s="58">
        <v>39081</v>
      </c>
      <c r="BV21" s="63">
        <f t="shared" si="26"/>
        <v>40</v>
      </c>
      <c r="BW21" s="58">
        <v>230.92</v>
      </c>
      <c r="BX21" s="63">
        <f t="shared" si="27"/>
        <v>19.99999999998181</v>
      </c>
      <c r="BY21" s="58">
        <v>58419</v>
      </c>
      <c r="BZ21" s="65">
        <f t="shared" si="28"/>
        <v>48</v>
      </c>
      <c r="CA21" s="58">
        <v>30574.400000000001</v>
      </c>
      <c r="CB21" s="65">
        <f t="shared" si="29"/>
        <v>42.80000000000291</v>
      </c>
      <c r="CC21" s="58">
        <v>11855.2</v>
      </c>
      <c r="CD21" s="65">
        <f t="shared" si="30"/>
        <v>11.400000000001455</v>
      </c>
      <c r="CE21" s="58">
        <v>6228.6</v>
      </c>
      <c r="CF21" s="65">
        <f t="shared" si="31"/>
        <v>24.5</v>
      </c>
      <c r="CG21" s="58">
        <v>58211.6</v>
      </c>
      <c r="CH21" s="65">
        <f t="shared" si="32"/>
        <v>25.400000000001455</v>
      </c>
      <c r="CI21" s="58">
        <v>937471</v>
      </c>
      <c r="CJ21" s="65">
        <f t="shared" si="33"/>
        <v>359</v>
      </c>
      <c r="CK21" s="58">
        <v>734.66</v>
      </c>
      <c r="CL21" s="62">
        <f t="shared" si="34"/>
        <v>439.99999999994088</v>
      </c>
      <c r="CM21" s="63">
        <f t="shared" si="35"/>
        <v>178</v>
      </c>
      <c r="CN21" s="60">
        <v>9</v>
      </c>
      <c r="CO21" s="60">
        <v>25</v>
      </c>
      <c r="CP21" s="66">
        <v>7722</v>
      </c>
      <c r="CQ21" s="65">
        <f t="shared" si="36"/>
        <v>117</v>
      </c>
      <c r="CR21" s="66">
        <v>13363</v>
      </c>
      <c r="CS21" s="65">
        <f t="shared" si="36"/>
        <v>61</v>
      </c>
      <c r="CT21" s="73">
        <v>5961</v>
      </c>
      <c r="CU21" s="65">
        <f t="shared" si="36"/>
        <v>12</v>
      </c>
      <c r="CV21" s="66">
        <v>14463</v>
      </c>
      <c r="CW21" s="65">
        <f t="shared" si="36"/>
        <v>18</v>
      </c>
    </row>
    <row r="22" spans="1:101" ht="25.5" customHeight="1" thickBot="1" x14ac:dyDescent="0.45">
      <c r="A22" s="61">
        <v>44335</v>
      </c>
      <c r="B22" s="44"/>
      <c r="C22" s="56">
        <v>2.2164999999999999</v>
      </c>
      <c r="D22" s="62">
        <f t="shared" si="0"/>
        <v>1999.9999999997797</v>
      </c>
      <c r="E22" s="56">
        <v>3.1532</v>
      </c>
      <c r="F22" s="62">
        <f t="shared" si="1"/>
        <v>2800.0000000001355</v>
      </c>
      <c r="G22" s="56">
        <v>3.2198000000000002</v>
      </c>
      <c r="H22" s="62">
        <f t="shared" si="2"/>
        <v>2600.0000000001578</v>
      </c>
      <c r="I22" s="56">
        <v>1.5881000000000001</v>
      </c>
      <c r="J22" s="62">
        <f t="shared" si="3"/>
        <v>1400.0000000000678</v>
      </c>
      <c r="K22" s="56">
        <v>2.5655999999999999</v>
      </c>
      <c r="L22" s="62">
        <f t="shared" si="37"/>
        <v>1999.9999999997797</v>
      </c>
      <c r="M22" s="56">
        <v>1.4226000000000001</v>
      </c>
      <c r="N22" s="62">
        <f t="shared" si="4"/>
        <v>900.0000000001229</v>
      </c>
      <c r="O22" s="56">
        <v>14104</v>
      </c>
      <c r="P22" s="65">
        <f t="shared" si="43"/>
        <v>12</v>
      </c>
      <c r="Q22" s="56">
        <v>902</v>
      </c>
      <c r="R22" s="65">
        <f t="shared" si="6"/>
        <v>5</v>
      </c>
      <c r="S22" s="56">
        <v>964245.2</v>
      </c>
      <c r="T22" s="65">
        <f t="shared" si="7"/>
        <v>646</v>
      </c>
      <c r="U22" s="56">
        <v>405560.8</v>
      </c>
      <c r="V22" s="65">
        <f t="shared" si="38"/>
        <v>291.09999999997672</v>
      </c>
      <c r="W22" s="56">
        <v>386.46</v>
      </c>
      <c r="X22" s="63">
        <f t="shared" si="41"/>
        <v>339.99999999997499</v>
      </c>
      <c r="Y22" s="56">
        <v>2.7538</v>
      </c>
      <c r="Z22" s="63">
        <f t="shared" si="8"/>
        <v>2299.9999999999686</v>
      </c>
      <c r="AA22" s="56">
        <v>384.93</v>
      </c>
      <c r="AB22" s="63">
        <f t="shared" si="9"/>
        <v>340.00000000003183</v>
      </c>
      <c r="AC22" s="56">
        <v>361.02</v>
      </c>
      <c r="AD22" s="63">
        <f t="shared" si="10"/>
        <v>189.99999999999773</v>
      </c>
      <c r="AE22" s="56">
        <v>555.87</v>
      </c>
      <c r="AF22" s="63">
        <f t="shared" si="11"/>
        <v>240.00000000000909</v>
      </c>
      <c r="AG22" s="56">
        <v>3097</v>
      </c>
      <c r="AH22" s="65">
        <f t="shared" si="12"/>
        <v>37</v>
      </c>
      <c r="AI22" s="56">
        <v>589.55999999999995</v>
      </c>
      <c r="AJ22" s="63">
        <f t="shared" si="13"/>
        <v>750</v>
      </c>
      <c r="AK22" s="56">
        <v>196.84</v>
      </c>
      <c r="AL22" s="63">
        <f t="shared" si="13"/>
        <v>219.99999999999886</v>
      </c>
      <c r="AM22" s="56">
        <v>188.31</v>
      </c>
      <c r="AN22" s="63">
        <f t="shared" si="13"/>
        <v>180.00000000000682</v>
      </c>
      <c r="AO22" s="56">
        <v>184.75</v>
      </c>
      <c r="AP22" s="63">
        <f t="shared" si="13"/>
        <v>219.99999999999886</v>
      </c>
      <c r="AQ22" s="56">
        <v>241.39</v>
      </c>
      <c r="AR22" s="63">
        <f t="shared" si="14"/>
        <v>159.99999999999659</v>
      </c>
      <c r="AS22" s="56">
        <v>366.42</v>
      </c>
      <c r="AT22" s="63">
        <f t="shared" si="15"/>
        <v>40.000000000020464</v>
      </c>
      <c r="AU22" s="56">
        <v>283.27999999999997</v>
      </c>
      <c r="AV22" s="63">
        <f t="shared" si="16"/>
        <v>49.999999999954525</v>
      </c>
      <c r="AW22" s="56">
        <v>315.86</v>
      </c>
      <c r="AX22" s="63">
        <f t="shared" si="17"/>
        <v>50.000000000011369</v>
      </c>
      <c r="AY22" s="56">
        <v>359.8</v>
      </c>
      <c r="AZ22" s="63">
        <f t="shared" si="18"/>
        <v>50.000000000011369</v>
      </c>
      <c r="BA22" s="56">
        <v>380.24</v>
      </c>
      <c r="BB22" s="63">
        <f t="shared" si="19"/>
        <v>19.99999999998181</v>
      </c>
      <c r="BC22" s="56">
        <v>240.86</v>
      </c>
      <c r="BD22" s="63">
        <f t="shared" si="20"/>
        <v>40.000000000020464</v>
      </c>
      <c r="BE22" s="57">
        <v>39115</v>
      </c>
      <c r="BF22" s="65">
        <f t="shared" si="39"/>
        <v>42</v>
      </c>
      <c r="BG22" s="58">
        <v>232.78</v>
      </c>
      <c r="BH22" s="63">
        <f t="shared" si="21"/>
        <v>30.000000000001137</v>
      </c>
      <c r="BI22" s="58">
        <v>292.05</v>
      </c>
      <c r="BJ22" s="63">
        <f t="shared" si="40"/>
        <v>40.000000000020464</v>
      </c>
      <c r="BK22" s="58">
        <v>235.71</v>
      </c>
      <c r="BL22" s="63">
        <f t="shared" si="22"/>
        <v>40.000000000020464</v>
      </c>
      <c r="BM22" s="58">
        <v>222.44</v>
      </c>
      <c r="BN22" s="63">
        <f t="shared" si="23"/>
        <v>39.999999999992042</v>
      </c>
      <c r="BO22" s="58">
        <v>286.5</v>
      </c>
      <c r="BP22" s="63">
        <f t="shared" si="24"/>
        <v>29.999999999972715</v>
      </c>
      <c r="BQ22" s="58">
        <v>44338</v>
      </c>
      <c r="BR22" s="63">
        <f t="shared" si="25"/>
        <v>24</v>
      </c>
      <c r="BS22" s="58">
        <v>199.91</v>
      </c>
      <c r="BT22" s="63">
        <f t="shared" si="42"/>
        <v>20.000000000010232</v>
      </c>
      <c r="BU22" s="58">
        <v>39120</v>
      </c>
      <c r="BV22" s="63">
        <f t="shared" si="26"/>
        <v>39</v>
      </c>
      <c r="BW22" s="58">
        <v>230.95</v>
      </c>
      <c r="BX22" s="63">
        <f t="shared" si="27"/>
        <v>30.000000000001137</v>
      </c>
      <c r="BY22" s="58">
        <v>58470</v>
      </c>
      <c r="BZ22" s="65">
        <f t="shared" si="28"/>
        <v>51</v>
      </c>
      <c r="CA22" s="58">
        <v>30615.7</v>
      </c>
      <c r="CB22" s="65">
        <f t="shared" si="29"/>
        <v>41.299999999999272</v>
      </c>
      <c r="CC22" s="58">
        <v>11863.3</v>
      </c>
      <c r="CD22" s="65">
        <f t="shared" si="30"/>
        <v>8.0999999999985448</v>
      </c>
      <c r="CE22" s="58">
        <v>6230</v>
      </c>
      <c r="CF22" s="65">
        <f t="shared" si="31"/>
        <v>1.3999999999996362</v>
      </c>
      <c r="CG22" s="58">
        <v>58238</v>
      </c>
      <c r="CH22" s="65">
        <f t="shared" si="32"/>
        <v>26.400000000001455</v>
      </c>
      <c r="CI22" s="58">
        <v>937722</v>
      </c>
      <c r="CJ22" s="65">
        <f t="shared" si="33"/>
        <v>251</v>
      </c>
      <c r="CK22" s="58">
        <v>735.56</v>
      </c>
      <c r="CL22" s="62">
        <f t="shared" si="34"/>
        <v>899.99999999997726</v>
      </c>
      <c r="CM22" s="63">
        <f t="shared" si="35"/>
        <v>69</v>
      </c>
      <c r="CN22" s="60">
        <v>13</v>
      </c>
      <c r="CO22" s="60">
        <v>32</v>
      </c>
      <c r="CP22" s="66">
        <v>7773</v>
      </c>
      <c r="CQ22" s="65">
        <f t="shared" si="36"/>
        <v>51</v>
      </c>
      <c r="CR22" s="66">
        <v>13381</v>
      </c>
      <c r="CS22" s="65">
        <f t="shared" si="36"/>
        <v>18</v>
      </c>
      <c r="CT22" s="73">
        <v>5972</v>
      </c>
      <c r="CU22" s="65">
        <f t="shared" si="36"/>
        <v>11</v>
      </c>
      <c r="CV22" s="66">
        <v>14486</v>
      </c>
      <c r="CW22" s="65">
        <f t="shared" si="36"/>
        <v>23</v>
      </c>
    </row>
    <row r="23" spans="1:101" ht="25.5" customHeight="1" thickBot="1" x14ac:dyDescent="0.45">
      <c r="A23" s="61">
        <v>44336</v>
      </c>
      <c r="B23" s="44"/>
      <c r="C23" s="56">
        <v>2.2185999999999999</v>
      </c>
      <c r="D23" s="62">
        <f t="shared" si="0"/>
        <v>2099.9999999999909</v>
      </c>
      <c r="E23" s="56">
        <v>3.1562000000000001</v>
      </c>
      <c r="F23" s="62">
        <f t="shared" si="1"/>
        <v>3000.0000000001137</v>
      </c>
      <c r="G23" s="56">
        <v>3.2227000000000001</v>
      </c>
      <c r="H23" s="62">
        <f t="shared" si="2"/>
        <v>2899.9999999999027</v>
      </c>
      <c r="I23" s="56">
        <v>1.5893999999999999</v>
      </c>
      <c r="J23" s="62">
        <f t="shared" si="3"/>
        <v>1299.9999999998568</v>
      </c>
      <c r="K23" s="56">
        <v>2.5676000000000001</v>
      </c>
      <c r="L23" s="62">
        <f t="shared" si="37"/>
        <v>2000.0000000002237</v>
      </c>
      <c r="M23" s="56">
        <v>1.4234</v>
      </c>
      <c r="N23" s="62">
        <f t="shared" si="4"/>
        <v>799.99999999991189</v>
      </c>
      <c r="O23" s="56">
        <v>14105</v>
      </c>
      <c r="P23" s="65">
        <f t="shared" si="43"/>
        <v>1</v>
      </c>
      <c r="Q23" s="56">
        <v>907</v>
      </c>
      <c r="R23" s="65">
        <f t="shared" si="6"/>
        <v>5</v>
      </c>
      <c r="S23" s="56">
        <v>964956.2</v>
      </c>
      <c r="T23" s="65">
        <f t="shared" si="7"/>
        <v>711</v>
      </c>
      <c r="U23" s="56">
        <v>405862.3</v>
      </c>
      <c r="V23" s="65">
        <f t="shared" si="38"/>
        <v>301.5</v>
      </c>
      <c r="W23" s="56">
        <v>386.77</v>
      </c>
      <c r="X23" s="63">
        <f t="shared" si="41"/>
        <v>310.00000000000227</v>
      </c>
      <c r="Y23" s="56">
        <v>2.7566000000000002</v>
      </c>
      <c r="Z23" s="63">
        <f t="shared" si="8"/>
        <v>2800.0000000001355</v>
      </c>
      <c r="AA23" s="56">
        <v>385.14</v>
      </c>
      <c r="AB23" s="63">
        <f t="shared" si="9"/>
        <v>209.99999999997954</v>
      </c>
      <c r="AC23" s="56">
        <v>361.21</v>
      </c>
      <c r="AD23" s="63">
        <f t="shared" si="10"/>
        <v>189.99999999999773</v>
      </c>
      <c r="AE23" s="56">
        <v>556.11</v>
      </c>
      <c r="AF23" s="63">
        <f t="shared" si="11"/>
        <v>240.00000000000909</v>
      </c>
      <c r="AG23" s="56">
        <v>3136</v>
      </c>
      <c r="AH23" s="65">
        <f t="shared" si="12"/>
        <v>39</v>
      </c>
      <c r="AI23" s="56">
        <v>590.29999999999995</v>
      </c>
      <c r="AJ23" s="63">
        <f t="shared" si="13"/>
        <v>740.00000000000909</v>
      </c>
      <c r="AK23" s="56">
        <v>197.08</v>
      </c>
      <c r="AL23" s="63">
        <f t="shared" si="13"/>
        <v>240.00000000000909</v>
      </c>
      <c r="AM23" s="56">
        <v>188.53</v>
      </c>
      <c r="AN23" s="63">
        <f t="shared" si="13"/>
        <v>219.99999999999886</v>
      </c>
      <c r="AO23" s="56">
        <v>184.98</v>
      </c>
      <c r="AP23" s="63">
        <f t="shared" si="13"/>
        <v>229.99999999998977</v>
      </c>
      <c r="AQ23" s="56">
        <v>241.63</v>
      </c>
      <c r="AR23" s="63">
        <f t="shared" si="14"/>
        <v>240.00000000000909</v>
      </c>
      <c r="AS23" s="56">
        <v>366.46</v>
      </c>
      <c r="AT23" s="63">
        <f t="shared" si="15"/>
        <v>39.99999999996362</v>
      </c>
      <c r="AU23" s="56">
        <v>283.33</v>
      </c>
      <c r="AV23" s="63">
        <f t="shared" si="16"/>
        <v>50.000000000011369</v>
      </c>
      <c r="AW23" s="56">
        <v>315.89</v>
      </c>
      <c r="AX23" s="63">
        <f t="shared" si="17"/>
        <v>29.999999999972715</v>
      </c>
      <c r="AY23" s="56">
        <v>359.84</v>
      </c>
      <c r="AZ23" s="63">
        <f t="shared" si="18"/>
        <v>39.99999999996362</v>
      </c>
      <c r="BA23" s="56">
        <v>380.26</v>
      </c>
      <c r="BB23" s="63">
        <f t="shared" si="19"/>
        <v>19.99999999998181</v>
      </c>
      <c r="BC23" s="56">
        <v>240.88</v>
      </c>
      <c r="BD23" s="63">
        <f t="shared" si="20"/>
        <v>19.99999999998181</v>
      </c>
      <c r="BE23" s="57">
        <v>39149</v>
      </c>
      <c r="BF23" s="65">
        <f t="shared" si="39"/>
        <v>34</v>
      </c>
      <c r="BG23" s="58">
        <v>232.81</v>
      </c>
      <c r="BH23" s="63">
        <f t="shared" si="21"/>
        <v>30.000000000001137</v>
      </c>
      <c r="BI23" s="58">
        <v>292.08999999999997</v>
      </c>
      <c r="BJ23" s="63">
        <f t="shared" si="40"/>
        <v>39.99999999996362</v>
      </c>
      <c r="BK23" s="58">
        <v>235.75</v>
      </c>
      <c r="BL23" s="63">
        <f t="shared" si="22"/>
        <v>39.999999999992042</v>
      </c>
      <c r="BM23" s="58">
        <v>222.48</v>
      </c>
      <c r="BN23" s="63">
        <f t="shared" si="23"/>
        <v>39.999999999992042</v>
      </c>
      <c r="BO23" s="58">
        <v>286.52999999999997</v>
      </c>
      <c r="BP23" s="63">
        <f t="shared" si="24"/>
        <v>29.999999999972715</v>
      </c>
      <c r="BQ23" s="58">
        <v>44361</v>
      </c>
      <c r="BR23" s="63">
        <f t="shared" si="25"/>
        <v>23</v>
      </c>
      <c r="BS23" s="58">
        <v>199.93</v>
      </c>
      <c r="BT23" s="63">
        <f t="shared" si="42"/>
        <v>20.000000000010232</v>
      </c>
      <c r="BU23" s="58">
        <v>39158</v>
      </c>
      <c r="BV23" s="63">
        <f t="shared" si="26"/>
        <v>38</v>
      </c>
      <c r="BW23" s="58">
        <v>230.97</v>
      </c>
      <c r="BX23" s="63">
        <f t="shared" si="27"/>
        <v>20.000000000010232</v>
      </c>
      <c r="BY23" s="58">
        <v>58518</v>
      </c>
      <c r="BZ23" s="65">
        <f t="shared" si="28"/>
        <v>48</v>
      </c>
      <c r="CA23" s="58">
        <v>30658.7</v>
      </c>
      <c r="CB23" s="65">
        <f t="shared" si="29"/>
        <v>43</v>
      </c>
      <c r="CC23" s="58">
        <v>11869.1</v>
      </c>
      <c r="CD23" s="65">
        <f t="shared" si="30"/>
        <v>5.8000000000010914</v>
      </c>
      <c r="CE23" s="58">
        <v>6230.5</v>
      </c>
      <c r="CF23" s="65">
        <f t="shared" si="31"/>
        <v>0.5</v>
      </c>
      <c r="CG23" s="58">
        <v>58276.2</v>
      </c>
      <c r="CH23" s="65">
        <f t="shared" si="32"/>
        <v>38.19999999999709</v>
      </c>
      <c r="CI23" s="58">
        <v>938000</v>
      </c>
      <c r="CJ23" s="65">
        <f t="shared" si="33"/>
        <v>278</v>
      </c>
      <c r="CK23" s="58">
        <v>736.52</v>
      </c>
      <c r="CL23" s="62">
        <f t="shared" si="34"/>
        <v>960.00000000003638</v>
      </c>
      <c r="CM23" s="63">
        <f t="shared" si="35"/>
        <v>94</v>
      </c>
      <c r="CN23" s="60">
        <v>13</v>
      </c>
      <c r="CO23" s="60">
        <v>32</v>
      </c>
      <c r="CP23" s="66">
        <v>7819</v>
      </c>
      <c r="CQ23" s="65">
        <f t="shared" si="36"/>
        <v>46</v>
      </c>
      <c r="CR23" s="66">
        <v>13429</v>
      </c>
      <c r="CS23" s="65">
        <f t="shared" si="36"/>
        <v>48</v>
      </c>
      <c r="CT23" s="73">
        <v>5984</v>
      </c>
      <c r="CU23" s="65">
        <f t="shared" si="36"/>
        <v>12</v>
      </c>
      <c r="CV23" s="66">
        <v>14504</v>
      </c>
      <c r="CW23" s="65">
        <f t="shared" si="36"/>
        <v>18</v>
      </c>
    </row>
    <row r="24" spans="1:101" ht="25.5" customHeight="1" thickBot="1" x14ac:dyDescent="0.45">
      <c r="A24" s="61">
        <v>44337</v>
      </c>
      <c r="B24" s="44"/>
      <c r="C24" s="56">
        <v>2.2208000000000001</v>
      </c>
      <c r="D24" s="62">
        <f t="shared" si="0"/>
        <v>2200.0000000002019</v>
      </c>
      <c r="E24" s="56">
        <v>3.1589999999999998</v>
      </c>
      <c r="F24" s="62">
        <f t="shared" si="1"/>
        <v>2799.9999999996917</v>
      </c>
      <c r="G24" s="56">
        <v>3.2254</v>
      </c>
      <c r="H24" s="62">
        <f t="shared" si="2"/>
        <v>2699.9999999999245</v>
      </c>
      <c r="I24" s="56">
        <v>1.5907</v>
      </c>
      <c r="J24" s="62">
        <f t="shared" si="3"/>
        <v>1300.0000000000789</v>
      </c>
      <c r="K24" s="56">
        <v>2.5695999999999999</v>
      </c>
      <c r="L24" s="62">
        <f t="shared" si="37"/>
        <v>1999.9999999997797</v>
      </c>
      <c r="M24" s="56">
        <v>1.4242999999999999</v>
      </c>
      <c r="N24" s="62">
        <f t="shared" si="4"/>
        <v>899.99999999990087</v>
      </c>
      <c r="O24" s="56">
        <v>14116</v>
      </c>
      <c r="P24" s="65">
        <f t="shared" si="43"/>
        <v>11</v>
      </c>
      <c r="Q24" s="56">
        <v>911</v>
      </c>
      <c r="R24" s="65">
        <f t="shared" si="6"/>
        <v>4</v>
      </c>
      <c r="S24" s="56">
        <v>965765.2</v>
      </c>
      <c r="T24" s="65">
        <f t="shared" si="7"/>
        <v>809</v>
      </c>
      <c r="U24" s="56">
        <v>406207.2</v>
      </c>
      <c r="V24" s="65">
        <f t="shared" si="38"/>
        <v>344.90000000002328</v>
      </c>
      <c r="W24" s="56">
        <v>387.08</v>
      </c>
      <c r="X24" s="63">
        <f t="shared" si="41"/>
        <v>310.00000000000227</v>
      </c>
      <c r="Y24" s="56">
        <v>2.7591000000000001</v>
      </c>
      <c r="Z24" s="63">
        <f t="shared" si="8"/>
        <v>2499.9999999999468</v>
      </c>
      <c r="AA24" s="56">
        <v>385.53</v>
      </c>
      <c r="AB24" s="63">
        <f t="shared" si="9"/>
        <v>389.99999999998636</v>
      </c>
      <c r="AC24" s="56">
        <v>361.4</v>
      </c>
      <c r="AD24" s="63">
        <f t="shared" si="10"/>
        <v>189.99999999999773</v>
      </c>
      <c r="AE24" s="56">
        <v>556.4</v>
      </c>
      <c r="AF24" s="63">
        <f t="shared" si="11"/>
        <v>289.99999999996362</v>
      </c>
      <c r="AG24" s="56">
        <v>3176</v>
      </c>
      <c r="AH24" s="65">
        <f t="shared" si="12"/>
        <v>40</v>
      </c>
      <c r="AI24" s="56">
        <v>591.04999999999995</v>
      </c>
      <c r="AJ24" s="63">
        <f t="shared" si="13"/>
        <v>750</v>
      </c>
      <c r="AK24" s="56">
        <v>197.29</v>
      </c>
      <c r="AL24" s="63">
        <f t="shared" si="13"/>
        <v>209.99999999997954</v>
      </c>
      <c r="AM24" s="56">
        <v>188.69</v>
      </c>
      <c r="AN24" s="63">
        <f t="shared" si="13"/>
        <v>159.99999999999659</v>
      </c>
      <c r="AO24" s="56">
        <v>185.22</v>
      </c>
      <c r="AP24" s="63">
        <f t="shared" si="13"/>
        <v>240.00000000000909</v>
      </c>
      <c r="AQ24" s="56">
        <v>241.85</v>
      </c>
      <c r="AR24" s="63">
        <f t="shared" si="14"/>
        <v>219.99999999999886</v>
      </c>
      <c r="AS24" s="56">
        <v>366.56</v>
      </c>
      <c r="AT24" s="63">
        <f t="shared" si="15"/>
        <v>100.00000000002274</v>
      </c>
      <c r="AU24" s="56">
        <v>283.39</v>
      </c>
      <c r="AV24" s="63">
        <f t="shared" si="16"/>
        <v>60.000000000002274</v>
      </c>
      <c r="AW24" s="56">
        <v>315.94</v>
      </c>
      <c r="AX24" s="63">
        <f t="shared" si="17"/>
        <v>50.000000000011369</v>
      </c>
      <c r="AY24" s="56">
        <v>359.87</v>
      </c>
      <c r="AZ24" s="63">
        <f t="shared" si="18"/>
        <v>30.000000000029559</v>
      </c>
      <c r="BA24" s="56">
        <v>380.28</v>
      </c>
      <c r="BB24" s="63">
        <f t="shared" si="19"/>
        <v>19.99999999998181</v>
      </c>
      <c r="BC24" s="56">
        <v>240.9</v>
      </c>
      <c r="BD24" s="63">
        <f t="shared" si="20"/>
        <v>20.000000000010232</v>
      </c>
      <c r="BE24" s="57">
        <v>39195</v>
      </c>
      <c r="BF24" s="65">
        <f t="shared" si="39"/>
        <v>46</v>
      </c>
      <c r="BG24" s="58">
        <v>232.84</v>
      </c>
      <c r="BH24" s="63">
        <f t="shared" si="21"/>
        <v>30.000000000001137</v>
      </c>
      <c r="BI24" s="58">
        <v>292.13</v>
      </c>
      <c r="BJ24" s="63">
        <f t="shared" si="40"/>
        <v>40.000000000020464</v>
      </c>
      <c r="BK24" s="58">
        <v>235.78</v>
      </c>
      <c r="BL24" s="63">
        <f t="shared" si="22"/>
        <v>30.000000000001137</v>
      </c>
      <c r="BM24" s="58">
        <v>222.52</v>
      </c>
      <c r="BN24" s="63">
        <f t="shared" si="23"/>
        <v>40.000000000020464</v>
      </c>
      <c r="BO24" s="58">
        <v>286.56</v>
      </c>
      <c r="BP24" s="63">
        <f t="shared" si="24"/>
        <v>30.000000000029559</v>
      </c>
      <c r="BQ24" s="58">
        <v>44384</v>
      </c>
      <c r="BR24" s="63">
        <f t="shared" si="25"/>
        <v>23</v>
      </c>
      <c r="BS24" s="58">
        <v>199.95</v>
      </c>
      <c r="BT24" s="63">
        <f t="shared" si="42"/>
        <v>19.99999999998181</v>
      </c>
      <c r="BU24" s="58">
        <v>39197</v>
      </c>
      <c r="BV24" s="63">
        <f t="shared" si="26"/>
        <v>39</v>
      </c>
      <c r="BW24" s="58">
        <v>231</v>
      </c>
      <c r="BX24" s="63">
        <f t="shared" si="27"/>
        <v>30.000000000001137</v>
      </c>
      <c r="BY24" s="58">
        <v>58567</v>
      </c>
      <c r="BZ24" s="65">
        <f t="shared" si="28"/>
        <v>49</v>
      </c>
      <c r="CA24" s="58">
        <v>30703.8</v>
      </c>
      <c r="CB24" s="65">
        <f t="shared" si="29"/>
        <v>45.099999999998545</v>
      </c>
      <c r="CC24" s="58">
        <v>11879</v>
      </c>
      <c r="CD24" s="65">
        <f t="shared" si="30"/>
        <v>9.8999999999996362</v>
      </c>
      <c r="CE24" s="58">
        <v>6238</v>
      </c>
      <c r="CF24" s="65">
        <f t="shared" si="31"/>
        <v>7.5</v>
      </c>
      <c r="CG24" s="58">
        <v>58310.1</v>
      </c>
      <c r="CH24" s="65">
        <f t="shared" si="32"/>
        <v>33.900000000001455</v>
      </c>
      <c r="CI24" s="58">
        <v>938332</v>
      </c>
      <c r="CJ24" s="65">
        <f t="shared" si="33"/>
        <v>332</v>
      </c>
      <c r="CK24" s="58">
        <v>737.32</v>
      </c>
      <c r="CL24" s="62">
        <f t="shared" si="34"/>
        <v>800.00000000006821</v>
      </c>
      <c r="CM24" s="63">
        <f t="shared" si="35"/>
        <v>71</v>
      </c>
      <c r="CN24" s="60">
        <v>10</v>
      </c>
      <c r="CO24" s="60">
        <v>32</v>
      </c>
      <c r="CP24" s="66">
        <v>7859</v>
      </c>
      <c r="CQ24" s="65">
        <f t="shared" si="36"/>
        <v>40</v>
      </c>
      <c r="CR24" s="66">
        <v>13460</v>
      </c>
      <c r="CS24" s="65">
        <f t="shared" si="36"/>
        <v>31</v>
      </c>
      <c r="CT24" s="73">
        <v>5998</v>
      </c>
      <c r="CU24" s="65">
        <f t="shared" si="36"/>
        <v>14</v>
      </c>
      <c r="CV24" s="66">
        <v>14532</v>
      </c>
      <c r="CW24" s="65">
        <f t="shared" si="36"/>
        <v>28</v>
      </c>
    </row>
    <row r="25" spans="1:101" ht="25.5" customHeight="1" thickBot="1" x14ac:dyDescent="0.45">
      <c r="A25" s="61">
        <v>44338</v>
      </c>
      <c r="B25" s="44"/>
      <c r="C25" s="56">
        <v>2.2227000000000001</v>
      </c>
      <c r="D25" s="62">
        <f t="shared" si="0"/>
        <v>1900.0000000000127</v>
      </c>
      <c r="E25" s="56">
        <v>3.1619000000000002</v>
      </c>
      <c r="F25" s="62">
        <f t="shared" si="1"/>
        <v>2900.0000000003465</v>
      </c>
      <c r="G25" s="56">
        <v>3.2282999999999999</v>
      </c>
      <c r="H25" s="62">
        <f t="shared" si="2"/>
        <v>2899.9999999999027</v>
      </c>
      <c r="I25" s="56">
        <v>1.5920000000000001</v>
      </c>
      <c r="J25" s="62">
        <f t="shared" si="3"/>
        <v>1300.0000000000789</v>
      </c>
      <c r="K25" s="56">
        <v>2.5718000000000001</v>
      </c>
      <c r="L25" s="62">
        <f t="shared" si="37"/>
        <v>2200.0000000002019</v>
      </c>
      <c r="M25" s="56">
        <v>1.4251</v>
      </c>
      <c r="N25" s="62">
        <f t="shared" si="4"/>
        <v>800.00000000013392</v>
      </c>
      <c r="O25" s="56">
        <v>14126</v>
      </c>
      <c r="P25" s="65">
        <f t="shared" si="43"/>
        <v>10</v>
      </c>
      <c r="Q25" s="56">
        <v>916</v>
      </c>
      <c r="R25" s="65">
        <f t="shared" si="6"/>
        <v>5</v>
      </c>
      <c r="S25" s="56">
        <v>966534.4</v>
      </c>
      <c r="T25" s="65">
        <f t="shared" si="7"/>
        <v>769.20000000006985</v>
      </c>
      <c r="U25" s="56">
        <v>406512.7</v>
      </c>
      <c r="V25" s="65">
        <f t="shared" si="38"/>
        <v>305.5</v>
      </c>
      <c r="W25" s="56">
        <v>387.37</v>
      </c>
      <c r="X25" s="63">
        <f t="shared" si="41"/>
        <v>290.00000000002046</v>
      </c>
      <c r="Y25" s="56">
        <v>2.7616000000000001</v>
      </c>
      <c r="Z25" s="63">
        <f t="shared" si="8"/>
        <v>2499.9999999999468</v>
      </c>
      <c r="AA25" s="56">
        <v>385.73</v>
      </c>
      <c r="AB25" s="63">
        <f t="shared" si="9"/>
        <v>200.00000000004547</v>
      </c>
      <c r="AC25" s="56">
        <v>361.58</v>
      </c>
      <c r="AD25" s="63">
        <f t="shared" si="10"/>
        <v>180.00000000000682</v>
      </c>
      <c r="AE25" s="56">
        <v>556.63</v>
      </c>
      <c r="AF25" s="63">
        <f t="shared" si="11"/>
        <v>230.00000000001819</v>
      </c>
      <c r="AG25" s="56">
        <v>3212</v>
      </c>
      <c r="AH25" s="65">
        <f t="shared" si="12"/>
        <v>36</v>
      </c>
      <c r="AI25" s="56">
        <v>591.77</v>
      </c>
      <c r="AJ25" s="63">
        <f t="shared" si="13"/>
        <v>720.00000000002728</v>
      </c>
      <c r="AK25" s="56">
        <v>197.45</v>
      </c>
      <c r="AL25" s="63">
        <f t="shared" si="13"/>
        <v>159.99999999999659</v>
      </c>
      <c r="AM25" s="56">
        <v>188.88</v>
      </c>
      <c r="AN25" s="63">
        <f t="shared" si="13"/>
        <v>189.99999999999773</v>
      </c>
      <c r="AO25" s="56">
        <v>185.35</v>
      </c>
      <c r="AP25" s="63">
        <f t="shared" si="13"/>
        <v>129.99999999999545</v>
      </c>
      <c r="AQ25" s="56">
        <v>242.05</v>
      </c>
      <c r="AR25" s="63">
        <f t="shared" si="14"/>
        <v>200.00000000001705</v>
      </c>
      <c r="AS25" s="56">
        <v>366.63</v>
      </c>
      <c r="AT25" s="63">
        <f t="shared" si="15"/>
        <v>69.999999999993179</v>
      </c>
      <c r="AU25" s="56">
        <v>283.43</v>
      </c>
      <c r="AV25" s="63">
        <f t="shared" si="16"/>
        <v>40.000000000020464</v>
      </c>
      <c r="AW25" s="56">
        <v>315.97000000000003</v>
      </c>
      <c r="AX25" s="63">
        <f t="shared" si="17"/>
        <v>30.000000000029559</v>
      </c>
      <c r="AY25" s="56">
        <v>359.9</v>
      </c>
      <c r="AZ25" s="63">
        <f t="shared" si="18"/>
        <v>29.999999999972715</v>
      </c>
      <c r="BA25" s="56">
        <v>380.3</v>
      </c>
      <c r="BB25" s="63">
        <f t="shared" si="19"/>
        <v>20.000000000038654</v>
      </c>
      <c r="BC25" s="56">
        <v>240.92</v>
      </c>
      <c r="BD25" s="63">
        <f t="shared" si="20"/>
        <v>19.99999999998181</v>
      </c>
      <c r="BE25" s="57">
        <v>39220</v>
      </c>
      <c r="BF25" s="65">
        <f t="shared" si="39"/>
        <v>25</v>
      </c>
      <c r="BG25" s="58">
        <v>232.87</v>
      </c>
      <c r="BH25" s="63">
        <f t="shared" si="21"/>
        <v>30.000000000001137</v>
      </c>
      <c r="BI25" s="58">
        <v>292.17</v>
      </c>
      <c r="BJ25" s="63">
        <f t="shared" si="40"/>
        <v>40.000000000020464</v>
      </c>
      <c r="BK25" s="58">
        <v>235.81</v>
      </c>
      <c r="BL25" s="63">
        <f t="shared" si="22"/>
        <v>30.000000000001137</v>
      </c>
      <c r="BM25" s="58">
        <v>222.55</v>
      </c>
      <c r="BN25" s="63">
        <f t="shared" si="23"/>
        <v>30.000000000001137</v>
      </c>
      <c r="BO25" s="58">
        <v>286.58999999999997</v>
      </c>
      <c r="BP25" s="63">
        <f t="shared" si="24"/>
        <v>29.999999999972715</v>
      </c>
      <c r="BQ25" s="58">
        <v>44405</v>
      </c>
      <c r="BR25" s="63">
        <f t="shared" si="25"/>
        <v>21</v>
      </c>
      <c r="BS25" s="58">
        <v>199.97</v>
      </c>
      <c r="BT25" s="63">
        <f t="shared" si="42"/>
        <v>20.000000000010232</v>
      </c>
      <c r="BU25" s="58">
        <v>39233</v>
      </c>
      <c r="BV25" s="63">
        <f t="shared" si="26"/>
        <v>36</v>
      </c>
      <c r="BW25" s="58">
        <v>231.02</v>
      </c>
      <c r="BX25" s="63">
        <f t="shared" si="27"/>
        <v>20.000000000010232</v>
      </c>
      <c r="BY25" s="58">
        <v>58609</v>
      </c>
      <c r="BZ25" s="65">
        <f t="shared" si="28"/>
        <v>42</v>
      </c>
      <c r="CA25" s="58">
        <v>30746.3</v>
      </c>
      <c r="CB25" s="65">
        <f t="shared" si="29"/>
        <v>42.5</v>
      </c>
      <c r="CC25" s="58">
        <v>11889.8</v>
      </c>
      <c r="CD25" s="65">
        <f t="shared" si="30"/>
        <v>10.799999999999272</v>
      </c>
      <c r="CE25" s="58">
        <v>6239</v>
      </c>
      <c r="CF25" s="65">
        <f t="shared" si="31"/>
        <v>1</v>
      </c>
      <c r="CG25" s="58">
        <v>58345.8</v>
      </c>
      <c r="CH25" s="65">
        <f t="shared" si="32"/>
        <v>35.700000000004366</v>
      </c>
      <c r="CI25" s="58">
        <v>938654</v>
      </c>
      <c r="CJ25" s="65">
        <f t="shared" si="33"/>
        <v>322</v>
      </c>
      <c r="CK25" s="58">
        <v>738.21</v>
      </c>
      <c r="CL25" s="62">
        <f t="shared" si="34"/>
        <v>889.99999999998636</v>
      </c>
      <c r="CM25" s="63">
        <f t="shared" si="35"/>
        <v>64</v>
      </c>
      <c r="CN25" s="60">
        <v>10</v>
      </c>
      <c r="CO25" s="60">
        <v>23</v>
      </c>
      <c r="CP25" s="66">
        <v>7903</v>
      </c>
      <c r="CQ25" s="65">
        <f t="shared" si="36"/>
        <v>44</v>
      </c>
      <c r="CR25" s="66">
        <v>13480</v>
      </c>
      <c r="CS25" s="65">
        <f t="shared" si="36"/>
        <v>20</v>
      </c>
      <c r="CT25" s="73">
        <v>6010</v>
      </c>
      <c r="CU25" s="65">
        <f t="shared" si="36"/>
        <v>12</v>
      </c>
      <c r="CV25" s="66">
        <v>14555</v>
      </c>
      <c r="CW25" s="65">
        <f t="shared" si="36"/>
        <v>23</v>
      </c>
    </row>
    <row r="26" spans="1:101" ht="25.5" customHeight="1" thickBot="1" x14ac:dyDescent="0.45">
      <c r="A26" s="61">
        <v>44339</v>
      </c>
      <c r="B26" s="44"/>
      <c r="C26" s="56">
        <v>2.2242999999999999</v>
      </c>
      <c r="D26" s="62">
        <f t="shared" si="0"/>
        <v>1599.9999999998238</v>
      </c>
      <c r="E26" s="56">
        <v>3.1644999999999999</v>
      </c>
      <c r="F26" s="62">
        <f t="shared" si="1"/>
        <v>2599.9999999997135</v>
      </c>
      <c r="G26" s="56">
        <v>3.2309000000000001</v>
      </c>
      <c r="H26" s="62">
        <f t="shared" si="2"/>
        <v>2600.0000000001578</v>
      </c>
      <c r="I26" s="56">
        <v>1.5931999999999999</v>
      </c>
      <c r="J26" s="62">
        <f t="shared" si="3"/>
        <v>1199.9999999998679</v>
      </c>
      <c r="K26" s="56">
        <v>2.5737999999999999</v>
      </c>
      <c r="L26" s="62">
        <f t="shared" si="37"/>
        <v>1999.9999999997797</v>
      </c>
      <c r="M26" s="56">
        <v>1.4258999999999999</v>
      </c>
      <c r="N26" s="62">
        <f t="shared" si="4"/>
        <v>799.99999999991189</v>
      </c>
      <c r="O26" s="56">
        <v>14135</v>
      </c>
      <c r="P26" s="65">
        <f t="shared" si="43"/>
        <v>9</v>
      </c>
      <c r="Q26" s="56">
        <v>919</v>
      </c>
      <c r="R26" s="65">
        <f t="shared" si="6"/>
        <v>3</v>
      </c>
      <c r="S26" s="56">
        <v>967205</v>
      </c>
      <c r="T26" s="65">
        <f t="shared" si="7"/>
        <v>670.59999999997672</v>
      </c>
      <c r="U26" s="56">
        <v>406789.1</v>
      </c>
      <c r="V26" s="65">
        <f t="shared" si="38"/>
        <v>276.39999999996508</v>
      </c>
      <c r="W26" s="56">
        <v>387.65</v>
      </c>
      <c r="X26" s="63">
        <f t="shared" si="41"/>
        <v>279.99999999997272</v>
      </c>
      <c r="Y26" s="56">
        <v>2.7637999999999998</v>
      </c>
      <c r="Z26" s="63">
        <f t="shared" si="8"/>
        <v>2199.9999999997576</v>
      </c>
      <c r="AA26" s="56">
        <v>386.06</v>
      </c>
      <c r="AB26" s="63">
        <f t="shared" si="9"/>
        <v>329.99999999998408</v>
      </c>
      <c r="AC26" s="56">
        <v>361.72</v>
      </c>
      <c r="AD26" s="63">
        <f t="shared" si="10"/>
        <v>140.0000000000432</v>
      </c>
      <c r="AE26" s="56">
        <v>556.83000000000004</v>
      </c>
      <c r="AF26" s="63">
        <f t="shared" si="11"/>
        <v>200.00000000004547</v>
      </c>
      <c r="AG26" s="56">
        <v>3245</v>
      </c>
      <c r="AH26" s="65">
        <f t="shared" si="12"/>
        <v>33</v>
      </c>
      <c r="AI26" s="56">
        <v>592.41</v>
      </c>
      <c r="AJ26" s="63">
        <f t="shared" si="13"/>
        <v>639.99999999998636</v>
      </c>
      <c r="AK26" s="56">
        <v>197.61</v>
      </c>
      <c r="AL26" s="63">
        <f t="shared" si="13"/>
        <v>160.00000000002501</v>
      </c>
      <c r="AM26" s="56">
        <v>189.03</v>
      </c>
      <c r="AN26" s="63">
        <f t="shared" si="13"/>
        <v>150.00000000000568</v>
      </c>
      <c r="AO26" s="56">
        <v>185.43</v>
      </c>
      <c r="AP26" s="63">
        <f t="shared" si="13"/>
        <v>80.000000000012506</v>
      </c>
      <c r="AQ26" s="56">
        <v>242.22</v>
      </c>
      <c r="AR26" s="63">
        <f t="shared" si="14"/>
        <v>169.99999999998749</v>
      </c>
      <c r="AS26" s="56">
        <v>366.69</v>
      </c>
      <c r="AT26" s="63">
        <f t="shared" si="15"/>
        <v>60.000000000002274</v>
      </c>
      <c r="AU26" s="56">
        <v>283.48</v>
      </c>
      <c r="AV26" s="63">
        <f t="shared" si="16"/>
        <v>50.000000000011369</v>
      </c>
      <c r="AW26" s="56">
        <v>316</v>
      </c>
      <c r="AX26" s="63">
        <f t="shared" si="17"/>
        <v>29.999999999972715</v>
      </c>
      <c r="AY26" s="56">
        <v>359.93</v>
      </c>
      <c r="AZ26" s="63">
        <f t="shared" si="18"/>
        <v>30.000000000029559</v>
      </c>
      <c r="BA26" s="56">
        <v>380.31</v>
      </c>
      <c r="BB26" s="63">
        <f t="shared" si="19"/>
        <v>9.9999999999909051</v>
      </c>
      <c r="BC26" s="56">
        <v>240.94</v>
      </c>
      <c r="BD26" s="63">
        <f t="shared" si="20"/>
        <v>20.000000000010232</v>
      </c>
      <c r="BE26" s="57">
        <v>39244</v>
      </c>
      <c r="BF26" s="65">
        <f t="shared" si="39"/>
        <v>24</v>
      </c>
      <c r="BG26" s="58">
        <v>232.91</v>
      </c>
      <c r="BH26" s="63">
        <f t="shared" si="21"/>
        <v>39.999999999992042</v>
      </c>
      <c r="BI26" s="58">
        <v>292.2</v>
      </c>
      <c r="BJ26" s="63">
        <f t="shared" si="40"/>
        <v>29.999999999972715</v>
      </c>
      <c r="BK26" s="58">
        <v>235.85</v>
      </c>
      <c r="BL26" s="63">
        <f t="shared" si="22"/>
        <v>39.999999999992042</v>
      </c>
      <c r="BM26" s="58">
        <v>222.58</v>
      </c>
      <c r="BN26" s="63">
        <f t="shared" si="23"/>
        <v>30.000000000001137</v>
      </c>
      <c r="BO26" s="58">
        <v>286.64999999999998</v>
      </c>
      <c r="BP26" s="63">
        <f t="shared" si="24"/>
        <v>60.000000000002274</v>
      </c>
      <c r="BQ26" s="58">
        <v>44428</v>
      </c>
      <c r="BR26" s="63">
        <f t="shared" si="25"/>
        <v>23</v>
      </c>
      <c r="BS26" s="58">
        <v>199.99</v>
      </c>
      <c r="BT26" s="63">
        <f t="shared" si="42"/>
        <v>20.000000000010232</v>
      </c>
      <c r="BU26" s="58">
        <v>39268</v>
      </c>
      <c r="BV26" s="63">
        <f t="shared" si="26"/>
        <v>35</v>
      </c>
      <c r="BW26" s="58">
        <v>231.04</v>
      </c>
      <c r="BX26" s="63">
        <f t="shared" si="27"/>
        <v>19.99999999998181</v>
      </c>
      <c r="BY26" s="58">
        <v>58651</v>
      </c>
      <c r="BZ26" s="65">
        <f t="shared" si="28"/>
        <v>42</v>
      </c>
      <c r="CA26" s="58">
        <v>30789</v>
      </c>
      <c r="CB26" s="65">
        <f t="shared" si="29"/>
        <v>42.700000000000728</v>
      </c>
      <c r="CC26" s="58">
        <v>11900</v>
      </c>
      <c r="CD26" s="65">
        <f t="shared" si="30"/>
        <v>10.200000000000728</v>
      </c>
      <c r="CE26" s="58">
        <v>6251.2</v>
      </c>
      <c r="CF26" s="65">
        <f t="shared" si="31"/>
        <v>12.199999999999818</v>
      </c>
      <c r="CG26" s="58">
        <v>58378.6</v>
      </c>
      <c r="CH26" s="65">
        <f t="shared" si="32"/>
        <v>32.799999999995634</v>
      </c>
      <c r="CI26" s="58">
        <v>938926</v>
      </c>
      <c r="CJ26" s="65">
        <f t="shared" si="33"/>
        <v>272</v>
      </c>
      <c r="CK26" s="58">
        <v>739.04</v>
      </c>
      <c r="CL26" s="62">
        <f t="shared" si="34"/>
        <v>829.99999999992724</v>
      </c>
      <c r="CM26" s="63">
        <f t="shared" si="35"/>
        <v>66</v>
      </c>
      <c r="CN26" s="60">
        <v>11</v>
      </c>
      <c r="CO26" s="60">
        <v>27</v>
      </c>
      <c r="CP26" s="66">
        <v>7957</v>
      </c>
      <c r="CQ26" s="65">
        <f t="shared" si="36"/>
        <v>54</v>
      </c>
      <c r="CR26" s="66">
        <v>13492</v>
      </c>
      <c r="CS26" s="65">
        <f t="shared" si="36"/>
        <v>12</v>
      </c>
      <c r="CT26" s="73">
        <v>6022</v>
      </c>
      <c r="CU26" s="65">
        <f t="shared" si="36"/>
        <v>12</v>
      </c>
      <c r="CV26" s="66">
        <v>14577</v>
      </c>
      <c r="CW26" s="65">
        <f t="shared" si="36"/>
        <v>22</v>
      </c>
    </row>
    <row r="27" spans="1:101" ht="25.5" customHeight="1" thickBot="1" x14ac:dyDescent="0.45">
      <c r="A27" s="61">
        <v>44340</v>
      </c>
      <c r="B27" s="44"/>
      <c r="C27" s="56"/>
      <c r="D27" s="62" t="str">
        <f t="shared" si="0"/>
        <v>0</v>
      </c>
      <c r="E27" s="56"/>
      <c r="F27" s="62" t="str">
        <f t="shared" si="1"/>
        <v>0</v>
      </c>
      <c r="G27" s="56"/>
      <c r="H27" s="62" t="str">
        <f t="shared" si="2"/>
        <v>0</v>
      </c>
      <c r="I27" s="56"/>
      <c r="J27" s="62" t="str">
        <f t="shared" si="3"/>
        <v>0</v>
      </c>
      <c r="K27" s="56"/>
      <c r="L27" s="62" t="str">
        <f t="shared" si="37"/>
        <v>0</v>
      </c>
      <c r="M27" s="56"/>
      <c r="N27" s="62" t="str">
        <f t="shared" si="4"/>
        <v/>
      </c>
      <c r="O27" s="56"/>
      <c r="P27" s="65" t="str">
        <f t="shared" si="43"/>
        <v/>
      </c>
      <c r="Q27" s="56"/>
      <c r="R27" s="65" t="str">
        <f t="shared" si="6"/>
        <v/>
      </c>
      <c r="S27" s="56"/>
      <c r="T27" s="65" t="str">
        <f t="shared" si="7"/>
        <v/>
      </c>
      <c r="U27" s="56"/>
      <c r="V27" s="65" t="str">
        <f t="shared" si="38"/>
        <v/>
      </c>
      <c r="W27" s="56"/>
      <c r="X27" s="63" t="str">
        <f t="shared" si="41"/>
        <v/>
      </c>
      <c r="Y27" s="56"/>
      <c r="Z27" s="63" t="str">
        <f t="shared" si="8"/>
        <v/>
      </c>
      <c r="AA27" s="56"/>
      <c r="AB27" s="63" t="str">
        <f t="shared" si="9"/>
        <v/>
      </c>
      <c r="AC27" s="56"/>
      <c r="AD27" s="63" t="str">
        <f t="shared" si="10"/>
        <v/>
      </c>
      <c r="AE27" s="56"/>
      <c r="AF27" s="63" t="str">
        <f t="shared" si="11"/>
        <v/>
      </c>
      <c r="AG27" s="56"/>
      <c r="AH27" s="65" t="str">
        <f t="shared" si="12"/>
        <v/>
      </c>
      <c r="AI27" s="56"/>
      <c r="AJ27" s="63" t="str">
        <f t="shared" si="13"/>
        <v/>
      </c>
      <c r="AK27" s="56"/>
      <c r="AL27" s="63" t="str">
        <f t="shared" si="13"/>
        <v/>
      </c>
      <c r="AM27" s="56"/>
      <c r="AN27" s="63" t="str">
        <f t="shared" si="13"/>
        <v/>
      </c>
      <c r="AO27" s="56"/>
      <c r="AP27" s="63" t="str">
        <f t="shared" si="13"/>
        <v/>
      </c>
      <c r="AQ27" s="56"/>
      <c r="AR27" s="63" t="str">
        <f t="shared" si="14"/>
        <v/>
      </c>
      <c r="AS27" s="56"/>
      <c r="AT27" s="63" t="str">
        <f t="shared" si="15"/>
        <v/>
      </c>
      <c r="AU27" s="56"/>
      <c r="AV27" s="63" t="str">
        <f t="shared" si="16"/>
        <v/>
      </c>
      <c r="AW27" s="56"/>
      <c r="AX27" s="63" t="str">
        <f t="shared" si="17"/>
        <v/>
      </c>
      <c r="AY27" s="56"/>
      <c r="AZ27" s="63" t="str">
        <f t="shared" si="18"/>
        <v/>
      </c>
      <c r="BA27" s="56"/>
      <c r="BB27" s="63" t="str">
        <f t="shared" si="19"/>
        <v/>
      </c>
      <c r="BC27" s="56"/>
      <c r="BD27" s="63" t="str">
        <f t="shared" si="20"/>
        <v/>
      </c>
      <c r="BE27" s="57"/>
      <c r="BF27" s="65" t="str">
        <f t="shared" si="39"/>
        <v/>
      </c>
      <c r="BG27" s="58"/>
      <c r="BH27" s="63" t="str">
        <f t="shared" si="21"/>
        <v/>
      </c>
      <c r="BI27" s="58"/>
      <c r="BJ27" s="63" t="str">
        <f t="shared" si="40"/>
        <v/>
      </c>
      <c r="BK27" s="58"/>
      <c r="BL27" s="63" t="str">
        <f t="shared" si="22"/>
        <v/>
      </c>
      <c r="BM27" s="58"/>
      <c r="BN27" s="63" t="str">
        <f t="shared" si="23"/>
        <v/>
      </c>
      <c r="BO27" s="58"/>
      <c r="BP27" s="63" t="str">
        <f t="shared" si="24"/>
        <v/>
      </c>
      <c r="BQ27" s="58"/>
      <c r="BR27" s="63" t="str">
        <f t="shared" si="25"/>
        <v/>
      </c>
      <c r="BS27" s="58"/>
      <c r="BT27" s="63" t="str">
        <f t="shared" si="42"/>
        <v/>
      </c>
      <c r="BU27" s="58"/>
      <c r="BV27" s="63" t="str">
        <f t="shared" si="26"/>
        <v/>
      </c>
      <c r="BW27" s="58"/>
      <c r="BX27" s="63" t="str">
        <f t="shared" si="27"/>
        <v/>
      </c>
      <c r="BY27" s="58"/>
      <c r="BZ27" s="65" t="str">
        <f t="shared" si="28"/>
        <v/>
      </c>
      <c r="CA27" s="58"/>
      <c r="CB27" s="65" t="str">
        <f t="shared" si="29"/>
        <v/>
      </c>
      <c r="CC27" s="58"/>
      <c r="CD27" s="65" t="str">
        <f>IF((CC27-CC26&lt;0), "",CC27-CC26)</f>
        <v/>
      </c>
      <c r="CE27" s="58"/>
      <c r="CF27" s="65" t="str">
        <f t="shared" si="31"/>
        <v/>
      </c>
      <c r="CG27" s="58"/>
      <c r="CH27" s="65" t="str">
        <f t="shared" si="32"/>
        <v/>
      </c>
      <c r="CI27" s="58"/>
      <c r="CJ27" s="65" t="str">
        <f t="shared" si="33"/>
        <v/>
      </c>
      <c r="CK27" s="58"/>
      <c r="CL27" s="62" t="str">
        <f t="shared" si="34"/>
        <v/>
      </c>
      <c r="CM27" s="63" t="e">
        <f t="shared" si="35"/>
        <v>#VALUE!</v>
      </c>
      <c r="CN27" s="60"/>
      <c r="CO27" s="60"/>
      <c r="CP27" s="66"/>
      <c r="CQ27" s="65" t="str">
        <f t="shared" si="36"/>
        <v/>
      </c>
      <c r="CR27" s="66"/>
      <c r="CS27" s="65" t="str">
        <f t="shared" si="36"/>
        <v/>
      </c>
      <c r="CT27" s="73"/>
      <c r="CU27" s="65" t="str">
        <f t="shared" si="36"/>
        <v/>
      </c>
      <c r="CV27" s="66"/>
      <c r="CW27" s="65" t="str">
        <f t="shared" si="36"/>
        <v/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topLeftCell="A4" zoomScaleNormal="100" workbookViewId="0">
      <selection activeCell="H17" sqref="H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>
        <v>0</v>
      </c>
      <c r="C22" s="40">
        <v>8</v>
      </c>
      <c r="D22" s="40">
        <v>24</v>
      </c>
      <c r="E22" s="41">
        <v>75</v>
      </c>
      <c r="F22" s="41">
        <v>5156</v>
      </c>
      <c r="G22" s="41">
        <v>5</v>
      </c>
      <c r="H22" s="41">
        <v>1456</v>
      </c>
      <c r="I22" s="41">
        <v>0</v>
      </c>
      <c r="J22" s="41">
        <v>317</v>
      </c>
      <c r="K22" s="42">
        <v>25</v>
      </c>
      <c r="L22" s="42">
        <v>85</v>
      </c>
      <c r="M22" s="42">
        <v>1292</v>
      </c>
      <c r="N22" s="39">
        <v>85</v>
      </c>
      <c r="O22" s="39">
        <v>0</v>
      </c>
      <c r="P22" s="39">
        <v>70</v>
      </c>
      <c r="Q22" s="39">
        <v>3687</v>
      </c>
      <c r="R22" s="75">
        <v>70</v>
      </c>
      <c r="S22" s="75">
        <v>197</v>
      </c>
      <c r="T22">
        <f t="shared" si="0"/>
        <v>0</v>
      </c>
    </row>
    <row r="23" spans="1:20" x14ac:dyDescent="0.25">
      <c r="A23" s="71">
        <v>44332</v>
      </c>
      <c r="B23" s="40">
        <v>0</v>
      </c>
      <c r="C23" s="40">
        <v>8</v>
      </c>
      <c r="D23" s="40">
        <v>24</v>
      </c>
      <c r="E23" s="41">
        <v>75</v>
      </c>
      <c r="F23" s="41">
        <v>5161</v>
      </c>
      <c r="G23" s="41">
        <v>0</v>
      </c>
      <c r="H23" s="41">
        <v>1458</v>
      </c>
      <c r="I23" s="41">
        <v>0</v>
      </c>
      <c r="J23" s="41">
        <v>317</v>
      </c>
      <c r="K23" s="42">
        <v>25</v>
      </c>
      <c r="L23" s="42">
        <v>85</v>
      </c>
      <c r="M23" s="42">
        <v>1294</v>
      </c>
      <c r="N23" s="39">
        <v>85</v>
      </c>
      <c r="O23" s="39">
        <v>0</v>
      </c>
      <c r="P23" s="39">
        <v>70</v>
      </c>
      <c r="Q23" s="39">
        <v>3691</v>
      </c>
      <c r="R23" s="75">
        <v>70</v>
      </c>
      <c r="S23" s="75">
        <v>197</v>
      </c>
      <c r="T23">
        <f t="shared" si="0"/>
        <v>0</v>
      </c>
    </row>
    <row r="24" spans="1:20" x14ac:dyDescent="0.25">
      <c r="A24" s="71">
        <v>44333</v>
      </c>
      <c r="B24" s="40">
        <v>0</v>
      </c>
      <c r="C24" s="40">
        <v>9</v>
      </c>
      <c r="D24" s="40">
        <v>25</v>
      </c>
      <c r="E24" s="41">
        <v>60</v>
      </c>
      <c r="F24" s="41">
        <v>5166</v>
      </c>
      <c r="G24" s="41">
        <v>0</v>
      </c>
      <c r="H24" s="41">
        <v>1459</v>
      </c>
      <c r="I24" s="41">
        <v>0</v>
      </c>
      <c r="J24" s="41">
        <v>318</v>
      </c>
      <c r="K24" s="42">
        <v>20</v>
      </c>
      <c r="L24" s="42">
        <v>85</v>
      </c>
      <c r="M24" s="42">
        <v>1296</v>
      </c>
      <c r="N24" s="39">
        <v>85</v>
      </c>
      <c r="O24" s="39">
        <v>0</v>
      </c>
      <c r="P24" s="39">
        <v>65</v>
      </c>
      <c r="Q24" s="39">
        <v>3696</v>
      </c>
      <c r="R24" s="75">
        <v>70</v>
      </c>
      <c r="S24" s="75">
        <v>197</v>
      </c>
      <c r="T24">
        <f t="shared" si="0"/>
        <v>0</v>
      </c>
    </row>
    <row r="25" spans="1:20" x14ac:dyDescent="0.25">
      <c r="A25" s="71">
        <v>44334</v>
      </c>
      <c r="B25" s="40">
        <v>0</v>
      </c>
      <c r="C25" s="40">
        <v>9</v>
      </c>
      <c r="D25" s="40">
        <v>25</v>
      </c>
      <c r="E25" s="41">
        <v>50</v>
      </c>
      <c r="F25" s="41">
        <v>5171</v>
      </c>
      <c r="G25" s="41">
        <v>0</v>
      </c>
      <c r="H25" s="41">
        <v>1461</v>
      </c>
      <c r="I25" s="41">
        <v>0</v>
      </c>
      <c r="J25" s="41">
        <v>319</v>
      </c>
      <c r="K25" s="42">
        <v>20</v>
      </c>
      <c r="L25" s="42">
        <v>85</v>
      </c>
      <c r="M25" s="42">
        <v>1296</v>
      </c>
      <c r="N25" s="39">
        <v>85</v>
      </c>
      <c r="O25" s="39">
        <v>0</v>
      </c>
      <c r="P25" s="39">
        <v>60</v>
      </c>
      <c r="Q25" s="39">
        <v>3700</v>
      </c>
      <c r="R25" s="75">
        <v>70</v>
      </c>
      <c r="S25" s="75">
        <v>197</v>
      </c>
      <c r="T25">
        <f t="shared" si="0"/>
        <v>0</v>
      </c>
    </row>
    <row r="26" spans="1:20" x14ac:dyDescent="0.25">
      <c r="A26" s="71">
        <v>44335</v>
      </c>
      <c r="B26" s="40">
        <v>0</v>
      </c>
      <c r="C26" s="40">
        <v>13</v>
      </c>
      <c r="D26" s="40">
        <v>32</v>
      </c>
      <c r="E26" s="41">
        <v>40</v>
      </c>
      <c r="F26" s="41">
        <v>5177</v>
      </c>
      <c r="G26" s="41">
        <v>0</v>
      </c>
      <c r="H26" s="41">
        <v>1462</v>
      </c>
      <c r="I26" s="41">
        <v>0</v>
      </c>
      <c r="J26" s="41">
        <v>320</v>
      </c>
      <c r="K26" s="42">
        <v>20</v>
      </c>
      <c r="L26" s="42">
        <v>85</v>
      </c>
      <c r="M26" s="42">
        <v>1298</v>
      </c>
      <c r="N26" s="39">
        <v>85</v>
      </c>
      <c r="O26" s="39">
        <v>0</v>
      </c>
      <c r="P26" s="39">
        <v>55</v>
      </c>
      <c r="Q26" s="39">
        <v>3704</v>
      </c>
      <c r="R26" s="75">
        <v>70</v>
      </c>
      <c r="S26" s="75">
        <v>197</v>
      </c>
      <c r="T26">
        <f t="shared" si="0"/>
        <v>0</v>
      </c>
    </row>
    <row r="27" spans="1:20" x14ac:dyDescent="0.25">
      <c r="A27" s="71">
        <v>44336</v>
      </c>
      <c r="B27" s="40">
        <v>0</v>
      </c>
      <c r="C27" s="40">
        <v>13</v>
      </c>
      <c r="D27" s="40">
        <v>32</v>
      </c>
      <c r="E27" s="41">
        <v>35</v>
      </c>
      <c r="F27" s="41">
        <v>5182</v>
      </c>
      <c r="G27" s="41">
        <v>0</v>
      </c>
      <c r="H27" s="41">
        <v>1462</v>
      </c>
      <c r="I27" s="41">
        <v>0</v>
      </c>
      <c r="J27" s="41">
        <v>321</v>
      </c>
      <c r="K27" s="42">
        <v>20</v>
      </c>
      <c r="L27" s="42">
        <v>85</v>
      </c>
      <c r="M27" s="42">
        <v>1298</v>
      </c>
      <c r="N27" s="39">
        <v>85</v>
      </c>
      <c r="O27" s="39">
        <v>0</v>
      </c>
      <c r="P27" s="39">
        <v>50</v>
      </c>
      <c r="Q27" s="39">
        <v>3709</v>
      </c>
      <c r="R27" s="75">
        <v>70</v>
      </c>
      <c r="S27" s="75">
        <v>197</v>
      </c>
      <c r="T27">
        <f t="shared" si="0"/>
        <v>0</v>
      </c>
    </row>
    <row r="28" spans="1:20" x14ac:dyDescent="0.25">
      <c r="A28" s="71">
        <v>44337</v>
      </c>
      <c r="B28" s="40">
        <v>0</v>
      </c>
      <c r="C28" s="40">
        <v>10</v>
      </c>
      <c r="D28" s="40">
        <v>32</v>
      </c>
      <c r="E28" s="41">
        <v>80</v>
      </c>
      <c r="F28" s="41">
        <v>5187</v>
      </c>
      <c r="G28" s="41">
        <v>85</v>
      </c>
      <c r="H28" s="41">
        <v>1465</v>
      </c>
      <c r="I28" s="41">
        <v>85</v>
      </c>
      <c r="J28" s="41">
        <v>322</v>
      </c>
      <c r="K28" s="42">
        <v>85</v>
      </c>
      <c r="L28" s="42">
        <v>85</v>
      </c>
      <c r="M28" s="42">
        <v>1300</v>
      </c>
      <c r="N28" s="39">
        <v>85</v>
      </c>
      <c r="O28" s="39">
        <v>85</v>
      </c>
      <c r="P28" s="39">
        <v>85</v>
      </c>
      <c r="Q28" s="39">
        <v>3713</v>
      </c>
      <c r="R28" s="75">
        <v>70</v>
      </c>
      <c r="S28" s="75">
        <v>197</v>
      </c>
      <c r="T28">
        <f t="shared" si="0"/>
        <v>0</v>
      </c>
    </row>
    <row r="29" spans="1:20" x14ac:dyDescent="0.25">
      <c r="A29" s="71">
        <v>44338</v>
      </c>
      <c r="B29" s="40">
        <v>0</v>
      </c>
      <c r="C29" s="40">
        <v>10</v>
      </c>
      <c r="D29" s="40">
        <v>23</v>
      </c>
      <c r="E29" s="41">
        <v>75</v>
      </c>
      <c r="F29" s="41">
        <v>5192</v>
      </c>
      <c r="G29" s="41">
        <v>85</v>
      </c>
      <c r="H29" s="41">
        <v>1467</v>
      </c>
      <c r="I29" s="41">
        <v>85</v>
      </c>
      <c r="J29" s="41">
        <v>323</v>
      </c>
      <c r="K29" s="42">
        <v>85</v>
      </c>
      <c r="L29" s="42">
        <v>85</v>
      </c>
      <c r="M29" s="42">
        <v>1300</v>
      </c>
      <c r="N29" s="39">
        <v>85</v>
      </c>
      <c r="O29" s="39">
        <v>85</v>
      </c>
      <c r="P29" s="39">
        <v>80</v>
      </c>
      <c r="Q29" s="39">
        <v>3717</v>
      </c>
      <c r="R29" s="75">
        <v>70</v>
      </c>
      <c r="S29" s="75">
        <v>197</v>
      </c>
      <c r="T29">
        <f t="shared" si="0"/>
        <v>0</v>
      </c>
    </row>
    <row r="30" spans="1:20" x14ac:dyDescent="0.25">
      <c r="A30" s="71">
        <v>44339</v>
      </c>
      <c r="B30" s="40">
        <v>0</v>
      </c>
      <c r="C30" s="40">
        <v>11</v>
      </c>
      <c r="D30" s="40">
        <v>27</v>
      </c>
      <c r="E30" s="41">
        <v>65</v>
      </c>
      <c r="F30" s="41">
        <v>5196</v>
      </c>
      <c r="G30" s="41">
        <v>85</v>
      </c>
      <c r="H30" s="41">
        <v>1468</v>
      </c>
      <c r="I30" s="41">
        <v>85</v>
      </c>
      <c r="J30" s="41">
        <v>324</v>
      </c>
      <c r="K30" s="42">
        <v>80</v>
      </c>
      <c r="L30" s="42">
        <v>85</v>
      </c>
      <c r="M30" s="42">
        <v>1303</v>
      </c>
      <c r="N30" s="39">
        <v>85</v>
      </c>
      <c r="O30" s="39">
        <v>85</v>
      </c>
      <c r="P30" s="39">
        <v>80</v>
      </c>
      <c r="Q30" s="39">
        <v>3727</v>
      </c>
      <c r="R30" s="75">
        <v>70</v>
      </c>
      <c r="S30" s="75">
        <v>197</v>
      </c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-197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2021-05-24T19:33:49Z</dcterms:modified>
</cp:coreProperties>
</file>