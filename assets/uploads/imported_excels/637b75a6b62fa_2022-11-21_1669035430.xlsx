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1" i="3" l="1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F19" i="3" l="1"/>
  <c r="F20" i="3" l="1"/>
  <c r="E19" i="3"/>
  <c r="E20" i="3" l="1"/>
  <c r="F22" i="3" l="1"/>
  <c r="E21" i="3"/>
  <c r="F21" i="3" l="1"/>
  <c r="C25" i="4" l="1"/>
  <c r="G17" i="3" s="1"/>
  <c r="C24" i="4"/>
  <c r="F25" i="4"/>
  <c r="F24" i="4"/>
  <c r="K25" i="4"/>
  <c r="J17" i="3" s="1"/>
  <c r="K24" i="4"/>
  <c r="O25" i="4"/>
  <c r="K17" i="3" s="1"/>
  <c r="O24" i="4"/>
  <c r="R25" i="4"/>
  <c r="L17" i="3" s="1"/>
  <c r="R24" i="4"/>
  <c r="U25" i="4"/>
  <c r="M17" i="3" s="1"/>
  <c r="U24" i="4"/>
  <c r="X25" i="4"/>
  <c r="N17" i="3" s="1"/>
  <c r="X24" i="4"/>
  <c r="AA25" i="4"/>
  <c r="O17" i="3" s="1"/>
  <c r="AA24" i="4"/>
  <c r="AD25" i="4"/>
  <c r="P17" i="3" s="1"/>
  <c r="AD24" i="4"/>
  <c r="AG25" i="4"/>
  <c r="Q17" i="3" s="1"/>
  <c r="AG24" i="4"/>
  <c r="AJ25" i="4"/>
  <c r="R17" i="3" s="1"/>
  <c r="AJ24" i="4"/>
  <c r="AM25" i="4"/>
  <c r="S17" i="3" s="1"/>
  <c r="AM24" i="4"/>
  <c r="AP25" i="4"/>
  <c r="T17" i="3" s="1"/>
  <c r="AP24" i="4"/>
  <c r="AS25" i="4"/>
  <c r="U17" i="3" s="1"/>
  <c r="AS24" i="4"/>
  <c r="AV25" i="4"/>
  <c r="V17" i="3" s="1"/>
  <c r="AV24" i="4"/>
  <c r="AZ25" i="4"/>
  <c r="W17" i="3" s="1"/>
  <c r="AZ24" i="4"/>
  <c r="BC25" i="4"/>
  <c r="X17" i="3" s="1"/>
  <c r="BC24" i="4"/>
  <c r="BF25" i="4"/>
  <c r="Y17" i="3" s="1"/>
  <c r="BF24" i="4"/>
  <c r="CK25" i="4"/>
  <c r="Z17" i="3" s="1"/>
  <c r="CK24" i="4"/>
  <c r="CN25" i="4"/>
  <c r="AA17" i="3" s="1"/>
  <c r="CN24" i="4"/>
  <c r="CQ25" i="4"/>
  <c r="CQ24" i="4"/>
  <c r="CT25" i="4"/>
  <c r="AC17" i="3" s="1"/>
  <c r="CT24" i="4"/>
  <c r="BY25" i="4"/>
  <c r="AD17" i="3" s="1"/>
  <c r="BY24" i="4"/>
  <c r="CA25" i="4"/>
  <c r="AE17" i="3" s="1"/>
  <c r="CA24" i="4"/>
  <c r="CC25" i="4"/>
  <c r="AF17" i="3" s="1"/>
  <c r="CC24" i="4"/>
  <c r="CE25" i="4"/>
  <c r="AG17" i="3" s="1"/>
  <c r="CE24" i="4"/>
  <c r="CG25" i="4"/>
  <c r="AH17" i="3" s="1"/>
  <c r="CG24" i="4"/>
  <c r="CI25" i="4"/>
  <c r="AI17" i="3" s="1"/>
  <c r="CI24" i="4"/>
  <c r="CY25" i="4"/>
  <c r="AJ17" i="3" s="1"/>
  <c r="CY24" i="4"/>
  <c r="CW25" i="4"/>
  <c r="AK17" i="3" s="1"/>
  <c r="CW24" i="4"/>
  <c r="DC25" i="4"/>
  <c r="AL17" i="3" s="1"/>
  <c r="DC24" i="4"/>
  <c r="DA25" i="4"/>
  <c r="AM17" i="3" s="1"/>
  <c r="DA24" i="4"/>
  <c r="DG25" i="4"/>
  <c r="DG24" i="4"/>
  <c r="DE25" i="4"/>
  <c r="AO17" i="3" s="1"/>
  <c r="DE24" i="4"/>
  <c r="DK25" i="4"/>
  <c r="AP17" i="3" s="1"/>
  <c r="DK24" i="4"/>
  <c r="DI25" i="4"/>
  <c r="AQ17" i="3" s="1"/>
  <c r="DI24" i="4"/>
  <c r="DO25" i="4"/>
  <c r="AR17" i="3" s="1"/>
  <c r="DO24" i="4"/>
  <c r="DM25" i="4"/>
  <c r="AS17" i="3" s="1"/>
  <c r="DM24" i="4"/>
  <c r="DQ25" i="4"/>
  <c r="DQ24" i="4"/>
  <c r="DT25" i="4"/>
  <c r="AU17" i="3" s="1"/>
  <c r="DT24" i="4"/>
  <c r="DX25" i="4"/>
  <c r="AW17" i="3" s="1"/>
  <c r="DX24" i="4"/>
  <c r="DZ25" i="4"/>
  <c r="AX17" i="3" s="1"/>
  <c r="DZ24" i="4"/>
  <c r="EB25" i="4"/>
  <c r="AY17" i="3" s="1"/>
  <c r="EB24" i="4"/>
  <c r="ED25" i="4"/>
  <c r="AZ17" i="3" s="1"/>
  <c r="ED24" i="4"/>
  <c r="EG25" i="4"/>
  <c r="BA17" i="3" s="1"/>
  <c r="EG24" i="4"/>
  <c r="EI25" i="4"/>
  <c r="BB17" i="3" s="1"/>
  <c r="EI24" i="4"/>
  <c r="EQ25" i="4"/>
  <c r="BC17" i="3" s="1"/>
  <c r="EQ24" i="4"/>
  <c r="EK25" i="4"/>
  <c r="BD17" i="3" s="1"/>
  <c r="EK24" i="4"/>
  <c r="EM25" i="4"/>
  <c r="BE17" i="3" s="1"/>
  <c r="EM24" i="4"/>
  <c r="EO25" i="4"/>
  <c r="BF17" i="3" s="1"/>
  <c r="EO24" i="4"/>
  <c r="ET25" i="4"/>
  <c r="ET24" i="4"/>
  <c r="EV25" i="4"/>
  <c r="BH17" i="3" s="1"/>
  <c r="EV24" i="4"/>
  <c r="EZ25" i="4"/>
  <c r="BI17" i="3" s="1"/>
  <c r="EZ24" i="4"/>
  <c r="EX25" i="4"/>
  <c r="BJ17" i="3" s="1"/>
  <c r="EX24" i="4"/>
  <c r="FB25" i="4"/>
  <c r="BK17" i="3" s="1"/>
  <c r="FB24" i="4"/>
  <c r="J25" i="4"/>
  <c r="BL17" i="3" s="1"/>
  <c r="C26" i="4"/>
  <c r="F26" i="4"/>
  <c r="H18" i="3" s="1"/>
  <c r="K26" i="4"/>
  <c r="J18" i="3"/>
  <c r="O26" i="4"/>
  <c r="R26" i="4"/>
  <c r="L18" i="3" s="1"/>
  <c r="U26" i="4"/>
  <c r="M18" i="3" s="1"/>
  <c r="X26" i="4"/>
  <c r="AA26" i="4"/>
  <c r="AD26" i="4"/>
  <c r="P18" i="3" s="1"/>
  <c r="AG26" i="4"/>
  <c r="Q18" i="3"/>
  <c r="AJ26" i="4"/>
  <c r="AM26" i="4"/>
  <c r="S18" i="3"/>
  <c r="AP26" i="4"/>
  <c r="T18" i="3" s="1"/>
  <c r="AS26" i="4"/>
  <c r="U18" i="3" s="1"/>
  <c r="AV26" i="4"/>
  <c r="V18" i="3" s="1"/>
  <c r="AZ26" i="4"/>
  <c r="W18" i="3" s="1"/>
  <c r="BC26" i="4"/>
  <c r="BF26" i="4"/>
  <c r="Y18" i="3" s="1"/>
  <c r="CK26" i="4"/>
  <c r="Z18" i="3"/>
  <c r="CN26" i="4"/>
  <c r="CQ26" i="4"/>
  <c r="CT26" i="4"/>
  <c r="AC18" i="3" s="1"/>
  <c r="BY26" i="4"/>
  <c r="AD18" i="3" s="1"/>
  <c r="CA26" i="4"/>
  <c r="AE18" i="3" s="1"/>
  <c r="CC26" i="4"/>
  <c r="AF18" i="3" s="1"/>
  <c r="CE26" i="4"/>
  <c r="CG26" i="4"/>
  <c r="AH18" i="3" s="1"/>
  <c r="CI26" i="4"/>
  <c r="AI18" i="3"/>
  <c r="CY26" i="4"/>
  <c r="CW26" i="4"/>
  <c r="AK18" i="3"/>
  <c r="DC26" i="4"/>
  <c r="DA26" i="4"/>
  <c r="AM18" i="3" s="1"/>
  <c r="DG26" i="4"/>
  <c r="DE26" i="4"/>
  <c r="AO18" i="3" s="1"/>
  <c r="DK26" i="4"/>
  <c r="DI26" i="4"/>
  <c r="AQ18" i="3" s="1"/>
  <c r="DO26" i="4"/>
  <c r="DM26" i="4"/>
  <c r="DQ26" i="4"/>
  <c r="DT26" i="4"/>
  <c r="DX26" i="4"/>
  <c r="AW18" i="3" s="1"/>
  <c r="DZ26" i="4"/>
  <c r="AX18" i="3" s="1"/>
  <c r="EB26" i="4"/>
  <c r="ED26" i="4"/>
  <c r="EG26" i="4"/>
  <c r="BA18" i="3" s="1"/>
  <c r="EI26" i="4"/>
  <c r="BB18" i="3"/>
  <c r="EQ26" i="4"/>
  <c r="EK26" i="4"/>
  <c r="BD18" i="3"/>
  <c r="EM26" i="4"/>
  <c r="BE18" i="3" s="1"/>
  <c r="EO26" i="4"/>
  <c r="BF18" i="3" s="1"/>
  <c r="ET26" i="4"/>
  <c r="EV26" i="4"/>
  <c r="BH18" i="3" s="1"/>
  <c r="EZ26" i="4"/>
  <c r="EX26" i="4"/>
  <c r="BJ18" i="3" s="1"/>
  <c r="FB26" i="4"/>
  <c r="J26" i="4"/>
  <c r="BL18" i="3" s="1"/>
  <c r="E18" i="3"/>
  <c r="F18" i="3"/>
  <c r="E17" i="3"/>
  <c r="E16" i="3"/>
  <c r="F16" i="3"/>
  <c r="F13" i="3"/>
  <c r="F17" i="3"/>
  <c r="E15" i="3"/>
  <c r="C23" i="4"/>
  <c r="G16" i="3"/>
  <c r="F23" i="4"/>
  <c r="K23" i="4"/>
  <c r="I16" i="3" s="1"/>
  <c r="J16" i="3"/>
  <c r="O23" i="4"/>
  <c r="K16" i="3"/>
  <c r="R23" i="4"/>
  <c r="U23" i="4"/>
  <c r="M16" i="3" s="1"/>
  <c r="X23" i="4"/>
  <c r="N16" i="3"/>
  <c r="AA23" i="4"/>
  <c r="O16" i="3"/>
  <c r="AD23" i="4"/>
  <c r="P16" i="3" s="1"/>
  <c r="AG23" i="4"/>
  <c r="Q16" i="3" s="1"/>
  <c r="AJ23" i="4"/>
  <c r="AM23" i="4"/>
  <c r="S16" i="3" s="1"/>
  <c r="AP23" i="4"/>
  <c r="T16" i="3"/>
  <c r="AS23" i="4"/>
  <c r="U16" i="3" s="1"/>
  <c r="AV23" i="4"/>
  <c r="V16" i="3" s="1"/>
  <c r="AZ23" i="4"/>
  <c r="W16" i="3" s="1"/>
  <c r="BC23" i="4"/>
  <c r="BF23" i="4"/>
  <c r="Y16" i="3" s="1"/>
  <c r="CK23" i="4"/>
  <c r="Z16" i="3"/>
  <c r="CN23" i="4"/>
  <c r="AA16" i="3" s="1"/>
  <c r="CQ23" i="4"/>
  <c r="AB16" i="3" s="1"/>
  <c r="CT23" i="4"/>
  <c r="AC16" i="3" s="1"/>
  <c r="BY23" i="4"/>
  <c r="CA23" i="4"/>
  <c r="AE16" i="3" s="1"/>
  <c r="CC23" i="4"/>
  <c r="AF16" i="3"/>
  <c r="CE23" i="4"/>
  <c r="AG16" i="3" s="1"/>
  <c r="CG23" i="4"/>
  <c r="AH16" i="3" s="1"/>
  <c r="CI23" i="4"/>
  <c r="AI16" i="3" s="1"/>
  <c r="CY23" i="4"/>
  <c r="CW23" i="4"/>
  <c r="AK16" i="3" s="1"/>
  <c r="DC23" i="4"/>
  <c r="AL16" i="3"/>
  <c r="DA23" i="4"/>
  <c r="AM16" i="3" s="1"/>
  <c r="DG23" i="4"/>
  <c r="AN16" i="3" s="1"/>
  <c r="DE23" i="4"/>
  <c r="AO16" i="3" s="1"/>
  <c r="DK23" i="4"/>
  <c r="DI23" i="4"/>
  <c r="AQ16" i="3" s="1"/>
  <c r="DO23" i="4"/>
  <c r="AR16" i="3"/>
  <c r="DM23" i="4"/>
  <c r="AS16" i="3" s="1"/>
  <c r="DQ23" i="4"/>
  <c r="AT16" i="3" s="1"/>
  <c r="DT23" i="4"/>
  <c r="AU16" i="3" s="1"/>
  <c r="DX23" i="4"/>
  <c r="DZ23" i="4"/>
  <c r="AX16" i="3" s="1"/>
  <c r="EB23" i="4"/>
  <c r="AY16" i="3"/>
  <c r="ED23" i="4"/>
  <c r="AZ16" i="3" s="1"/>
  <c r="EG23" i="4"/>
  <c r="BA16" i="3" s="1"/>
  <c r="EI23" i="4"/>
  <c r="BB16" i="3" s="1"/>
  <c r="EQ23" i="4"/>
  <c r="EK23" i="4"/>
  <c r="BD16" i="3" s="1"/>
  <c r="EM23" i="4"/>
  <c r="BE16" i="3"/>
  <c r="EO23" i="4"/>
  <c r="BF16" i="3" s="1"/>
  <c r="ET23" i="4"/>
  <c r="BG16" i="3" s="1"/>
  <c r="EV23" i="4"/>
  <c r="BH16" i="3" s="1"/>
  <c r="EZ23" i="4"/>
  <c r="EX23" i="4"/>
  <c r="BJ16" i="3" s="1"/>
  <c r="FB23" i="4"/>
  <c r="BK16" i="3"/>
  <c r="J24" i="4"/>
  <c r="BL16" i="3" s="1"/>
  <c r="C22" i="4"/>
  <c r="G15" i="3" s="1"/>
  <c r="F22" i="4"/>
  <c r="K22" i="4"/>
  <c r="J23" i="4"/>
  <c r="BL15" i="3" s="1"/>
  <c r="F15" i="3"/>
  <c r="E14" i="3"/>
  <c r="F14" i="3"/>
  <c r="E13" i="3"/>
  <c r="E12" i="3"/>
  <c r="F12" i="3"/>
  <c r="E11" i="3"/>
  <c r="F10" i="3"/>
  <c r="F11" i="3"/>
  <c r="E10" i="3"/>
  <c r="E8" i="3"/>
  <c r="C21" i="4"/>
  <c r="G13" i="3" s="1"/>
  <c r="C20" i="4"/>
  <c r="F21" i="4"/>
  <c r="F20" i="4"/>
  <c r="K21" i="4"/>
  <c r="K20" i="4"/>
  <c r="O21" i="4"/>
  <c r="O20" i="4"/>
  <c r="K13" i="3"/>
  <c r="R21" i="4"/>
  <c r="R20" i="4"/>
  <c r="U21" i="4"/>
  <c r="M13" i="3" s="1"/>
  <c r="U20" i="4"/>
  <c r="X21" i="4"/>
  <c r="X20" i="4"/>
  <c r="N12" i="3" s="1"/>
  <c r="AA21" i="4"/>
  <c r="AA20" i="4"/>
  <c r="AD21" i="4"/>
  <c r="AD20" i="4"/>
  <c r="P12" i="3" s="1"/>
  <c r="AD19" i="4"/>
  <c r="AG21" i="4"/>
  <c r="Q13" i="3" s="1"/>
  <c r="AG20" i="4"/>
  <c r="AJ21" i="4"/>
  <c r="AJ20" i="4"/>
  <c r="R12" i="3" s="1"/>
  <c r="AM21" i="4"/>
  <c r="S13" i="3" s="1"/>
  <c r="AM20" i="4"/>
  <c r="AP21" i="4"/>
  <c r="T13" i="3" s="1"/>
  <c r="AP20" i="4"/>
  <c r="AS21" i="4"/>
  <c r="AS20" i="4"/>
  <c r="U12" i="3" s="1"/>
  <c r="AS19" i="4"/>
  <c r="U11" i="3" s="1"/>
  <c r="AV21" i="4"/>
  <c r="AV20" i="4"/>
  <c r="AZ21" i="4"/>
  <c r="AZ20" i="4"/>
  <c r="BC21" i="4"/>
  <c r="BC20" i="4"/>
  <c r="BF21" i="4"/>
  <c r="Y13" i="3" s="1"/>
  <c r="BF20" i="4"/>
  <c r="CK21" i="4"/>
  <c r="Z13" i="3" s="1"/>
  <c r="CK20" i="4"/>
  <c r="CN21" i="4"/>
  <c r="CN20" i="4"/>
  <c r="CQ21" i="4"/>
  <c r="CQ20" i="4"/>
  <c r="CT21" i="4"/>
  <c r="CT20" i="4"/>
  <c r="BY21" i="4"/>
  <c r="BY20" i="4"/>
  <c r="CA21" i="4"/>
  <c r="CA20" i="4"/>
  <c r="CC21" i="4"/>
  <c r="CC20" i="4"/>
  <c r="CE21" i="4"/>
  <c r="CE20" i="4"/>
  <c r="CG21" i="4"/>
  <c r="CG20" i="4"/>
  <c r="CG19" i="4"/>
  <c r="CI21" i="4"/>
  <c r="CI20" i="4"/>
  <c r="CY21" i="4"/>
  <c r="CY20" i="4"/>
  <c r="CW21" i="4"/>
  <c r="AK13" i="3" s="1"/>
  <c r="CW20" i="4"/>
  <c r="DC21" i="4"/>
  <c r="DC20" i="4"/>
  <c r="AL12" i="3" s="1"/>
  <c r="DA21" i="4"/>
  <c r="DA20" i="4"/>
  <c r="DA19" i="4"/>
  <c r="DG21" i="4"/>
  <c r="DG20" i="4"/>
  <c r="DG19" i="4"/>
  <c r="DE21" i="4"/>
  <c r="DE20" i="4"/>
  <c r="DK21" i="4"/>
  <c r="DK20" i="4"/>
  <c r="DI21" i="4"/>
  <c r="DI20" i="4"/>
  <c r="DO21" i="4"/>
  <c r="DO20" i="4"/>
  <c r="DM21" i="4"/>
  <c r="DM20" i="4"/>
  <c r="DQ21" i="4"/>
  <c r="DQ20" i="4"/>
  <c r="DT21" i="4"/>
  <c r="DT20" i="4"/>
  <c r="AU13" i="3" s="1"/>
  <c r="DX21" i="4"/>
  <c r="DX20" i="4"/>
  <c r="DZ21" i="4"/>
  <c r="AX13" i="3" s="1"/>
  <c r="DZ20" i="4"/>
  <c r="EB21" i="4"/>
  <c r="AY13" i="3" s="1"/>
  <c r="EB20" i="4"/>
  <c r="AY12" i="3" s="1"/>
  <c r="ED21" i="4"/>
  <c r="AZ13" i="3" s="1"/>
  <c r="ED20" i="4"/>
  <c r="EG21" i="4"/>
  <c r="EG20" i="4"/>
  <c r="BA12" i="3" s="1"/>
  <c r="EG19" i="4"/>
  <c r="EI21" i="4"/>
  <c r="EI20" i="4"/>
  <c r="EQ21" i="4"/>
  <c r="EQ20" i="4"/>
  <c r="BC12" i="3" s="1"/>
  <c r="EK21" i="4"/>
  <c r="EK20" i="4"/>
  <c r="EM21" i="4"/>
  <c r="EM20" i="4"/>
  <c r="EO21" i="4"/>
  <c r="EO20" i="4"/>
  <c r="BF12" i="3" s="1"/>
  <c r="EO19" i="4"/>
  <c r="ET21" i="4"/>
  <c r="ET20" i="4"/>
  <c r="BG12" i="3" s="1"/>
  <c r="EV21" i="4"/>
  <c r="BH13" i="3" s="1"/>
  <c r="EV20" i="4"/>
  <c r="EZ21" i="4"/>
  <c r="EZ20" i="4"/>
  <c r="EX21" i="4"/>
  <c r="EX20" i="4"/>
  <c r="BJ13" i="3" s="1"/>
  <c r="FB21" i="4"/>
  <c r="BK13" i="3" s="1"/>
  <c r="FB20" i="4"/>
  <c r="J21" i="4"/>
  <c r="BL13" i="3" s="1"/>
  <c r="K13" i="1" s="1"/>
  <c r="C19" i="4"/>
  <c r="G12" i="3"/>
  <c r="F19" i="4"/>
  <c r="K19" i="4"/>
  <c r="K18" i="4"/>
  <c r="O19" i="4"/>
  <c r="R19" i="4"/>
  <c r="U19" i="4"/>
  <c r="M12" i="3" s="1"/>
  <c r="X19" i="4"/>
  <c r="AA19" i="4"/>
  <c r="AD18" i="4"/>
  <c r="P11" i="3" s="1"/>
  <c r="AG19" i="4"/>
  <c r="AJ19" i="4"/>
  <c r="AM19" i="4"/>
  <c r="S12" i="3" s="1"/>
  <c r="AP19" i="4"/>
  <c r="T12" i="3" s="1"/>
  <c r="AV19" i="4"/>
  <c r="V12" i="3" s="1"/>
  <c r="AZ19" i="4"/>
  <c r="BC19" i="4"/>
  <c r="BF19" i="4"/>
  <c r="Y12" i="3" s="1"/>
  <c r="CK19" i="4"/>
  <c r="CN19" i="4"/>
  <c r="AA11" i="3" s="1"/>
  <c r="CN18" i="4"/>
  <c r="CQ19" i="4"/>
  <c r="CT19" i="4"/>
  <c r="BY19" i="4"/>
  <c r="AD11" i="3" s="1"/>
  <c r="CA19" i="4"/>
  <c r="CC19" i="4"/>
  <c r="AF11" i="3" s="1"/>
  <c r="CE19" i="4"/>
  <c r="AG11" i="3" s="1"/>
  <c r="CE18" i="4"/>
  <c r="CI19" i="4"/>
  <c r="CY19" i="4"/>
  <c r="AJ12" i="3" s="1"/>
  <c r="CW19" i="4"/>
  <c r="DC19" i="4"/>
  <c r="DE19" i="4"/>
  <c r="DK19" i="4"/>
  <c r="AP12" i="3" s="1"/>
  <c r="DI19" i="4"/>
  <c r="AQ11" i="3" s="1"/>
  <c r="DI18" i="4"/>
  <c r="DO19" i="4"/>
  <c r="DM19" i="4"/>
  <c r="DM18" i="4"/>
  <c r="DQ19" i="4"/>
  <c r="AT12" i="3" s="1"/>
  <c r="DT19" i="4"/>
  <c r="DT18" i="4"/>
  <c r="AU11" i="3" s="1"/>
  <c r="DX19" i="4"/>
  <c r="DZ19" i="4"/>
  <c r="AX11" i="3" s="1"/>
  <c r="EB19" i="4"/>
  <c r="ED19" i="4"/>
  <c r="AZ11" i="3" s="1"/>
  <c r="ED18" i="4"/>
  <c r="AZ10" i="3" s="1"/>
  <c r="EI19" i="4"/>
  <c r="EQ19" i="4"/>
  <c r="EK19" i="4"/>
  <c r="EM19" i="4"/>
  <c r="ET19" i="4"/>
  <c r="BG11" i="3" s="1"/>
  <c r="EV19" i="4"/>
  <c r="EZ19" i="4"/>
  <c r="EX19" i="4"/>
  <c r="FB19" i="4"/>
  <c r="J20" i="4"/>
  <c r="BL12" i="3" s="1"/>
  <c r="C18" i="4"/>
  <c r="G11" i="3" s="1"/>
  <c r="F18" i="4"/>
  <c r="H11" i="3" s="1"/>
  <c r="O18" i="4"/>
  <c r="O17" i="4"/>
  <c r="K9" i="3" s="1"/>
  <c r="R18" i="4"/>
  <c r="U18" i="4"/>
  <c r="M11" i="3"/>
  <c r="X18" i="4"/>
  <c r="N11" i="3" s="1"/>
  <c r="AA18" i="4"/>
  <c r="AG18" i="4"/>
  <c r="AJ18" i="4"/>
  <c r="AM18" i="4"/>
  <c r="AP18" i="4"/>
  <c r="AS18" i="4"/>
  <c r="AV18" i="4"/>
  <c r="AZ18" i="4"/>
  <c r="W11" i="3" s="1"/>
  <c r="BC18" i="4"/>
  <c r="BF18" i="4"/>
  <c r="CK18" i="4"/>
  <c r="CQ18" i="4"/>
  <c r="CT18" i="4"/>
  <c r="AC10" i="3" s="1"/>
  <c r="CT17" i="4"/>
  <c r="AC9" i="3" s="1"/>
  <c r="BY18" i="4"/>
  <c r="CA18" i="4"/>
  <c r="CC18" i="4"/>
  <c r="CG18" i="4"/>
  <c r="CI18" i="4"/>
  <c r="CY18" i="4"/>
  <c r="AJ11" i="3"/>
  <c r="CW18" i="4"/>
  <c r="DC18" i="4"/>
  <c r="DC17" i="4"/>
  <c r="AL9" i="3" s="1"/>
  <c r="DA18" i="4"/>
  <c r="DG18" i="4"/>
  <c r="DE18" i="4"/>
  <c r="DK18" i="4"/>
  <c r="AP10" i="3" s="1"/>
  <c r="DO18" i="4"/>
  <c r="DQ18" i="4"/>
  <c r="DX18" i="4"/>
  <c r="DZ18" i="4"/>
  <c r="AX10" i="3" s="1"/>
  <c r="EB18" i="4"/>
  <c r="AY11" i="3" s="1"/>
  <c r="EG18" i="4"/>
  <c r="EI18" i="4"/>
  <c r="EQ18" i="4"/>
  <c r="EK18" i="4"/>
  <c r="EM18" i="4"/>
  <c r="BE10" i="3" s="1"/>
  <c r="EM17" i="4"/>
  <c r="EO18" i="4"/>
  <c r="BF11" i="3" s="1"/>
  <c r="ET18" i="4"/>
  <c r="EV18" i="4"/>
  <c r="EZ18" i="4"/>
  <c r="EX18" i="4"/>
  <c r="BJ11" i="3" s="1"/>
  <c r="FB18" i="4"/>
  <c r="BK10" i="3" s="1"/>
  <c r="J19" i="4"/>
  <c r="BL11" i="3" s="1"/>
  <c r="C17" i="4"/>
  <c r="F17" i="4"/>
  <c r="F16" i="4"/>
  <c r="K17" i="4"/>
  <c r="O16" i="4"/>
  <c r="R17" i="4"/>
  <c r="U17" i="4"/>
  <c r="M10" i="3" s="1"/>
  <c r="X17" i="4"/>
  <c r="N10" i="3"/>
  <c r="AA17" i="4"/>
  <c r="AD17" i="4"/>
  <c r="AD16" i="4"/>
  <c r="AG17" i="4"/>
  <c r="AJ17" i="4"/>
  <c r="AM17" i="4"/>
  <c r="AP17" i="4"/>
  <c r="AS17" i="4"/>
  <c r="U10" i="3" s="1"/>
  <c r="AV17" i="4"/>
  <c r="AZ17" i="4"/>
  <c r="BC17" i="4"/>
  <c r="X10" i="3" s="1"/>
  <c r="BF17" i="4"/>
  <c r="Y10" i="3"/>
  <c r="CK17" i="4"/>
  <c r="Z9" i="3" s="1"/>
  <c r="CN17" i="4"/>
  <c r="CQ17" i="4"/>
  <c r="CT16" i="4"/>
  <c r="BY17" i="4"/>
  <c r="CA17" i="4"/>
  <c r="CC17" i="4"/>
  <c r="AF10" i="3"/>
  <c r="CE17" i="4"/>
  <c r="AG10" i="3" s="1"/>
  <c r="CG17" i="4"/>
  <c r="AH10" i="3"/>
  <c r="CI17" i="4"/>
  <c r="CY17" i="4"/>
  <c r="CW17" i="4"/>
  <c r="DC16" i="4"/>
  <c r="DA17" i="4"/>
  <c r="AM10" i="3" s="1"/>
  <c r="DG17" i="4"/>
  <c r="DE17" i="4"/>
  <c r="DK17" i="4"/>
  <c r="DI17" i="4"/>
  <c r="AQ9" i="3" s="1"/>
  <c r="DI16" i="4"/>
  <c r="AQ8" i="3" s="1"/>
  <c r="DO17" i="4"/>
  <c r="DM17" i="4"/>
  <c r="DQ17" i="4"/>
  <c r="DT17" i="4"/>
  <c r="DX17" i="4"/>
  <c r="AW9" i="3" s="1"/>
  <c r="DZ17" i="4"/>
  <c r="EB17" i="4"/>
  <c r="AY9" i="3" s="1"/>
  <c r="ED17" i="4"/>
  <c r="EG17" i="4"/>
  <c r="BA10" i="3"/>
  <c r="EI17" i="4"/>
  <c r="BB10" i="3" s="1"/>
  <c r="EQ17" i="4"/>
  <c r="EK17" i="4"/>
  <c r="EO17" i="4"/>
  <c r="ET17" i="4"/>
  <c r="EV17" i="4"/>
  <c r="EZ17" i="4"/>
  <c r="BI9" i="3" s="1"/>
  <c r="EX17" i="4"/>
  <c r="BJ10" i="3" s="1"/>
  <c r="FB17" i="4"/>
  <c r="J18" i="4"/>
  <c r="BL10" i="3" s="1"/>
  <c r="K10" i="1" s="1"/>
  <c r="C16" i="4"/>
  <c r="K16" i="4"/>
  <c r="R16" i="4"/>
  <c r="U16" i="4"/>
  <c r="U15" i="4"/>
  <c r="M8" i="3"/>
  <c r="X16" i="4"/>
  <c r="N9" i="3" s="1"/>
  <c r="AA16" i="4"/>
  <c r="AD15" i="4"/>
  <c r="AG16" i="4"/>
  <c r="AJ16" i="4"/>
  <c r="AM16" i="4"/>
  <c r="AM15" i="4"/>
  <c r="AP16" i="4"/>
  <c r="AS16" i="4"/>
  <c r="AV16" i="4"/>
  <c r="AV15" i="4"/>
  <c r="AZ16" i="4"/>
  <c r="W9" i="3" s="1"/>
  <c r="BC16" i="4"/>
  <c r="BF16" i="4"/>
  <c r="Y8" i="3" s="1"/>
  <c r="BF15" i="4"/>
  <c r="CK16" i="4"/>
  <c r="CN16" i="4"/>
  <c r="CQ16" i="4"/>
  <c r="BY16" i="4"/>
  <c r="CA16" i="4"/>
  <c r="AE8" i="3" s="1"/>
  <c r="CA15" i="4"/>
  <c r="CC16" i="4"/>
  <c r="CE16" i="4"/>
  <c r="CG16" i="4"/>
  <c r="CI16" i="4"/>
  <c r="AI8" i="3" s="1"/>
  <c r="CY16" i="4"/>
  <c r="CW16" i="4"/>
  <c r="DC15" i="4"/>
  <c r="AL8" i="3" s="1"/>
  <c r="DA16" i="4"/>
  <c r="DG16" i="4"/>
  <c r="DE16" i="4"/>
  <c r="AO8" i="3" s="1"/>
  <c r="DE15" i="4"/>
  <c r="DK16" i="4"/>
  <c r="DI15" i="4"/>
  <c r="AQ7" i="3" s="1"/>
  <c r="DO16" i="4"/>
  <c r="DM16" i="4"/>
  <c r="DQ16" i="4"/>
  <c r="DT16" i="4"/>
  <c r="DX16" i="4"/>
  <c r="DZ16" i="4"/>
  <c r="EB16" i="4"/>
  <c r="ED16" i="4"/>
  <c r="EG16" i="4"/>
  <c r="EI16" i="4"/>
  <c r="EQ16" i="4"/>
  <c r="EK16" i="4"/>
  <c r="EM16" i="4"/>
  <c r="EO16" i="4"/>
  <c r="BF9" i="3" s="1"/>
  <c r="ET16" i="4"/>
  <c r="EV16" i="4"/>
  <c r="BH8" i="3" s="1"/>
  <c r="EZ16" i="4"/>
  <c r="EX16" i="4"/>
  <c r="FB16" i="4"/>
  <c r="BK9" i="3" s="1"/>
  <c r="J17" i="4"/>
  <c r="BL9" i="3" s="1"/>
  <c r="K9" i="1" s="1"/>
  <c r="E9" i="3"/>
  <c r="C15" i="4"/>
  <c r="F15" i="4"/>
  <c r="H8" i="3" s="1"/>
  <c r="K15" i="4"/>
  <c r="O15" i="4"/>
  <c r="R15" i="4"/>
  <c r="X15" i="4"/>
  <c r="AA15" i="4"/>
  <c r="AG15" i="4"/>
  <c r="AJ15" i="4"/>
  <c r="AP15" i="4"/>
  <c r="AS15" i="4"/>
  <c r="AZ15" i="4"/>
  <c r="BC15" i="4"/>
  <c r="CK15" i="4"/>
  <c r="Z8" i="3" s="1"/>
  <c r="CN15" i="4"/>
  <c r="CQ15" i="4"/>
  <c r="CT15" i="4"/>
  <c r="BY15" i="4"/>
  <c r="BY14" i="4"/>
  <c r="AD7" i="3" s="1"/>
  <c r="CC15" i="4"/>
  <c r="AF7" i="3" s="1"/>
  <c r="CC14" i="4"/>
  <c r="CE15" i="4"/>
  <c r="CE14" i="4"/>
  <c r="CG15" i="4"/>
  <c r="AH8" i="3"/>
  <c r="CI15" i="4"/>
  <c r="CY15" i="4"/>
  <c r="CW15" i="4"/>
  <c r="DA15" i="4"/>
  <c r="DA14" i="4"/>
  <c r="DG15" i="4"/>
  <c r="AN8" i="3" s="1"/>
  <c r="DE14" i="4"/>
  <c r="AO6" i="3" s="1"/>
  <c r="DK15" i="4"/>
  <c r="DI14" i="4"/>
  <c r="DO15" i="4"/>
  <c r="DM15" i="4"/>
  <c r="DQ15" i="4"/>
  <c r="AT8" i="3" s="1"/>
  <c r="DT15" i="4"/>
  <c r="DX15" i="4"/>
  <c r="DZ15" i="4"/>
  <c r="EB15" i="4"/>
  <c r="AY7" i="3" s="1"/>
  <c r="EB14" i="4"/>
  <c r="ED15" i="4"/>
  <c r="AZ7" i="3" s="1"/>
  <c r="ED14" i="4"/>
  <c r="EG15" i="4"/>
  <c r="EI15" i="4"/>
  <c r="BB8" i="3" s="1"/>
  <c r="EQ15" i="4"/>
  <c r="EK15" i="4"/>
  <c r="BD8" i="3" s="1"/>
  <c r="EM15" i="4"/>
  <c r="EO15" i="4"/>
  <c r="EO14" i="4"/>
  <c r="ET15" i="4"/>
  <c r="BG8" i="3"/>
  <c r="EV15" i="4"/>
  <c r="EZ15" i="4"/>
  <c r="EX15" i="4"/>
  <c r="FB15" i="4"/>
  <c r="J16" i="4"/>
  <c r="BL8" i="3" s="1"/>
  <c r="K8" i="1" s="1"/>
  <c r="F9" i="3"/>
  <c r="J12" i="4"/>
  <c r="BL4" i="3" s="1"/>
  <c r="K4" i="1" s="1"/>
  <c r="J13" i="4"/>
  <c r="J14" i="4"/>
  <c r="BL6" i="3" s="1"/>
  <c r="J15" i="4"/>
  <c r="BL7" i="3" s="1"/>
  <c r="J11" i="4"/>
  <c r="BL3" i="3" s="1"/>
  <c r="K3" i="1" s="1"/>
  <c r="C14" i="4"/>
  <c r="F14" i="4"/>
  <c r="K14" i="4"/>
  <c r="K13" i="4"/>
  <c r="O14" i="4"/>
  <c r="R14" i="4"/>
  <c r="U14" i="4"/>
  <c r="X14" i="4"/>
  <c r="AA14" i="4"/>
  <c r="AD14" i="4"/>
  <c r="AG14" i="4"/>
  <c r="AG13" i="4"/>
  <c r="Q6" i="3" s="1"/>
  <c r="AJ14" i="4"/>
  <c r="AM14" i="4"/>
  <c r="AM13" i="4"/>
  <c r="S5" i="3" s="1"/>
  <c r="AP14" i="4"/>
  <c r="AS14" i="4"/>
  <c r="U6" i="3" s="1"/>
  <c r="AS13" i="4"/>
  <c r="AV14" i="4"/>
  <c r="AZ14" i="4"/>
  <c r="BC14" i="4"/>
  <c r="BF14" i="4"/>
  <c r="CK14" i="4"/>
  <c r="Z7" i="3" s="1"/>
  <c r="CN14" i="4"/>
  <c r="CQ14" i="4"/>
  <c r="CT14" i="4"/>
  <c r="AC6" i="3" s="1"/>
  <c r="CA14" i="4"/>
  <c r="CG14" i="4"/>
  <c r="CG13" i="4"/>
  <c r="CI14" i="4"/>
  <c r="CY14" i="4"/>
  <c r="CW14" i="4"/>
  <c r="DC14" i="4"/>
  <c r="AL7" i="3"/>
  <c r="DG14" i="4"/>
  <c r="DG13" i="4"/>
  <c r="AN6" i="3"/>
  <c r="DK14" i="4"/>
  <c r="DI13" i="4"/>
  <c r="AQ6" i="3"/>
  <c r="DO14" i="4"/>
  <c r="DO13" i="4"/>
  <c r="AR6" i="3"/>
  <c r="DM14" i="4"/>
  <c r="DQ14" i="4"/>
  <c r="DT14" i="4"/>
  <c r="DX14" i="4"/>
  <c r="DZ14" i="4"/>
  <c r="DZ13" i="4"/>
  <c r="EG14" i="4"/>
  <c r="EI14" i="4"/>
  <c r="EQ14" i="4"/>
  <c r="EK14" i="4"/>
  <c r="EM14" i="4"/>
  <c r="EM13" i="4"/>
  <c r="ET14" i="4"/>
  <c r="EV14" i="4"/>
  <c r="BH6" i="3" s="1"/>
  <c r="EZ14" i="4"/>
  <c r="EX14" i="4"/>
  <c r="FB14" i="4"/>
  <c r="F3" i="3"/>
  <c r="F4" i="3"/>
  <c r="E3" i="3"/>
  <c r="F5" i="3"/>
  <c r="E4" i="3"/>
  <c r="E5" i="3"/>
  <c r="F6" i="3"/>
  <c r="E6" i="3"/>
  <c r="F7" i="3"/>
  <c r="E7" i="3"/>
  <c r="F8" i="3"/>
  <c r="C13" i="4"/>
  <c r="F13" i="4"/>
  <c r="O13" i="4"/>
  <c r="K6" i="3" s="1"/>
  <c r="R13" i="4"/>
  <c r="U13" i="4"/>
  <c r="X13" i="4"/>
  <c r="N6" i="3" s="1"/>
  <c r="AA13" i="4"/>
  <c r="O5" i="3" s="1"/>
  <c r="AA12" i="4"/>
  <c r="AD13" i="4"/>
  <c r="P5" i="3" s="1"/>
  <c r="AJ13" i="4"/>
  <c r="AJ12" i="4"/>
  <c r="AP13" i="4"/>
  <c r="T6" i="3" s="1"/>
  <c r="AV13" i="4"/>
  <c r="AV12" i="4"/>
  <c r="AZ13" i="4"/>
  <c r="BC13" i="4"/>
  <c r="BF13" i="4"/>
  <c r="CK13" i="4"/>
  <c r="Z6" i="3"/>
  <c r="CN13" i="4"/>
  <c r="CQ13" i="4"/>
  <c r="CQ12" i="4"/>
  <c r="CT13" i="4"/>
  <c r="BY13" i="4"/>
  <c r="CA13" i="4"/>
  <c r="CA12" i="4"/>
  <c r="CC13" i="4"/>
  <c r="AF6" i="3" s="1"/>
  <c r="CE13" i="4"/>
  <c r="CI13" i="4"/>
  <c r="AI6" i="3" s="1"/>
  <c r="CY13" i="4"/>
  <c r="CW13" i="4"/>
  <c r="DC13" i="4"/>
  <c r="AL6" i="3" s="1"/>
  <c r="DA13" i="4"/>
  <c r="AM6" i="3"/>
  <c r="DE13" i="4"/>
  <c r="DK13" i="4"/>
  <c r="DM13" i="4"/>
  <c r="AS5" i="3" s="1"/>
  <c r="DM12" i="4"/>
  <c r="DQ13" i="4"/>
  <c r="DT13" i="4"/>
  <c r="DX13" i="4"/>
  <c r="EB13" i="4"/>
  <c r="AY6" i="3" s="1"/>
  <c r="ED13" i="4"/>
  <c r="EG13" i="4"/>
  <c r="BA5" i="3" s="1"/>
  <c r="EI13" i="4"/>
  <c r="EQ13" i="4"/>
  <c r="EQ12" i="4"/>
  <c r="EK13" i="4"/>
  <c r="BD5" i="3" s="1"/>
  <c r="EO13" i="4"/>
  <c r="ET13" i="4"/>
  <c r="ET12" i="4"/>
  <c r="BG5" i="3" s="1"/>
  <c r="EV13" i="4"/>
  <c r="EZ13" i="4"/>
  <c r="EX13" i="4"/>
  <c r="EX12" i="4"/>
  <c r="FB13" i="4"/>
  <c r="BK6" i="3" s="1"/>
  <c r="C12" i="4"/>
  <c r="C11" i="4"/>
  <c r="G4" i="3" s="1"/>
  <c r="F12" i="4"/>
  <c r="K12" i="4"/>
  <c r="O12" i="4"/>
  <c r="R12" i="4"/>
  <c r="U12" i="4"/>
  <c r="M5" i="3" s="1"/>
  <c r="X12" i="4"/>
  <c r="AD12" i="4"/>
  <c r="P4" i="3" s="1"/>
  <c r="AG12" i="4"/>
  <c r="AM12" i="4"/>
  <c r="AP12" i="4"/>
  <c r="AS12" i="4"/>
  <c r="AZ12" i="4"/>
  <c r="BC12" i="4"/>
  <c r="BF12" i="4"/>
  <c r="CK12" i="4"/>
  <c r="CN12" i="4"/>
  <c r="CT12" i="4"/>
  <c r="BY12" i="4"/>
  <c r="CC12" i="4"/>
  <c r="CE12" i="4"/>
  <c r="CG12" i="4"/>
  <c r="CI12" i="4"/>
  <c r="CY12" i="4"/>
  <c r="AJ4" i="3" s="1"/>
  <c r="CW12" i="4"/>
  <c r="DC12" i="4"/>
  <c r="DA12" i="4"/>
  <c r="DG12" i="4"/>
  <c r="AN5" i="3"/>
  <c r="DE12" i="4"/>
  <c r="DK12" i="4"/>
  <c r="DI12" i="4"/>
  <c r="DO12" i="4"/>
  <c r="DQ12" i="4"/>
  <c r="DT12" i="4"/>
  <c r="DX12" i="4"/>
  <c r="DZ12" i="4"/>
  <c r="EB12" i="4"/>
  <c r="ED12" i="4"/>
  <c r="EG12" i="4"/>
  <c r="EI12" i="4"/>
  <c r="EK12" i="4"/>
  <c r="EM12" i="4"/>
  <c r="EO12" i="4"/>
  <c r="EV12" i="4"/>
  <c r="EZ12" i="4"/>
  <c r="FB12" i="4"/>
  <c r="F11" i="4"/>
  <c r="K11" i="4"/>
  <c r="O11" i="4"/>
  <c r="K4" i="3" s="1"/>
  <c r="R11" i="4"/>
  <c r="U11" i="4"/>
  <c r="U10" i="4"/>
  <c r="M3" i="3" s="1"/>
  <c r="X11" i="4"/>
  <c r="AA11" i="4"/>
  <c r="AD11" i="4"/>
  <c r="AG11" i="4"/>
  <c r="AJ11" i="4"/>
  <c r="AM11" i="4"/>
  <c r="AP11" i="4"/>
  <c r="AS11" i="4"/>
  <c r="AV11" i="4"/>
  <c r="AZ11" i="4"/>
  <c r="BC11" i="4"/>
  <c r="BF11" i="4"/>
  <c r="CK11" i="4"/>
  <c r="CN11" i="4"/>
  <c r="CQ11" i="4"/>
  <c r="CT11" i="4"/>
  <c r="BY11" i="4"/>
  <c r="AD3" i="3" s="1"/>
  <c r="CA11" i="4"/>
  <c r="CC11" i="4"/>
  <c r="CE11" i="4"/>
  <c r="CG11" i="4"/>
  <c r="CI11" i="4"/>
  <c r="AI4" i="3" s="1"/>
  <c r="CY11" i="4"/>
  <c r="CW11" i="4"/>
  <c r="AK4" i="3" s="1"/>
  <c r="DC11" i="4"/>
  <c r="DA11" i="4"/>
  <c r="DG11" i="4"/>
  <c r="DE11" i="4"/>
  <c r="DK11" i="4"/>
  <c r="DI11" i="4"/>
  <c r="DO11" i="4"/>
  <c r="DM11" i="4"/>
  <c r="AS4" i="3" s="1"/>
  <c r="DQ11" i="4"/>
  <c r="DT11" i="4"/>
  <c r="DX11" i="4"/>
  <c r="DZ11" i="4"/>
  <c r="EB11" i="4"/>
  <c r="ED11" i="4"/>
  <c r="EG11" i="4"/>
  <c r="EI11" i="4"/>
  <c r="EQ11" i="4"/>
  <c r="BC4" i="3" s="1"/>
  <c r="EK11" i="4"/>
  <c r="EM11" i="4"/>
  <c r="EO11" i="4"/>
  <c r="ET11" i="4"/>
  <c r="EV11" i="4"/>
  <c r="EV10" i="4"/>
  <c r="BH3" i="3" s="1"/>
  <c r="EZ11" i="4"/>
  <c r="EX11" i="4"/>
  <c r="FB11" i="4"/>
  <c r="C10" i="4"/>
  <c r="C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F10" i="4"/>
  <c r="K10" i="4"/>
  <c r="O10" i="4"/>
  <c r="R10" i="4"/>
  <c r="X10" i="4"/>
  <c r="N3" i="3"/>
  <c r="AA10" i="4"/>
  <c r="AD10" i="4"/>
  <c r="P3" i="3" s="1"/>
  <c r="AG10" i="4"/>
  <c r="AJ10" i="4"/>
  <c r="AM10" i="4"/>
  <c r="AP10" i="4"/>
  <c r="T3" i="3"/>
  <c r="AS10" i="4"/>
  <c r="AV10" i="4"/>
  <c r="V3" i="3"/>
  <c r="AZ10" i="4"/>
  <c r="BC10" i="4"/>
  <c r="BF10" i="4"/>
  <c r="Y2" i="3" s="1"/>
  <c r="BF9" i="4"/>
  <c r="CK10" i="4"/>
  <c r="CN10" i="4"/>
  <c r="CQ10" i="4"/>
  <c r="CT10" i="4"/>
  <c r="AC3" i="3"/>
  <c r="BY10" i="4"/>
  <c r="CA10" i="4"/>
  <c r="CC10" i="4"/>
  <c r="AF3" i="3" s="1"/>
  <c r="CE10" i="4"/>
  <c r="CE9" i="4"/>
  <c r="AG2" i="3" s="1"/>
  <c r="CG10" i="4"/>
  <c r="CI10" i="4"/>
  <c r="CY10" i="4"/>
  <c r="CW10" i="4"/>
  <c r="CW9" i="4"/>
  <c r="CX9" i="4" s="1"/>
  <c r="DC10" i="4"/>
  <c r="AL3" i="3" s="1"/>
  <c r="DA10" i="4"/>
  <c r="DG10" i="4"/>
  <c r="AN3" i="3" s="1"/>
  <c r="DE10" i="4"/>
  <c r="DK10" i="4"/>
  <c r="DI10" i="4"/>
  <c r="DO10" i="4"/>
  <c r="AR3" i="3" s="1"/>
  <c r="DM10" i="4"/>
  <c r="DQ10" i="4"/>
  <c r="AT3" i="3" s="1"/>
  <c r="DT10" i="4"/>
  <c r="DX10" i="4"/>
  <c r="DZ10" i="4"/>
  <c r="AX2" i="3" s="1"/>
  <c r="DZ9" i="4"/>
  <c r="EB10" i="4"/>
  <c r="AY3" i="3" s="1"/>
  <c r="ED10" i="4"/>
  <c r="EG10" i="4"/>
  <c r="EI10" i="4"/>
  <c r="EQ10" i="4"/>
  <c r="BC2" i="3" s="1"/>
  <c r="EQ9" i="4"/>
  <c r="EK10" i="4"/>
  <c r="EM10" i="4"/>
  <c r="BE3" i="3"/>
  <c r="EO10" i="4"/>
  <c r="BF2" i="3" s="1"/>
  <c r="EO9" i="4"/>
  <c r="ET10" i="4"/>
  <c r="BG3" i="3" s="1"/>
  <c r="EZ10" i="4"/>
  <c r="EX10" i="4"/>
  <c r="BJ3" i="3"/>
  <c r="FB10" i="4"/>
  <c r="BK3" i="3" s="1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DI30" i="4"/>
  <c r="DG30" i="4"/>
  <c r="DE30" i="4"/>
  <c r="DC30" i="4"/>
  <c r="DA30" i="4"/>
  <c r="CY30" i="4"/>
  <c r="CW30" i="4"/>
  <c r="CT30" i="4"/>
  <c r="CQ30" i="4"/>
  <c r="CN30" i="4"/>
  <c r="CK30" i="4"/>
  <c r="CI30" i="4"/>
  <c r="CG30" i="4"/>
  <c r="CE30" i="4"/>
  <c r="CC30" i="4"/>
  <c r="CA30" i="4"/>
  <c r="BY30" i="4"/>
  <c r="BV30" i="4"/>
  <c r="BS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Q30" i="4"/>
  <c r="O30" i="4"/>
  <c r="M30" i="4"/>
  <c r="K30" i="4"/>
  <c r="I30" i="4"/>
  <c r="H30" i="4"/>
  <c r="F30" i="4"/>
  <c r="E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K29" i="4"/>
  <c r="DI29" i="4"/>
  <c r="DG29" i="4"/>
  <c r="DE29" i="4"/>
  <c r="DC29" i="4"/>
  <c r="DA29" i="4"/>
  <c r="CY29" i="4"/>
  <c r="CW29" i="4"/>
  <c r="CT29" i="4"/>
  <c r="CQ29" i="4"/>
  <c r="CN29" i="4"/>
  <c r="CK29" i="4"/>
  <c r="CI29" i="4"/>
  <c r="CG29" i="4"/>
  <c r="CE29" i="4"/>
  <c r="CC29" i="4"/>
  <c r="CA29" i="4"/>
  <c r="BY29" i="4"/>
  <c r="BV29" i="4"/>
  <c r="BS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Q29" i="4"/>
  <c r="O29" i="4"/>
  <c r="M29" i="4"/>
  <c r="K29" i="4"/>
  <c r="I29" i="4"/>
  <c r="H29" i="4"/>
  <c r="F29" i="4"/>
  <c r="E29" i="4"/>
  <c r="C29" i="4"/>
  <c r="B29" i="4"/>
  <c r="FC28" i="4"/>
  <c r="FB28" i="4"/>
  <c r="BK20" i="3" s="1"/>
  <c r="FA28" i="4"/>
  <c r="EZ28" i="4"/>
  <c r="BI20" i="3" s="1"/>
  <c r="EY28" i="4"/>
  <c r="EX28" i="4"/>
  <c r="EW28" i="4"/>
  <c r="EV28" i="4"/>
  <c r="BH20" i="3" s="1"/>
  <c r="EU28" i="4"/>
  <c r="ET28" i="4"/>
  <c r="BG20" i="3" s="1"/>
  <c r="ER28" i="4"/>
  <c r="EQ28" i="4"/>
  <c r="EP28" i="4"/>
  <c r="EO28" i="4"/>
  <c r="BF20" i="3" s="1"/>
  <c r="EN28" i="4"/>
  <c r="EM28" i="4"/>
  <c r="BE20" i="3" s="1"/>
  <c r="EL28" i="4"/>
  <c r="EK28" i="4"/>
  <c r="EJ28" i="4"/>
  <c r="EI28" i="4"/>
  <c r="BB20" i="3" s="1"/>
  <c r="EH28" i="4"/>
  <c r="EG28" i="4"/>
  <c r="BA20" i="3" s="1"/>
  <c r="EE28" i="4"/>
  <c r="ED28" i="4"/>
  <c r="EC28" i="4"/>
  <c r="EB28" i="4"/>
  <c r="AY20" i="3" s="1"/>
  <c r="EA28" i="4"/>
  <c r="DZ28" i="4"/>
  <c r="AX20" i="3" s="1"/>
  <c r="DY28" i="4"/>
  <c r="DX28" i="4"/>
  <c r="DW28" i="4"/>
  <c r="DV28" i="4"/>
  <c r="DU28" i="4"/>
  <c r="DT28" i="4"/>
  <c r="AU20" i="3" s="1"/>
  <c r="DR28" i="4"/>
  <c r="DQ28" i="4"/>
  <c r="DP28" i="4"/>
  <c r="DO28" i="4"/>
  <c r="AR20" i="3" s="1"/>
  <c r="DN28" i="4"/>
  <c r="DM28" i="4"/>
  <c r="AS20" i="3" s="1"/>
  <c r="DL28" i="4"/>
  <c r="DK28" i="4"/>
  <c r="DJ28" i="4"/>
  <c r="DI28" i="4"/>
  <c r="AQ20" i="3" s="1"/>
  <c r="DG28" i="4"/>
  <c r="AN20" i="3" s="1"/>
  <c r="DF28" i="4"/>
  <c r="DE28" i="4"/>
  <c r="DD28" i="4"/>
  <c r="DC28" i="4"/>
  <c r="AL20" i="3" s="1"/>
  <c r="DB28" i="4"/>
  <c r="DA28" i="4"/>
  <c r="AM20" i="3" s="1"/>
  <c r="CZ28" i="4"/>
  <c r="CY28" i="4"/>
  <c r="CX28" i="4"/>
  <c r="CW28" i="4"/>
  <c r="AK20" i="3" s="1"/>
  <c r="CU28" i="4"/>
  <c r="CT28" i="4"/>
  <c r="AC20" i="3" s="1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AI20" i="3" s="1"/>
  <c r="CH28" i="4"/>
  <c r="CG28" i="4"/>
  <c r="CF28" i="4"/>
  <c r="CE28" i="4"/>
  <c r="CD28" i="4"/>
  <c r="CC28" i="4"/>
  <c r="AF20" i="3" s="1"/>
  <c r="CB28" i="4"/>
  <c r="CA28" i="4"/>
  <c r="BZ28" i="4"/>
  <c r="BY28" i="4"/>
  <c r="BX28" i="4"/>
  <c r="BW28" i="4"/>
  <c r="BV28" i="4"/>
  <c r="BT28" i="4"/>
  <c r="BS28" i="4"/>
  <c r="BH28" i="4"/>
  <c r="BG28" i="4"/>
  <c r="BF28" i="4"/>
  <c r="Y20" i="3" s="1"/>
  <c r="BE28" i="4"/>
  <c r="BD28" i="4"/>
  <c r="BC28" i="4"/>
  <c r="BB28" i="4"/>
  <c r="BA28" i="4"/>
  <c r="AZ28" i="4"/>
  <c r="W20" i="3" s="1"/>
  <c r="AX28" i="4"/>
  <c r="AW28" i="4"/>
  <c r="AV28" i="4"/>
  <c r="AU28" i="4"/>
  <c r="AT28" i="4"/>
  <c r="AS28" i="4"/>
  <c r="U20" i="3" s="1"/>
  <c r="AP28" i="4"/>
  <c r="AO28" i="4"/>
  <c r="AN28" i="4"/>
  <c r="AM28" i="4"/>
  <c r="S20" i="3" s="1"/>
  <c r="AL28" i="4"/>
  <c r="AK28" i="4"/>
  <c r="AJ28" i="4"/>
  <c r="AI28" i="4"/>
  <c r="AH28" i="4"/>
  <c r="AG28" i="4"/>
  <c r="Q20" i="3" s="1"/>
  <c r="AF28" i="4"/>
  <c r="AE28" i="4"/>
  <c r="AD28" i="4"/>
  <c r="AC28" i="4"/>
  <c r="AB28" i="4"/>
  <c r="AA28" i="4"/>
  <c r="O20" i="3" s="1"/>
  <c r="Z28" i="4"/>
  <c r="Y28" i="4"/>
  <c r="X28" i="4"/>
  <c r="W28" i="4"/>
  <c r="V28" i="4"/>
  <c r="U28" i="4"/>
  <c r="M20" i="3" s="1"/>
  <c r="S28" i="4"/>
  <c r="R28" i="4"/>
  <c r="Q28" i="4"/>
  <c r="P28" i="4"/>
  <c r="O28" i="4"/>
  <c r="K20" i="3" s="1"/>
  <c r="N28" i="4"/>
  <c r="M28" i="4"/>
  <c r="L28" i="4"/>
  <c r="K28" i="4"/>
  <c r="I28" i="4"/>
  <c r="H28" i="4"/>
  <c r="G28" i="4"/>
  <c r="F28" i="4"/>
  <c r="E28" i="4"/>
  <c r="D28" i="4"/>
  <c r="C28" i="4"/>
  <c r="G20" i="3" s="1"/>
  <c r="B28" i="4"/>
  <c r="FC27" i="4"/>
  <c r="FB27" i="4"/>
  <c r="BK19" i="3" s="1"/>
  <c r="FA27" i="4"/>
  <c r="EZ27" i="4"/>
  <c r="BI19" i="3" s="1"/>
  <c r="EY27" i="4"/>
  <c r="EX27" i="4"/>
  <c r="BJ19" i="3" s="1"/>
  <c r="EW27" i="4"/>
  <c r="EV27" i="4"/>
  <c r="BH19" i="3" s="1"/>
  <c r="EU27" i="4"/>
  <c r="ET27" i="4"/>
  <c r="BG19" i="3" s="1"/>
  <c r="ER27" i="4"/>
  <c r="EQ27" i="4"/>
  <c r="EP27" i="4"/>
  <c r="EO27" i="4"/>
  <c r="BF19" i="3" s="1"/>
  <c r="EN27" i="4"/>
  <c r="EM27" i="4"/>
  <c r="BE19" i="3" s="1"/>
  <c r="EL27" i="4"/>
  <c r="EK27" i="4"/>
  <c r="BD19" i="3" s="1"/>
  <c r="EJ27" i="4"/>
  <c r="EI27" i="4"/>
  <c r="BB19" i="3" s="1"/>
  <c r="EH27" i="4"/>
  <c r="EG27" i="4"/>
  <c r="BA19" i="3" s="1"/>
  <c r="EE27" i="4"/>
  <c r="ED27" i="4"/>
  <c r="AZ19" i="3" s="1"/>
  <c r="EC27" i="4"/>
  <c r="EB27" i="4"/>
  <c r="AY19" i="3" s="1"/>
  <c r="EA27" i="4"/>
  <c r="DZ27" i="4"/>
  <c r="AX19" i="3" s="1"/>
  <c r="DY27" i="4"/>
  <c r="DX27" i="4"/>
  <c r="AW19" i="3" s="1"/>
  <c r="DW27" i="4"/>
  <c r="DV27" i="4"/>
  <c r="DU27" i="4"/>
  <c r="DT27" i="4"/>
  <c r="AU19" i="3" s="1"/>
  <c r="DR27" i="4"/>
  <c r="DQ27" i="4"/>
  <c r="AT19" i="3" s="1"/>
  <c r="DP27" i="4"/>
  <c r="DO27" i="4"/>
  <c r="AR19" i="3" s="1"/>
  <c r="DN27" i="4"/>
  <c r="DM27" i="4"/>
  <c r="AS19" i="3" s="1"/>
  <c r="DL27" i="4"/>
  <c r="DK27" i="4"/>
  <c r="AP19" i="3" s="1"/>
  <c r="DJ27" i="4"/>
  <c r="DI27" i="4"/>
  <c r="AQ19" i="3" s="1"/>
  <c r="DH27" i="4"/>
  <c r="DG27" i="4"/>
  <c r="AN19" i="3" s="1"/>
  <c r="DF27" i="4"/>
  <c r="DE27" i="4"/>
  <c r="AO19" i="3" s="1"/>
  <c r="DD27" i="4"/>
  <c r="DC27" i="4"/>
  <c r="AL19" i="3" s="1"/>
  <c r="DB27" i="4"/>
  <c r="DA27" i="4"/>
  <c r="AM19" i="3" s="1"/>
  <c r="CZ27" i="4"/>
  <c r="CY27" i="4"/>
  <c r="CX27" i="4"/>
  <c r="CW27" i="4"/>
  <c r="AK19" i="3" s="1"/>
  <c r="CU27" i="4"/>
  <c r="CT27" i="4"/>
  <c r="AC19" i="3" s="1"/>
  <c r="CS27" i="4"/>
  <c r="CR27" i="4"/>
  <c r="CQ27" i="4"/>
  <c r="AB19" i="3" s="1"/>
  <c r="CP27" i="4"/>
  <c r="CO27" i="4"/>
  <c r="CN27" i="4"/>
  <c r="AA19" i="3" s="1"/>
  <c r="CM27" i="4"/>
  <c r="CL27" i="4"/>
  <c r="CK27" i="4"/>
  <c r="Z19" i="3" s="1"/>
  <c r="CJ27" i="4"/>
  <c r="CI27" i="4"/>
  <c r="AI19" i="3" s="1"/>
  <c r="CH27" i="4"/>
  <c r="CG27" i="4"/>
  <c r="AH19" i="3" s="1"/>
  <c r="CF27" i="4"/>
  <c r="CE27" i="4"/>
  <c r="AG19" i="3" s="1"/>
  <c r="CD27" i="4"/>
  <c r="CC27" i="4"/>
  <c r="AF19" i="3" s="1"/>
  <c r="CB27" i="4"/>
  <c r="CA27" i="4"/>
  <c r="AE19" i="3" s="1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X19" i="3" s="1"/>
  <c r="BB27" i="4"/>
  <c r="BA27" i="4"/>
  <c r="AZ27" i="4"/>
  <c r="W19" i="3" s="1"/>
  <c r="AX27" i="4"/>
  <c r="AW27" i="4"/>
  <c r="AV27" i="4"/>
  <c r="V19" i="3" s="1"/>
  <c r="AU27" i="4"/>
  <c r="AT27" i="4"/>
  <c r="AS27" i="4"/>
  <c r="U19" i="3" s="1"/>
  <c r="AR27" i="4"/>
  <c r="AQ27" i="4"/>
  <c r="AP27" i="4"/>
  <c r="T19" i="3" s="1"/>
  <c r="AO27" i="4"/>
  <c r="AN27" i="4"/>
  <c r="AM27" i="4"/>
  <c r="S19" i="3" s="1"/>
  <c r="AL27" i="4"/>
  <c r="AK27" i="4"/>
  <c r="AJ27" i="4"/>
  <c r="AI27" i="4"/>
  <c r="AH27" i="4"/>
  <c r="AG27" i="4"/>
  <c r="Q19" i="3" s="1"/>
  <c r="AF27" i="4"/>
  <c r="AE27" i="4"/>
  <c r="AD27" i="4"/>
  <c r="P19" i="3" s="1"/>
  <c r="AC27" i="4"/>
  <c r="AB27" i="4"/>
  <c r="AA27" i="4"/>
  <c r="O19" i="3" s="1"/>
  <c r="Z27" i="4"/>
  <c r="Y27" i="4"/>
  <c r="X27" i="4"/>
  <c r="N19" i="3" s="1"/>
  <c r="W27" i="4"/>
  <c r="V27" i="4"/>
  <c r="U27" i="4"/>
  <c r="M19" i="3" s="1"/>
  <c r="S27" i="4"/>
  <c r="R27" i="4"/>
  <c r="L19" i="3" s="1"/>
  <c r="Q27" i="4"/>
  <c r="P27" i="4"/>
  <c r="O27" i="4"/>
  <c r="K19" i="3" s="1"/>
  <c r="N27" i="4"/>
  <c r="M27" i="4"/>
  <c r="L27" i="4"/>
  <c r="K27" i="4"/>
  <c r="J27" i="4"/>
  <c r="BL19" i="3" s="1"/>
  <c r="I27" i="4"/>
  <c r="H27" i="4"/>
  <c r="G27" i="4"/>
  <c r="F27" i="4"/>
  <c r="H19" i="3" s="1"/>
  <c r="E27" i="4"/>
  <c r="D27" i="4"/>
  <c r="C27" i="4"/>
  <c r="G19" i="3" s="1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I25" i="4"/>
  <c r="H25" i="4"/>
  <c r="G25" i="4"/>
  <c r="E25" i="4"/>
  <c r="D25" i="4"/>
  <c r="B25" i="4"/>
  <c r="DV24" i="4"/>
  <c r="BV24" i="4"/>
  <c r="BS24" i="4"/>
  <c r="Q24" i="4"/>
  <c r="N24" i="4"/>
  <c r="M24" i="4"/>
  <c r="L24" i="4"/>
  <c r="I24" i="4"/>
  <c r="H24" i="4"/>
  <c r="G24" i="4"/>
  <c r="E24" i="4"/>
  <c r="B24" i="4"/>
  <c r="FB22" i="4"/>
  <c r="BK15" i="3" s="1"/>
  <c r="EZ22" i="4"/>
  <c r="BI14" i="3" s="1"/>
  <c r="EX22" i="4"/>
  <c r="EV22" i="4"/>
  <c r="BH15" i="3" s="1"/>
  <c r="ET22" i="4"/>
  <c r="BG15" i="3"/>
  <c r="EQ22" i="4"/>
  <c r="EO22" i="4"/>
  <c r="BF15" i="3" s="1"/>
  <c r="EM22" i="4"/>
  <c r="BE15" i="3"/>
  <c r="EK22" i="4"/>
  <c r="BD14" i="3" s="1"/>
  <c r="EI22" i="4"/>
  <c r="BB15" i="3" s="1"/>
  <c r="EG22" i="4"/>
  <c r="BA14" i="3" s="1"/>
  <c r="ED22" i="4"/>
  <c r="EB22" i="4"/>
  <c r="AY15" i="3" s="1"/>
  <c r="DZ22" i="4"/>
  <c r="AX14" i="3" s="1"/>
  <c r="AX15" i="3"/>
  <c r="DX22" i="4"/>
  <c r="AW15" i="3" s="1"/>
  <c r="DV23" i="4"/>
  <c r="DT22" i="4"/>
  <c r="AU15" i="3" s="1"/>
  <c r="DQ22" i="4"/>
  <c r="AT14" i="3" s="1"/>
  <c r="DO22" i="4"/>
  <c r="AR15" i="3"/>
  <c r="DM22" i="4"/>
  <c r="AS15" i="3" s="1"/>
  <c r="DK22" i="4"/>
  <c r="AP14" i="3" s="1"/>
  <c r="DI22" i="4"/>
  <c r="DG22" i="4"/>
  <c r="AN15" i="3" s="1"/>
  <c r="DE22" i="4"/>
  <c r="AO14" i="3" s="1"/>
  <c r="DC22" i="4"/>
  <c r="AL15" i="3"/>
  <c r="DA22" i="4"/>
  <c r="AM15" i="3" s="1"/>
  <c r="CY22" i="4"/>
  <c r="AJ14" i="3" s="1"/>
  <c r="CW22" i="4"/>
  <c r="AK15" i="3"/>
  <c r="CT22" i="4"/>
  <c r="AC15" i="3" s="1"/>
  <c r="CQ22" i="4"/>
  <c r="AB14" i="3" s="1"/>
  <c r="CN22" i="4"/>
  <c r="AA15" i="3" s="1"/>
  <c r="CK22" i="4"/>
  <c r="Z15" i="3" s="1"/>
  <c r="CI22" i="4"/>
  <c r="AI15" i="3" s="1"/>
  <c r="CG22" i="4"/>
  <c r="AH14" i="3" s="1"/>
  <c r="AH15" i="3"/>
  <c r="CE22" i="4"/>
  <c r="AG15" i="3" s="1"/>
  <c r="CC22" i="4"/>
  <c r="AF14" i="3" s="1"/>
  <c r="CA22" i="4"/>
  <c r="BY22" i="4"/>
  <c r="AD15" i="3"/>
  <c r="BV23" i="4"/>
  <c r="BS23" i="4"/>
  <c r="BF22" i="4"/>
  <c r="Y15" i="3"/>
  <c r="BC22" i="4"/>
  <c r="X15" i="3"/>
  <c r="AZ22" i="4"/>
  <c r="W14" i="3" s="1"/>
  <c r="AV22" i="4"/>
  <c r="V15" i="3"/>
  <c r="AS22" i="4"/>
  <c r="U15" i="3"/>
  <c r="AP22" i="4"/>
  <c r="T15" i="3" s="1"/>
  <c r="AM22" i="4"/>
  <c r="AJ22" i="4"/>
  <c r="R14" i="3" s="1"/>
  <c r="R15" i="3"/>
  <c r="AG22" i="4"/>
  <c r="Q14" i="3" s="1"/>
  <c r="AD22" i="4"/>
  <c r="P15" i="3" s="1"/>
  <c r="AA22" i="4"/>
  <c r="O15" i="3"/>
  <c r="X22" i="4"/>
  <c r="N15" i="3" s="1"/>
  <c r="U22" i="4"/>
  <c r="M14" i="3" s="1"/>
  <c r="M15" i="3"/>
  <c r="R22" i="4"/>
  <c r="L15" i="3" s="1"/>
  <c r="Q23" i="4"/>
  <c r="O22" i="4"/>
  <c r="N23" i="4"/>
  <c r="M23" i="4"/>
  <c r="L23" i="4"/>
  <c r="I23" i="4"/>
  <c r="H23" i="4"/>
  <c r="G23" i="4"/>
  <c r="E23" i="4"/>
  <c r="B23" i="4"/>
  <c r="FC22" i="4"/>
  <c r="FA22" i="4"/>
  <c r="EY22" i="4"/>
  <c r="EW22" i="4"/>
  <c r="BH14" i="3"/>
  <c r="EU22" i="4"/>
  <c r="ER22" i="4"/>
  <c r="EP22" i="4"/>
  <c r="EN22" i="4"/>
  <c r="EL22" i="4"/>
  <c r="EJ22" i="4"/>
  <c r="EH22" i="4"/>
  <c r="EE22" i="4"/>
  <c r="EC22" i="4"/>
  <c r="AY14" i="3"/>
  <c r="EA22" i="4"/>
  <c r="DY22" i="4"/>
  <c r="DW22" i="4"/>
  <c r="DV22" i="4"/>
  <c r="DU22" i="4"/>
  <c r="AU14" i="3"/>
  <c r="DR22" i="4"/>
  <c r="DP22" i="4"/>
  <c r="DN22" i="4"/>
  <c r="AS14" i="3"/>
  <c r="DL22" i="4"/>
  <c r="DJ22" i="4"/>
  <c r="AQ14" i="3"/>
  <c r="DH22" i="4"/>
  <c r="AN14" i="3"/>
  <c r="DF22" i="4"/>
  <c r="DD22" i="4"/>
  <c r="DB22" i="4"/>
  <c r="CZ22" i="4"/>
  <c r="CX22" i="4"/>
  <c r="AK14" i="3"/>
  <c r="CU22" i="4"/>
  <c r="AC14" i="3"/>
  <c r="CS22" i="4"/>
  <c r="CR22" i="4"/>
  <c r="CP22" i="4"/>
  <c r="CO22" i="4"/>
  <c r="AA14" i="3"/>
  <c r="CM22" i="4"/>
  <c r="CL22" i="4"/>
  <c r="CJ22" i="4"/>
  <c r="CH22" i="4"/>
  <c r="CF22" i="4"/>
  <c r="AG14" i="3"/>
  <c r="CD22" i="4"/>
  <c r="CB22" i="4"/>
  <c r="AE14" i="3"/>
  <c r="BZ22" i="4"/>
  <c r="AD14" i="3"/>
  <c r="BX22" i="4"/>
  <c r="BW22" i="4"/>
  <c r="BV22" i="4"/>
  <c r="BT22" i="4"/>
  <c r="BS22" i="4"/>
  <c r="BH22" i="4"/>
  <c r="BG22" i="4"/>
  <c r="Y14" i="3"/>
  <c r="BE22" i="4"/>
  <c r="BD22" i="4"/>
  <c r="X14" i="3"/>
  <c r="BB22" i="4"/>
  <c r="BA22" i="4"/>
  <c r="AX22" i="4"/>
  <c r="AW22" i="4"/>
  <c r="V14" i="3"/>
  <c r="AU22" i="4"/>
  <c r="AT22" i="4"/>
  <c r="U14" i="3"/>
  <c r="AR22" i="4"/>
  <c r="AQ22" i="4"/>
  <c r="AO22" i="4"/>
  <c r="AN22" i="4"/>
  <c r="S14" i="3"/>
  <c r="AL22" i="4"/>
  <c r="AK22" i="4"/>
  <c r="AI22" i="4"/>
  <c r="AH22" i="4"/>
  <c r="AF22" i="4"/>
  <c r="AE22" i="4"/>
  <c r="AC22" i="4"/>
  <c r="AB22" i="4"/>
  <c r="Z22" i="4"/>
  <c r="Y22" i="4"/>
  <c r="N14" i="3"/>
  <c r="W22" i="4"/>
  <c r="V22" i="4"/>
  <c r="S22" i="4"/>
  <c r="L14" i="3"/>
  <c r="Q22" i="4"/>
  <c r="P22" i="4"/>
  <c r="N22" i="4"/>
  <c r="M22" i="4"/>
  <c r="L22" i="4"/>
  <c r="J22" i="4"/>
  <c r="BL14" i="3" s="1"/>
  <c r="K14" i="1" s="1"/>
  <c r="I22" i="4"/>
  <c r="H22" i="4"/>
  <c r="G22" i="4"/>
  <c r="H14" i="3"/>
  <c r="E22" i="4"/>
  <c r="G14" i="3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C44" i="4" s="1"/>
  <c r="B11" i="4"/>
  <c r="DV10" i="4"/>
  <c r="DW9" i="4" s="1"/>
  <c r="DV9" i="4"/>
  <c r="BV10" i="4"/>
  <c r="BW9" i="4" s="1"/>
  <c r="BS10" i="4"/>
  <c r="M10" i="4"/>
  <c r="N9" i="4" s="1"/>
  <c r="I10" i="4"/>
  <c r="J9" i="4" s="1"/>
  <c r="BL2" i="3" s="1"/>
  <c r="K2" i="1" s="1"/>
  <c r="I9" i="4"/>
  <c r="B10" i="4"/>
  <c r="FB9" i="4"/>
  <c r="BK2" i="3"/>
  <c r="EZ9" i="4"/>
  <c r="EX9" i="4"/>
  <c r="BJ2" i="3" s="1"/>
  <c r="EV9" i="4"/>
  <c r="ET9" i="4"/>
  <c r="BG2" i="3" s="1"/>
  <c r="EM9" i="4"/>
  <c r="BE2" i="3" s="1"/>
  <c r="EK9" i="4"/>
  <c r="EL9" i="4" s="1"/>
  <c r="EI9" i="4"/>
  <c r="BB2" i="3" s="1"/>
  <c r="EG9" i="4"/>
  <c r="ED9" i="4"/>
  <c r="AZ2" i="3" s="1"/>
  <c r="EB9" i="4"/>
  <c r="AY2" i="3" s="1"/>
  <c r="EC9" i="4"/>
  <c r="DX9" i="4"/>
  <c r="AW2" i="3" s="1"/>
  <c r="DT9" i="4"/>
  <c r="DQ9" i="4"/>
  <c r="AT2" i="3" s="1"/>
  <c r="DO9" i="4"/>
  <c r="DP9" i="4"/>
  <c r="DM9" i="4"/>
  <c r="AS2" i="3" s="1"/>
  <c r="DK9" i="4"/>
  <c r="AP2" i="3" s="1"/>
  <c r="DI9" i="4"/>
  <c r="DG9" i="4"/>
  <c r="DH9" i="4" s="1"/>
  <c r="DE9" i="4"/>
  <c r="DC9" i="4"/>
  <c r="AL2" i="3" s="1"/>
  <c r="DA9" i="4"/>
  <c r="AM2" i="3" s="1"/>
  <c r="CY9" i="4"/>
  <c r="AJ2" i="3" s="1"/>
  <c r="CT9" i="4"/>
  <c r="AC2" i="3" s="1"/>
  <c r="CS9" i="4"/>
  <c r="CQ9" i="4"/>
  <c r="CP9" i="4"/>
  <c r="CN44" i="4" s="1"/>
  <c r="CN9" i="4"/>
  <c r="CO9" i="4" s="1"/>
  <c r="CM9" i="4"/>
  <c r="CK9" i="4"/>
  <c r="Z2" i="3" s="1"/>
  <c r="CI9" i="4"/>
  <c r="CG9" i="4"/>
  <c r="AH2" i="3" s="1"/>
  <c r="CC9" i="4"/>
  <c r="CD9" i="4" s="1"/>
  <c r="CA9" i="4"/>
  <c r="BY9" i="4"/>
  <c r="BX9" i="4"/>
  <c r="BV9" i="4"/>
  <c r="BS9" i="4"/>
  <c r="BH9" i="4"/>
  <c r="BF44" i="4" s="1"/>
  <c r="BE9" i="4"/>
  <c r="BC9" i="4"/>
  <c r="X2" i="3" s="1"/>
  <c r="BB9" i="4"/>
  <c r="AZ9" i="4"/>
  <c r="W2" i="3" s="1"/>
  <c r="AX9" i="4"/>
  <c r="AV9" i="4"/>
  <c r="AW9" i="4" s="1"/>
  <c r="AU9" i="4"/>
  <c r="AS9" i="4"/>
  <c r="AT9" i="4" s="1"/>
  <c r="AS45" i="4" s="1"/>
  <c r="AR9" i="4"/>
  <c r="AP9" i="4"/>
  <c r="AO9" i="4"/>
  <c r="AM9" i="4"/>
  <c r="S2" i="3" s="1"/>
  <c r="AL9" i="4"/>
  <c r="AJ9" i="4"/>
  <c r="AK9" i="4" s="1"/>
  <c r="AI9" i="4"/>
  <c r="AG9" i="4"/>
  <c r="Q2" i="3" s="1"/>
  <c r="AF9" i="4"/>
  <c r="AD9" i="4"/>
  <c r="P2" i="3" s="1"/>
  <c r="AC9" i="4"/>
  <c r="AA9" i="4"/>
  <c r="O2" i="3" s="1"/>
  <c r="Z9" i="4"/>
  <c r="X9" i="4"/>
  <c r="N2" i="3" s="1"/>
  <c r="W9" i="4"/>
  <c r="U9" i="4"/>
  <c r="M2" i="3" s="1"/>
  <c r="R9" i="4"/>
  <c r="S9" i="4" s="1"/>
  <c r="Q9" i="4"/>
  <c r="O9" i="4"/>
  <c r="M9" i="4"/>
  <c r="K9" i="4"/>
  <c r="L9" i="4" s="1"/>
  <c r="H9" i="4"/>
  <c r="F44" i="4" s="1"/>
  <c r="F9" i="4"/>
  <c r="G9" i="4" s="1"/>
  <c r="E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I12" i="1"/>
  <c r="K11" i="1"/>
  <c r="EE9" i="4"/>
  <c r="AO2" i="3"/>
  <c r="AF2" i="3"/>
  <c r="AH9" i="4"/>
  <c r="I14" i="1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7" i="1"/>
  <c r="I15" i="1"/>
  <c r="I11" i="1"/>
  <c r="I4" i="1"/>
  <c r="N2" i="1"/>
  <c r="V9" i="4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R9" i="4"/>
  <c r="EJ9" i="4"/>
  <c r="CF9" i="4"/>
  <c r="BG9" i="4"/>
  <c r="AR2" i="3"/>
  <c r="BH2" i="3"/>
  <c r="BA9" i="4"/>
  <c r="AA2" i="3"/>
  <c r="AE9" i="4"/>
  <c r="CJ9" i="4"/>
  <c r="AI2" i="3"/>
  <c r="AK2" i="3"/>
  <c r="EW9" i="4"/>
  <c r="DF9" i="4"/>
  <c r="EU9" i="4"/>
  <c r="K12" i="1"/>
  <c r="K16" i="1"/>
  <c r="K17" i="1"/>
  <c r="K24" i="1"/>
  <c r="K21" i="1"/>
  <c r="K29" i="1"/>
  <c r="K28" i="1"/>
  <c r="K25" i="1"/>
  <c r="K7" i="1"/>
  <c r="K19" i="1"/>
  <c r="G28" i="1"/>
  <c r="E30" i="1"/>
  <c r="G16" i="1"/>
  <c r="G31" i="1"/>
  <c r="E17" i="1"/>
  <c r="I13" i="1"/>
  <c r="BD9" i="4"/>
  <c r="R2" i="3"/>
  <c r="G23" i="1"/>
  <c r="E22" i="1"/>
  <c r="EN9" i="4"/>
  <c r="DB9" i="4"/>
  <c r="E21" i="1"/>
  <c r="I31" i="1"/>
  <c r="I25" i="1"/>
  <c r="G27" i="1"/>
  <c r="G26" i="1"/>
  <c r="E28" i="1"/>
  <c r="G29" i="1"/>
  <c r="E29" i="1"/>
  <c r="G25" i="1"/>
  <c r="E26" i="1"/>
  <c r="E27" i="1"/>
  <c r="E23" i="1"/>
  <c r="G21" i="1"/>
  <c r="E25" i="1"/>
  <c r="G22" i="1"/>
  <c r="E24" i="1"/>
  <c r="AU6" i="3"/>
  <c r="AU7" i="3"/>
  <c r="BK7" i="3"/>
  <c r="BK8" i="3"/>
  <c r="X8" i="3"/>
  <c r="X9" i="3"/>
  <c r="L8" i="3"/>
  <c r="L9" i="3"/>
  <c r="ER9" i="4"/>
  <c r="V2" i="3"/>
  <c r="EP9" i="4"/>
  <c r="CU9" i="4"/>
  <c r="BF5" i="3"/>
  <c r="BJ8" i="3"/>
  <c r="AK10" i="3"/>
  <c r="FC9" i="4"/>
  <c r="BB6" i="3"/>
  <c r="BB7" i="3"/>
  <c r="AE6" i="3"/>
  <c r="R8" i="3"/>
  <c r="R9" i="3"/>
  <c r="AB10" i="3"/>
  <c r="AB9" i="3"/>
  <c r="BF6" i="3"/>
  <c r="T7" i="3"/>
  <c r="T8" i="3"/>
  <c r="N8" i="3"/>
  <c r="N7" i="3"/>
  <c r="BE8" i="3"/>
  <c r="BE9" i="3"/>
  <c r="AT10" i="3"/>
  <c r="AT9" i="3"/>
  <c r="BI12" i="3"/>
  <c r="X12" i="3"/>
  <c r="X11" i="3"/>
  <c r="BF4" i="3"/>
  <c r="BF3" i="3"/>
  <c r="AZ4" i="3"/>
  <c r="AZ3" i="3"/>
  <c r="AM4" i="3"/>
  <c r="AM3" i="3"/>
  <c r="AG4" i="3"/>
  <c r="AG3" i="3"/>
  <c r="U4" i="3"/>
  <c r="U3" i="3"/>
  <c r="O4" i="3"/>
  <c r="O3" i="3"/>
  <c r="U8" i="3"/>
  <c r="U9" i="3"/>
  <c r="O8" i="3"/>
  <c r="O9" i="3"/>
  <c r="BD10" i="3"/>
  <c r="EA9" i="4"/>
  <c r="AR8" i="3"/>
  <c r="AR7" i="3"/>
  <c r="AX8" i="3"/>
  <c r="AX9" i="3"/>
  <c r="AQ13" i="3"/>
  <c r="AQ12" i="3"/>
  <c r="AE13" i="3"/>
  <c r="AE12" i="3"/>
  <c r="AX3" i="3"/>
  <c r="W8" i="3"/>
  <c r="W7" i="3"/>
  <c r="Q7" i="3"/>
  <c r="Q8" i="3"/>
  <c r="K7" i="3"/>
  <c r="K8" i="3"/>
  <c r="S10" i="3"/>
  <c r="AP11" i="3"/>
  <c r="BG14" i="3"/>
  <c r="AU3" i="3"/>
  <c r="K3" i="3"/>
  <c r="BI4" i="3"/>
  <c r="AW4" i="3"/>
  <c r="AP4" i="3"/>
  <c r="AD4" i="3"/>
  <c r="X4" i="3"/>
  <c r="L4" i="3"/>
  <c r="AG5" i="3"/>
  <c r="X5" i="3"/>
  <c r="BG6" i="3"/>
  <c r="AW7" i="3"/>
  <c r="AC11" i="3"/>
  <c r="K11" i="3"/>
  <c r="AZ12" i="3"/>
  <c r="O12" i="3"/>
  <c r="AO3" i="3"/>
  <c r="AK3" i="3"/>
  <c r="Y3" i="3"/>
  <c r="Q3" i="3"/>
  <c r="BG4" i="3"/>
  <c r="AN4" i="3"/>
  <c r="V4" i="3"/>
  <c r="J3" i="3"/>
  <c r="AJ5" i="3"/>
  <c r="AA5" i="3"/>
  <c r="BA6" i="3"/>
  <c r="V6" i="3"/>
  <c r="M6" i="3"/>
  <c r="G6" i="3"/>
  <c r="I6" i="1" s="1"/>
  <c r="BC7" i="3"/>
  <c r="AY8" i="3"/>
  <c r="AJ7" i="3"/>
  <c r="I7" i="3"/>
  <c r="AO9" i="3"/>
  <c r="T9" i="3"/>
  <c r="BC10" i="3"/>
  <c r="AS10" i="3"/>
  <c r="AA10" i="3"/>
  <c r="R10" i="3"/>
  <c r="R11" i="3"/>
  <c r="AF12" i="3"/>
  <c r="BI13" i="3"/>
  <c r="BF13" i="3"/>
  <c r="AW13" i="3"/>
  <c r="AN13" i="3"/>
  <c r="AH13" i="3"/>
  <c r="AB13" i="3"/>
  <c r="V13" i="3"/>
  <c r="L13" i="3"/>
  <c r="AS12" i="3"/>
  <c r="AA12" i="3"/>
  <c r="AW3" i="3"/>
  <c r="L3" i="3"/>
  <c r="BI5" i="3"/>
  <c r="AM5" i="3"/>
  <c r="AD5" i="3"/>
  <c r="BH7" i="3"/>
  <c r="BD6" i="3"/>
  <c r="AT6" i="3"/>
  <c r="Y6" i="3"/>
  <c r="P6" i="3"/>
  <c r="AP7" i="3"/>
  <c r="H7" i="3"/>
  <c r="BJ9" i="3"/>
  <c r="AH9" i="3"/>
  <c r="AE9" i="3"/>
  <c r="Y9" i="3"/>
  <c r="V9" i="3"/>
  <c r="M9" i="3"/>
  <c r="BF10" i="3"/>
  <c r="AD10" i="3"/>
  <c r="BC11" i="3"/>
  <c r="BB11" i="3"/>
  <c r="AR12" i="3"/>
  <c r="AI11" i="3"/>
  <c r="Z12" i="3"/>
  <c r="Q11" i="3"/>
  <c r="BH12" i="3"/>
  <c r="BA13" i="3"/>
  <c r="AP13" i="3"/>
  <c r="AJ13" i="3"/>
  <c r="AD13" i="3"/>
  <c r="X13" i="3"/>
  <c r="P13" i="3"/>
  <c r="AI3" i="3"/>
  <c r="W3" i="3"/>
  <c r="AX4" i="3"/>
  <c r="M4" i="3"/>
  <c r="AZ5" i="3"/>
  <c r="AP5" i="3"/>
  <c r="U5" i="3"/>
  <c r="AK6" i="3"/>
  <c r="AS7" i="3"/>
  <c r="AA7" i="3"/>
  <c r="X7" i="3"/>
  <c r="U7" i="3"/>
  <c r="R7" i="3"/>
  <c r="O7" i="3"/>
  <c r="L7" i="3"/>
  <c r="AQ10" i="3"/>
  <c r="P10" i="3"/>
  <c r="I11" i="3"/>
  <c r="AW12" i="3"/>
  <c r="AD12" i="3"/>
  <c r="AO13" i="3"/>
  <c r="AI13" i="3"/>
  <c r="AC13" i="3"/>
  <c r="W13" i="3"/>
  <c r="AY4" i="3"/>
  <c r="AY5" i="3"/>
  <c r="AO4" i="3"/>
  <c r="AO5" i="3"/>
  <c r="AF4" i="3"/>
  <c r="AF5" i="3"/>
  <c r="W4" i="3"/>
  <c r="W5" i="3"/>
  <c r="N4" i="3"/>
  <c r="N5" i="3"/>
  <c r="J13" i="3"/>
  <c r="I12" i="3"/>
  <c r="J12" i="3"/>
  <c r="U2" i="3"/>
  <c r="BE14" i="3"/>
  <c r="AJ3" i="3"/>
  <c r="R3" i="3"/>
  <c r="BI6" i="3"/>
  <c r="X6" i="3"/>
  <c r="J6" i="3"/>
  <c r="I5" i="3"/>
  <c r="AT7" i="3"/>
  <c r="J7" i="3"/>
  <c r="Q12" i="3"/>
  <c r="I13" i="3"/>
  <c r="H2" i="3"/>
  <c r="BK4" i="3"/>
  <c r="BK5" i="3"/>
  <c r="BB4" i="3"/>
  <c r="BB5" i="3"/>
  <c r="AR4" i="3"/>
  <c r="AR5" i="3"/>
  <c r="AI5" i="3"/>
  <c r="Z4" i="3"/>
  <c r="Q5" i="3"/>
  <c r="G5" i="3"/>
  <c r="I5" i="1" s="1"/>
  <c r="AS6" i="3"/>
  <c r="AA6" i="3"/>
  <c r="AX7" i="3"/>
  <c r="AE7" i="3"/>
  <c r="M7" i="3"/>
  <c r="BF8" i="3"/>
  <c r="BC8" i="3"/>
  <c r="AZ8" i="3"/>
  <c r="AW8" i="3"/>
  <c r="AS8" i="3"/>
  <c r="AJ8" i="3"/>
  <c r="AG8" i="3"/>
  <c r="AD8" i="3"/>
  <c r="AA8" i="3"/>
  <c r="BK11" i="3"/>
  <c r="BE11" i="3"/>
  <c r="AR11" i="3"/>
  <c r="AL11" i="3"/>
  <c r="Z11" i="3"/>
  <c r="AL14" i="3"/>
  <c r="AR14" i="3"/>
  <c r="AP3" i="3"/>
  <c r="X3" i="3"/>
  <c r="AD6" i="3"/>
  <c r="L6" i="3"/>
  <c r="AH7" i="3"/>
  <c r="P7" i="3"/>
  <c r="J9" i="3"/>
  <c r="J8" i="3"/>
  <c r="I9" i="3"/>
  <c r="I8" i="3"/>
  <c r="AB9" i="4"/>
  <c r="Z14" i="3"/>
  <c r="G14" i="1" s="1"/>
  <c r="AS3" i="3"/>
  <c r="AA3" i="3"/>
  <c r="J4" i="3"/>
  <c r="I3" i="3"/>
  <c r="I4" i="3"/>
  <c r="BE4" i="3"/>
  <c r="BE5" i="3"/>
  <c r="AU4" i="3"/>
  <c r="AU5" i="3"/>
  <c r="AL4" i="3"/>
  <c r="AL5" i="3"/>
  <c r="AC4" i="3"/>
  <c r="AC5" i="3"/>
  <c r="T5" i="3"/>
  <c r="K5" i="3"/>
  <c r="AZ6" i="3"/>
  <c r="O6" i="3"/>
  <c r="BD7" i="3"/>
  <c r="AK7" i="3"/>
  <c r="AU12" i="3"/>
  <c r="K12" i="3"/>
  <c r="I14" i="3"/>
  <c r="J14" i="3"/>
  <c r="T14" i="3"/>
  <c r="BC3" i="3"/>
  <c r="AJ6" i="3"/>
  <c r="R6" i="3"/>
  <c r="BG7" i="3"/>
  <c r="AN7" i="3"/>
  <c r="V7" i="3"/>
  <c r="AO12" i="3"/>
  <c r="AI12" i="3"/>
  <c r="AC12" i="3"/>
  <c r="W12" i="3"/>
  <c r="AA13" i="3"/>
  <c r="G13" i="1"/>
  <c r="U13" i="3"/>
  <c r="G8" i="3"/>
  <c r="I8" i="1" s="1"/>
  <c r="J10" i="3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D24" i="4"/>
  <c r="CB23" i="4"/>
  <c r="BZ23" i="4"/>
  <c r="BT23" i="4"/>
  <c r="S23" i="4"/>
  <c r="P23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B24" i="4"/>
  <c r="BZ24" i="4"/>
  <c r="BT24" i="4"/>
  <c r="S24" i="4"/>
  <c r="P24" i="4"/>
  <c r="CR23" i="4"/>
  <c r="CS23" i="4"/>
  <c r="CS24" i="4"/>
  <c r="CR24" i="4"/>
  <c r="CO24" i="4"/>
  <c r="CP24" i="4"/>
  <c r="CO23" i="4"/>
  <c r="CP23" i="4"/>
  <c r="CM24" i="4"/>
  <c r="CL24" i="4"/>
  <c r="CM23" i="4"/>
  <c r="CL23" i="4"/>
  <c r="BX23" i="4"/>
  <c r="BW23" i="4"/>
  <c r="BW24" i="4"/>
  <c r="BX24" i="4"/>
  <c r="BH23" i="4"/>
  <c r="BG23" i="4"/>
  <c r="BH24" i="4"/>
  <c r="BG24" i="4"/>
  <c r="BE23" i="4"/>
  <c r="BE24" i="4"/>
  <c r="BD23" i="4"/>
  <c r="BD24" i="4"/>
  <c r="BA24" i="4"/>
  <c r="BB24" i="4"/>
  <c r="BB23" i="4"/>
  <c r="BA23" i="4"/>
  <c r="AX24" i="4"/>
  <c r="AW24" i="4"/>
  <c r="AX23" i="4"/>
  <c r="AW23" i="4"/>
  <c r="AU23" i="4"/>
  <c r="AT23" i="4"/>
  <c r="AU24" i="4"/>
  <c r="AT24" i="4"/>
  <c r="AQ23" i="4"/>
  <c r="AR23" i="4"/>
  <c r="AR24" i="4"/>
  <c r="AQ24" i="4"/>
  <c r="AO23" i="4"/>
  <c r="AN23" i="4"/>
  <c r="AO24" i="4"/>
  <c r="AN24" i="4"/>
  <c r="AL23" i="4"/>
  <c r="AK23" i="4"/>
  <c r="AL24" i="4"/>
  <c r="AJ44" i="4" s="1"/>
  <c r="AK24" i="4"/>
  <c r="AH24" i="4"/>
  <c r="AG45" i="4" s="1"/>
  <c r="AI24" i="4"/>
  <c r="AI23" i="4"/>
  <c r="AH23" i="4"/>
  <c r="AF24" i="4"/>
  <c r="AE24" i="4"/>
  <c r="AF23" i="4"/>
  <c r="AE23" i="4"/>
  <c r="AD45" i="4" s="1"/>
  <c r="AC23" i="4"/>
  <c r="AB23" i="4"/>
  <c r="AC24" i="4"/>
  <c r="AB24" i="4"/>
  <c r="AA45" i="4" s="1"/>
  <c r="Y23" i="4"/>
  <c r="Z23" i="4"/>
  <c r="Z24" i="4"/>
  <c r="Y24" i="4"/>
  <c r="V23" i="4"/>
  <c r="W23" i="4"/>
  <c r="V24" i="4"/>
  <c r="W24" i="4"/>
  <c r="AA44" i="4"/>
  <c r="U44" i="4"/>
  <c r="U45" i="4"/>
  <c r="CK44" i="4" l="1"/>
  <c r="CQ44" i="4"/>
  <c r="DD9" i="4"/>
  <c r="AN9" i="4"/>
  <c r="DL9" i="4"/>
  <c r="AZ45" i="4"/>
  <c r="DN9" i="4"/>
  <c r="BK14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Y4" i="3"/>
  <c r="BH10" i="3"/>
  <c r="AL18" i="3"/>
  <c r="P14" i="3"/>
  <c r="W15" i="3"/>
  <c r="BA15" i="3"/>
  <c r="BI15" i="3"/>
  <c r="H20" i="3"/>
  <c r="L20" i="3"/>
  <c r="AE20" i="3"/>
  <c r="AH20" i="3"/>
  <c r="AH6" i="3"/>
  <c r="Z10" i="3"/>
  <c r="G10" i="1" s="1"/>
  <c r="AU9" i="3"/>
  <c r="AU8" i="3"/>
  <c r="P8" i="3"/>
  <c r="AE11" i="3"/>
  <c r="AE10" i="3"/>
  <c r="AM12" i="3"/>
  <c r="AM11" i="3"/>
  <c r="H16" i="3"/>
  <c r="H15" i="3"/>
  <c r="BK18" i="3"/>
  <c r="BH9" i="3"/>
  <c r="BD2" i="3"/>
  <c r="BT9" i="4"/>
  <c r="X44" i="4"/>
  <c r="AZ44" i="4"/>
  <c r="AI9" i="3"/>
  <c r="E12" i="1"/>
  <c r="CZ9" i="4"/>
  <c r="BC45" i="4"/>
  <c r="G19" i="1"/>
  <c r="AD20" i="3"/>
  <c r="AG20" i="3"/>
  <c r="Z20" i="3"/>
  <c r="G20" i="1" s="1"/>
  <c r="AB20" i="3"/>
  <c r="BI2" i="3"/>
  <c r="V5" i="3"/>
  <c r="V11" i="3"/>
  <c r="V10" i="3"/>
  <c r="AY18" i="3"/>
  <c r="AR18" i="3"/>
  <c r="N18" i="3"/>
  <c r="BG17" i="3"/>
  <c r="BG18" i="3"/>
  <c r="AT17" i="3"/>
  <c r="AT18" i="3"/>
  <c r="AN17" i="3"/>
  <c r="AN18" i="3"/>
  <c r="AB17" i="3"/>
  <c r="G17" i="1" s="1"/>
  <c r="AB18" i="3"/>
  <c r="BB3" i="3"/>
  <c r="Q4" i="3"/>
  <c r="AA4" i="3"/>
  <c r="T4" i="3"/>
  <c r="L5" i="3"/>
  <c r="AP6" i="3"/>
  <c r="W6" i="3"/>
  <c r="AI7" i="3"/>
  <c r="BA7" i="3"/>
  <c r="AU10" i="3"/>
  <c r="AD9" i="3"/>
  <c r="P9" i="3"/>
  <c r="Y11" i="3"/>
  <c r="K10" i="3"/>
  <c r="AB12" i="3"/>
  <c r="G12" i="1" s="1"/>
  <c r="J11" i="3"/>
  <c r="BK12" i="3"/>
  <c r="R13" i="3"/>
  <c r="L12" i="3"/>
  <c r="J15" i="3"/>
  <c r="AZ18" i="3"/>
  <c r="AU18" i="3"/>
  <c r="AG18" i="3"/>
  <c r="O18" i="3"/>
  <c r="K18" i="3"/>
  <c r="G18" i="3"/>
  <c r="I18" i="1" s="1"/>
  <c r="H17" i="3"/>
  <c r="P9" i="4"/>
  <c r="BA3" i="3"/>
  <c r="AH3" i="3"/>
  <c r="AB3" i="3"/>
  <c r="BA4" i="3"/>
  <c r="Z5" i="3"/>
  <c r="G7" i="3"/>
  <c r="I7" i="1" s="1"/>
  <c r="BD9" i="3"/>
  <c r="AS9" i="3"/>
  <c r="Y7" i="3"/>
  <c r="AZ9" i="3"/>
  <c r="AT11" i="3"/>
  <c r="AI10" i="3"/>
  <c r="BD11" i="3"/>
  <c r="AX12" i="3"/>
  <c r="BE12" i="3"/>
  <c r="I15" i="3"/>
  <c r="BC18" i="3"/>
  <c r="AJ18" i="3"/>
  <c r="R18" i="3"/>
  <c r="E18" i="1" s="1"/>
  <c r="I10" i="3"/>
  <c r="AO7" i="3"/>
  <c r="BB9" i="3"/>
  <c r="AM9" i="3"/>
  <c r="AB8" i="3"/>
  <c r="G8" i="1" s="1"/>
  <c r="BC9" i="3"/>
  <c r="AR9" i="3"/>
  <c r="W10" i="3"/>
  <c r="AL10" i="3"/>
  <c r="S11" i="3"/>
  <c r="BH11" i="3"/>
  <c r="AS11" i="3"/>
  <c r="BG13" i="3"/>
  <c r="AS13" i="3"/>
  <c r="AL13" i="3"/>
  <c r="AF13" i="3"/>
  <c r="N13" i="3"/>
  <c r="BI18" i="3"/>
  <c r="AP18" i="3"/>
  <c r="X18" i="3"/>
  <c r="AK5" i="3"/>
  <c r="Y5" i="3"/>
  <c r="BF7" i="3"/>
  <c r="AA9" i="3"/>
  <c r="G9" i="1" s="1"/>
  <c r="AS18" i="3"/>
  <c r="AA18" i="3"/>
  <c r="G18" i="1" s="1"/>
  <c r="BI16" i="3"/>
  <c r="BC16" i="3"/>
  <c r="AW16" i="3"/>
  <c r="AP16" i="3"/>
  <c r="AJ16" i="3"/>
  <c r="AD16" i="3"/>
  <c r="X16" i="3"/>
  <c r="R16" i="3"/>
  <c r="E16" i="1" s="1"/>
  <c r="L16" i="3"/>
  <c r="O45" i="4"/>
  <c r="D9" i="4"/>
  <c r="C45" i="4" s="1"/>
  <c r="G2" i="3"/>
  <c r="I2" i="1" s="1"/>
  <c r="AT4" i="3"/>
  <c r="AH5" i="3"/>
  <c r="AH4" i="3"/>
  <c r="BC5" i="3"/>
  <c r="BC6" i="3"/>
  <c r="BJ7" i="3"/>
  <c r="BJ6" i="3"/>
  <c r="AM7" i="3"/>
  <c r="AM8" i="3"/>
  <c r="AG7" i="3"/>
  <c r="AG6" i="3"/>
  <c r="AC7" i="3"/>
  <c r="AC8" i="3"/>
  <c r="AD44" i="4"/>
  <c r="O47" i="4"/>
  <c r="O44" i="4"/>
  <c r="AZ15" i="3"/>
  <c r="AZ14" i="3"/>
  <c r="AM44" i="4"/>
  <c r="E5" i="1"/>
  <c r="G3" i="3"/>
  <c r="I3" i="1" s="1"/>
  <c r="DY9" i="4"/>
  <c r="FA9" i="4"/>
  <c r="DU9" i="4"/>
  <c r="AU2" i="3"/>
  <c r="BC44" i="4"/>
  <c r="BC46" i="4" s="1"/>
  <c r="AI14" i="3"/>
  <c r="AW14" i="3"/>
  <c r="K15" i="3"/>
  <c r="K14" i="3"/>
  <c r="Q15" i="3"/>
  <c r="AO15" i="3"/>
  <c r="BB13" i="3"/>
  <c r="BB12" i="3"/>
  <c r="AN12" i="3"/>
  <c r="AN11" i="3"/>
  <c r="AM14" i="3"/>
  <c r="AM13" i="3"/>
  <c r="AG12" i="3"/>
  <c r="AG13" i="3"/>
  <c r="O14" i="3"/>
  <c r="O13" i="3"/>
  <c r="H13" i="3"/>
  <c r="H12" i="3"/>
  <c r="CL9" i="4"/>
  <c r="BF45" i="4"/>
  <c r="BF46" i="4" s="1"/>
  <c r="F45" i="4"/>
  <c r="L2" i="3"/>
  <c r="AG44" i="4"/>
  <c r="AQ9" i="4"/>
  <c r="T2" i="3"/>
  <c r="AV44" i="4"/>
  <c r="AJ15" i="3"/>
  <c r="BC15" i="3"/>
  <c r="BC14" i="3"/>
  <c r="AN10" i="3"/>
  <c r="AN9" i="3"/>
  <c r="AJ9" i="3"/>
  <c r="AJ10" i="3"/>
  <c r="T10" i="3"/>
  <c r="T11" i="3"/>
  <c r="BJ15" i="3"/>
  <c r="BJ14" i="3"/>
  <c r="AM45" i="4"/>
  <c r="AV45" i="4"/>
  <c r="E2" i="1"/>
  <c r="K2" i="3"/>
  <c r="F47" i="4"/>
  <c r="AJ45" i="4"/>
  <c r="AP44" i="4"/>
  <c r="AB2" i="3"/>
  <c r="G2" i="1" s="1"/>
  <c r="CR9" i="4"/>
  <c r="E14" i="1"/>
  <c r="AB15" i="3"/>
  <c r="G15" i="1" s="1"/>
  <c r="Q9" i="3"/>
  <c r="Q10" i="3"/>
  <c r="H9" i="3"/>
  <c r="H10" i="3"/>
  <c r="BI10" i="3"/>
  <c r="BI11" i="3"/>
  <c r="AO11" i="3"/>
  <c r="AO10" i="3"/>
  <c r="AB11" i="3"/>
  <c r="G11" i="1" s="1"/>
  <c r="J2" i="3"/>
  <c r="I2" i="3"/>
  <c r="AT15" i="3"/>
  <c r="AP9" i="3"/>
  <c r="AP8" i="3"/>
  <c r="AK8" i="3"/>
  <c r="AK9" i="3"/>
  <c r="AF9" i="3"/>
  <c r="AF8" i="3"/>
  <c r="S8" i="3"/>
  <c r="S9" i="3"/>
  <c r="E9" i="1" s="1"/>
  <c r="BZ9" i="4"/>
  <c r="AD2" i="3"/>
  <c r="CN45" i="4"/>
  <c r="C47" i="4"/>
  <c r="AF15" i="3"/>
  <c r="AP15" i="3"/>
  <c r="BI3" i="3"/>
  <c r="BA2" i="3"/>
  <c r="EH9" i="4"/>
  <c r="AQ3" i="3"/>
  <c r="DJ9" i="4"/>
  <c r="AQ2" i="3"/>
  <c r="AE3" i="3"/>
  <c r="AE2" i="3"/>
  <c r="CB9" i="4"/>
  <c r="BH4" i="3"/>
  <c r="BH5" i="3"/>
  <c r="AW5" i="3"/>
  <c r="AW6" i="3"/>
  <c r="AE5" i="3"/>
  <c r="AE4" i="3"/>
  <c r="R5" i="3"/>
  <c r="R4" i="3"/>
  <c r="E6" i="1"/>
  <c r="BE6" i="3"/>
  <c r="BE7" i="3"/>
  <c r="AB7" i="3"/>
  <c r="G7" i="1" s="1"/>
  <c r="AB6" i="3"/>
  <c r="G6" i="1" s="1"/>
  <c r="S6" i="3"/>
  <c r="S7" i="3"/>
  <c r="E7" i="1" s="1"/>
  <c r="BL5" i="3"/>
  <c r="K5" i="1" s="1"/>
  <c r="BI8" i="3"/>
  <c r="BI7" i="3"/>
  <c r="AN2" i="3"/>
  <c r="Y9" i="4"/>
  <c r="BF14" i="3"/>
  <c r="AT5" i="3"/>
  <c r="BG10" i="3"/>
  <c r="BG9" i="3"/>
  <c r="G10" i="3"/>
  <c r="I10" i="1" s="1"/>
  <c r="G9" i="3"/>
  <c r="I9" i="1" s="1"/>
  <c r="L11" i="3"/>
  <c r="L10" i="3"/>
  <c r="AK12" i="3"/>
  <c r="AK11" i="3"/>
  <c r="BE13" i="3"/>
  <c r="AT13" i="3"/>
  <c r="AS44" i="4"/>
  <c r="CH9" i="4"/>
  <c r="BB14" i="3"/>
  <c r="Z3" i="3"/>
  <c r="G3" i="1" s="1"/>
  <c r="H4" i="3"/>
  <c r="H3" i="3"/>
  <c r="AQ5" i="3"/>
  <c r="AQ4" i="3"/>
  <c r="BJ5" i="3"/>
  <c r="BJ4" i="3"/>
  <c r="V8" i="3"/>
  <c r="AW10" i="3"/>
  <c r="AW11" i="3"/>
  <c r="BD13" i="3"/>
  <c r="BD12" i="3"/>
  <c r="BA11" i="3"/>
  <c r="S15" i="3"/>
  <c r="AE15" i="3"/>
  <c r="AQ15" i="3"/>
  <c r="J19" i="3"/>
  <c r="I19" i="3"/>
  <c r="R19" i="3"/>
  <c r="E19" i="1" s="1"/>
  <c r="AJ19" i="3"/>
  <c r="BC19" i="3"/>
  <c r="BD3" i="3"/>
  <c r="BD4" i="3"/>
  <c r="S4" i="3"/>
  <c r="S3" i="3"/>
  <c r="E3" i="1" s="1"/>
  <c r="I6" i="3"/>
  <c r="J5" i="3"/>
  <c r="O11" i="3"/>
  <c r="O10" i="3"/>
  <c r="AH12" i="3"/>
  <c r="AH11" i="3"/>
  <c r="BD15" i="3"/>
  <c r="AB5" i="3"/>
  <c r="G5" i="1" s="1"/>
  <c r="AB4" i="3"/>
  <c r="G4" i="1" s="1"/>
  <c r="H6" i="3"/>
  <c r="H5" i="3"/>
  <c r="AX6" i="3"/>
  <c r="AX5" i="3"/>
  <c r="BA9" i="3"/>
  <c r="BA8" i="3"/>
  <c r="AG9" i="3"/>
  <c r="AR10" i="3"/>
  <c r="BJ12" i="3"/>
  <c r="I17" i="3"/>
  <c r="I18" i="3"/>
  <c r="BC13" i="3"/>
  <c r="AR13" i="3"/>
  <c r="AY10" i="3"/>
  <c r="E20" i="1" l="1"/>
  <c r="E8" i="1"/>
  <c r="E10" i="1"/>
  <c r="AA51" i="4"/>
  <c r="E11" i="1"/>
  <c r="E15" i="1"/>
  <c r="E13" i="1"/>
  <c r="AZ46" i="4"/>
  <c r="CQ45" i="4"/>
  <c r="X45" i="4"/>
  <c r="E4" i="1"/>
  <c r="AP45" i="4"/>
  <c r="CK45" i="4"/>
  <c r="AM51" i="4" l="1"/>
  <c r="AV51" i="4" s="1"/>
  <c r="FC30" i="4" l="1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J30" i="4"/>
  <c r="G30" i="4"/>
  <c r="D30" i="4"/>
  <c r="FC29" i="4"/>
  <c r="EY29" i="4"/>
  <c r="EW29" i="4"/>
  <c r="EU29" i="4"/>
  <c r="ER29" i="4"/>
  <c r="EP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B29" i="4"/>
  <c r="CZ29" i="4"/>
  <c r="CX29" i="4"/>
  <c r="CU29" i="4"/>
  <c r="CT48" i="4" s="1"/>
  <c r="CT49" i="4" s="1"/>
  <c r="CJ29" i="4"/>
  <c r="CH29" i="4"/>
  <c r="CG48" i="4" s="1"/>
  <c r="CF29" i="4"/>
  <c r="CE48" i="4" s="1"/>
  <c r="CD29" i="4"/>
  <c r="CC48" i="4" s="1"/>
  <c r="BZ29" i="4"/>
  <c r="BY48" i="4" s="1"/>
  <c r="BT29" i="4"/>
  <c r="S29" i="4"/>
  <c r="P29" i="4"/>
  <c r="O48" i="4" s="1"/>
  <c r="O49" i="4" s="1"/>
  <c r="N29" i="4"/>
  <c r="L29" i="4"/>
  <c r="K48" i="4" s="1"/>
  <c r="K49" i="4" s="1"/>
  <c r="J29" i="4"/>
  <c r="G29" i="4"/>
  <c r="F48" i="4" s="1"/>
  <c r="F49" i="4" s="1"/>
  <c r="D29" i="4"/>
  <c r="C48" i="4" s="1"/>
  <c r="C49" i="4" s="1"/>
  <c r="DH28" i="4"/>
  <c r="J28" i="4"/>
  <c r="BL20" i="3" s="1"/>
  <c r="K20" i="1" s="1"/>
  <c r="FA29" i="4" l="1"/>
  <c r="EN29" i="4"/>
  <c r="DD29" i="4"/>
  <c r="CS29" i="4"/>
  <c r="CR29" i="4"/>
  <c r="CQ48" i="4" s="1"/>
  <c r="CS30" i="4"/>
  <c r="CR30" i="4"/>
  <c r="CO29" i="4"/>
  <c r="CN48" i="4" s="1"/>
  <c r="CP29" i="4"/>
  <c r="CN47" i="4" s="1"/>
  <c r="CP30" i="4"/>
  <c r="CO30" i="4"/>
  <c r="CM30" i="4"/>
  <c r="CL30" i="4"/>
  <c r="CM29" i="4"/>
  <c r="CK47" i="4" s="1"/>
  <c r="CL29" i="4"/>
  <c r="CK48" i="4" s="1"/>
  <c r="CK49" i="4" s="1"/>
  <c r="CI48" i="4"/>
  <c r="CB29" i="4"/>
  <c r="CA48" i="4" s="1"/>
  <c r="BW30" i="4"/>
  <c r="BX30" i="4"/>
  <c r="BX29" i="4"/>
  <c r="BW29" i="4"/>
  <c r="BS48" i="4"/>
  <c r="AR28" i="4"/>
  <c r="AQ28" i="4"/>
  <c r="AX30" i="4"/>
  <c r="AW30" i="4"/>
  <c r="AX29" i="4"/>
  <c r="AW29" i="4"/>
  <c r="AV48" i="4" s="1"/>
  <c r="AU29" i="4"/>
  <c r="AT29" i="4"/>
  <c r="AS48" i="4" s="1"/>
  <c r="AU30" i="4"/>
  <c r="AT30" i="4"/>
  <c r="AR29" i="4"/>
  <c r="AQ29" i="4"/>
  <c r="AP48" i="4" s="1"/>
  <c r="AR30" i="4"/>
  <c r="AQ30" i="4"/>
  <c r="AN29" i="4"/>
  <c r="AO29" i="4"/>
  <c r="AO30" i="4"/>
  <c r="AN30" i="4"/>
  <c r="AK29" i="4"/>
  <c r="AJ48" i="4" s="1"/>
  <c r="AL29" i="4"/>
  <c r="AJ47" i="4" s="1"/>
  <c r="AJ49" i="4" s="1"/>
  <c r="AL30" i="4"/>
  <c r="AK30" i="4"/>
  <c r="AI29" i="4"/>
  <c r="AH29" i="4"/>
  <c r="AG48" i="4" s="1"/>
  <c r="AI30" i="4"/>
  <c r="AH30" i="4"/>
  <c r="AF30" i="4"/>
  <c r="AE30" i="4"/>
  <c r="AF29" i="4"/>
  <c r="AD47" i="4" s="1"/>
  <c r="AE29" i="4"/>
  <c r="AD48" i="4" s="1"/>
  <c r="AD49" i="4" s="1"/>
  <c r="AC29" i="4"/>
  <c r="AA47" i="4" s="1"/>
  <c r="AB29" i="4"/>
  <c r="AC30" i="4"/>
  <c r="AB30" i="4"/>
  <c r="Z29" i="4"/>
  <c r="Y29" i="4"/>
  <c r="Z30" i="4"/>
  <c r="Y30" i="4"/>
  <c r="V29" i="4"/>
  <c r="W29" i="4"/>
  <c r="W30" i="4"/>
  <c r="V30" i="4"/>
  <c r="I48" i="4"/>
  <c r="I49" i="4" s="1"/>
  <c r="BH29" i="4"/>
  <c r="BG29" i="4"/>
  <c r="BF48" i="4" s="1"/>
  <c r="BF49" i="4" s="1"/>
  <c r="BH30" i="4"/>
  <c r="BG30" i="4"/>
  <c r="BD29" i="4"/>
  <c r="BC48" i="4" s="1"/>
  <c r="BC49" i="4" s="1"/>
  <c r="BE29" i="4"/>
  <c r="BE30" i="4"/>
  <c r="BD30" i="4"/>
  <c r="BB29" i="4"/>
  <c r="BA29" i="4"/>
  <c r="AZ48" i="4" s="1"/>
  <c r="BA30" i="4"/>
  <c r="BB30" i="4"/>
  <c r="R48" i="4"/>
  <c r="R49" i="4" s="1"/>
  <c r="CQ47" i="4" l="1"/>
  <c r="CQ49" i="4" s="1"/>
  <c r="CN49" i="4"/>
  <c r="U48" i="4"/>
  <c r="AV47" i="4"/>
  <c r="AV49" i="4" s="1"/>
  <c r="U47" i="4"/>
  <c r="AA48" i="4"/>
  <c r="AA49" i="4" s="1"/>
  <c r="AM48" i="4"/>
  <c r="AG47" i="4"/>
  <c r="AG49" i="4" s="1"/>
  <c r="AS47" i="4"/>
  <c r="AS49" i="4" s="1"/>
  <c r="AP47" i="4"/>
  <c r="AP49" i="4" s="1"/>
  <c r="AM47" i="4"/>
  <c r="AM49" i="4" s="1"/>
  <c r="X48" i="4"/>
  <c r="X47" i="4"/>
  <c r="U49" i="4"/>
  <c r="AM50" i="4"/>
  <c r="BC51" i="4"/>
  <c r="AZ49" i="4"/>
  <c r="AA50" i="4" l="1"/>
  <c r="AV50" i="4" s="1"/>
  <c r="X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<sst xmlns="http://schemas.openxmlformats.org/spreadsheetml/2006/main" count="411" uniqueCount="204">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</sst>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B23">
            <v>0.74</v>
          </cell>
          <cell r="E23">
            <v>191817</v>
          </cell>
          <cell r="F23">
            <v>732</v>
          </cell>
          <cell r="G23">
            <v>652</v>
          </cell>
          <cell r="H23">
            <v>230432</v>
          </cell>
          <cell r="I23">
            <v>461</v>
          </cell>
          <cell r="J23">
            <v>404</v>
          </cell>
          <cell r="K23">
            <v>3598</v>
          </cell>
          <cell r="L23">
            <v>76</v>
          </cell>
          <cell r="N23">
            <v>914659</v>
          </cell>
          <cell r="O23">
            <v>323</v>
          </cell>
          <cell r="Q23">
            <v>241327</v>
          </cell>
          <cell r="R23">
            <v>0</v>
          </cell>
          <cell r="U23">
            <v>112891</v>
          </cell>
          <cell r="V23">
            <v>176</v>
          </cell>
          <cell r="W23">
            <v>128.52000000000407</v>
          </cell>
          <cell r="X23">
            <v>6040</v>
          </cell>
          <cell r="Y23">
            <v>18</v>
          </cell>
          <cell r="AE23">
            <v>8086740.4800000004</v>
          </cell>
          <cell r="AF23">
            <v>2777.0400000000373</v>
          </cell>
          <cell r="AH23">
            <v>15365849.52</v>
          </cell>
          <cell r="AI23">
            <v>4774.5600000005215</v>
          </cell>
          <cell r="AK23">
            <v>15685696.319999998</v>
          </cell>
          <cell r="AL23">
            <v>11400.479999998584</v>
          </cell>
          <cell r="AN23">
            <v>18763728.48</v>
          </cell>
          <cell r="AO23">
            <v>5895.1200000010431</v>
          </cell>
          <cell r="AQ23">
            <v>19026426.719999999</v>
          </cell>
          <cell r="AR23">
            <v>341.03999999910593</v>
          </cell>
          <cell r="AT23">
            <v>17428264.560000002</v>
          </cell>
          <cell r="AU23">
            <v>5992.5600000023842</v>
          </cell>
          <cell r="AW23">
            <v>14680992.48</v>
          </cell>
          <cell r="AX23">
            <v>4677.1200000010431</v>
          </cell>
          <cell r="AZ23">
            <v>14197300.319999998</v>
          </cell>
          <cell r="BA23">
            <v>4579.6799999978393</v>
          </cell>
          <cell r="BC23">
            <v>11106211.199999999</v>
          </cell>
          <cell r="BD23">
            <v>2874.480000000447</v>
          </cell>
          <cell r="BF23">
            <v>17561465.039999999</v>
          </cell>
          <cell r="BG23">
            <v>5700.2399999983609</v>
          </cell>
          <cell r="BM23">
            <v>77510100</v>
          </cell>
          <cell r="BN23">
            <v>55500</v>
          </cell>
          <cell r="BP23">
            <v>80182100</v>
          </cell>
          <cell r="BQ23">
            <v>30200</v>
          </cell>
          <cell r="BS23">
            <v>74085900</v>
          </cell>
          <cell r="BT23">
            <v>0</v>
          </cell>
          <cell r="BV23">
            <v>10046020</v>
          </cell>
          <cell r="BW23">
            <v>8180</v>
          </cell>
          <cell r="BY23">
            <v>0.67</v>
          </cell>
          <cell r="BZ23">
            <v>-9.000000000000008E-2</v>
          </cell>
          <cell r="CB23">
            <v>63853</v>
          </cell>
          <cell r="CC23">
            <v>23</v>
          </cell>
          <cell r="CD23">
            <v>54959</v>
          </cell>
          <cell r="CE23">
            <v>19</v>
          </cell>
          <cell r="CF23">
            <v>18589</v>
          </cell>
          <cell r="CG23">
            <v>6</v>
          </cell>
          <cell r="CH23">
            <v>25346</v>
          </cell>
          <cell r="CI23">
            <v>11</v>
          </cell>
          <cell r="CJ23">
            <v>28131</v>
          </cell>
          <cell r="CK23">
            <v>14</v>
          </cell>
          <cell r="CL23">
            <v>61686</v>
          </cell>
          <cell r="CM23">
            <v>35</v>
          </cell>
          <cell r="CN23">
            <v>266264</v>
          </cell>
          <cell r="CO23">
            <v>77</v>
          </cell>
          <cell r="CQ23">
            <v>212528</v>
          </cell>
          <cell r="CR23">
            <v>100</v>
          </cell>
          <cell r="CT23">
            <v>351251</v>
          </cell>
          <cell r="CU23">
            <v>29</v>
          </cell>
          <cell r="CW23">
            <v>690579</v>
          </cell>
          <cell r="CX23">
            <v>187</v>
          </cell>
          <cell r="CZ23">
            <v>8658</v>
          </cell>
          <cell r="DA23">
            <v>6</v>
          </cell>
          <cell r="DB23">
            <v>5877</v>
          </cell>
          <cell r="DC23">
            <v>3</v>
          </cell>
          <cell r="DD23">
            <v>31761</v>
          </cell>
          <cell r="DE23">
            <v>15</v>
          </cell>
          <cell r="DF23">
            <v>32037</v>
          </cell>
          <cell r="DG23">
            <v>16</v>
          </cell>
          <cell r="DH23">
            <v>21594</v>
          </cell>
          <cell r="DI23">
            <v>9</v>
          </cell>
          <cell r="DJ23">
            <v>23891</v>
          </cell>
          <cell r="DK23">
            <v>5</v>
          </cell>
          <cell r="DL23">
            <v>6864</v>
          </cell>
          <cell r="DM23">
            <v>8</v>
          </cell>
          <cell r="DN23">
            <v>9574</v>
          </cell>
          <cell r="DO23">
            <v>7</v>
          </cell>
          <cell r="DP23">
            <v>3176</v>
          </cell>
          <cell r="DQ23">
            <v>3</v>
          </cell>
          <cell r="DR23">
            <v>6212</v>
          </cell>
          <cell r="DS23">
            <v>10</v>
          </cell>
          <cell r="DT23">
            <v>30143</v>
          </cell>
          <cell r="DU23">
            <v>8</v>
          </cell>
          <cell r="DW23">
            <v>6056.1</v>
          </cell>
          <cell r="DX23">
            <v>11.300000000000182</v>
          </cell>
          <cell r="DY23">
            <v>11085.1</v>
          </cell>
          <cell r="DZ23">
            <v>8.3999999999996362</v>
          </cell>
          <cell r="EA23">
            <v>4633.8999999999996</v>
          </cell>
          <cell r="EB23">
            <v>7</v>
          </cell>
          <cell r="EC23">
            <v>5217.3999999999996</v>
          </cell>
          <cell r="ED23">
            <v>6.1999999999998181</v>
          </cell>
          <cell r="EE23">
            <v>1112305</v>
          </cell>
          <cell r="EF23">
            <v>617</v>
          </cell>
          <cell r="EI23">
            <v>228114.1</v>
          </cell>
          <cell r="EJ23">
            <v>150.39999999999418</v>
          </cell>
          <cell r="EL23">
            <v>12029400</v>
          </cell>
          <cell r="EM23">
            <v>5600</v>
          </cell>
          <cell r="EN23">
            <v>927000</v>
          </cell>
          <cell r="EO23">
            <v>280</v>
          </cell>
          <cell r="EP23">
            <v>7169000</v>
          </cell>
          <cell r="EQ23">
            <v>2500</v>
          </cell>
          <cell r="ER23">
            <v>2485600</v>
          </cell>
          <cell r="ES23">
            <v>400</v>
          </cell>
          <cell r="ET23">
            <v>1260090</v>
          </cell>
          <cell r="EU23">
            <v>790</v>
          </cell>
          <cell r="EV23">
            <v>16506000</v>
          </cell>
          <cell r="EW23">
            <v>6700</v>
          </cell>
          <cell r="EY23">
            <v>41703</v>
          </cell>
          <cell r="EZ23">
            <v>17</v>
          </cell>
          <cell r="FA23">
            <v>36498</v>
          </cell>
          <cell r="FB23">
            <v>10</v>
          </cell>
          <cell r="FC23">
            <v>7297</v>
          </cell>
          <cell r="FD23">
            <v>9</v>
          </cell>
          <cell r="FE23">
            <v>58911</v>
          </cell>
          <cell r="FF23">
            <v>11</v>
          </cell>
          <cell r="FG23">
            <v>48715</v>
          </cell>
          <cell r="FH23">
            <v>34</v>
          </cell>
        </row>
        <row r="24">
          <cell r="B24">
            <v>0.7</v>
          </cell>
          <cell r="E24">
            <v>193053</v>
          </cell>
          <cell r="F24">
            <v>1236</v>
          </cell>
          <cell r="G24">
            <v>738</v>
          </cell>
          <cell r="H24">
            <v>230901</v>
          </cell>
          <cell r="I24">
            <v>469</v>
          </cell>
          <cell r="J24">
            <v>364</v>
          </cell>
          <cell r="K24">
            <v>3690</v>
          </cell>
          <cell r="L24">
            <v>92</v>
          </cell>
          <cell r="N24">
            <v>914994</v>
          </cell>
          <cell r="O24">
            <v>335</v>
          </cell>
          <cell r="Q24">
            <v>241327</v>
          </cell>
          <cell r="R24">
            <v>0</v>
          </cell>
          <cell r="U24">
            <v>113071</v>
          </cell>
          <cell r="V24">
            <v>180</v>
          </cell>
          <cell r="W24">
            <v>114.72000000000116</v>
          </cell>
          <cell r="X24">
            <v>6055</v>
          </cell>
          <cell r="Y24">
            <v>15</v>
          </cell>
          <cell r="AE24">
            <v>8089614.959999999</v>
          </cell>
          <cell r="AF24">
            <v>2874.4799999985844</v>
          </cell>
          <cell r="AH24">
            <v>15370477.919999998</v>
          </cell>
          <cell r="AI24">
            <v>4628.3999999985099</v>
          </cell>
          <cell r="AK24">
            <v>15697340.4</v>
          </cell>
          <cell r="AL24">
            <v>11644.080000001937</v>
          </cell>
          <cell r="AN24">
            <v>18769380</v>
          </cell>
          <cell r="AO24">
            <v>5651.519999999553</v>
          </cell>
          <cell r="AQ24">
            <v>19026621.599999998</v>
          </cell>
          <cell r="AR24">
            <v>194.87999999895692</v>
          </cell>
          <cell r="AT24">
            <v>17433916.080000002</v>
          </cell>
          <cell r="AU24">
            <v>5651.519999999553</v>
          </cell>
          <cell r="AW24">
            <v>14685767.039999999</v>
          </cell>
          <cell r="AX24">
            <v>4774.5599999986589</v>
          </cell>
          <cell r="AZ24">
            <v>14201928.719999999</v>
          </cell>
          <cell r="BA24">
            <v>4628.4000000003725</v>
          </cell>
          <cell r="BC24">
            <v>11109231.84</v>
          </cell>
          <cell r="BD24">
            <v>3020.640000000596</v>
          </cell>
          <cell r="BF24">
            <v>17567262.719999999</v>
          </cell>
          <cell r="BG24">
            <v>5797.679999999702</v>
          </cell>
          <cell r="BM24">
            <v>77568100</v>
          </cell>
          <cell r="BN24">
            <v>58000</v>
          </cell>
          <cell r="BP24">
            <v>80213100</v>
          </cell>
          <cell r="BQ24">
            <v>31000</v>
          </cell>
          <cell r="BS24">
            <v>74085900</v>
          </cell>
          <cell r="BT24">
            <v>0</v>
          </cell>
          <cell r="BV24">
            <v>10054150</v>
          </cell>
          <cell r="BW24">
            <v>8130</v>
          </cell>
          <cell r="BY24">
            <v>0.61</v>
          </cell>
          <cell r="BZ24">
            <v>6.0000000000000053E-2</v>
          </cell>
          <cell r="CB24">
            <v>63877</v>
          </cell>
          <cell r="CC24">
            <v>24</v>
          </cell>
          <cell r="CD24">
            <v>54978</v>
          </cell>
          <cell r="CE24">
            <v>19</v>
          </cell>
          <cell r="CF24">
            <v>18595</v>
          </cell>
          <cell r="CG24">
            <v>6</v>
          </cell>
          <cell r="CH24">
            <v>25357</v>
          </cell>
          <cell r="CI24">
            <v>11</v>
          </cell>
          <cell r="CJ24">
            <v>28147</v>
          </cell>
          <cell r="CK24">
            <v>16</v>
          </cell>
          <cell r="CL24">
            <v>61717</v>
          </cell>
          <cell r="CM24">
            <v>31</v>
          </cell>
          <cell r="CN24">
            <v>266340</v>
          </cell>
          <cell r="CO24">
            <v>76</v>
          </cell>
          <cell r="CQ24">
            <v>212629</v>
          </cell>
          <cell r="CR24">
            <v>101</v>
          </cell>
          <cell r="CT24">
            <v>351477</v>
          </cell>
          <cell r="CU24">
            <v>226</v>
          </cell>
          <cell r="CW24">
            <v>690763</v>
          </cell>
          <cell r="CX24">
            <v>184</v>
          </cell>
          <cell r="CZ24">
            <v>8663</v>
          </cell>
          <cell r="DA24">
            <v>5</v>
          </cell>
          <cell r="DB24">
            <v>5880</v>
          </cell>
          <cell r="DC24">
            <v>3</v>
          </cell>
          <cell r="DD24">
            <v>31775</v>
          </cell>
          <cell r="DE24">
            <v>14</v>
          </cell>
          <cell r="DF24">
            <v>32053</v>
          </cell>
          <cell r="DG24">
            <v>16</v>
          </cell>
          <cell r="DH24">
            <v>21603</v>
          </cell>
          <cell r="DI24">
            <v>9</v>
          </cell>
          <cell r="DJ24">
            <v>23897</v>
          </cell>
          <cell r="DK24">
            <v>6</v>
          </cell>
          <cell r="DL24">
            <v>6871</v>
          </cell>
          <cell r="DM24">
            <v>7</v>
          </cell>
          <cell r="DN24">
            <v>9580</v>
          </cell>
          <cell r="DO24">
            <v>6</v>
          </cell>
          <cell r="DP24">
            <v>3179</v>
          </cell>
          <cell r="DQ24">
            <v>3</v>
          </cell>
          <cell r="DR24">
            <v>6220</v>
          </cell>
          <cell r="DS24">
            <v>8</v>
          </cell>
          <cell r="DT24">
            <v>30153</v>
          </cell>
          <cell r="DU24">
            <v>10</v>
          </cell>
          <cell r="DW24">
            <v>6067.7</v>
          </cell>
          <cell r="DX24">
            <v>11.599999999999454</v>
          </cell>
          <cell r="DY24">
            <v>11093.6</v>
          </cell>
          <cell r="DZ24">
            <v>8.5</v>
          </cell>
          <cell r="EA24">
            <v>4641.1000000000004</v>
          </cell>
          <cell r="EB24">
            <v>7.2000000000007276</v>
          </cell>
          <cell r="EC24">
            <v>5223.6000000000004</v>
          </cell>
          <cell r="ED24">
            <v>6.2000000000007276</v>
          </cell>
          <cell r="EE24">
            <v>1112902</v>
          </cell>
          <cell r="EF24">
            <v>597</v>
          </cell>
          <cell r="EI24">
            <v>228267.6</v>
          </cell>
          <cell r="EJ24">
            <v>153.5</v>
          </cell>
          <cell r="EL24">
            <v>12035400</v>
          </cell>
          <cell r="EM24">
            <v>6000</v>
          </cell>
          <cell r="EN24">
            <v>927280</v>
          </cell>
          <cell r="EO24">
            <v>280</v>
          </cell>
          <cell r="EP24">
            <v>7171400</v>
          </cell>
          <cell r="EQ24">
            <v>2400</v>
          </cell>
          <cell r="ER24">
            <v>2486100</v>
          </cell>
          <cell r="ES24">
            <v>500</v>
          </cell>
          <cell r="ET24">
            <v>1260880</v>
          </cell>
          <cell r="EU24">
            <v>790</v>
          </cell>
          <cell r="EV24">
            <v>16513200</v>
          </cell>
          <cell r="EW24">
            <v>7200</v>
          </cell>
          <cell r="EY24">
            <v>41721</v>
          </cell>
          <cell r="EZ24">
            <v>18</v>
          </cell>
          <cell r="FA24">
            <v>36510</v>
          </cell>
          <cell r="FB24">
            <v>12</v>
          </cell>
          <cell r="FC24">
            <v>7305</v>
          </cell>
          <cell r="FD24">
            <v>8</v>
          </cell>
          <cell r="FE24">
            <v>58924</v>
          </cell>
          <cell r="FF24">
            <v>13</v>
          </cell>
          <cell r="FG24">
            <v>48749</v>
          </cell>
          <cell r="FH24">
            <v>34</v>
          </cell>
        </row>
        <row r="25">
          <cell r="B25">
            <v>0.77</v>
          </cell>
          <cell r="E25">
            <v>193943</v>
          </cell>
          <cell r="F25">
            <v>890</v>
          </cell>
          <cell r="G25">
            <v>901</v>
          </cell>
          <cell r="H25">
            <v>231363</v>
          </cell>
          <cell r="I25">
            <v>462</v>
          </cell>
          <cell r="J25">
            <v>411</v>
          </cell>
          <cell r="K25">
            <v>3828</v>
          </cell>
          <cell r="L25">
            <v>138</v>
          </cell>
          <cell r="N25">
            <v>915292</v>
          </cell>
          <cell r="O25">
            <v>298</v>
          </cell>
          <cell r="Q25">
            <v>241506</v>
          </cell>
          <cell r="R25">
            <v>179</v>
          </cell>
          <cell r="U25">
            <v>113250</v>
          </cell>
          <cell r="V25">
            <v>179</v>
          </cell>
          <cell r="W25">
            <v>122.25999999999476</v>
          </cell>
          <cell r="X25">
            <v>6061</v>
          </cell>
          <cell r="Y25">
            <v>6</v>
          </cell>
          <cell r="AE25">
            <v>8092489.4400000004</v>
          </cell>
          <cell r="AF25">
            <v>2874.4800000013784</v>
          </cell>
          <cell r="AH25">
            <v>15374911.439999999</v>
          </cell>
          <cell r="AI25">
            <v>4433.5200000014156</v>
          </cell>
          <cell r="AK25">
            <v>15708740.880000001</v>
          </cell>
          <cell r="AL25">
            <v>11400.480000000447</v>
          </cell>
          <cell r="AN25">
            <v>18775567.439999998</v>
          </cell>
          <cell r="AO25">
            <v>6187.4399999976158</v>
          </cell>
          <cell r="AQ25">
            <v>19027108.800000001</v>
          </cell>
          <cell r="AR25">
            <v>487.20000000298023</v>
          </cell>
          <cell r="AT25">
            <v>17439665.039999999</v>
          </cell>
          <cell r="AU25">
            <v>5748.9599999971688</v>
          </cell>
          <cell r="AW25">
            <v>14690639.039999999</v>
          </cell>
          <cell r="AX25">
            <v>4872</v>
          </cell>
          <cell r="AZ25">
            <v>14206752</v>
          </cell>
          <cell r="BA25">
            <v>4823.2800000011921</v>
          </cell>
          <cell r="BC25">
            <v>11112349.92</v>
          </cell>
          <cell r="BD25">
            <v>3118.0800000000745</v>
          </cell>
          <cell r="BF25">
            <v>17573206.560000002</v>
          </cell>
          <cell r="BG25">
            <v>5943.8400000035763</v>
          </cell>
          <cell r="BM25">
            <v>77624200</v>
          </cell>
          <cell r="BN25">
            <v>56100</v>
          </cell>
          <cell r="BP25">
            <v>80246100</v>
          </cell>
          <cell r="BQ25">
            <v>33000</v>
          </cell>
          <cell r="BS25">
            <v>74085900</v>
          </cell>
          <cell r="BT25">
            <v>0</v>
          </cell>
          <cell r="BV25">
            <v>10062400</v>
          </cell>
          <cell r="BW25">
            <v>8250</v>
          </cell>
          <cell r="BY25">
            <v>0.54</v>
          </cell>
          <cell r="BZ25">
            <v>6.9999999999999951E-2</v>
          </cell>
          <cell r="CB25">
            <v>63897</v>
          </cell>
          <cell r="CC25">
            <v>20</v>
          </cell>
          <cell r="CD25">
            <v>54996</v>
          </cell>
          <cell r="CE25">
            <v>18</v>
          </cell>
          <cell r="CF25">
            <v>18602</v>
          </cell>
          <cell r="CG25">
            <v>7</v>
          </cell>
          <cell r="CH25">
            <v>25369</v>
          </cell>
          <cell r="CI25">
            <v>12</v>
          </cell>
          <cell r="CJ25">
            <v>28162</v>
          </cell>
          <cell r="CK25">
            <v>15</v>
          </cell>
          <cell r="CL25">
            <v>61752</v>
          </cell>
          <cell r="CM25">
            <v>35</v>
          </cell>
          <cell r="CN25">
            <v>266412</v>
          </cell>
          <cell r="CO25">
            <v>72</v>
          </cell>
          <cell r="CQ25">
            <v>212730</v>
          </cell>
          <cell r="CR25">
            <v>101</v>
          </cell>
          <cell r="CT25">
            <v>351623</v>
          </cell>
          <cell r="CU25">
            <v>146</v>
          </cell>
          <cell r="CW25">
            <v>690935</v>
          </cell>
          <cell r="CX25">
            <v>172</v>
          </cell>
          <cell r="CZ25">
            <v>8675</v>
          </cell>
          <cell r="DA25">
            <v>12</v>
          </cell>
          <cell r="DB25">
            <v>5888</v>
          </cell>
          <cell r="DC25">
            <v>8</v>
          </cell>
          <cell r="DD25">
            <v>31791</v>
          </cell>
          <cell r="DE25">
            <v>16</v>
          </cell>
          <cell r="DF25">
            <v>32067</v>
          </cell>
          <cell r="DG25">
            <v>14</v>
          </cell>
          <cell r="DH25">
            <v>21613</v>
          </cell>
          <cell r="DI25">
            <v>10</v>
          </cell>
          <cell r="DJ25">
            <v>23902</v>
          </cell>
          <cell r="DK25">
            <v>5</v>
          </cell>
          <cell r="DL25">
            <v>6880</v>
          </cell>
          <cell r="DM25">
            <v>9</v>
          </cell>
          <cell r="DN25">
            <v>9585</v>
          </cell>
          <cell r="DO25">
            <v>5</v>
          </cell>
          <cell r="DP25">
            <v>3182</v>
          </cell>
          <cell r="DQ25">
            <v>3</v>
          </cell>
          <cell r="DR25">
            <v>6230</v>
          </cell>
          <cell r="DS25">
            <v>10</v>
          </cell>
          <cell r="DT25">
            <v>30159</v>
          </cell>
          <cell r="DU25">
            <v>6</v>
          </cell>
          <cell r="DW25">
            <v>6079.2</v>
          </cell>
          <cell r="DX25">
            <v>11.5</v>
          </cell>
          <cell r="DY25">
            <v>11102.9</v>
          </cell>
          <cell r="DZ25">
            <v>9.2999999999992724</v>
          </cell>
          <cell r="EA25">
            <v>4648.3</v>
          </cell>
          <cell r="EB25">
            <v>7.1999999999998181</v>
          </cell>
          <cell r="EC25">
            <v>5230.2</v>
          </cell>
          <cell r="ED25">
            <v>6.5999999999994543</v>
          </cell>
          <cell r="EE25">
            <v>1113540</v>
          </cell>
          <cell r="EF25">
            <v>638</v>
          </cell>
          <cell r="EI25">
            <v>228418.6</v>
          </cell>
          <cell r="EJ25">
            <v>151</v>
          </cell>
          <cell r="EL25">
            <v>12041300</v>
          </cell>
          <cell r="EM25">
            <v>5900</v>
          </cell>
          <cell r="EN25">
            <v>927570</v>
          </cell>
          <cell r="EO25">
            <v>290</v>
          </cell>
          <cell r="EP25">
            <v>7174000</v>
          </cell>
          <cell r="EQ25">
            <v>2600</v>
          </cell>
          <cell r="ER25">
            <v>2486500</v>
          </cell>
          <cell r="ES25">
            <v>400</v>
          </cell>
          <cell r="ET25">
            <v>1261670</v>
          </cell>
          <cell r="EU25">
            <v>790</v>
          </cell>
          <cell r="EV25">
            <v>16520500</v>
          </cell>
          <cell r="EW25">
            <v>7300</v>
          </cell>
          <cell r="EY25">
            <v>41738</v>
          </cell>
          <cell r="EZ25">
            <v>17</v>
          </cell>
          <cell r="FA25">
            <v>36521</v>
          </cell>
          <cell r="FB25">
            <v>11</v>
          </cell>
          <cell r="FC25">
            <v>7313</v>
          </cell>
          <cell r="FD25">
            <v>8</v>
          </cell>
          <cell r="FE25">
            <v>58942</v>
          </cell>
          <cell r="FF25">
            <v>18</v>
          </cell>
          <cell r="FG25">
            <v>48782</v>
          </cell>
          <cell r="FH25">
            <v>33</v>
          </cell>
        </row>
        <row r="26">
          <cell r="B26">
            <v>0.85</v>
          </cell>
          <cell r="E26">
            <v>194873</v>
          </cell>
          <cell r="F26">
            <v>930</v>
          </cell>
          <cell r="G26">
            <v>666</v>
          </cell>
          <cell r="H26">
            <v>231898</v>
          </cell>
          <cell r="I26">
            <v>535</v>
          </cell>
          <cell r="J26">
            <v>382</v>
          </cell>
          <cell r="K26">
            <v>3953</v>
          </cell>
          <cell r="L26">
            <v>125</v>
          </cell>
          <cell r="N26">
            <v>915564</v>
          </cell>
          <cell r="O26">
            <v>272</v>
          </cell>
          <cell r="Q26">
            <v>241647</v>
          </cell>
          <cell r="R26">
            <v>141</v>
          </cell>
          <cell r="U26">
            <v>113418</v>
          </cell>
          <cell r="V26">
            <v>168</v>
          </cell>
          <cell r="W26">
            <v>124.93000000000029</v>
          </cell>
          <cell r="X26">
            <v>6082</v>
          </cell>
          <cell r="Y26">
            <v>21</v>
          </cell>
          <cell r="AE26">
            <v>8095607.5199999996</v>
          </cell>
          <cell r="AF26">
            <v>3118.0799999991432</v>
          </cell>
          <cell r="AH26">
            <v>15379491.119999999</v>
          </cell>
          <cell r="AI26">
            <v>4579.679999999702</v>
          </cell>
          <cell r="AK26">
            <v>15722674.799999999</v>
          </cell>
          <cell r="AL26">
            <v>13933.919999998063</v>
          </cell>
          <cell r="AN26">
            <v>18778393.199999999</v>
          </cell>
          <cell r="AO26">
            <v>2825.7600000016391</v>
          </cell>
          <cell r="AQ26">
            <v>19027498.560000002</v>
          </cell>
          <cell r="AR26">
            <v>389.76000000163913</v>
          </cell>
          <cell r="AT26">
            <v>17445462.719999999</v>
          </cell>
          <cell r="AU26">
            <v>5797.679999999702</v>
          </cell>
          <cell r="AW26">
            <v>14695267.439999999</v>
          </cell>
          <cell r="AX26">
            <v>4628.4000000003725</v>
          </cell>
          <cell r="AZ26">
            <v>14211429.119999999</v>
          </cell>
          <cell r="BA26">
            <v>4677.1199999991804</v>
          </cell>
          <cell r="BC26">
            <v>11115321.84</v>
          </cell>
          <cell r="BD26">
            <v>2971.9199999999255</v>
          </cell>
          <cell r="BF26">
            <v>17579150.399999999</v>
          </cell>
          <cell r="BG26">
            <v>5943.8399999961257</v>
          </cell>
          <cell r="BM26">
            <v>77693500</v>
          </cell>
          <cell r="BN26">
            <v>69300</v>
          </cell>
          <cell r="BP26">
            <v>80260700</v>
          </cell>
          <cell r="BQ26">
            <v>14600</v>
          </cell>
          <cell r="BS26">
            <v>74085900</v>
          </cell>
          <cell r="BT26">
            <v>0</v>
          </cell>
          <cell r="BV26">
            <v>10071660</v>
          </cell>
          <cell r="BW26">
            <v>9260</v>
          </cell>
          <cell r="BY26">
            <v>0.65</v>
          </cell>
          <cell r="BZ26">
            <v>-0.10999999999999999</v>
          </cell>
          <cell r="CB26">
            <v>63920</v>
          </cell>
          <cell r="CC26">
            <v>23</v>
          </cell>
          <cell r="CD26">
            <v>55016</v>
          </cell>
          <cell r="CE26">
            <v>20</v>
          </cell>
          <cell r="CF26">
            <v>18610</v>
          </cell>
          <cell r="CG26">
            <v>8</v>
          </cell>
          <cell r="CH26">
            <v>25379</v>
          </cell>
          <cell r="CI26">
            <v>10</v>
          </cell>
          <cell r="CJ26">
            <v>28178</v>
          </cell>
          <cell r="CK26">
            <v>16</v>
          </cell>
          <cell r="CL26">
            <v>61786</v>
          </cell>
          <cell r="CM26">
            <v>34</v>
          </cell>
          <cell r="CN26">
            <v>266485</v>
          </cell>
          <cell r="CO26">
            <v>73</v>
          </cell>
          <cell r="CQ26">
            <v>212831</v>
          </cell>
          <cell r="CR26">
            <v>101</v>
          </cell>
          <cell r="CT26">
            <v>351754</v>
          </cell>
          <cell r="CU26">
            <v>131</v>
          </cell>
          <cell r="CW26">
            <v>691109</v>
          </cell>
          <cell r="CX26">
            <v>174</v>
          </cell>
          <cell r="CZ26">
            <v>8687</v>
          </cell>
          <cell r="DA26">
            <v>12</v>
          </cell>
          <cell r="DB26">
            <v>5896</v>
          </cell>
          <cell r="DC26">
            <v>8</v>
          </cell>
          <cell r="DD26">
            <v>31807</v>
          </cell>
          <cell r="DE26">
            <v>16</v>
          </cell>
          <cell r="DF26">
            <v>32080</v>
          </cell>
          <cell r="DG26">
            <v>13</v>
          </cell>
          <cell r="DH26">
            <v>21625</v>
          </cell>
          <cell r="DI26">
            <v>12</v>
          </cell>
          <cell r="DJ26">
            <v>23909</v>
          </cell>
          <cell r="DK26">
            <v>7</v>
          </cell>
          <cell r="DL26">
            <v>6888</v>
          </cell>
          <cell r="DM26">
            <v>8</v>
          </cell>
          <cell r="DN26">
            <v>9590</v>
          </cell>
          <cell r="DO26">
            <v>5</v>
          </cell>
          <cell r="DP26">
            <v>3185</v>
          </cell>
          <cell r="DQ26">
            <v>3</v>
          </cell>
          <cell r="DR26">
            <v>6241</v>
          </cell>
          <cell r="DS26">
            <v>11</v>
          </cell>
          <cell r="DT26">
            <v>30165</v>
          </cell>
          <cell r="DU26">
            <v>6</v>
          </cell>
          <cell r="DW26">
            <v>6091</v>
          </cell>
          <cell r="DX26">
            <v>11.800000000000182</v>
          </cell>
          <cell r="DY26">
            <v>11112.2</v>
          </cell>
          <cell r="DZ26">
            <v>9.3000000000010914</v>
          </cell>
          <cell r="EA26">
            <v>4655.6000000000004</v>
          </cell>
          <cell r="EB26">
            <v>7.3000000000001819</v>
          </cell>
          <cell r="EC26">
            <v>5236.3999999999996</v>
          </cell>
          <cell r="ED26">
            <v>6.1999999999998181</v>
          </cell>
          <cell r="EE26">
            <v>1114159</v>
          </cell>
          <cell r="EF26">
            <v>619</v>
          </cell>
          <cell r="EI26">
            <v>228573.3</v>
          </cell>
          <cell r="EJ26">
            <v>154.69999999998254</v>
          </cell>
          <cell r="EL26">
            <v>12047000</v>
          </cell>
          <cell r="EM26">
            <v>5700</v>
          </cell>
          <cell r="EN26">
            <v>927860</v>
          </cell>
          <cell r="EO26">
            <v>290</v>
          </cell>
          <cell r="EP26">
            <v>7176400</v>
          </cell>
          <cell r="EQ26">
            <v>2400</v>
          </cell>
          <cell r="ER26">
            <v>2487000</v>
          </cell>
          <cell r="ES26">
            <v>500</v>
          </cell>
          <cell r="ET26">
            <v>1262460</v>
          </cell>
          <cell r="EU26">
            <v>790</v>
          </cell>
          <cell r="EV26">
            <v>16526100</v>
          </cell>
          <cell r="EW26">
            <v>5600</v>
          </cell>
          <cell r="EY26">
            <v>41755</v>
          </cell>
          <cell r="EZ26">
            <v>17</v>
          </cell>
          <cell r="FA26">
            <v>36534</v>
          </cell>
          <cell r="FB26">
            <v>13</v>
          </cell>
          <cell r="FC26">
            <v>7322</v>
          </cell>
          <cell r="FD26">
            <v>9</v>
          </cell>
          <cell r="FE26">
            <v>58957</v>
          </cell>
          <cell r="FF26">
            <v>15</v>
          </cell>
          <cell r="FG26">
            <v>48818</v>
          </cell>
          <cell r="FH26">
            <v>36</v>
          </cell>
        </row>
        <row r="27">
          <cell r="B27">
            <v>0.85</v>
          </cell>
          <cell r="E27">
            <v>195723</v>
          </cell>
          <cell r="F27">
            <v>850</v>
          </cell>
          <cell r="G27">
            <v>679</v>
          </cell>
          <cell r="H27">
            <v>232437</v>
          </cell>
          <cell r="I27">
            <v>539</v>
          </cell>
          <cell r="J27">
            <v>402</v>
          </cell>
          <cell r="K27">
            <v>4095</v>
          </cell>
          <cell r="L27">
            <v>142</v>
          </cell>
          <cell r="N27">
            <v>915843</v>
          </cell>
          <cell r="O27">
            <v>279</v>
          </cell>
          <cell r="Q27">
            <v>241766</v>
          </cell>
          <cell r="R27">
            <v>119</v>
          </cell>
          <cell r="U27">
            <v>113574</v>
          </cell>
          <cell r="V27">
            <v>156</v>
          </cell>
          <cell r="W27">
            <v>120.56000000000495</v>
          </cell>
          <cell r="X27">
            <v>6093</v>
          </cell>
          <cell r="Y27">
            <v>11</v>
          </cell>
          <cell r="AE27">
            <v>8098725.5999999996</v>
          </cell>
          <cell r="AF27">
            <v>3118.0800000000745</v>
          </cell>
          <cell r="AH27">
            <v>15384363.119999999</v>
          </cell>
          <cell r="AI27">
            <v>4872</v>
          </cell>
          <cell r="AK27">
            <v>15738362.640000001</v>
          </cell>
          <cell r="AL27">
            <v>15687.840000001714</v>
          </cell>
          <cell r="AN27">
            <v>18779318.879999999</v>
          </cell>
          <cell r="AO27">
            <v>925.67999999970198</v>
          </cell>
          <cell r="AQ27">
            <v>19028619.119999997</v>
          </cell>
          <cell r="AR27">
            <v>1120.5599999949336</v>
          </cell>
          <cell r="AT27">
            <v>17451601.439999998</v>
          </cell>
          <cell r="AU27">
            <v>6138.7199999988079</v>
          </cell>
          <cell r="AW27">
            <v>14700188.16</v>
          </cell>
          <cell r="AX27">
            <v>4920.7200000006706</v>
          </cell>
          <cell r="AZ27">
            <v>14216447.280000001</v>
          </cell>
          <cell r="BA27">
            <v>5018.1600000020117</v>
          </cell>
          <cell r="BC27">
            <v>11118537.359999999</v>
          </cell>
          <cell r="BD27">
            <v>3215.519999999553</v>
          </cell>
          <cell r="BF27">
            <v>17585386.560000002</v>
          </cell>
          <cell r="BG27">
            <v>6236.1600000038743</v>
          </cell>
          <cell r="BM27">
            <v>77771000</v>
          </cell>
          <cell r="BN27">
            <v>77500</v>
          </cell>
          <cell r="BP27">
            <v>80264900</v>
          </cell>
          <cell r="BQ27">
            <v>4200</v>
          </cell>
          <cell r="BS27">
            <v>74085900</v>
          </cell>
          <cell r="BT27">
            <v>0</v>
          </cell>
          <cell r="BV27">
            <v>10080840</v>
          </cell>
          <cell r="BW27">
            <v>9180</v>
          </cell>
          <cell r="BY27">
            <v>0.6</v>
          </cell>
          <cell r="BZ27">
            <v>5.0000000000000044E-2</v>
          </cell>
          <cell r="CB27">
            <v>63937</v>
          </cell>
          <cell r="CC27">
            <v>17</v>
          </cell>
          <cell r="CD27">
            <v>55036</v>
          </cell>
          <cell r="CE27">
            <v>20</v>
          </cell>
          <cell r="CF27">
            <v>18617</v>
          </cell>
          <cell r="CG27">
            <v>7</v>
          </cell>
          <cell r="CH27">
            <v>25389</v>
          </cell>
          <cell r="CI27">
            <v>10</v>
          </cell>
          <cell r="CJ27">
            <v>28193</v>
          </cell>
          <cell r="CK27">
            <v>15</v>
          </cell>
          <cell r="CL27">
            <v>61821</v>
          </cell>
          <cell r="CM27">
            <v>35</v>
          </cell>
          <cell r="CN27">
            <v>266559</v>
          </cell>
          <cell r="CO27">
            <v>74</v>
          </cell>
          <cell r="CQ27">
            <v>212944</v>
          </cell>
          <cell r="CR27">
            <v>113</v>
          </cell>
          <cell r="CT27">
            <v>351910</v>
          </cell>
          <cell r="CU27">
            <v>156</v>
          </cell>
          <cell r="CW27">
            <v>691285</v>
          </cell>
          <cell r="CX27">
            <v>176</v>
          </cell>
          <cell r="CZ27">
            <v>8698</v>
          </cell>
          <cell r="DA27">
            <v>11</v>
          </cell>
          <cell r="DB27">
            <v>5906</v>
          </cell>
          <cell r="DC27">
            <v>10</v>
          </cell>
          <cell r="DD27">
            <v>31824</v>
          </cell>
          <cell r="DE27">
            <v>17</v>
          </cell>
          <cell r="DF27">
            <v>32099</v>
          </cell>
          <cell r="DG27">
            <v>19</v>
          </cell>
          <cell r="DH27">
            <v>21637</v>
          </cell>
          <cell r="DI27">
            <v>12</v>
          </cell>
          <cell r="DJ27">
            <v>23917</v>
          </cell>
          <cell r="DK27">
            <v>8</v>
          </cell>
          <cell r="DL27">
            <v>6900</v>
          </cell>
          <cell r="DM27">
            <v>12</v>
          </cell>
          <cell r="DN27">
            <v>9600</v>
          </cell>
          <cell r="DO27">
            <v>10</v>
          </cell>
          <cell r="DP27">
            <v>3188</v>
          </cell>
          <cell r="DQ27">
            <v>3</v>
          </cell>
          <cell r="DR27">
            <v>6252</v>
          </cell>
          <cell r="DS27">
            <v>11</v>
          </cell>
          <cell r="DT27">
            <v>30171</v>
          </cell>
          <cell r="DU27">
            <v>6</v>
          </cell>
          <cell r="DW27">
            <v>6103.3</v>
          </cell>
          <cell r="DX27">
            <v>12.300000000000182</v>
          </cell>
          <cell r="DY27">
            <v>11121.8</v>
          </cell>
          <cell r="DZ27">
            <v>9.5999999999985448</v>
          </cell>
          <cell r="EA27">
            <v>4663.1000000000004</v>
          </cell>
          <cell r="EB27">
            <v>7.5</v>
          </cell>
          <cell r="EC27">
            <v>5243.3</v>
          </cell>
          <cell r="ED27">
            <v>6.9000000000005457</v>
          </cell>
          <cell r="EE27">
            <v>1114799</v>
          </cell>
          <cell r="EF27">
            <v>640</v>
          </cell>
          <cell r="EI27">
            <v>228736.2</v>
          </cell>
          <cell r="EJ27">
            <v>162.90000000002328</v>
          </cell>
          <cell r="EL27">
            <v>12052200</v>
          </cell>
          <cell r="EM27">
            <v>5200</v>
          </cell>
          <cell r="EN27">
            <v>928150</v>
          </cell>
          <cell r="EO27">
            <v>290</v>
          </cell>
          <cell r="EP27">
            <v>7178800</v>
          </cell>
          <cell r="EQ27">
            <v>2400</v>
          </cell>
          <cell r="ER27">
            <v>2487600</v>
          </cell>
          <cell r="ES27">
            <v>600</v>
          </cell>
          <cell r="ET27">
            <v>1263250</v>
          </cell>
          <cell r="EU27">
            <v>790</v>
          </cell>
          <cell r="EV27">
            <v>16532100</v>
          </cell>
          <cell r="EW27">
            <v>6000</v>
          </cell>
          <cell r="EY27">
            <v>41776</v>
          </cell>
          <cell r="EZ27">
            <v>21</v>
          </cell>
          <cell r="FA27">
            <v>36549</v>
          </cell>
          <cell r="FB27">
            <v>15</v>
          </cell>
          <cell r="FC27">
            <v>7334</v>
          </cell>
          <cell r="FD27">
            <v>12</v>
          </cell>
          <cell r="FE27">
            <v>58975</v>
          </cell>
          <cell r="FF27">
            <v>18</v>
          </cell>
          <cell r="FG27">
            <v>48855</v>
          </cell>
          <cell r="FH27">
            <v>37</v>
          </cell>
        </row>
        <row r="28">
          <cell r="B28">
            <v>0.84</v>
          </cell>
          <cell r="E28">
            <v>196619</v>
          </cell>
          <cell r="F28">
            <v>896</v>
          </cell>
          <cell r="G28">
            <v>714</v>
          </cell>
          <cell r="H28">
            <v>232978</v>
          </cell>
          <cell r="I28">
            <v>541</v>
          </cell>
          <cell r="J28">
            <v>593</v>
          </cell>
          <cell r="K28">
            <v>4225</v>
          </cell>
          <cell r="L28">
            <v>130</v>
          </cell>
          <cell r="N28">
            <v>916141</v>
          </cell>
          <cell r="O28">
            <v>298</v>
          </cell>
          <cell r="Q28">
            <v>241966</v>
          </cell>
          <cell r="R28">
            <v>200</v>
          </cell>
          <cell r="U28">
            <v>113760</v>
          </cell>
          <cell r="V28">
            <v>186</v>
          </cell>
          <cell r="W28">
            <v>111.7699999999968</v>
          </cell>
          <cell r="X28">
            <v>6116</v>
          </cell>
          <cell r="Y28">
            <v>23</v>
          </cell>
          <cell r="AE28">
            <v>8100576.959999999</v>
          </cell>
          <cell r="AF28">
            <v>1851.359999999404</v>
          </cell>
          <cell r="AH28">
            <v>15388894.08</v>
          </cell>
          <cell r="AI28">
            <v>4530.9600000008941</v>
          </cell>
          <cell r="AK28">
            <v>15745573.199999999</v>
          </cell>
          <cell r="AL28">
            <v>7210.5599999986589</v>
          </cell>
          <cell r="AN28">
            <v>18780488.16</v>
          </cell>
          <cell r="AO28">
            <v>1169.2800000011921</v>
          </cell>
          <cell r="AQ28">
            <v>19039581.119999997</v>
          </cell>
          <cell r="AR28">
            <v>10962</v>
          </cell>
          <cell r="AT28">
            <v>17457350.399999999</v>
          </cell>
          <cell r="AU28">
            <v>5748.9600000008941</v>
          </cell>
          <cell r="AW28">
            <v>14704914</v>
          </cell>
          <cell r="AX28">
            <v>4725.839999999851</v>
          </cell>
          <cell r="AZ28">
            <v>14221270.559999999</v>
          </cell>
          <cell r="BA28">
            <v>4823.2799999974668</v>
          </cell>
          <cell r="BC28">
            <v>11121655.439999999</v>
          </cell>
          <cell r="BD28">
            <v>3118.0800000000745</v>
          </cell>
          <cell r="BF28">
            <v>17591330.399999999</v>
          </cell>
          <cell r="BG28">
            <v>5943.8399999961257</v>
          </cell>
          <cell r="BM28">
            <v>77811600</v>
          </cell>
          <cell r="BN28">
            <v>40600</v>
          </cell>
          <cell r="BP28">
            <v>80264900</v>
          </cell>
          <cell r="BQ28">
            <v>0</v>
          </cell>
          <cell r="BS28">
            <v>74130700</v>
          </cell>
          <cell r="BT28">
            <v>44800</v>
          </cell>
          <cell r="BV28">
            <v>10091490</v>
          </cell>
          <cell r="BW28">
            <v>10650</v>
          </cell>
          <cell r="BY28">
            <v>0.5</v>
          </cell>
          <cell r="BZ28">
            <v>9.9999999999999978E-2</v>
          </cell>
          <cell r="CB28">
            <v>63954</v>
          </cell>
          <cell r="CC28">
            <v>17</v>
          </cell>
          <cell r="CD28">
            <v>55057</v>
          </cell>
          <cell r="CE28">
            <v>21</v>
          </cell>
          <cell r="CF28">
            <v>18623</v>
          </cell>
          <cell r="CG28">
            <v>6</v>
          </cell>
          <cell r="CH28">
            <v>25399</v>
          </cell>
          <cell r="CI28">
            <v>10</v>
          </cell>
          <cell r="CJ28">
            <v>28208</v>
          </cell>
          <cell r="CK28">
            <v>15</v>
          </cell>
          <cell r="CL28">
            <v>61855</v>
          </cell>
          <cell r="CM28">
            <v>34</v>
          </cell>
          <cell r="CN28">
            <v>266634</v>
          </cell>
          <cell r="CO28">
            <v>75</v>
          </cell>
          <cell r="CQ28">
            <v>213050</v>
          </cell>
          <cell r="CR28">
            <v>106</v>
          </cell>
          <cell r="CT28">
            <v>352049</v>
          </cell>
          <cell r="CU28">
            <v>139</v>
          </cell>
          <cell r="CW28">
            <v>691464</v>
          </cell>
          <cell r="CX28">
            <v>179</v>
          </cell>
          <cell r="CZ28">
            <v>8708</v>
          </cell>
          <cell r="DA28">
            <v>10</v>
          </cell>
          <cell r="DB28">
            <v>5916</v>
          </cell>
          <cell r="DC28">
            <v>10</v>
          </cell>
          <cell r="DD28">
            <v>31838</v>
          </cell>
          <cell r="DE28">
            <v>14</v>
          </cell>
          <cell r="DF28">
            <v>32114</v>
          </cell>
          <cell r="DG28">
            <v>15</v>
          </cell>
          <cell r="DH28">
            <v>21648</v>
          </cell>
          <cell r="DI28">
            <v>11</v>
          </cell>
          <cell r="DJ28">
            <v>23922</v>
          </cell>
          <cell r="DK28">
            <v>5</v>
          </cell>
          <cell r="DL28">
            <v>6911</v>
          </cell>
          <cell r="DM28">
            <v>11</v>
          </cell>
          <cell r="DN28">
            <v>9611</v>
          </cell>
          <cell r="DO28">
            <v>11</v>
          </cell>
          <cell r="DP28">
            <v>3190</v>
          </cell>
          <cell r="DQ28">
            <v>2</v>
          </cell>
          <cell r="DR28">
            <v>6262</v>
          </cell>
          <cell r="DS28">
            <v>10</v>
          </cell>
          <cell r="DT28">
            <v>30171</v>
          </cell>
          <cell r="DU28">
            <v>0</v>
          </cell>
          <cell r="DW28">
            <v>6115.1</v>
          </cell>
          <cell r="DX28">
            <v>11.800000000000182</v>
          </cell>
          <cell r="DY28">
            <v>11130.3</v>
          </cell>
          <cell r="DZ28">
            <v>8.5</v>
          </cell>
          <cell r="EA28">
            <v>4670.3</v>
          </cell>
          <cell r="EB28">
            <v>7.1999999999998181</v>
          </cell>
          <cell r="EC28">
            <v>5250.3</v>
          </cell>
          <cell r="ED28">
            <v>7</v>
          </cell>
          <cell r="EE28">
            <v>1115487</v>
          </cell>
          <cell r="EF28">
            <v>688</v>
          </cell>
          <cell r="EI28">
            <v>228888.1</v>
          </cell>
          <cell r="EJ28">
            <v>151.89999999999418</v>
          </cell>
          <cell r="EL28">
            <v>12058700</v>
          </cell>
          <cell r="EM28">
            <v>6500</v>
          </cell>
          <cell r="EN28">
            <v>928460</v>
          </cell>
          <cell r="EO28">
            <v>310</v>
          </cell>
          <cell r="EP28">
            <v>7181400</v>
          </cell>
          <cell r="EQ28">
            <v>2600</v>
          </cell>
          <cell r="ER28">
            <v>2488400</v>
          </cell>
          <cell r="ES28">
            <v>800</v>
          </cell>
          <cell r="ET28">
            <v>1264100</v>
          </cell>
          <cell r="EU28">
            <v>850</v>
          </cell>
          <cell r="EV28">
            <v>16539100</v>
          </cell>
          <cell r="EW28">
            <v>7000</v>
          </cell>
          <cell r="EY28">
            <v>41795</v>
          </cell>
          <cell r="EZ28">
            <v>19</v>
          </cell>
          <cell r="FA28">
            <v>36563</v>
          </cell>
          <cell r="FB28">
            <v>14</v>
          </cell>
          <cell r="FC28">
            <v>7346</v>
          </cell>
          <cell r="FD28">
            <v>12</v>
          </cell>
          <cell r="FE28">
            <v>58990</v>
          </cell>
          <cell r="FF28">
            <v>15</v>
          </cell>
          <cell r="FG28">
            <v>48892</v>
          </cell>
          <cell r="FH28">
            <v>37</v>
          </cell>
        </row>
        <row r="29">
          <cell r="B29">
            <v>0.88</v>
          </cell>
          <cell r="E29">
            <v>197394</v>
          </cell>
          <cell r="F29">
            <v>775</v>
          </cell>
          <cell r="G29">
            <v>590</v>
          </cell>
          <cell r="H29">
            <v>233445</v>
          </cell>
          <cell r="I29">
            <v>467</v>
          </cell>
          <cell r="J29">
            <v>270</v>
          </cell>
          <cell r="K29">
            <v>4386</v>
          </cell>
          <cell r="L29">
            <v>161</v>
          </cell>
          <cell r="N29">
            <v>916388</v>
          </cell>
          <cell r="O29">
            <v>247</v>
          </cell>
          <cell r="Q29">
            <v>242003</v>
          </cell>
          <cell r="R29">
            <v>37</v>
          </cell>
          <cell r="U29">
            <v>113927</v>
          </cell>
          <cell r="V29">
            <v>167</v>
          </cell>
          <cell r="W29">
            <v>112.30000000000291</v>
          </cell>
          <cell r="X29">
            <v>6132</v>
          </cell>
          <cell r="Y29">
            <v>16</v>
          </cell>
          <cell r="AE29">
            <v>8102671.919999999</v>
          </cell>
          <cell r="AF29">
            <v>2094.9599999999627</v>
          </cell>
          <cell r="AH29">
            <v>15393473.76</v>
          </cell>
          <cell r="AI29">
            <v>4579.679999999702</v>
          </cell>
          <cell r="AK29">
            <v>15751029.84</v>
          </cell>
          <cell r="AL29">
            <v>5456.640000000596</v>
          </cell>
          <cell r="AN29">
            <v>18781560</v>
          </cell>
          <cell r="AO29">
            <v>1071.839999999851</v>
          </cell>
          <cell r="AQ29">
            <v>19051176.48</v>
          </cell>
          <cell r="AR29">
            <v>11595.360000003129</v>
          </cell>
          <cell r="AT29">
            <v>17463001.919999998</v>
          </cell>
          <cell r="AU29">
            <v>5651.519999999553</v>
          </cell>
          <cell r="AW29">
            <v>14709493.68</v>
          </cell>
          <cell r="AX29">
            <v>4579.679999999702</v>
          </cell>
          <cell r="AZ29">
            <v>14226191.280000001</v>
          </cell>
          <cell r="BA29">
            <v>4920.7200000025332</v>
          </cell>
          <cell r="BC29">
            <v>11124773.52</v>
          </cell>
          <cell r="BD29">
            <v>3118.0800000000745</v>
          </cell>
          <cell r="BF29">
            <v>17597274.239999998</v>
          </cell>
          <cell r="BG29">
            <v>5943.839999999851</v>
          </cell>
          <cell r="BM29">
            <v>77838300</v>
          </cell>
          <cell r="BN29">
            <v>26700</v>
          </cell>
          <cell r="BP29">
            <v>80264900</v>
          </cell>
          <cell r="BQ29">
            <v>0</v>
          </cell>
          <cell r="BS29">
            <v>74193500</v>
          </cell>
          <cell r="BT29">
            <v>62800</v>
          </cell>
          <cell r="BV29">
            <v>10097700</v>
          </cell>
          <cell r="BW29">
            <v>6210</v>
          </cell>
          <cell r="BY29">
            <v>0.72</v>
          </cell>
          <cell r="BZ29">
            <v>-0.21999999999999997</v>
          </cell>
          <cell r="CB29">
            <v>63972</v>
          </cell>
          <cell r="CC29">
            <v>18</v>
          </cell>
          <cell r="CD29">
            <v>55076</v>
          </cell>
          <cell r="CE29">
            <v>19</v>
          </cell>
          <cell r="CF29">
            <v>18629</v>
          </cell>
          <cell r="CG29">
            <v>6</v>
          </cell>
          <cell r="CH29">
            <v>25409</v>
          </cell>
          <cell r="CI29">
            <v>10</v>
          </cell>
          <cell r="CJ29">
            <v>28220</v>
          </cell>
          <cell r="CK29">
            <v>12</v>
          </cell>
          <cell r="CL29">
            <v>61892</v>
          </cell>
          <cell r="CM29">
            <v>37</v>
          </cell>
          <cell r="CN29">
            <v>266707</v>
          </cell>
          <cell r="CO29">
            <v>73</v>
          </cell>
          <cell r="CQ29">
            <v>213151</v>
          </cell>
          <cell r="CR29">
            <v>101</v>
          </cell>
          <cell r="CT29">
            <v>352224</v>
          </cell>
          <cell r="CU29">
            <v>175</v>
          </cell>
          <cell r="CW29">
            <v>691639</v>
          </cell>
          <cell r="CX29">
            <v>175</v>
          </cell>
          <cell r="CZ29">
            <v>8716</v>
          </cell>
          <cell r="DA29">
            <v>8</v>
          </cell>
          <cell r="DB29">
            <v>5917</v>
          </cell>
          <cell r="DC29">
            <v>1</v>
          </cell>
          <cell r="DD29">
            <v>31857</v>
          </cell>
          <cell r="DE29">
            <v>19</v>
          </cell>
          <cell r="DF29">
            <v>32131</v>
          </cell>
          <cell r="DG29">
            <v>17</v>
          </cell>
          <cell r="DH29">
            <v>21658</v>
          </cell>
          <cell r="DI29">
            <v>10</v>
          </cell>
          <cell r="DJ29">
            <v>23931</v>
          </cell>
          <cell r="DK29">
            <v>9</v>
          </cell>
          <cell r="DL29">
            <v>6922</v>
          </cell>
          <cell r="DM29">
            <v>11</v>
          </cell>
          <cell r="DN29">
            <v>9619</v>
          </cell>
          <cell r="DO29">
            <v>8</v>
          </cell>
          <cell r="DP29">
            <v>3193</v>
          </cell>
          <cell r="DQ29">
            <v>3</v>
          </cell>
          <cell r="DR29">
            <v>6274</v>
          </cell>
          <cell r="DS29">
            <v>12</v>
          </cell>
          <cell r="DT29">
            <v>30184</v>
          </cell>
          <cell r="DU29">
            <v>13</v>
          </cell>
          <cell r="DW29">
            <v>6126.2</v>
          </cell>
          <cell r="DX29">
            <v>11.099999999999454</v>
          </cell>
          <cell r="DY29">
            <v>11138.5</v>
          </cell>
          <cell r="DZ29">
            <v>8.2000000000007276</v>
          </cell>
          <cell r="EA29">
            <v>4677.3999999999996</v>
          </cell>
          <cell r="EB29">
            <v>7.0999999999994543</v>
          </cell>
          <cell r="EC29">
            <v>5257.1</v>
          </cell>
          <cell r="ED29">
            <v>6.8000000000001819</v>
          </cell>
          <cell r="EE29">
            <v>1116090</v>
          </cell>
          <cell r="EF29">
            <v>603</v>
          </cell>
          <cell r="EI29">
            <v>229034.8</v>
          </cell>
          <cell r="EJ29">
            <v>146.69999999998254</v>
          </cell>
          <cell r="EL29">
            <v>12064000</v>
          </cell>
          <cell r="EM29">
            <v>5300</v>
          </cell>
          <cell r="EN29">
            <v>928770</v>
          </cell>
          <cell r="EO29">
            <v>310</v>
          </cell>
          <cell r="EP29">
            <v>7183800</v>
          </cell>
          <cell r="EQ29">
            <v>2400</v>
          </cell>
          <cell r="ER29">
            <v>2489200</v>
          </cell>
          <cell r="ES29">
            <v>800</v>
          </cell>
          <cell r="ET29">
            <v>1264890</v>
          </cell>
          <cell r="EU29">
            <v>790</v>
          </cell>
          <cell r="EV29">
            <v>16544100</v>
          </cell>
          <cell r="EW29">
            <v>5000</v>
          </cell>
          <cell r="EY29">
            <v>41811</v>
          </cell>
          <cell r="EZ29">
            <v>16</v>
          </cell>
          <cell r="FA29">
            <v>36574</v>
          </cell>
          <cell r="FB29">
            <v>11</v>
          </cell>
          <cell r="FC29">
            <v>7358</v>
          </cell>
          <cell r="FD29">
            <v>12</v>
          </cell>
          <cell r="FE29">
            <v>59004</v>
          </cell>
          <cell r="FF29">
            <v>14</v>
          </cell>
          <cell r="FG29">
            <v>48922</v>
          </cell>
          <cell r="FH29">
            <v>30</v>
          </cell>
        </row>
        <row r="30">
          <cell r="F30">
            <v>-197394</v>
          </cell>
          <cell r="G30">
            <v>1228</v>
          </cell>
          <cell r="I30">
            <v>-233445</v>
          </cell>
          <cell r="J30">
            <v>422</v>
          </cell>
          <cell r="L30">
            <v>-4386</v>
          </cell>
          <cell r="O30">
            <v>-916388</v>
          </cell>
          <cell r="R30">
            <v>-242003</v>
          </cell>
          <cell r="V30">
            <v>-113927</v>
          </cell>
          <cell r="W30">
            <v>117.90000000000146</v>
          </cell>
          <cell r="Y30">
            <v>-6132</v>
          </cell>
          <cell r="AF30">
            <v>-8102671.919999999</v>
          </cell>
          <cell r="AI30">
            <v>-15393473.76</v>
          </cell>
          <cell r="AL30">
            <v>-15751029.84</v>
          </cell>
          <cell r="AO30">
            <v>-18781560</v>
          </cell>
          <cell r="AR30">
            <v>-19051176.48</v>
          </cell>
          <cell r="AU30">
            <v>-17463001.919999998</v>
          </cell>
          <cell r="AX30">
            <v>-14709493.68</v>
          </cell>
          <cell r="BA30">
            <v>-14226191.280000001</v>
          </cell>
          <cell r="BD30">
            <v>-11124773.52</v>
          </cell>
          <cell r="BG30">
            <v>-17597274.239999998</v>
          </cell>
          <cell r="BN30">
            <v>-77838300</v>
          </cell>
          <cell r="BQ30">
            <v>-80264900</v>
          </cell>
          <cell r="BT30">
            <v>-74193500</v>
          </cell>
          <cell r="BW30">
            <v>-10097700</v>
          </cell>
          <cell r="BZ30">
            <v>0.72</v>
          </cell>
          <cell r="CC30">
            <v>-63972</v>
          </cell>
          <cell r="CE30">
            <v>-55076</v>
          </cell>
          <cell r="CG30">
            <v>-18629</v>
          </cell>
          <cell r="CI30">
            <v>-25409</v>
          </cell>
          <cell r="CK30">
            <v>-28220</v>
          </cell>
          <cell r="CM30">
            <v>-61892</v>
          </cell>
          <cell r="CO30">
            <v>-266707</v>
          </cell>
          <cell r="CR30">
            <v>-213151</v>
          </cell>
          <cell r="CU30">
            <v>-352224</v>
          </cell>
          <cell r="CX30">
            <v>-691639</v>
          </cell>
          <cell r="DA30">
            <v>-8716</v>
          </cell>
          <cell r="DC30">
            <v>-5917</v>
          </cell>
          <cell r="DE30">
            <v>-31857</v>
          </cell>
          <cell r="DG30">
            <v>-32131</v>
          </cell>
          <cell r="DI30">
            <v>-21658</v>
          </cell>
          <cell r="DK30">
            <v>-23931</v>
          </cell>
          <cell r="DM30">
            <v>-6922</v>
          </cell>
          <cell r="DO30">
            <v>-9619</v>
          </cell>
          <cell r="DQ30">
            <v>-3193</v>
          </cell>
          <cell r="DS30">
            <v>-6274</v>
          </cell>
          <cell r="DU30">
            <v>-30184</v>
          </cell>
          <cell r="DX30">
            <v>-6126.2</v>
          </cell>
          <cell r="DZ30">
            <v>-11138.5</v>
          </cell>
          <cell r="EB30">
            <v>-4677.3999999999996</v>
          </cell>
          <cell r="ED30">
            <v>-5257.1</v>
          </cell>
          <cell r="EF30">
            <v>-1116090</v>
          </cell>
          <cell r="EJ30">
            <v>-229034.8</v>
          </cell>
          <cell r="EM30">
            <v>-12064000</v>
          </cell>
          <cell r="EO30">
            <v>-928770</v>
          </cell>
          <cell r="EQ30">
            <v>-7183800</v>
          </cell>
          <cell r="ES30">
            <v>-2489200</v>
          </cell>
          <cell r="EU30">
            <v>-1264890</v>
          </cell>
          <cell r="EW30">
            <v>-16544100</v>
          </cell>
          <cell r="EZ30">
            <v>-41811</v>
          </cell>
          <cell r="FB30">
            <v>-36574</v>
          </cell>
          <cell r="FD30">
            <v>-7358</v>
          </cell>
          <cell r="FF30">
            <v>-59004</v>
          </cell>
          <cell r="FH30">
            <v>-48922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3.3461538461538458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49012.319999999367</v>
      </c>
      <c r="F15">
        <v>0.44447999999999999</v>
      </c>
      <c r="G15" s="3">
        <f>Submetering!Z15+Submetering!AA15+Submetering!AB15</f>
        <v>389.34</v>
      </c>
      <c r="H15" s="238">
        <f t="shared" si="0"/>
        <v>3.3461538461538458</v>
      </c>
      <c r="I15" s="3">
        <f>Submetering!G15</f>
        <v>732</v>
      </c>
      <c r="J15">
        <v>13.83</v>
      </c>
      <c r="K15" s="3">
        <f>Submetering!BL15</f>
        <v>76</v>
      </c>
      <c r="L15">
        <v>1.2</v>
      </c>
      <c r="M15" s="238">
        <f>Submetering!E15</f>
        <v>175.38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48866.159999996424</v>
      </c>
      <c r="F16">
        <v>0.44447999999999999</v>
      </c>
      <c r="G16" s="3">
        <f>Submetering!Z16+Submetering!AA16+Submetering!AB16</f>
        <v>761.67</v>
      </c>
      <c r="H16" s="238">
        <f t="shared" si="0"/>
        <v>3.3461538461538458</v>
      </c>
      <c r="I16" s="3">
        <f>Submetering!G16</f>
        <v>1236</v>
      </c>
      <c r="J16">
        <v>13.83</v>
      </c>
      <c r="K16" s="3">
        <f>Submetering!BL16</f>
        <v>92</v>
      </c>
      <c r="L16">
        <v>1.2</v>
      </c>
      <c r="M16" s="238">
        <f>Submetering!E16</f>
        <v>165.89999999999998</v>
      </c>
      <c r="N16">
        <f>Submetering!F16</f>
        <v>270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49889.280000005849</v>
      </c>
      <c r="F17">
        <v>0.44447999999999999</v>
      </c>
      <c r="G17" s="3">
        <f>Submetering!Z17+Submetering!AA17+Submetering!AB17</f>
        <v>602.91</v>
      </c>
      <c r="H17" s="238">
        <f t="shared" si="0"/>
        <v>3.3461538461538458</v>
      </c>
      <c r="I17" s="3">
        <f>Submetering!G17</f>
        <v>890</v>
      </c>
      <c r="J17">
        <v>13.83</v>
      </c>
      <c r="K17" s="3">
        <f>Submetering!BL17</f>
        <v>138</v>
      </c>
      <c r="L17">
        <v>1.2</v>
      </c>
      <c r="M17" s="238">
        <f>Submetering!E17</f>
        <v>182.49</v>
      </c>
      <c r="N17">
        <f>Submetering!F17</f>
        <v>312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48866.159999995492</v>
      </c>
      <c r="F18">
        <v>0.44447999999999999</v>
      </c>
      <c r="G18" s="3">
        <f>Submetering!Z18+Submetering!AA18+Submetering!AB18</f>
        <v>576.45000000000005</v>
      </c>
      <c r="H18" s="238">
        <f t="shared" si="0"/>
        <v>3.3461538461538458</v>
      </c>
      <c r="I18" s="3">
        <f>Submetering!G18</f>
        <v>930</v>
      </c>
      <c r="J18">
        <v>13.83</v>
      </c>
      <c r="K18" s="3">
        <f>Submetering!BL18</f>
        <v>125</v>
      </c>
      <c r="L18">
        <v>1.2</v>
      </c>
      <c r="M18" s="238">
        <f>Submetering!E18</f>
        <v>201.45</v>
      </c>
      <c r="N18">
        <f>Submetering!F18</f>
        <v>355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51253.440000001341</v>
      </c>
      <c r="F19">
        <v>0.44447999999999999</v>
      </c>
      <c r="G19" s="3">
        <f>Submetering!Z19+Submetering!AA19+Submetering!AB19</f>
        <v>648.27</v>
      </c>
      <c r="H19" s="238">
        <f t="shared" si="0"/>
        <v>3.3461538461538458</v>
      </c>
      <c r="I19" s="3">
        <f>Submetering!G19</f>
        <v>850</v>
      </c>
      <c r="J19">
        <v>13.83</v>
      </c>
      <c r="K19" s="3">
        <f>Submetering!BL19</f>
        <v>142</v>
      </c>
      <c r="L19">
        <v>1.2</v>
      </c>
      <c r="M19" s="238">
        <f>Submetering!E19</f>
        <v>201.45</v>
      </c>
      <c r="N19">
        <f>Submetering!F19</f>
        <v>362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50084.159999994561</v>
      </c>
      <c r="F20">
        <v>0.44447999999999999</v>
      </c>
      <c r="G20" s="3">
        <f>Submetering!Z20+Submetering!AA20+Submetering!AB20</f>
        <v>604.79999999999995</v>
      </c>
      <c r="H20" s="238">
        <f t="shared" si="0"/>
        <v>3.3461538461538458</v>
      </c>
      <c r="I20" s="3">
        <f>Submetering!G20</f>
        <v>896</v>
      </c>
      <c r="J20">
        <v>13.83</v>
      </c>
      <c r="K20" s="3">
        <f>Submetering!BL20</f>
        <v>130</v>
      </c>
      <c r="L20">
        <v>1.2</v>
      </c>
      <c r="M20" s="238">
        <f>Submetering!E20</f>
        <v>199.07999999999998</v>
      </c>
      <c r="N20">
        <f>Submetering!F20</f>
        <v>385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49012.320000004955</v>
      </c>
      <c r="F21">
        <v>0.44447999999999999</v>
      </c>
      <c r="G21" s="3">
        <f>Submetering!Z21+Submetering!AA21+Submetering!AB21</f>
        <v>659.61</v>
      </c>
      <c r="H21" s="238">
        <f t="shared" si="0"/>
        <v>3.3461538461538458</v>
      </c>
      <c r="I21" s="3">
        <f>Submetering!G21</f>
        <v>775</v>
      </c>
      <c r="J21">
        <v>13.83</v>
      </c>
      <c r="K21" s="3">
        <f>Submetering!BL21</f>
        <v>161</v>
      </c>
      <c r="L21">
        <v>1.2</v>
      </c>
      <c r="M21" s="238">
        <f>Submetering!E21</f>
        <v>208.56</v>
      </c>
      <c r="N21">
        <f>Submetering!F21</f>
        <v>356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3" sqref="B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283+23</f>
        <v>306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>
        <f>237*0.74</f>
        <v>175.38</v>
      </c>
      <c r="F15" s="79">
        <f>278+24</f>
        <v>302</v>
      </c>
      <c r="G15" s="3">
        <f>'DJB Daily Readings'!C23-'DJB Daily Readings'!C22</f>
        <v>732</v>
      </c>
      <c r="H15" s="3">
        <f>'DJB Daily Readings'!F23-'DJB Daily Readings'!F22</f>
        <v>461</v>
      </c>
      <c r="I15" s="3">
        <f>'DJB Daily Readings'!K23-'DJB Daily Readings'!K22</f>
        <v>323</v>
      </c>
      <c r="J15" s="3">
        <f>'DJB Daily Readings'!K23-'DJB Daily Readings'!K22</f>
        <v>323</v>
      </c>
      <c r="K15" s="3">
        <f>'DJB Daily Readings'!O23-'DJB Daily Readings'!O22</f>
        <v>176</v>
      </c>
      <c r="L15" s="3">
        <f>'DJB Daily Readings'!R23-'DJB Daily Readings'!R22</f>
        <v>18</v>
      </c>
      <c r="M15" s="3">
        <f>'DJB Daily Readings'!U23-'DJB Daily Readings'!U22</f>
        <v>2777.0400000000373</v>
      </c>
      <c r="N15" s="3">
        <f>'DJB Daily Readings'!X23-'DJB Daily Readings'!X22</f>
        <v>4774.5600000005215</v>
      </c>
      <c r="O15" s="3">
        <f>'DJB Daily Readings'!AA23-'DJB Daily Readings'!AA22</f>
        <v>11400.479999998584</v>
      </c>
      <c r="P15" s="3">
        <f>'DJB Daily Readings'!AD23-'DJB Daily Readings'!AD22</f>
        <v>5895.1200000010431</v>
      </c>
      <c r="Q15" s="3">
        <f>'DJB Daily Readings'!AG23-'DJB Daily Readings'!AG22</f>
        <v>341.03999999910593</v>
      </c>
      <c r="R15" s="3">
        <f>'DJB Daily Readings'!AJ23-'DJB Daily Readings'!AJ22</f>
        <v>5992.5600000023842</v>
      </c>
      <c r="S15" s="3">
        <f>'DJB Daily Readings'!AM23-'DJB Daily Readings'!AM22</f>
        <v>4677.1200000010431</v>
      </c>
      <c r="T15" s="3">
        <f>'DJB Daily Readings'!AP23-'DJB Daily Readings'!AP22</f>
        <v>4579.6799999978393</v>
      </c>
      <c r="U15" s="3">
        <f>'DJB Daily Readings'!AS23-'DJB Daily Readings'!AS22</f>
        <v>2874.480000000447</v>
      </c>
      <c r="V15" s="3">
        <f>'DJB Daily Readings'!AV23-'DJB Daily Readings'!AV22</f>
        <v>5700.2399999983609</v>
      </c>
      <c r="W15" s="3">
        <f>'DJB Daily Readings'!AZ23-'DJB Daily Readings'!AZ22</f>
        <v>55500</v>
      </c>
      <c r="X15" s="3">
        <f>'DJB Daily Readings'!BC23-'DJB Daily Readings'!BC22</f>
        <v>30200</v>
      </c>
      <c r="Y15" s="3">
        <f>'DJB Daily Readings'!BF23-'DJB Daily Readings'!BF22</f>
        <v>0</v>
      </c>
      <c r="Z15" s="3">
        <f>('DJB Daily Readings'!CK23-'DJB Daily Readings'!CK22)*1.89</f>
        <v>145.53</v>
      </c>
      <c r="AA15" s="3">
        <f>('DJB Daily Readings'!CN23-'DJB Daily Readings'!CN22)*1.89</f>
        <v>189</v>
      </c>
      <c r="AB15" s="3">
        <f>('DJB Daily Readings'!CQ23-'DJB Daily Readings'!CQ22)*1.89</f>
        <v>54.809999999999995</v>
      </c>
      <c r="AC15" s="3">
        <f>'DJB Daily Readings'!CT23-'DJB Daily Readings'!CT22</f>
        <v>187</v>
      </c>
      <c r="AD15" s="84">
        <f>('DJB Daily Readings'!BY23-'DJB Daily Readings'!BY22)*1.89</f>
        <v>43.47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66.149999999999991</v>
      </c>
      <c r="AJ15" s="81">
        <f>'DJB Daily Readings'!CY23-'DJB Daily Readings'!CY22</f>
        <v>3</v>
      </c>
      <c r="AK15" s="81">
        <f>'DJB Daily Readings'!CW23-'DJB Daily Readings'!CW22</f>
        <v>6</v>
      </c>
      <c r="AL15" s="82">
        <f>'DJB Daily Readings'!DC23-'DJB Daily Readings'!DC22</f>
        <v>16</v>
      </c>
      <c r="AM15" s="82">
        <f>'DJB Daily Readings'!DA23-'DJB Daily Readings'!DA22</f>
        <v>15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7</v>
      </c>
      <c r="AQ15" s="82">
        <f>'DJB Daily Readings'!DI23-'DJB Daily Readings'!DI22</f>
        <v>8</v>
      </c>
      <c r="AR15" s="82">
        <f>'DJB Daily Readings'!DO23-'DJB Daily Readings'!DO22</f>
        <v>10</v>
      </c>
      <c r="AS15" s="82">
        <f>'DJB Daily Readings'!DM23-'DJB Daily Readings'!DM22</f>
        <v>3</v>
      </c>
      <c r="AT15" s="82">
        <f>'DJB Daily Readings'!DQ23-'DJB Daily Readings'!DQ22</f>
        <v>8</v>
      </c>
      <c r="AU15" s="82">
        <f>'DJB Daily Readings'!DT23-'DJB Daily Readings'!DT22</f>
        <v>11.300000000000182</v>
      </c>
      <c r="AW15" s="82">
        <f>'DJB Daily Readings'!DX23-'DJB Daily Readings'!DX22</f>
        <v>7</v>
      </c>
      <c r="AX15" s="82">
        <f>'DJB Daily Readings'!DZ23-'DJB Daily Readings'!DZ22</f>
        <v>6.1999999999998181</v>
      </c>
      <c r="AY15" s="82">
        <f>'DJB Daily Readings'!EB23-'DJB Daily Readings'!EB22</f>
        <v>617</v>
      </c>
      <c r="AZ15" s="82">
        <f>'DJB Daily Readings'!ED23-'DJB Daily Readings'!ED22</f>
        <v>150.39999999999418</v>
      </c>
      <c r="BA15" s="82">
        <f>'DJB Daily Readings'!EG23-'DJB Daily Readings'!EG22</f>
        <v>5600</v>
      </c>
      <c r="BB15" s="82">
        <f>'DJB Daily Readings'!EI23-'DJB Daily Readings'!EI22</f>
        <v>280</v>
      </c>
      <c r="BC15" s="82">
        <f>'DJB Daily Readings'!EQ23-'DJB Daily Readings'!EQ22</f>
        <v>6700</v>
      </c>
      <c r="BD15" s="82">
        <f>'DJB Daily Readings'!EK23-'DJB Daily Readings'!EK22</f>
        <v>2500</v>
      </c>
      <c r="BE15" s="82">
        <f>'DJB Daily Readings'!EM23-'DJB Daily Readings'!EM22</f>
        <v>400</v>
      </c>
      <c r="BF15" s="82">
        <f>'DJB Daily Readings'!EO23-'DJB Daily Readings'!EO22</f>
        <v>790</v>
      </c>
      <c r="BG15" s="82">
        <f>('DJB Daily Readings'!ET23-'DJB Daily Readings'!ET22)*1.89</f>
        <v>32.129999999999995</v>
      </c>
      <c r="BH15" s="82">
        <f>('DJB Daily Readings'!EV23-'DJB Daily Readings'!EV22)*1.89</f>
        <v>18.899999999999999</v>
      </c>
      <c r="BI15" s="82">
        <f>('DJB Daily Readings'!EZ23-'DJB Daily Readings'!EZ22)*1.89</f>
        <v>20.79</v>
      </c>
      <c r="BJ15" s="82">
        <f>('DJB Daily Readings'!EX23-'DJB Daily Readings'!EX22)*1.89</f>
        <v>17.009999999999998</v>
      </c>
      <c r="BK15" s="82">
        <f>('DJB Daily Readings'!FB23-'DJB Daily Readings'!FB22)*1.89</f>
        <v>64.259999999999991</v>
      </c>
      <c r="BL15" s="82">
        <f>'DJB Daily Readings'!J23</f>
        <v>76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>
        <f>237*0.7</f>
        <v>165.89999999999998</v>
      </c>
      <c r="F16" s="79">
        <f>255+15</f>
        <v>270</v>
      </c>
      <c r="G16" s="3">
        <f>'DJB Daily Readings'!C24-'DJB Daily Readings'!C23</f>
        <v>1236</v>
      </c>
      <c r="H16" s="3">
        <f>'DJB Daily Readings'!F24-'DJB Daily Readings'!F23</f>
        <v>469</v>
      </c>
      <c r="I16" s="3">
        <f>'DJB Daily Readings'!K24-'DJB Daily Readings'!K23</f>
        <v>335</v>
      </c>
      <c r="J16" s="3">
        <f>'DJB Daily Readings'!K24-'DJB Daily Readings'!K23</f>
        <v>335</v>
      </c>
      <c r="K16" s="3">
        <f>'DJB Daily Readings'!O24-'DJB Daily Readings'!O23</f>
        <v>180</v>
      </c>
      <c r="L16" s="3">
        <f>'DJB Daily Readings'!R24-'DJB Daily Readings'!R23</f>
        <v>15</v>
      </c>
      <c r="M16" s="3">
        <f>'DJB Daily Readings'!U24-'DJB Daily Readings'!U23</f>
        <v>2874.4799999985844</v>
      </c>
      <c r="N16" s="3">
        <f>'DJB Daily Readings'!X24-'DJB Daily Readings'!X23</f>
        <v>4628.3999999985099</v>
      </c>
      <c r="O16" s="3">
        <f>'DJB Daily Readings'!AA24-'DJB Daily Readings'!AA23</f>
        <v>11644.080000001937</v>
      </c>
      <c r="P16" s="3">
        <f>'DJB Daily Readings'!AD24-'DJB Daily Readings'!AD23</f>
        <v>5651.519999999553</v>
      </c>
      <c r="Q16" s="3">
        <f>'DJB Daily Readings'!AG24-'DJB Daily Readings'!AG23</f>
        <v>194.87999999895692</v>
      </c>
      <c r="R16" s="3">
        <f>'DJB Daily Readings'!AJ24-'DJB Daily Readings'!AJ23</f>
        <v>5651.519999999553</v>
      </c>
      <c r="S16" s="3">
        <f>'DJB Daily Readings'!AM24-'DJB Daily Readings'!AM23</f>
        <v>4774.5599999986589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5797.679999999702</v>
      </c>
      <c r="W16" s="3">
        <f>'DJB Daily Readings'!AZ24-'DJB Daily Readings'!AZ23</f>
        <v>58000</v>
      </c>
      <c r="X16" s="3">
        <f>'DJB Daily Readings'!BC24-'DJB Daily Readings'!BC23</f>
        <v>31000</v>
      </c>
      <c r="Y16" s="3">
        <f>'DJB Daily Readings'!BF24-'DJB Daily Readings'!BF23</f>
        <v>0</v>
      </c>
      <c r="Z16" s="3">
        <f>('DJB Daily Readings'!CK24-'DJB Daily Readings'!CK23)*1.89</f>
        <v>143.63999999999999</v>
      </c>
      <c r="AA16" s="3">
        <f>('DJB Daily Readings'!CN24-'DJB Daily Readings'!CN23)*1.89</f>
        <v>190.89</v>
      </c>
      <c r="AB16" s="3">
        <f>('DJB Daily Readings'!CQ24-'DJB Daily Readings'!CQ23)*1.89</f>
        <v>427.14</v>
      </c>
      <c r="AC16" s="3">
        <f>'DJB Daily Readings'!CT24-'DJB Daily Readings'!CT23</f>
        <v>184</v>
      </c>
      <c r="AD16" s="84">
        <f>('DJB Daily Readings'!BY24-'DJB Daily Readings'!BY23)*1.89</f>
        <v>45.36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20.79</v>
      </c>
      <c r="AH16" s="84">
        <f>('DJB Daily Readings'!CG24-'DJB Daily Readings'!CG23)*1.89</f>
        <v>30.24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16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7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11.599999999999454</v>
      </c>
      <c r="AW16" s="82">
        <f>'DJB Daily Readings'!DX24-'DJB Daily Readings'!DX23</f>
        <v>7.2000000000007276</v>
      </c>
      <c r="AX16" s="82">
        <f>'DJB Daily Readings'!DZ24-'DJB Daily Readings'!DZ23</f>
        <v>6.2000000000007276</v>
      </c>
      <c r="AY16" s="82">
        <f>'DJB Daily Readings'!EB24-'DJB Daily Readings'!EB23</f>
        <v>597</v>
      </c>
      <c r="AZ16" s="82">
        <f>'DJB Daily Readings'!ED24-'DJB Daily Readings'!ED23</f>
        <v>153.5</v>
      </c>
      <c r="BA16" s="82">
        <f>'DJB Daily Readings'!EG24-'DJB Daily Readings'!EG23</f>
        <v>6000</v>
      </c>
      <c r="BB16" s="82">
        <f>'DJB Daily Readings'!EI24-'DJB Daily Readings'!EI23</f>
        <v>280</v>
      </c>
      <c r="BC16" s="82">
        <f>'DJB Daily Readings'!EQ24-'DJB Daily Readings'!EQ23</f>
        <v>7200</v>
      </c>
      <c r="BD16" s="82">
        <f>'DJB Daily Readings'!EK24-'DJB Daily Readings'!EK23</f>
        <v>2400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24.57</v>
      </c>
      <c r="BJ16" s="82">
        <f>('DJB Daily Readings'!EX24-'DJB Daily Readings'!EX23)*1.89</f>
        <v>15.12</v>
      </c>
      <c r="BK16" s="82">
        <f>('DJB Daily Readings'!FB24-'DJB Daily Readings'!FB23)*1.89</f>
        <v>64.259999999999991</v>
      </c>
      <c r="BL16" s="82">
        <f>'DJB Daily Readings'!J24</f>
        <v>92</v>
      </c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>
        <f>237*0.77</f>
        <v>182.49</v>
      </c>
      <c r="F17" s="79">
        <f>292+20</f>
        <v>312</v>
      </c>
      <c r="G17" s="3">
        <f>'DJB Daily Readings'!C25-'DJB Daily Readings'!C24</f>
        <v>890</v>
      </c>
      <c r="H17" s="3">
        <f>'DJB Daily Readings'!F25-'DJB Daily Readings'!F24</f>
        <v>462</v>
      </c>
      <c r="I17" s="3">
        <f>'DJB Daily Readings'!K25-'DJB Daily Readings'!K24</f>
        <v>298</v>
      </c>
      <c r="J17" s="3">
        <f>'DJB Daily Readings'!K25-'DJB Daily Readings'!K24</f>
        <v>298</v>
      </c>
      <c r="K17" s="3">
        <f>'DJB Daily Readings'!O25-'DJB Daily Readings'!O24</f>
        <v>179</v>
      </c>
      <c r="L17" s="3">
        <f>'DJB Daily Readings'!R25-'DJB Daily Readings'!R24</f>
        <v>6</v>
      </c>
      <c r="M17" s="3">
        <f>'DJB Daily Readings'!U25-'DJB Daily Readings'!U24</f>
        <v>2874.4800000013784</v>
      </c>
      <c r="N17" s="3">
        <f>'DJB Daily Readings'!X25-'DJB Daily Readings'!X24</f>
        <v>4433.5200000014156</v>
      </c>
      <c r="O17" s="3">
        <f>'DJB Daily Readings'!AA25-'DJB Daily Readings'!AA24</f>
        <v>11400.480000000447</v>
      </c>
      <c r="P17" s="3">
        <f>'DJB Daily Readings'!AD25-'DJB Daily Readings'!AD24</f>
        <v>6187.4399999976158</v>
      </c>
      <c r="Q17" s="3">
        <f>'DJB Daily Readings'!AG25-'DJB Daily Readings'!AG24</f>
        <v>487.20000000298023</v>
      </c>
      <c r="R17" s="3">
        <f>'DJB Daily Readings'!AJ25-'DJB Daily Readings'!AJ24</f>
        <v>5748.9599999971688</v>
      </c>
      <c r="S17" s="3">
        <f>'DJB Daily Readings'!AM25-'DJB Daily Readings'!AM24</f>
        <v>4872</v>
      </c>
      <c r="T17" s="3">
        <f>'DJB Daily Readings'!AP25-'DJB Daily Readings'!AP24</f>
        <v>4823.2800000011921</v>
      </c>
      <c r="U17" s="3">
        <f>'DJB Daily Readings'!AS25-'DJB Daily Readings'!AS24</f>
        <v>3118.0800000000745</v>
      </c>
      <c r="V17" s="3">
        <f>'DJB Daily Readings'!AV25-'DJB Daily Readings'!AV24</f>
        <v>5943.8400000035763</v>
      </c>
      <c r="W17" s="3">
        <f>'DJB Daily Readings'!AZ25-'DJB Daily Readings'!AZ24</f>
        <v>56100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136.07999999999998</v>
      </c>
      <c r="AA17" s="3">
        <f>('DJB Daily Readings'!CN25-'DJB Daily Readings'!CN24)*1.89</f>
        <v>190.89</v>
      </c>
      <c r="AB17" s="3">
        <f>('DJB Daily Readings'!CQ25-'DJB Daily Readings'!CQ24)*1.89</f>
        <v>275.94</v>
      </c>
      <c r="AC17" s="3">
        <f>'DJB Daily Readings'!CT25-'DJB Daily Readings'!CT24</f>
        <v>172</v>
      </c>
      <c r="AD17" s="84">
        <f>('DJB Daily Readings'!BY25-'DJB Daily Readings'!BY24)*1.89</f>
        <v>37.799999999999997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22.68</v>
      </c>
      <c r="AH17" s="84">
        <f>('DJB Daily Readings'!CG25-'DJB Daily Readings'!CG24)*1.89</f>
        <v>28.349999999999998</v>
      </c>
      <c r="AI17" s="84">
        <f>('DJB Daily Readings'!CI25-'DJB Daily Readings'!CI24)*1.89</f>
        <v>66.149999999999991</v>
      </c>
      <c r="AJ17" s="81">
        <f>'DJB Daily Readings'!CY25-'DJB Daily Readings'!CY24</f>
        <v>8</v>
      </c>
      <c r="AK17" s="81">
        <f>'DJB Daily Readings'!CW25-'DJB Daily Readings'!CW24</f>
        <v>12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5</v>
      </c>
      <c r="AO17" s="82">
        <f>'DJB Daily Readings'!DE25-'DJB Daily Readings'!DE24</f>
        <v>10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10</v>
      </c>
      <c r="AS17" s="82">
        <f>'DJB Daily Readings'!DM25-'DJB Daily Readings'!DM24</f>
        <v>3</v>
      </c>
      <c r="AT17" s="82">
        <f>'DJB Daily Readings'!DQ25-'DJB Daily Readings'!DQ24</f>
        <v>6</v>
      </c>
      <c r="AU17" s="82">
        <f>'DJB Daily Readings'!DT25-'DJB Daily Readings'!DT24</f>
        <v>11.5</v>
      </c>
      <c r="AW17" s="82">
        <f>'DJB Daily Readings'!DX25-'DJB Daily Readings'!DX24</f>
        <v>7.1999999999998181</v>
      </c>
      <c r="AX17" s="82">
        <f>'DJB Daily Readings'!DZ25-'DJB Daily Readings'!DZ24</f>
        <v>6.5999999999994543</v>
      </c>
      <c r="AY17" s="82">
        <f>'DJB Daily Readings'!EB25-'DJB Daily Readings'!EB24</f>
        <v>638</v>
      </c>
      <c r="AZ17" s="82">
        <f>'DJB Daily Readings'!ED25-'DJB Daily Readings'!ED24</f>
        <v>151</v>
      </c>
      <c r="BA17" s="82">
        <f>'DJB Daily Readings'!EG25-'DJB Daily Readings'!EG24</f>
        <v>5900</v>
      </c>
      <c r="BB17" s="82">
        <f>'DJB Daily Readings'!EI25-'DJB Daily Readings'!EI24</f>
        <v>290</v>
      </c>
      <c r="BC17" s="82">
        <f>'DJB Daily Readings'!EQ25-'DJB Daily Readings'!EQ24</f>
        <v>7300</v>
      </c>
      <c r="BD17" s="82">
        <f>'DJB Daily Readings'!EK25-'DJB Daily Readings'!EK24</f>
        <v>2600</v>
      </c>
      <c r="BE17" s="82">
        <f>'DJB Daily Readings'!EM25-'DJB Daily Readings'!EM24</f>
        <v>400</v>
      </c>
      <c r="BF17" s="82">
        <f>'DJB Daily Readings'!EO25-'DJB Daily Readings'!EO24</f>
        <v>790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15.12</v>
      </c>
      <c r="BK17" s="82">
        <f>('DJB Daily Readings'!FB25-'DJB Daily Readings'!FB24)*1.89</f>
        <v>62.37</v>
      </c>
      <c r="BL17" s="82">
        <f>'DJB Daily Readings'!J25</f>
        <v>138</v>
      </c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>
        <f>237*0.85</f>
        <v>201.45</v>
      </c>
      <c r="F18" s="79">
        <f>330+25</f>
        <v>355</v>
      </c>
      <c r="G18" s="3">
        <f>'DJB Daily Readings'!C26-'DJB Daily Readings'!C25</f>
        <v>930</v>
      </c>
      <c r="H18" s="3">
        <f>'DJB Daily Readings'!F26-'DJB Daily Readings'!F25</f>
        <v>535</v>
      </c>
      <c r="I18" s="3">
        <f>'DJB Daily Readings'!K26-'DJB Daily Readings'!K25</f>
        <v>272</v>
      </c>
      <c r="J18" s="3">
        <f>'DJB Daily Readings'!K26-'DJB Daily Readings'!K25</f>
        <v>272</v>
      </c>
      <c r="K18" s="3">
        <f>'DJB Daily Readings'!O26-'DJB Daily Readings'!O25</f>
        <v>168</v>
      </c>
      <c r="L18" s="3">
        <f>'DJB Daily Readings'!R26-'DJB Daily Readings'!R25</f>
        <v>21</v>
      </c>
      <c r="M18" s="3">
        <f>'DJB Daily Readings'!U26-'DJB Daily Readings'!U25</f>
        <v>3118.0799999991432</v>
      </c>
      <c r="N18" s="3">
        <f>'DJB Daily Readings'!X26-'DJB Daily Readings'!X25</f>
        <v>4579.679999999702</v>
      </c>
      <c r="O18" s="3">
        <f>'DJB Daily Readings'!AA26-'DJB Daily Readings'!AA25</f>
        <v>13933.919999998063</v>
      </c>
      <c r="P18" s="3">
        <f>'DJB Daily Readings'!AD26-'DJB Daily Readings'!AD25</f>
        <v>2825.7600000016391</v>
      </c>
      <c r="Q18" s="3">
        <f>'DJB Daily Readings'!AG26-'DJB Daily Readings'!AG25</f>
        <v>389.76000000163913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4677.1199999991804</v>
      </c>
      <c r="U18" s="3">
        <f>'DJB Daily Readings'!AS26-'DJB Daily Readings'!AS25</f>
        <v>2971.9199999999255</v>
      </c>
      <c r="V18" s="3">
        <f>'DJB Daily Readings'!AV26-'DJB Daily Readings'!AV25</f>
        <v>5943.8399999961257</v>
      </c>
      <c r="W18" s="3">
        <f>'DJB Daily Readings'!AZ26-'DJB Daily Readings'!AZ25</f>
        <v>69300</v>
      </c>
      <c r="X18" s="3">
        <f>'DJB Daily Readings'!BC26-'DJB Daily Readings'!BC25</f>
        <v>14600</v>
      </c>
      <c r="Y18" s="3">
        <f>'DJB Daily Readings'!BF26-'DJB Daily Readings'!BF25</f>
        <v>0</v>
      </c>
      <c r="Z18" s="3">
        <f>('DJB Daily Readings'!CK26-'DJB Daily Readings'!CK25)*1.89</f>
        <v>137.97</v>
      </c>
      <c r="AA18" s="3">
        <f>('DJB Daily Readings'!CN26-'DJB Daily Readings'!CN25)*1.89</f>
        <v>190.89</v>
      </c>
      <c r="AB18" s="3">
        <f>('DJB Daily Readings'!CQ26-'DJB Daily Readings'!CQ25)*1.89</f>
        <v>247.58999999999997</v>
      </c>
      <c r="AC18" s="3">
        <f>'DJB Daily Readings'!CT26-'DJB Daily Readings'!CT25</f>
        <v>174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64.259999999999991</v>
      </c>
      <c r="AJ18" s="81">
        <f>'DJB Daily Readings'!CY26-'DJB Daily Readings'!CY25</f>
        <v>8</v>
      </c>
      <c r="AK18" s="81">
        <f>'DJB Daily Readings'!CW26-'DJB Daily Readings'!CW25</f>
        <v>12</v>
      </c>
      <c r="AL18" s="82">
        <f>'DJB Daily Readings'!DC26-'DJB Daily Readings'!DC25</f>
        <v>13</v>
      </c>
      <c r="AM18" s="82">
        <f>'DJB Daily Readings'!DA26-'DJB Daily Readings'!DA25</f>
        <v>16</v>
      </c>
      <c r="AN18" s="82">
        <f>'DJB Daily Readings'!DG26-'DJB Daily Readings'!DG25</f>
        <v>7</v>
      </c>
      <c r="AO18" s="82">
        <f>'DJB Daily Readings'!DE26-'DJB Daily Readings'!DE25</f>
        <v>12</v>
      </c>
      <c r="AP18" s="82">
        <f>'DJB Daily Readings'!DK26-'DJB Daily Readings'!DK25</f>
        <v>5</v>
      </c>
      <c r="AQ18" s="82">
        <f>'DJB Daily Readings'!DI26-'DJB Daily Readings'!DI25</f>
        <v>8</v>
      </c>
      <c r="AR18" s="82">
        <f>'DJB Daily Readings'!DO26-'DJB Daily Readings'!DO25</f>
        <v>11</v>
      </c>
      <c r="AS18" s="82">
        <f>'DJB Daily Readings'!DM26-'DJB Daily Readings'!DM25</f>
        <v>3</v>
      </c>
      <c r="AT18" s="82">
        <f>'DJB Daily Readings'!DQ26-'DJB Daily Readings'!DQ25</f>
        <v>6</v>
      </c>
      <c r="AU18" s="82">
        <f>'DJB Daily Readings'!DT26-'DJB Daily Readings'!DT25</f>
        <v>11.800000000000182</v>
      </c>
      <c r="AW18" s="82">
        <f>'DJB Daily Readings'!DX26-'DJB Daily Readings'!DX25</f>
        <v>7.3000000000001819</v>
      </c>
      <c r="AX18" s="82">
        <f>'DJB Daily Readings'!DZ26-'DJB Daily Readings'!DZ25</f>
        <v>6.1999999999998181</v>
      </c>
      <c r="AY18" s="82">
        <f>'DJB Daily Readings'!EB26-'DJB Daily Readings'!EB25</f>
        <v>619</v>
      </c>
      <c r="AZ18" s="82">
        <f>'DJB Daily Readings'!ED26-'DJB Daily Readings'!ED25</f>
        <v>154.69999999998254</v>
      </c>
      <c r="BA18" s="82">
        <f>'DJB Daily Readings'!EG26-'DJB Daily Readings'!EG25</f>
        <v>5700</v>
      </c>
      <c r="BB18" s="82">
        <f>'DJB Daily Readings'!EI26-'DJB Daily Readings'!EI25</f>
        <v>290</v>
      </c>
      <c r="BC18" s="82">
        <f>'DJB Daily Readings'!EQ26-'DJB Daily Readings'!EQ25</f>
        <v>5600</v>
      </c>
      <c r="BD18" s="82">
        <f>'DJB Daily Readings'!EK26-'DJB Daily Readings'!EK25</f>
        <v>2400</v>
      </c>
      <c r="BE18" s="82">
        <f>'DJB Daily Readings'!EM26-'DJB Daily Readings'!EM25</f>
        <v>500</v>
      </c>
      <c r="BF18" s="82">
        <f>'DJB Daily Readings'!EO26-'DJB Daily Readings'!EO25</f>
        <v>790</v>
      </c>
      <c r="BG18" s="82">
        <f>('DJB Daily Readings'!ET26-'DJB Daily Readings'!ET25)*1.89</f>
        <v>32.129999999999995</v>
      </c>
      <c r="BH18" s="82">
        <f>('DJB Daily Readings'!EV26-'DJB Daily Readings'!EV25)*1.89</f>
        <v>24.57</v>
      </c>
      <c r="BI18" s="82">
        <f>('DJB Daily Readings'!EZ26-'DJB Daily Readings'!EZ25)*1.89</f>
        <v>28.349999999999998</v>
      </c>
      <c r="BJ18" s="82">
        <f>('DJB Daily Readings'!EX26-'DJB Daily Readings'!EX25)*1.89</f>
        <v>17.009999999999998</v>
      </c>
      <c r="BK18" s="82">
        <f>('DJB Daily Readings'!FB26-'DJB Daily Readings'!FB25)*1.89</f>
        <v>68.039999999999992</v>
      </c>
      <c r="BL18" s="82">
        <f>'DJB Daily Readings'!J26</f>
        <v>125</v>
      </c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>
        <f>237*0.85</f>
        <v>201.45</v>
      </c>
      <c r="F19" s="79">
        <f>330+32</f>
        <v>362</v>
      </c>
      <c r="G19" s="3">
        <f>'DJB Daily Readings'!C27-'DJB Daily Readings'!C26</f>
        <v>850</v>
      </c>
      <c r="H19" s="3">
        <f>'DJB Daily Readings'!F27-'DJB Daily Readings'!F26</f>
        <v>539</v>
      </c>
      <c r="I19" s="3">
        <f>'DJB Daily Readings'!K27-'DJB Daily Readings'!K26</f>
        <v>279</v>
      </c>
      <c r="J19" s="3">
        <f>'DJB Daily Readings'!K27-'DJB Daily Readings'!K26</f>
        <v>279</v>
      </c>
      <c r="K19" s="3">
        <f>'DJB Daily Readings'!O27-'DJB Daily Readings'!O26</f>
        <v>156</v>
      </c>
      <c r="L19" s="3">
        <f>'DJB Daily Readings'!R27-'DJB Daily Readings'!R26</f>
        <v>11</v>
      </c>
      <c r="M19" s="3">
        <f>'DJB Daily Readings'!U27-'DJB Daily Readings'!U26</f>
        <v>3118.0800000000745</v>
      </c>
      <c r="N19" s="3">
        <f>'DJB Daily Readings'!X27-'DJB Daily Readings'!X26</f>
        <v>4872</v>
      </c>
      <c r="O19" s="3">
        <f>'DJB Daily Readings'!AA27-'DJB Daily Readings'!AA26</f>
        <v>15687.840000001714</v>
      </c>
      <c r="P19" s="3">
        <f>'DJB Daily Readings'!AD27-'DJB Daily Readings'!AD26</f>
        <v>925.67999999970198</v>
      </c>
      <c r="Q19" s="3">
        <f>'DJB Daily Readings'!AG27-'DJB Daily Readings'!AG26</f>
        <v>1120.5599999949336</v>
      </c>
      <c r="R19" s="3">
        <f>'DJB Daily Readings'!AJ27-'DJB Daily Readings'!AJ26</f>
        <v>6138.7199999988079</v>
      </c>
      <c r="S19" s="3">
        <f>'DJB Daily Readings'!AM27-'DJB Daily Readings'!AM26</f>
        <v>4920.7200000006706</v>
      </c>
      <c r="T19" s="3">
        <f>'DJB Daily Readings'!AP27-'DJB Daily Readings'!AP26</f>
        <v>5018.1600000020117</v>
      </c>
      <c r="U19" s="3">
        <f>'DJB Daily Readings'!AS27-'DJB Daily Readings'!AS26</f>
        <v>3215.519999999553</v>
      </c>
      <c r="V19" s="3">
        <f>'DJB Daily Readings'!AV27-'DJB Daily Readings'!AV26</f>
        <v>6236.1600000038743</v>
      </c>
      <c r="W19" s="3">
        <f>'DJB Daily Readings'!AZ27-'DJB Daily Readings'!AZ26</f>
        <v>77500</v>
      </c>
      <c r="X19" s="3">
        <f>'DJB Daily Readings'!BC27-'DJB Daily Readings'!BC26</f>
        <v>4200</v>
      </c>
      <c r="Y19" s="3">
        <f>'DJB Daily Readings'!BF27-'DJB Daily Readings'!BF26</f>
        <v>0</v>
      </c>
      <c r="Z19" s="3">
        <f>('DJB Daily Readings'!CK27-'DJB Daily Readings'!CK26)*1.89</f>
        <v>139.85999999999999</v>
      </c>
      <c r="AA19" s="3">
        <f>('DJB Daily Readings'!CN27-'DJB Daily Readings'!CN26)*1.89</f>
        <v>213.57</v>
      </c>
      <c r="AB19" s="3">
        <f>('DJB Daily Readings'!CQ27-'DJB Daily Readings'!CQ26)*1.89</f>
        <v>294.83999999999997</v>
      </c>
      <c r="AC19" s="3">
        <f>'DJB Daily Readings'!CT27-'DJB Daily Readings'!CT26</f>
        <v>176</v>
      </c>
      <c r="AD19" s="84">
        <f>('DJB Daily Readings'!BY27-'DJB Daily Readings'!BY26)*1.89</f>
        <v>32.129999999999995</v>
      </c>
      <c r="AE19" s="84">
        <f>('DJB Daily Readings'!CA27-'DJB Daily Readings'!CA26)*1.89</f>
        <v>37.799999999999997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28.349999999999998</v>
      </c>
      <c r="AI19" s="84">
        <f>('DJB Daily Readings'!CI27-'DJB Daily Readings'!CI26)*1.89</f>
        <v>66.149999999999991</v>
      </c>
      <c r="AJ19" s="81">
        <f>'DJB Daily Readings'!CY27-'DJB Daily Readings'!CY26</f>
        <v>10</v>
      </c>
      <c r="AK19" s="81">
        <f>'DJB Daily Readings'!CW27-'DJB Daily Readings'!CW26</f>
        <v>11</v>
      </c>
      <c r="AL19" s="82">
        <f>'DJB Daily Readings'!DC27-'DJB Daily Readings'!DC26</f>
        <v>19</v>
      </c>
      <c r="AM19" s="82">
        <f>'DJB Daily Readings'!DA27-'DJB Daily Readings'!DA26</f>
        <v>17</v>
      </c>
      <c r="AN19" s="82">
        <f>'DJB Daily Readings'!DG27-'DJB Daily Readings'!DG26</f>
        <v>8</v>
      </c>
      <c r="AO19" s="82">
        <f>'DJB Daily Readings'!DE27-'DJB Daily Readings'!DE26</f>
        <v>12</v>
      </c>
      <c r="AP19" s="82">
        <f>'DJB Daily Readings'!DK27-'DJB Daily Readings'!DK26</f>
        <v>10</v>
      </c>
      <c r="AQ19" s="82">
        <f>'DJB Daily Readings'!DI27-'DJB Daily Readings'!DI26</f>
        <v>12</v>
      </c>
      <c r="AR19" s="82">
        <f>'DJB Daily Readings'!DO27-'DJB Daily Readings'!DO26</f>
        <v>11</v>
      </c>
      <c r="AS19" s="82">
        <f>'DJB Daily Readings'!DM27-'DJB Daily Readings'!DM26</f>
        <v>3</v>
      </c>
      <c r="AT19" s="82">
        <f>'DJB Daily Readings'!DQ27-'DJB Daily Readings'!DQ26</f>
        <v>6</v>
      </c>
      <c r="AU19" s="82">
        <f>'DJB Daily Readings'!DT27-'DJB Daily Readings'!DT26</f>
        <v>12.300000000000182</v>
      </c>
      <c r="AW19" s="82">
        <f>'DJB Daily Readings'!DX27-'DJB Daily Readings'!DX26</f>
        <v>7.5</v>
      </c>
      <c r="AX19" s="82">
        <f>'DJB Daily Readings'!DZ27-'DJB Daily Readings'!DZ26</f>
        <v>6.9000000000005457</v>
      </c>
      <c r="AY19" s="82">
        <f>'DJB Daily Readings'!EB27-'DJB Daily Readings'!EB26</f>
        <v>640</v>
      </c>
      <c r="AZ19" s="82">
        <f>'DJB Daily Readings'!ED27-'DJB Daily Readings'!ED26</f>
        <v>162.90000000002328</v>
      </c>
      <c r="BA19" s="82">
        <f>'DJB Daily Readings'!EG27-'DJB Daily Readings'!EG26</f>
        <v>5200</v>
      </c>
      <c r="BB19" s="82">
        <f>'DJB Daily Readings'!EI27-'DJB Daily Readings'!EI26</f>
        <v>290</v>
      </c>
      <c r="BC19" s="82">
        <f>'DJB Daily Readings'!EQ27-'DJB Daily Readings'!EQ26</f>
        <v>6000</v>
      </c>
      <c r="BD19" s="82">
        <f>'DJB Daily Readings'!EK27-'DJB Daily Readings'!EK26</f>
        <v>2400</v>
      </c>
      <c r="BE19" s="82">
        <f>'DJB Daily Readings'!EM27-'DJB Daily Readings'!EM26</f>
        <v>600</v>
      </c>
      <c r="BF19" s="82">
        <f>'DJB Daily Readings'!EO27-'DJB Daily Readings'!EO26</f>
        <v>790</v>
      </c>
      <c r="BG19" s="82">
        <f>('DJB Daily Readings'!ET27-'DJB Daily Readings'!ET26)*1.89</f>
        <v>39.69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69.929999999999993</v>
      </c>
      <c r="BL19" s="82">
        <f>'DJB Daily Readings'!J27</f>
        <v>142</v>
      </c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>
        <f>237*0.84</f>
        <v>199.07999999999998</v>
      </c>
      <c r="F20" s="79">
        <f>347+38</f>
        <v>385</v>
      </c>
      <c r="G20" s="3">
        <f>'DJB Daily Readings'!C28-'DJB Daily Readings'!C27</f>
        <v>896</v>
      </c>
      <c r="H20" s="3">
        <f>'DJB Daily Readings'!F28-'DJB Daily Readings'!F27</f>
        <v>541</v>
      </c>
      <c r="I20" s="3">
        <f>'DJB Daily Readings'!K28-'DJB Daily Readings'!K27</f>
        <v>298</v>
      </c>
      <c r="J20" s="3">
        <f>'DJB Daily Readings'!K28-'DJB Daily Readings'!K27</f>
        <v>298</v>
      </c>
      <c r="K20" s="3">
        <f>'DJB Daily Readings'!O28-'DJB Daily Readings'!O27</f>
        <v>186</v>
      </c>
      <c r="L20" s="3">
        <f>'DJB Daily Readings'!R28-'DJB Daily Readings'!R27</f>
        <v>23</v>
      </c>
      <c r="M20" s="3">
        <f>'DJB Daily Readings'!U28-'DJB Daily Readings'!U27</f>
        <v>1851.359999999404</v>
      </c>
      <c r="N20" s="3">
        <f>'DJB Daily Readings'!X28-'DJB Daily Readings'!X27</f>
        <v>4530.9600000008941</v>
      </c>
      <c r="O20" s="3">
        <f>'DJB Daily Readings'!AA28-'DJB Daily Readings'!AA27</f>
        <v>7210.5599999986589</v>
      </c>
      <c r="P20" s="3">
        <f>'DJB Daily Readings'!AD28-'DJB Daily Readings'!AD27</f>
        <v>1169.2800000011921</v>
      </c>
      <c r="Q20" s="3">
        <f>'DJB Daily Readings'!AG28-'DJB Daily Readings'!AG27</f>
        <v>10962</v>
      </c>
      <c r="R20" s="3">
        <f>'DJB Daily Readings'!AJ28-'DJB Daily Readings'!AJ27</f>
        <v>5748.9600000008941</v>
      </c>
      <c r="S20" s="3">
        <f>'DJB Daily Readings'!AM28-'DJB Daily Readings'!AM27</f>
        <v>4725.839999999851</v>
      </c>
      <c r="T20" s="3">
        <f>'DJB Daily Readings'!AP28-'DJB Daily Readings'!AP27</f>
        <v>4823.2799999974668</v>
      </c>
      <c r="U20" s="3">
        <f>'DJB Daily Readings'!AS28-'DJB Daily Readings'!AS27</f>
        <v>3118.0800000000745</v>
      </c>
      <c r="V20" s="3">
        <f>'DJB Daily Readings'!AV28-'DJB Daily Readings'!AV27</f>
        <v>5943.8399999961257</v>
      </c>
      <c r="W20" s="3">
        <f>'DJB Daily Readings'!AZ28-'DJB Daily Readings'!AZ27</f>
        <v>40600</v>
      </c>
      <c r="X20" s="3">
        <f>'DJB Daily Readings'!BC28-'DJB Daily Readings'!BC27</f>
        <v>0</v>
      </c>
      <c r="Y20" s="3">
        <f>'DJB Daily Readings'!BF28-'DJB Daily Readings'!BF27</f>
        <v>44800</v>
      </c>
      <c r="Z20" s="3">
        <f>('DJB Daily Readings'!CK28-'DJB Daily Readings'!CK27)*1.89</f>
        <v>141.75</v>
      </c>
      <c r="AA20" s="3">
        <f>('DJB Daily Readings'!CN28-'DJB Daily Readings'!CN27)*1.89</f>
        <v>200.34</v>
      </c>
      <c r="AB20" s="3">
        <f>('DJB Daily Readings'!CQ28-'DJB Daily Readings'!CQ27)*1.89</f>
        <v>262.70999999999998</v>
      </c>
      <c r="AC20" s="3">
        <f>'DJB Daily Readings'!CT28-'DJB Daily Readings'!CT27</f>
        <v>179</v>
      </c>
      <c r="AD20" s="84">
        <f>('DJB Daily Readings'!BY28-'DJB Daily Readings'!BY27)*1.89</f>
        <v>32.129999999999995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28.349999999999998</v>
      </c>
      <c r="AI20" s="84">
        <f>('DJB Daily Readings'!CI28-'DJB Daily Readings'!CI27)*1.89</f>
        <v>64.259999999999991</v>
      </c>
      <c r="AJ20" s="81">
        <f>'DJB Daily Readings'!CY28-'DJB Daily Readings'!CY27</f>
        <v>10</v>
      </c>
      <c r="AK20" s="81">
        <f>'DJB Daily Readings'!CW28-'DJB Daily Readings'!CW27</f>
        <v>10</v>
      </c>
      <c r="AL20" s="82">
        <f>'DJB Daily Readings'!DC28-'DJB Daily Readings'!DC27</f>
        <v>15</v>
      </c>
      <c r="AM20" s="82">
        <f>'DJB Daily Readings'!DA28-'DJB Daily Readings'!DA27</f>
        <v>14</v>
      </c>
      <c r="AN20" s="82">
        <f>'DJB Daily Readings'!DG28-'DJB Daily Readings'!DG27</f>
        <v>5</v>
      </c>
      <c r="AO20" s="82">
        <f>'DJB Daily Readings'!DE28-'DJB Daily Readings'!DE27</f>
        <v>11</v>
      </c>
      <c r="AP20" s="82">
        <f>'DJB Daily Readings'!DK28-'DJB Daily Readings'!DK27</f>
        <v>11</v>
      </c>
      <c r="AQ20" s="82">
        <f>'DJB Daily Readings'!DI28-'DJB Daily Readings'!DI27</f>
        <v>11</v>
      </c>
      <c r="AR20" s="82">
        <f>'DJB Daily Readings'!DO28-'DJB Daily Readings'!DO27</f>
        <v>10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11.800000000000182</v>
      </c>
      <c r="AW20" s="82">
        <f>'DJB Daily Readings'!DX28-'DJB Daily Readings'!DX27</f>
        <v>7.1999999999998181</v>
      </c>
      <c r="AX20" s="82">
        <f>'DJB Daily Readings'!DZ28-'DJB Daily Readings'!DZ27</f>
        <v>7</v>
      </c>
      <c r="AY20" s="82">
        <f>'DJB Daily Readings'!EB28-'DJB Daily Readings'!EB27</f>
        <v>688</v>
      </c>
      <c r="AZ20" s="82">
        <f>'DJB Daily Readings'!ED28-'DJB Daily Readings'!ED27</f>
        <v>151.89999999999418</v>
      </c>
      <c r="BA20" s="82">
        <f>'DJB Daily Readings'!EG28-'DJB Daily Readings'!EG27</f>
        <v>6500</v>
      </c>
      <c r="BB20" s="82">
        <f>'DJB Daily Readings'!EI28-'DJB Daily Readings'!EI27</f>
        <v>310</v>
      </c>
      <c r="BC20" s="82">
        <f>'DJB Daily Readings'!EQ28-'DJB Daily Readings'!EQ27</f>
        <v>7000</v>
      </c>
      <c r="BD20" s="82">
        <f>'DJB Daily Readings'!EK28-'DJB Daily Readings'!EK27</f>
        <v>2600</v>
      </c>
      <c r="BE20" s="82">
        <f>'DJB Daily Readings'!EM28-'DJB Daily Readings'!EM27</f>
        <v>800</v>
      </c>
      <c r="BF20" s="82">
        <f>'DJB Daily Readings'!EO28-'DJB Daily Readings'!EO27</f>
        <v>850</v>
      </c>
      <c r="BG20" s="82">
        <f>('DJB Daily Readings'!ET28-'DJB Daily Readings'!ET27)*1.89</f>
        <v>35.909999999999997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22.68</v>
      </c>
      <c r="BK20" s="82">
        <f>('DJB Daily Readings'!FB28-'DJB Daily Readings'!FB27)*1.89</f>
        <v>69.929999999999993</v>
      </c>
      <c r="BL20" s="82">
        <f>'DJB Daily Readings'!J28</f>
        <v>130</v>
      </c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>
        <f>237*0.88</f>
        <v>208.56</v>
      </c>
      <c r="F21" s="79">
        <f>320+36</f>
        <v>356</v>
      </c>
      <c r="G21" s="3">
        <f>'DJB Daily Readings'!C29-'DJB Daily Readings'!C28</f>
        <v>775</v>
      </c>
      <c r="H21" s="3">
        <f>'DJB Daily Readings'!F29-'DJB Daily Readings'!F28</f>
        <v>467</v>
      </c>
      <c r="I21" s="3">
        <f>'DJB Daily Readings'!K29-'DJB Daily Readings'!K28</f>
        <v>247</v>
      </c>
      <c r="J21" s="3">
        <f>'DJB Daily Readings'!K29-'DJB Daily Readings'!K28</f>
        <v>247</v>
      </c>
      <c r="K21" s="3">
        <f>'DJB Daily Readings'!O29-'DJB Daily Readings'!O28</f>
        <v>167</v>
      </c>
      <c r="L21" s="3">
        <f>'DJB Daily Readings'!R29-'DJB Daily Readings'!R28</f>
        <v>16</v>
      </c>
      <c r="M21" s="3">
        <f>'DJB Daily Readings'!U29-'DJB Daily Readings'!U28</f>
        <v>2094.9599999999627</v>
      </c>
      <c r="N21" s="3">
        <f>'DJB Daily Readings'!X29-'DJB Daily Readings'!X28</f>
        <v>4579.679999999702</v>
      </c>
      <c r="O21" s="3">
        <f>'DJB Daily Readings'!AA29-'DJB Daily Readings'!AA28</f>
        <v>5456.640000000596</v>
      </c>
      <c r="P21" s="3">
        <f>'DJB Daily Readings'!AD29-'DJB Daily Readings'!AD28</f>
        <v>1071.839999999851</v>
      </c>
      <c r="Q21" s="3">
        <f>'DJB Daily Readings'!AG29-'DJB Daily Readings'!AG28</f>
        <v>11595.360000003129</v>
      </c>
      <c r="R21" s="3">
        <f>'DJB Daily Readings'!AJ29-'DJB Daily Readings'!AJ28</f>
        <v>5651.519999999553</v>
      </c>
      <c r="S21" s="3">
        <f>'DJB Daily Readings'!AM29-'DJB Daily Readings'!AM28</f>
        <v>4579.679999999702</v>
      </c>
      <c r="T21" s="3">
        <f>'DJB Daily Readings'!AP29-'DJB Daily Readings'!AP28</f>
        <v>4920.7200000025332</v>
      </c>
      <c r="U21" s="3">
        <f>'DJB Daily Readings'!AS29-'DJB Daily Readings'!AS28</f>
        <v>3118.0800000000745</v>
      </c>
      <c r="V21" s="3">
        <f>'DJB Daily Readings'!AV29-'DJB Daily Readings'!AV28</f>
        <v>5943.839999999851</v>
      </c>
      <c r="W21" s="3">
        <f>'DJB Daily Readings'!AZ29-'DJB Daily Readings'!AZ28</f>
        <v>26700</v>
      </c>
      <c r="X21" s="3">
        <f>'DJB Daily Readings'!BC29-'DJB Daily Readings'!BC28</f>
        <v>0</v>
      </c>
      <c r="Y21" s="3">
        <f>'DJB Daily Readings'!BF29-'DJB Daily Readings'!BF28</f>
        <v>62800</v>
      </c>
      <c r="Z21" s="3">
        <f>('DJB Daily Readings'!CK29-'DJB Daily Readings'!CK28)*1.89</f>
        <v>137.97</v>
      </c>
      <c r="AA21" s="3">
        <f>('DJB Daily Readings'!CN29-'DJB Daily Readings'!CN28)*1.89</f>
        <v>190.89</v>
      </c>
      <c r="AB21" s="3">
        <f>('DJB Daily Readings'!CQ29-'DJB Daily Readings'!CQ28)*1.89</f>
        <v>330.75</v>
      </c>
      <c r="AC21" s="3">
        <f>'DJB Daily Readings'!CT29-'DJB Daily Readings'!CT28</f>
        <v>175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69.929999999999993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19</v>
      </c>
      <c r="AN21" s="82">
        <f>'DJB Daily Readings'!DG29-'DJB Daily Readings'!DG28</f>
        <v>9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11</v>
      </c>
      <c r="AR21" s="82">
        <f>'DJB Daily Readings'!DO29-'DJB Daily Readings'!DO28</f>
        <v>12</v>
      </c>
      <c r="AS21" s="82">
        <f>'DJB Daily Readings'!DM29-'DJB Daily Readings'!DM28</f>
        <v>3</v>
      </c>
      <c r="AT21" s="82">
        <f>'DJB Daily Readings'!DQ29-'DJB Daily Readings'!DQ28</f>
        <v>13</v>
      </c>
      <c r="AU21" s="82">
        <f>'DJB Daily Readings'!DT29-'DJB Daily Readings'!DT28</f>
        <v>11.099999999999454</v>
      </c>
      <c r="AW21" s="82">
        <f>'DJB Daily Readings'!DX29-'DJB Daily Readings'!DX28</f>
        <v>7.0999999999994543</v>
      </c>
      <c r="AX21" s="82">
        <f>'DJB Daily Readings'!DZ29-'DJB Daily Readings'!DZ28</f>
        <v>6.8000000000001819</v>
      </c>
      <c r="AY21" s="82">
        <f>'DJB Daily Readings'!EB29-'DJB Daily Readings'!EB28</f>
        <v>603</v>
      </c>
      <c r="AZ21" s="82">
        <f>'DJB Daily Readings'!ED29-'DJB Daily Readings'!ED28</f>
        <v>146.69999999998254</v>
      </c>
      <c r="BA21" s="82">
        <f>'DJB Daily Readings'!EG29-'DJB Daily Readings'!EG28</f>
        <v>5300</v>
      </c>
      <c r="BB21" s="82">
        <f>'DJB Daily Readings'!EI29-'DJB Daily Readings'!EI28</f>
        <v>310</v>
      </c>
      <c r="BC21" s="82">
        <f>'DJB Daily Readings'!EQ29-'DJB Daily Readings'!EQ28</f>
        <v>5000</v>
      </c>
      <c r="BD21" s="82">
        <f>'DJB Daily Readings'!EK29-'DJB Daily Readings'!EK28</f>
        <v>2400</v>
      </c>
      <c r="BE21" s="82">
        <f>'DJB Daily Readings'!EM29-'DJB Daily Readings'!EM28</f>
        <v>800</v>
      </c>
      <c r="BF21" s="82">
        <f>'DJB Daily Readings'!EO29-'DJB Daily Readings'!EO28</f>
        <v>790</v>
      </c>
      <c r="BG21" s="82">
        <f>('DJB Daily Readings'!ET29-'DJB Daily Readings'!ET28)*1.89</f>
        <v>30.24</v>
      </c>
      <c r="BH21" s="82">
        <f>('DJB Daily Readings'!EV29-'DJB Daily Readings'!EV28)*1.89</f>
        <v>20.79</v>
      </c>
      <c r="BI21" s="82">
        <f>('DJB Daily Readings'!EZ29-'DJB Daily Readings'!EZ28)*1.89</f>
        <v>26.459999999999997</v>
      </c>
      <c r="BJ21" s="82">
        <f>('DJB Daily Readings'!EX29-'DJB Daily Readings'!EX28)*1.89</f>
        <v>22.68</v>
      </c>
      <c r="BK21" s="82">
        <f>('DJB Daily Readings'!FB29-'DJB Daily Readings'!FB28)*1.89</f>
        <v>56.699999999999996</v>
      </c>
      <c r="BL21" s="82">
        <f>'DJB Daily Readings'!J29</f>
        <v>161</v>
      </c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F22" s="79">
        <f>323+41</f>
        <v>364</v>
      </c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411">
        <f>C10-C9</f>
        <v>784</v>
      </c>
      <c r="E9" s="413">
        <f>'[1]November - 2022'!G9</f>
        <v>722</v>
      </c>
      <c r="F9" s="168">
        <f>'[1]November - 2022'!H9</f>
        <v>223632</v>
      </c>
      <c r="G9" s="369">
        <f>F10-F9</f>
        <v>449</v>
      </c>
      <c r="H9" s="413">
        <f>'[1]November - 2022'!J9</f>
        <v>467</v>
      </c>
      <c r="I9" s="264">
        <f>'[1]November - 2022'!K9</f>
        <v>2208</v>
      </c>
      <c r="J9" s="369">
        <f>I10-I9</f>
        <v>112</v>
      </c>
      <c r="K9" s="264">
        <f>'[1]November - 2022'!N9</f>
        <v>910541</v>
      </c>
      <c r="L9" s="368">
        <f>K10-K9</f>
        <v>296</v>
      </c>
      <c r="M9" s="264">
        <f>'[1]November - 2022'!Q9</f>
        <v>238920</v>
      </c>
      <c r="N9" s="368">
        <f>M10-M9</f>
        <v>191</v>
      </c>
      <c r="O9" s="264">
        <f>'[1]November - 2022'!U9</f>
        <v>110400</v>
      </c>
      <c r="P9" s="369">
        <f>O10-O9</f>
        <v>185</v>
      </c>
      <c r="Q9" s="413">
        <f>'[1]November - 2022'!W9</f>
        <v>176.37999999999738</v>
      </c>
      <c r="R9" s="264">
        <f>'[1]November - 2022'!X9</f>
        <v>5862</v>
      </c>
      <c r="S9" s="415">
        <f>R10-R9</f>
        <v>16</v>
      </c>
      <c r="T9" s="521"/>
      <c r="U9" s="269">
        <f>'[1]November - 2022'!AE9</f>
        <v>8052051.8399999999</v>
      </c>
      <c r="V9" s="417">
        <f>U10-U9</f>
        <v>2777.0400000009686</v>
      </c>
      <c r="W9" s="409">
        <f>'[1]November - 2022'!AF9</f>
        <v>2777.0400000009686</v>
      </c>
      <c r="X9" s="255">
        <f>'[1]November - 2022'!AH9</f>
        <v>15300662.16</v>
      </c>
      <c r="Y9" s="369">
        <f>X10-X9</f>
        <v>4482.2400000002235</v>
      </c>
      <c r="Z9" s="409">
        <f>'[1]November - 2022'!AI9</f>
        <v>4482.2400000002235</v>
      </c>
      <c r="AA9" s="255">
        <f>'[1]November - 2022'!AK9</f>
        <v>15617780.640000001</v>
      </c>
      <c r="AB9" s="369">
        <f>AA10-AA9</f>
        <v>11400.479999998584</v>
      </c>
      <c r="AC9" s="409">
        <f>'[1]November - 2022'!AL9</f>
        <v>11400.479999998584</v>
      </c>
      <c r="AD9" s="255">
        <f>'[1]November - 2022'!AN9</f>
        <v>18654011.039999999</v>
      </c>
      <c r="AE9" s="369">
        <f>AD10-AD9</f>
        <v>6625.9200000017881</v>
      </c>
      <c r="AF9" s="409">
        <f>'[1]November - 2022'!AO9</f>
        <v>6625.9200000017881</v>
      </c>
      <c r="AG9" s="255">
        <f>'[1]November - 2022'!AQ9</f>
        <v>18948669.599999998</v>
      </c>
      <c r="AH9" s="369">
        <f>AG10-AG9</f>
        <v>0</v>
      </c>
      <c r="AI9" s="409">
        <f>'[1]November - 2022'!AR9</f>
        <v>0</v>
      </c>
      <c r="AJ9" s="255">
        <f>'[1]November - 2022'!AT9</f>
        <v>17346512.399999999</v>
      </c>
      <c r="AK9" s="369">
        <f>AJ10-AJ9</f>
        <v>5602.8000000007451</v>
      </c>
      <c r="AL9" s="409">
        <f>'[1]November - 2022'!AU9</f>
        <v>5602.8000000007451</v>
      </c>
      <c r="AM9" s="255">
        <f>'[1]November - 2022'!AW9</f>
        <v>14614489.68</v>
      </c>
      <c r="AN9" s="369">
        <f>AM10-AM9</f>
        <v>4482.2399999983609</v>
      </c>
      <c r="AO9" s="409">
        <f>'[1]November - 2022'!AX9</f>
        <v>4482.2399999983609</v>
      </c>
      <c r="AP9" s="255">
        <f>'[1]November - 2022'!AZ9</f>
        <v>14131382.16</v>
      </c>
      <c r="AQ9" s="369">
        <f>AP10-AP9</f>
        <v>4482.2400000002235</v>
      </c>
      <c r="AR9" s="409">
        <f>'[1]November - 2022'!BA9</f>
        <v>4482.2400000002235</v>
      </c>
      <c r="AS9" s="255">
        <f>'[1]November - 2022'!BC9</f>
        <v>11062363.199999999</v>
      </c>
      <c r="AT9" s="369">
        <f>AS10-AS9</f>
        <v>2825.7599999997765</v>
      </c>
      <c r="AU9" s="409">
        <f>'[1]November - 2022'!BD9</f>
        <v>2825.7599999997765</v>
      </c>
      <c r="AV9" s="255">
        <f>'[1]November - 2022'!BF9</f>
        <v>17478835.919999998</v>
      </c>
      <c r="AW9" s="369">
        <f>AV10-AV9</f>
        <v>5846.4000000022352</v>
      </c>
      <c r="AX9" s="490">
        <f>'[1]November - 2022'!BG9</f>
        <v>5846.4000000022352</v>
      </c>
      <c r="AY9" s="487"/>
      <c r="AZ9" s="272">
        <f>'[1]November - 2022'!BM9</f>
        <v>77194800</v>
      </c>
      <c r="BA9" s="492">
        <f>AZ10-AZ9</f>
        <v>56200</v>
      </c>
      <c r="BB9" s="488">
        <f>'[1]November - 2022'!BN9</f>
        <v>56200</v>
      </c>
      <c r="BC9" s="272">
        <f>'[1]November - 2022'!BP9</f>
        <v>79651500</v>
      </c>
      <c r="BD9" s="492">
        <f>BC10-BC9</f>
        <v>34700</v>
      </c>
      <c r="BE9" s="488">
        <f>'[1]November - 2022'!BQ9</f>
        <v>34700</v>
      </c>
      <c r="BF9" s="272">
        <f>'[1]November - 2022'!BS9</f>
        <v>73730900</v>
      </c>
      <c r="BG9" s="492">
        <f>BF10-BF9</f>
        <v>0</v>
      </c>
      <c r="BH9" s="488">
        <f>'[1]November - 2022'!BT9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386">
        <f>BS10-BS9</f>
        <v>8230</v>
      </c>
      <c r="BU9" s="394"/>
      <c r="BV9" s="88">
        <f>'[1]November - 2022'!BY9</f>
        <v>0.49</v>
      </c>
      <c r="BW9" s="388">
        <f>BV10-BV9</f>
        <v>0.10999999999999999</v>
      </c>
      <c r="BX9" s="390">
        <f>'[1]November - 2022'!$BZ$9:$BZ$10</f>
        <v>-0.10999999999999999</v>
      </c>
      <c r="BY9" s="89">
        <f>'[1]November - 2022'!CB9</f>
        <v>63542</v>
      </c>
      <c r="BZ9" s="392">
        <f>BY10-BY9</f>
        <v>24</v>
      </c>
      <c r="CA9" s="89">
        <f>'[1]November - 2022'!CD9</f>
        <v>54684</v>
      </c>
      <c r="CB9" s="392">
        <f>CA10-CA9</f>
        <v>19</v>
      </c>
      <c r="CC9" s="89">
        <f>'[1]November - 2022'!CF9</f>
        <v>18495</v>
      </c>
      <c r="CD9" s="392">
        <f>CC10-CC9</f>
        <v>7</v>
      </c>
      <c r="CE9" s="89">
        <f>'[1]November - 2022'!CH9</f>
        <v>25191</v>
      </c>
      <c r="CF9" s="392">
        <f>CE10-CE9</f>
        <v>10</v>
      </c>
      <c r="CG9" s="89">
        <f>'[1]November - 2022'!CJ9</f>
        <v>27922</v>
      </c>
      <c r="CH9" s="392">
        <f>CG10-CG9</f>
        <v>14</v>
      </c>
      <c r="CI9" s="89">
        <f>'[1]November - 2022'!CL9</f>
        <v>61167</v>
      </c>
      <c r="CJ9" s="392">
        <f>CI10-CI9</f>
        <v>40</v>
      </c>
      <c r="CK9" s="89">
        <f>'[1]November - 2022'!CN9</f>
        <v>265178</v>
      </c>
      <c r="CL9" s="392">
        <f>CK10-CK9</f>
        <v>78</v>
      </c>
      <c r="CM9" s="406">
        <f>'[1]November - 2022'!CO9</f>
        <v>78</v>
      </c>
      <c r="CN9" s="89">
        <f>'[1]November - 2022'!CQ9</f>
        <v>211137</v>
      </c>
      <c r="CO9" s="392">
        <f>CN10-CN9</f>
        <v>94</v>
      </c>
      <c r="CP9" s="406">
        <f>'[1]November - 2022'!CR9</f>
        <v>94</v>
      </c>
      <c r="CQ9" s="89">
        <f>'[1]November - 2022'!CT9</f>
        <v>349861</v>
      </c>
      <c r="CR9" s="392">
        <f>CQ10-CQ9</f>
        <v>34</v>
      </c>
      <c r="CS9" s="406">
        <f>'[1]November - 2022'!CU9</f>
        <v>34</v>
      </c>
      <c r="CT9" s="89">
        <f>'[1]November - 2022'!CW9</f>
        <v>688055</v>
      </c>
      <c r="CU9" s="468">
        <f>CT10-CT9</f>
        <v>158</v>
      </c>
      <c r="CV9" s="454"/>
      <c r="CW9" s="297">
        <f>'[1]November - 2022'!CZ9</f>
        <v>8552</v>
      </c>
      <c r="CX9" s="380">
        <f>CW10-CW9</f>
        <v>6</v>
      </c>
      <c r="CY9" s="298">
        <f>'[1]November - 2022'!DB9</f>
        <v>5797</v>
      </c>
      <c r="CZ9" s="380">
        <f>CY10-CY9</f>
        <v>0</v>
      </c>
      <c r="DA9" s="298">
        <f>'[1]November - 2022'!DD9</f>
        <v>31533</v>
      </c>
      <c r="DB9" s="380">
        <f>DA10-DA9</f>
        <v>15</v>
      </c>
      <c r="DC9" s="298">
        <f>'[1]November - 2022'!DF9</f>
        <v>31811</v>
      </c>
      <c r="DD9" s="380">
        <f>DC10-DC9</f>
        <v>18</v>
      </c>
      <c r="DE9" s="298">
        <f>'[1]November - 2022'!DH9</f>
        <v>21456</v>
      </c>
      <c r="DF9" s="380">
        <f>DE10-DE9</f>
        <v>9</v>
      </c>
      <c r="DG9" s="298">
        <f>'[1]November - 2022'!DJ9</f>
        <v>23796</v>
      </c>
      <c r="DH9" s="380">
        <f>DG10-DG9</f>
        <v>8</v>
      </c>
      <c r="DI9" s="298">
        <f>'[1]November - 2022'!DL9</f>
        <v>6723</v>
      </c>
      <c r="DJ9" s="380">
        <f>DI10-DI9</f>
        <v>10</v>
      </c>
      <c r="DK9" s="298">
        <f>'[1]November - 2022'!DN9</f>
        <v>9463</v>
      </c>
      <c r="DL9" s="380">
        <f>DK10-DK9</f>
        <v>7</v>
      </c>
      <c r="DM9" s="298">
        <f>'[1]November - 2022'!DP9</f>
        <v>3128</v>
      </c>
      <c r="DN9" s="380">
        <f>DM10-DM9</f>
        <v>3</v>
      </c>
      <c r="DO9" s="298">
        <f>'[1]November - 2022'!DR9</f>
        <v>6070</v>
      </c>
      <c r="DP9" s="380">
        <f>DO10-DO9</f>
        <v>8</v>
      </c>
      <c r="DQ9" s="298">
        <f>'[1]November - 2022'!DT9</f>
        <v>30054</v>
      </c>
      <c r="DR9" s="382">
        <f>DQ10-DQ9</f>
        <v>11</v>
      </c>
      <c r="DS9" s="439"/>
      <c r="DT9" s="210">
        <f>'[1]November - 2022'!DW9</f>
        <v>5893.9</v>
      </c>
      <c r="DU9" s="384">
        <f>DT10-DT9</f>
        <v>11.700000000000728</v>
      </c>
      <c r="DV9" s="91">
        <f>'[1]November - 2022'!DY9</f>
        <v>10962.9</v>
      </c>
      <c r="DW9" s="446">
        <f>DV10-DV9</f>
        <v>8.2000000000007276</v>
      </c>
      <c r="DX9" s="91">
        <f>'[1]November - 2022'!EA9</f>
        <v>4534.6000000000004</v>
      </c>
      <c r="DY9" s="384">
        <f>DX10-DX9</f>
        <v>7.1999999999998181</v>
      </c>
      <c r="DZ9" s="91">
        <f>'[1]November - 2022'!EC9</f>
        <v>5124</v>
      </c>
      <c r="EA9" s="384">
        <f>DZ10-DZ9</f>
        <v>6.3999999999996362</v>
      </c>
      <c r="EB9" s="91">
        <f>'[1]November - 2022'!EE9</f>
        <v>1102978</v>
      </c>
      <c r="EC9" s="384">
        <f>EB10-EB9</f>
        <v>586</v>
      </c>
      <c r="ED9" s="91">
        <f>'[1]November - 2022'!EI9</f>
        <v>225971.5</v>
      </c>
      <c r="EE9" s="448">
        <f>ED10-ED9</f>
        <v>152.79999999998836</v>
      </c>
      <c r="EF9" s="378"/>
      <c r="EG9" s="235">
        <f>'[1]November - 2022'!EL9</f>
        <v>11950500</v>
      </c>
      <c r="EH9" s="370">
        <f>EG10-EG9</f>
        <v>6300</v>
      </c>
      <c r="EI9" s="90">
        <f>'[1]November - 2022'!EN9</f>
        <v>922990</v>
      </c>
      <c r="EJ9" s="370">
        <f>EI10-EI9</f>
        <v>300</v>
      </c>
      <c r="EK9" s="90">
        <f>'[1]November - 2022'!EP9</f>
        <v>7134400</v>
      </c>
      <c r="EL9" s="370">
        <f>EK10-EK9</f>
        <v>2600</v>
      </c>
      <c r="EM9" s="90">
        <f>'[1]November - 2022'!ER9</f>
        <v>2479100</v>
      </c>
      <c r="EN9" s="370">
        <f>EM10-EM9</f>
        <v>600</v>
      </c>
      <c r="EO9" s="90">
        <f>'[1]November - 2022'!ET9</f>
        <v>1248920</v>
      </c>
      <c r="EP9" s="370">
        <f>EO10-EO9</f>
        <v>830</v>
      </c>
      <c r="EQ9" s="90">
        <f>'[1]November - 2022'!EV9</f>
        <v>16413100</v>
      </c>
      <c r="ER9" s="434">
        <f>EQ10-EQ9</f>
        <v>7500</v>
      </c>
      <c r="ES9" s="426"/>
      <c r="ET9" s="281">
        <f>'[1]November - 2022'!EY9</f>
        <v>41465</v>
      </c>
      <c r="EU9" s="381">
        <f>ET10-ET9</f>
        <v>18</v>
      </c>
      <c r="EV9" s="282">
        <f>'[1]November - 2022'!FA9</f>
        <v>36332</v>
      </c>
      <c r="EW9" s="381">
        <f>EV10-EV9</f>
        <v>13</v>
      </c>
      <c r="EX9" s="282">
        <f>'[1]November - 2022'!FC9</f>
        <v>7150</v>
      </c>
      <c r="EY9" s="381">
        <v>0</v>
      </c>
      <c r="EZ9" s="282">
        <f>'[1]November - 2022'!FE9</f>
        <v>58712</v>
      </c>
      <c r="FA9" s="381">
        <f>EZ10-EZ9</f>
        <v>13</v>
      </c>
      <c r="FB9" s="282">
        <f>'[1]November - 2022'!FG9</f>
        <v>48212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412"/>
      <c r="E10" s="414"/>
      <c r="F10" s="168">
        <f>'[1]November - 2022'!H10</f>
        <v>224081</v>
      </c>
      <c r="G10" s="408"/>
      <c r="H10" s="414"/>
      <c r="I10" s="168">
        <f>'[1]November - 2022'!K10</f>
        <v>2320</v>
      </c>
      <c r="J10" s="408"/>
      <c r="K10" s="168">
        <f>'[1]November - 2022'!N10</f>
        <v>910837</v>
      </c>
      <c r="L10" s="369"/>
      <c r="M10" s="168">
        <f>'[1]November - 2022'!Q10</f>
        <v>239111</v>
      </c>
      <c r="N10" s="369"/>
      <c r="O10" s="168">
        <f>'[1]November - 2022'!U10</f>
        <v>110585</v>
      </c>
      <c r="P10" s="408"/>
      <c r="Q10" s="414"/>
      <c r="R10" s="168">
        <f>'[1]November - 2022'!X10</f>
        <v>5878</v>
      </c>
      <c r="S10" s="416"/>
      <c r="T10" s="521"/>
      <c r="U10" s="269">
        <f>'[1]November - 2022'!AE10</f>
        <v>8054828.8800000008</v>
      </c>
      <c r="V10" s="418"/>
      <c r="W10" s="410"/>
      <c r="X10" s="287">
        <f>'[1]November - 2022'!AH10</f>
        <v>15305144.4</v>
      </c>
      <c r="Y10" s="408"/>
      <c r="Z10" s="410"/>
      <c r="AA10" s="287">
        <f>'[1]November - 2022'!AK10</f>
        <v>15629181.119999999</v>
      </c>
      <c r="AB10" s="408"/>
      <c r="AC10" s="410"/>
      <c r="AD10" s="287">
        <f>'[1]November - 2022'!AN10</f>
        <v>18660636.960000001</v>
      </c>
      <c r="AE10" s="408"/>
      <c r="AF10" s="410"/>
      <c r="AG10" s="287">
        <f>'[1]November - 2022'!AQ10</f>
        <v>18948669.599999998</v>
      </c>
      <c r="AH10" s="408"/>
      <c r="AI10" s="410"/>
      <c r="AJ10" s="287">
        <f>'[1]November - 2022'!AT10</f>
        <v>17352115.199999999</v>
      </c>
      <c r="AK10" s="408"/>
      <c r="AL10" s="410"/>
      <c r="AM10" s="287">
        <f>'[1]November - 2022'!AW10</f>
        <v>14618971.919999998</v>
      </c>
      <c r="AN10" s="408"/>
      <c r="AO10" s="410"/>
      <c r="AP10" s="287">
        <f>'[1]November - 2022'!AZ10</f>
        <v>14135864.4</v>
      </c>
      <c r="AQ10" s="408"/>
      <c r="AR10" s="410"/>
      <c r="AS10" s="287">
        <f>'[1]November - 2022'!BC10</f>
        <v>11065188.959999999</v>
      </c>
      <c r="AT10" s="408"/>
      <c r="AU10" s="410"/>
      <c r="AV10" s="287">
        <f>'[1]November - 2022'!BF10</f>
        <v>17484682.32</v>
      </c>
      <c r="AW10" s="408"/>
      <c r="AX10" s="491"/>
      <c r="AY10" s="487"/>
      <c r="AZ10" s="272">
        <f>'[1]November - 2022'!BM10</f>
        <v>77251000</v>
      </c>
      <c r="BA10" s="493"/>
      <c r="BB10" s="489"/>
      <c r="BC10" s="272">
        <f>'[1]November - 2022'!BP10</f>
        <v>79686200</v>
      </c>
      <c r="BD10" s="493"/>
      <c r="BE10" s="489"/>
      <c r="BF10" s="272">
        <f>'[1]November - 2022'!BS10</f>
        <v>73730900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387"/>
      <c r="BU10" s="394"/>
      <c r="BV10" s="88">
        <f>'[1]November - 2022'!BY10</f>
        <v>0.6</v>
      </c>
      <c r="BW10" s="389"/>
      <c r="BX10" s="391"/>
      <c r="BY10" s="89">
        <f>'[1]November - 2022'!CB10</f>
        <v>63566</v>
      </c>
      <c r="BZ10" s="386"/>
      <c r="CA10" s="89">
        <f>'[1]November - 2022'!CD10</f>
        <v>54703</v>
      </c>
      <c r="CB10" s="386"/>
      <c r="CC10" s="89">
        <f>'[1]November - 2022'!CF10</f>
        <v>18502</v>
      </c>
      <c r="CD10" s="386"/>
      <c r="CE10" s="89">
        <f>'[1]November - 2022'!CH10</f>
        <v>25201</v>
      </c>
      <c r="CF10" s="386"/>
      <c r="CG10" s="89">
        <f>'[1]November - 2022'!CJ10</f>
        <v>27936</v>
      </c>
      <c r="CH10" s="386"/>
      <c r="CI10" s="89">
        <f>'[1]November - 2022'!CL10</f>
        <v>61207</v>
      </c>
      <c r="CJ10" s="386"/>
      <c r="CK10" s="89">
        <f>'[1]November - 2022'!CN10</f>
        <v>265256</v>
      </c>
      <c r="CL10" s="386"/>
      <c r="CM10" s="407"/>
      <c r="CN10" s="89">
        <f>'[1]November - 2022'!CQ10</f>
        <v>211231</v>
      </c>
      <c r="CO10" s="386"/>
      <c r="CP10" s="407"/>
      <c r="CQ10" s="89">
        <f>'[1]November - 2022'!CT10</f>
        <v>349895</v>
      </c>
      <c r="CR10" s="386"/>
      <c r="CS10" s="407"/>
      <c r="CT10" s="89">
        <f>'[1]November - 2022'!CW10</f>
        <v>688213</v>
      </c>
      <c r="CU10" s="469"/>
      <c r="CV10" s="454"/>
      <c r="CW10" s="256">
        <f>'[1]November - 2022'!CZ10</f>
        <v>8558</v>
      </c>
      <c r="CX10" s="381"/>
      <c r="CY10" s="257">
        <f>'[1]November - 2022'!DB10</f>
        <v>5797</v>
      </c>
      <c r="CZ10" s="381"/>
      <c r="DA10" s="257">
        <f>'[1]November - 2022'!DD10</f>
        <v>31548</v>
      </c>
      <c r="DB10" s="381"/>
      <c r="DC10" s="257">
        <f>'[1]November - 2022'!DF10</f>
        <v>31829</v>
      </c>
      <c r="DD10" s="381"/>
      <c r="DE10" s="257">
        <f>'[1]November - 2022'!DH10</f>
        <v>21465</v>
      </c>
      <c r="DF10" s="381"/>
      <c r="DG10" s="257">
        <f>'[1]November - 2022'!DJ10</f>
        <v>23804</v>
      </c>
      <c r="DH10" s="381"/>
      <c r="DI10" s="257">
        <f>'[1]November - 2022'!DL10</f>
        <v>6733</v>
      </c>
      <c r="DJ10" s="381"/>
      <c r="DK10" s="257">
        <f>'[1]November - 2022'!DN10</f>
        <v>9470</v>
      </c>
      <c r="DL10" s="381"/>
      <c r="DM10" s="257">
        <f>'[1]November - 2022'!DP10</f>
        <v>3131</v>
      </c>
      <c r="DN10" s="381"/>
      <c r="DO10" s="257">
        <f>'[1]November - 2022'!DR10</f>
        <v>6078</v>
      </c>
      <c r="DP10" s="381"/>
      <c r="DQ10" s="298">
        <f>'[1]November - 2022'!DT10</f>
        <v>30065</v>
      </c>
      <c r="DR10" s="383"/>
      <c r="DS10" s="439"/>
      <c r="DT10" s="210">
        <f>'[1]November - 2022'!DW10</f>
        <v>5905.6</v>
      </c>
      <c r="DU10" s="385"/>
      <c r="DV10" s="91">
        <f>'[1]November - 2022'!DY10</f>
        <v>10971.1</v>
      </c>
      <c r="DW10" s="447"/>
      <c r="DX10" s="91">
        <f>'[1]November - 2022'!EA10</f>
        <v>4541.8</v>
      </c>
      <c r="DY10" s="385"/>
      <c r="DZ10" s="91">
        <f>'[1]November - 2022'!EC10</f>
        <v>5130.3999999999996</v>
      </c>
      <c r="EA10" s="385"/>
      <c r="EB10" s="91">
        <f>'[1]November - 2022'!EE10</f>
        <v>1103564</v>
      </c>
      <c r="EC10" s="385"/>
      <c r="ED10" s="91">
        <f>'[1]November - 2022'!EI10</f>
        <v>226124.3</v>
      </c>
      <c r="EE10" s="449"/>
      <c r="EF10" s="378"/>
      <c r="EG10" s="235">
        <f>'[1]November - 2022'!EL10</f>
        <v>11956800</v>
      </c>
      <c r="EH10" s="371"/>
      <c r="EI10" s="90">
        <f>'[1]November - 2022'!EN10</f>
        <v>923290</v>
      </c>
      <c r="EJ10" s="371"/>
      <c r="EK10" s="90">
        <f>'[1]November - 2022'!EP10</f>
        <v>7137000</v>
      </c>
      <c r="EL10" s="371"/>
      <c r="EM10" s="90">
        <f>'[1]November - 2022'!ER10</f>
        <v>2479700</v>
      </c>
      <c r="EN10" s="371"/>
      <c r="EO10" s="90">
        <f>'[1]November - 2022'!ET10</f>
        <v>1249750</v>
      </c>
      <c r="EP10" s="371"/>
      <c r="EQ10" s="90">
        <f>'[1]November - 2022'!EV10</f>
        <v>16420600</v>
      </c>
      <c r="ER10" s="435"/>
      <c r="ES10" s="426"/>
      <c r="ET10" s="281">
        <f>'[1]November - 2022'!EY10</f>
        <v>41483</v>
      </c>
      <c r="EU10" s="430"/>
      <c r="EV10" s="282">
        <f>'[1]November - 2022'!FA10</f>
        <v>36345</v>
      </c>
      <c r="EW10" s="430"/>
      <c r="EX10" s="282">
        <f>'[1]November - 2022'!FC10</f>
        <v>7158</v>
      </c>
      <c r="EY10" s="430"/>
      <c r="EZ10" s="282">
        <f>'[1]November - 2022'!FE10</f>
        <v>58725</v>
      </c>
      <c r="FA10" s="430"/>
      <c r="FB10" s="282">
        <f>'[1]November - 2022'!FG10</f>
        <v>48248</v>
      </c>
      <c r="FC10" s="431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521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87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394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454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439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378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42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521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87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394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454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439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378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42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521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87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394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454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439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378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42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521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87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394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454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439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378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42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521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87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394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454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439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378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42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521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87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394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454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439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378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42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521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87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394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454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439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378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42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521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87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394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454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439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378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42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521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87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394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454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439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378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42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521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87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394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454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439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378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42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521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87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394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454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439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378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42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521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87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394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454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439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378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42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0.74</v>
      </c>
      <c r="C23" s="250">
        <f>'[1]November - 2022'!E23</f>
        <v>191817</v>
      </c>
      <c r="D23" s="170">
        <f>'[1]November - 2022'!F23</f>
        <v>732</v>
      </c>
      <c r="E23" s="168">
        <f>'[1]November - 2022'!G23</f>
        <v>652</v>
      </c>
      <c r="F23" s="168">
        <f>'[1]November - 2022'!H23</f>
        <v>230432</v>
      </c>
      <c r="G23" s="170">
        <f>'[1]November - 2022'!I23</f>
        <v>461</v>
      </c>
      <c r="H23" s="168">
        <f>'[1]November - 2022'!J23</f>
        <v>404</v>
      </c>
      <c r="I23" s="168">
        <f>'[1]November - 2022'!K23</f>
        <v>3598</v>
      </c>
      <c r="J23" s="170">
        <f>'[1]November - 2022'!L23</f>
        <v>76</v>
      </c>
      <c r="K23" s="168">
        <f>'[1]November - 2022'!N23</f>
        <v>914659</v>
      </c>
      <c r="L23" s="170">
        <f>'[1]November - 2022'!O23</f>
        <v>323</v>
      </c>
      <c r="M23" s="168">
        <f>'[1]November - 2022'!Q23</f>
        <v>241327</v>
      </c>
      <c r="N23" s="170">
        <f>'[1]November - 2022'!R23</f>
        <v>0</v>
      </c>
      <c r="O23" s="168">
        <f>'[1]November - 2022'!U23</f>
        <v>112891</v>
      </c>
      <c r="P23" s="170">
        <f>'[1]November - 2022'!V23</f>
        <v>176</v>
      </c>
      <c r="Q23" s="168">
        <f>'[1]November - 2022'!W23</f>
        <v>128.52000000000407</v>
      </c>
      <c r="R23" s="168">
        <f>'[1]November - 2022'!X23</f>
        <v>6040</v>
      </c>
      <c r="S23" s="208">
        <f>'[1]November - 2022'!Y23</f>
        <v>18</v>
      </c>
      <c r="T23" s="521"/>
      <c r="U23" s="169">
        <f>'[1]November - 2022'!AE23</f>
        <v>8086740.4800000004</v>
      </c>
      <c r="V23" s="288">
        <f>'[1]November - 2022'!AF23</f>
        <v>2777.0400000000373</v>
      </c>
      <c r="W23" s="92">
        <f>'[1]November - 2022'!AF23</f>
        <v>2777.0400000000373</v>
      </c>
      <c r="X23" s="287">
        <f>'[1]November - 2022'!AH23</f>
        <v>15365849.52</v>
      </c>
      <c r="Y23" s="288">
        <f>'[1]November - 2022'!AI23</f>
        <v>4774.5600000005215</v>
      </c>
      <c r="Z23" s="92">
        <f>'[1]November - 2022'!AI23</f>
        <v>4774.5600000005215</v>
      </c>
      <c r="AA23" s="287">
        <f>'[1]November - 2022'!AK23</f>
        <v>15685696.319999998</v>
      </c>
      <c r="AB23" s="288">
        <f>'[1]November - 2022'!AL23</f>
        <v>11400.479999998584</v>
      </c>
      <c r="AC23" s="92">
        <f>'[1]November - 2022'!AL23</f>
        <v>11400.479999998584</v>
      </c>
      <c r="AD23" s="287">
        <f>'[1]November - 2022'!AN23</f>
        <v>18763728.48</v>
      </c>
      <c r="AE23" s="288">
        <f>'[1]November - 2022'!AO23</f>
        <v>5895.1200000010431</v>
      </c>
      <c r="AF23" s="92">
        <f>'[1]November - 2022'!AO23</f>
        <v>5895.1200000010431</v>
      </c>
      <c r="AG23" s="287">
        <f>'[1]November - 2022'!AQ23</f>
        <v>19026426.719999999</v>
      </c>
      <c r="AH23" s="288">
        <f>'[1]November - 2022'!AR23</f>
        <v>341.03999999910593</v>
      </c>
      <c r="AI23" s="92">
        <f>'[1]November - 2022'!AR23</f>
        <v>341.03999999910593</v>
      </c>
      <c r="AJ23" s="287">
        <f>'[1]November - 2022'!AT23</f>
        <v>17428264.560000002</v>
      </c>
      <c r="AK23" s="288">
        <f>'[1]November - 2022'!AU23</f>
        <v>5992.5600000023842</v>
      </c>
      <c r="AL23" s="92">
        <f>'[1]November - 2022'!AU23</f>
        <v>5992.5600000023842</v>
      </c>
      <c r="AM23" s="287">
        <f>'[1]November - 2022'!AW23</f>
        <v>14680992.48</v>
      </c>
      <c r="AN23" s="288">
        <f>'[1]November - 2022'!AX23</f>
        <v>4677.1200000010431</v>
      </c>
      <c r="AO23" s="92">
        <f>'[1]November - 2022'!AX23</f>
        <v>4677.1200000010431</v>
      </c>
      <c r="AP23" s="287">
        <f>'[1]November - 2022'!AZ23</f>
        <v>14197300.319999998</v>
      </c>
      <c r="AQ23" s="288">
        <f>'[1]November - 2022'!BA23</f>
        <v>4579.6799999978393</v>
      </c>
      <c r="AR23" s="92">
        <f>'[1]November - 2022'!BA23</f>
        <v>4579.6799999978393</v>
      </c>
      <c r="AS23" s="287">
        <f>'[1]November - 2022'!BC23</f>
        <v>11106211.199999999</v>
      </c>
      <c r="AT23" s="288">
        <f>'[1]November - 2022'!BD23</f>
        <v>2874.480000000447</v>
      </c>
      <c r="AU23" s="92">
        <f>'[1]November - 2022'!BD23</f>
        <v>2874.480000000447</v>
      </c>
      <c r="AV23" s="287">
        <f>'[1]November - 2022'!BF23</f>
        <v>17561465.039999999</v>
      </c>
      <c r="AW23" s="252">
        <f>'[1]November - 2022'!BG23</f>
        <v>5700.2399999983609</v>
      </c>
      <c r="AX23" s="253">
        <f>'[1]November - 2022'!BG23</f>
        <v>5700.2399999983609</v>
      </c>
      <c r="AY23" s="487"/>
      <c r="AZ23" s="272">
        <f>'[1]November - 2022'!BM23</f>
        <v>77510100</v>
      </c>
      <c r="BA23" s="179">
        <f>'[1]November - 2022'!BN23</f>
        <v>55500</v>
      </c>
      <c r="BB23" s="93">
        <f>'[1]November - 2022'!BN23</f>
        <v>55500</v>
      </c>
      <c r="BC23" s="272">
        <f>'[1]November - 2022'!BP23</f>
        <v>80182100</v>
      </c>
      <c r="BD23" s="245">
        <f>'[1]November - 2022'!BQ23</f>
        <v>30200</v>
      </c>
      <c r="BE23" s="93">
        <f>'[1]November - 2022'!BQ23</f>
        <v>30200</v>
      </c>
      <c r="BF23" s="272">
        <f>'[1]November - 2022'!BS23</f>
        <v>74085900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10046020</v>
      </c>
      <c r="BT23" s="185">
        <f>'[1]November - 2022'!BW23</f>
        <v>8180</v>
      </c>
      <c r="BU23" s="394"/>
      <c r="BV23" s="88">
        <f>'[1]November - 2022'!BY23</f>
        <v>0.67</v>
      </c>
      <c r="BW23" s="241">
        <f>'[1]November - 2022'!BZ23</f>
        <v>-9.000000000000008E-2</v>
      </c>
      <c r="BX23" s="88">
        <f>'[1]November - 2022'!BZ23</f>
        <v>-9.000000000000008E-2</v>
      </c>
      <c r="BY23" s="89">
        <f>'[1]November - 2022'!CB23</f>
        <v>63853</v>
      </c>
      <c r="BZ23" s="191">
        <f>'[1]November - 2022'!CC23</f>
        <v>23</v>
      </c>
      <c r="CA23" s="89">
        <f>'[1]November - 2022'!CD23</f>
        <v>54959</v>
      </c>
      <c r="CB23" s="191">
        <f>'[1]November - 2022'!CE23</f>
        <v>19</v>
      </c>
      <c r="CC23" s="89">
        <f>'[1]November - 2022'!CF23</f>
        <v>18589</v>
      </c>
      <c r="CD23" s="191">
        <f>'[1]November - 2022'!CG23</f>
        <v>6</v>
      </c>
      <c r="CE23" s="89">
        <f>'[1]November - 2022'!CH23</f>
        <v>25346</v>
      </c>
      <c r="CF23" s="191">
        <f>'[1]November - 2022'!CI23</f>
        <v>11</v>
      </c>
      <c r="CG23" s="89">
        <f>'[1]November - 2022'!CJ23</f>
        <v>28131</v>
      </c>
      <c r="CH23" s="191">
        <f>'[1]November - 2022'!CK23</f>
        <v>14</v>
      </c>
      <c r="CI23" s="89">
        <f>'[1]November - 2022'!CL23</f>
        <v>61686</v>
      </c>
      <c r="CJ23" s="191">
        <f>'[1]November - 2022'!CM23</f>
        <v>35</v>
      </c>
      <c r="CK23" s="89">
        <f>'[1]November - 2022'!CN23</f>
        <v>266264</v>
      </c>
      <c r="CL23" s="246">
        <f>'[1]November - 2022'!CO23</f>
        <v>77</v>
      </c>
      <c r="CM23" s="89">
        <f>'[1]November - 2022'!CO23</f>
        <v>77</v>
      </c>
      <c r="CN23" s="89">
        <f>'[1]November - 2022'!CQ23</f>
        <v>212528</v>
      </c>
      <c r="CO23" s="246">
        <f>'[1]November - 2022'!CR23</f>
        <v>100</v>
      </c>
      <c r="CP23" s="89">
        <f>'[1]November - 2022'!CR23</f>
        <v>100</v>
      </c>
      <c r="CQ23" s="89">
        <f>'[1]November - 2022'!CT23</f>
        <v>351251</v>
      </c>
      <c r="CR23" s="246">
        <f>'[1]November - 2022'!CU23</f>
        <v>29</v>
      </c>
      <c r="CS23" s="89">
        <f>'[1]November - 2022'!CU23</f>
        <v>29</v>
      </c>
      <c r="CT23" s="89">
        <f>'[1]November - 2022'!CW23</f>
        <v>690579</v>
      </c>
      <c r="CU23" s="191">
        <f>'[1]November - 2022'!CX23</f>
        <v>187</v>
      </c>
      <c r="CV23" s="454"/>
      <c r="CW23" s="256">
        <f>'[1]November - 2022'!CZ23</f>
        <v>8658</v>
      </c>
      <c r="CX23" s="198">
        <f>'[1]November - 2022'!DA23</f>
        <v>6</v>
      </c>
      <c r="CY23" s="257">
        <f>'[1]November - 2022'!DB23</f>
        <v>5877</v>
      </c>
      <c r="CZ23" s="198">
        <f>'[1]November - 2022'!DC23</f>
        <v>3</v>
      </c>
      <c r="DA23" s="257">
        <f>'[1]November - 2022'!DD23</f>
        <v>31761</v>
      </c>
      <c r="DB23" s="198">
        <f>'[1]November - 2022'!DE23</f>
        <v>15</v>
      </c>
      <c r="DC23" s="257">
        <f>'[1]November - 2022'!DF23</f>
        <v>32037</v>
      </c>
      <c r="DD23" s="198">
        <f>'[1]November - 2022'!DG23</f>
        <v>16</v>
      </c>
      <c r="DE23" s="257">
        <f>'[1]November - 2022'!DH23</f>
        <v>21594</v>
      </c>
      <c r="DF23" s="198">
        <f>'[1]November - 2022'!DI23</f>
        <v>9</v>
      </c>
      <c r="DG23" s="257">
        <f>'[1]November - 2022'!DJ23</f>
        <v>23891</v>
      </c>
      <c r="DH23" s="198">
        <f>'[1]November - 2022'!DK23</f>
        <v>5</v>
      </c>
      <c r="DI23" s="257">
        <f>'[1]November - 2022'!DL23</f>
        <v>6864</v>
      </c>
      <c r="DJ23" s="198">
        <f>'[1]November - 2022'!DM23</f>
        <v>8</v>
      </c>
      <c r="DK23" s="257">
        <f>'[1]November - 2022'!DN23</f>
        <v>9574</v>
      </c>
      <c r="DL23" s="198">
        <f>'[1]November - 2022'!DO23</f>
        <v>7</v>
      </c>
      <c r="DM23" s="257">
        <f>'[1]November - 2022'!DP23</f>
        <v>3176</v>
      </c>
      <c r="DN23" s="198">
        <f>'[1]November - 2022'!DQ23</f>
        <v>3</v>
      </c>
      <c r="DO23" s="257">
        <f>'[1]November - 2022'!DR23</f>
        <v>6212</v>
      </c>
      <c r="DP23" s="198">
        <f>'[1]November - 2022'!DS23</f>
        <v>10</v>
      </c>
      <c r="DQ23" s="257">
        <f>'[1]November - 2022'!DT23</f>
        <v>30143</v>
      </c>
      <c r="DR23" s="206">
        <f>'[1]November - 2022'!DU23</f>
        <v>8</v>
      </c>
      <c r="DS23" s="439"/>
      <c r="DT23" s="210">
        <f>'[1]November - 2022'!DW23</f>
        <v>6056.1</v>
      </c>
      <c r="DU23" s="221">
        <f>'[1]November - 2022'!DX23</f>
        <v>11.300000000000182</v>
      </c>
      <c r="DV23" s="91">
        <f>'[1]November - 2022'!DY23</f>
        <v>11085.1</v>
      </c>
      <c r="DW23" s="215">
        <f>'[1]November - 2022'!DZ23</f>
        <v>8.3999999999996362</v>
      </c>
      <c r="DX23" s="91">
        <f>'[1]November - 2022'!EA23</f>
        <v>4633.8999999999996</v>
      </c>
      <c r="DY23" s="215">
        <f>'[1]November - 2022'!EB23</f>
        <v>7</v>
      </c>
      <c r="DZ23" s="91">
        <f>'[1]November - 2022'!EC23</f>
        <v>5217.3999999999996</v>
      </c>
      <c r="EA23" s="215">
        <f>'[1]November - 2022'!ED23</f>
        <v>6.1999999999998181</v>
      </c>
      <c r="EB23" s="91">
        <f>'[1]November - 2022'!EE23</f>
        <v>1112305</v>
      </c>
      <c r="EC23" s="215">
        <f>'[1]November - 2022'!EF23</f>
        <v>617</v>
      </c>
      <c r="ED23" s="91">
        <f>'[1]November - 2022'!EI23</f>
        <v>228114.1</v>
      </c>
      <c r="EE23" s="229">
        <f>'[1]November - 2022'!EJ23</f>
        <v>150.39999999999418</v>
      </c>
      <c r="EF23" s="378"/>
      <c r="EG23" s="235">
        <f>'[1]November - 2022'!EL23</f>
        <v>12029400</v>
      </c>
      <c r="EH23" s="230">
        <f>'[1]November - 2022'!EM23</f>
        <v>5600</v>
      </c>
      <c r="EI23" s="90">
        <f>'[1]November - 2022'!EN23</f>
        <v>927000</v>
      </c>
      <c r="EJ23" s="230">
        <f>'[1]November - 2022'!EO23</f>
        <v>280</v>
      </c>
      <c r="EK23" s="90">
        <f>'[1]November - 2022'!EP23</f>
        <v>7169000</v>
      </c>
      <c r="EL23" s="230">
        <f>'[1]November - 2022'!EQ23</f>
        <v>2500</v>
      </c>
      <c r="EM23" s="90">
        <f>'[1]November - 2022'!ER23</f>
        <v>2485600</v>
      </c>
      <c r="EN23" s="230">
        <f>'[1]November - 2022'!ES23</f>
        <v>400</v>
      </c>
      <c r="EO23" s="90">
        <f>'[1]November - 2022'!ET23</f>
        <v>1260090</v>
      </c>
      <c r="EP23" s="230">
        <f>'[1]November - 2022'!EU23</f>
        <v>790</v>
      </c>
      <c r="EQ23" s="90">
        <f>'[1]November - 2022'!EV23</f>
        <v>16506000</v>
      </c>
      <c r="ER23" s="230">
        <f>'[1]November - 2022'!EW23</f>
        <v>6700</v>
      </c>
      <c r="ES23" s="426"/>
      <c r="ET23" s="281">
        <f>'[1]November - 2022'!EY23</f>
        <v>41703</v>
      </c>
      <c r="EU23" s="275">
        <f>'[1]November - 2022'!EZ23</f>
        <v>17</v>
      </c>
      <c r="EV23" s="282">
        <f>'[1]November - 2022'!FA23</f>
        <v>36498</v>
      </c>
      <c r="EW23" s="275">
        <f>'[1]November - 2022'!FB23</f>
        <v>10</v>
      </c>
      <c r="EX23" s="282">
        <f>'[1]November - 2022'!FC23</f>
        <v>7297</v>
      </c>
      <c r="EY23" s="275">
        <f>'[1]November - 2022'!FD23</f>
        <v>9</v>
      </c>
      <c r="EZ23" s="282">
        <f>'[1]November - 2022'!FE23</f>
        <v>58911</v>
      </c>
      <c r="FA23" s="275">
        <f>'[1]November - 2022'!FF23</f>
        <v>11</v>
      </c>
      <c r="FB23" s="282">
        <f>'[1]November - 2022'!FG23</f>
        <v>48715</v>
      </c>
      <c r="FC23" s="276">
        <f>'[1]November - 2022'!FH23</f>
        <v>34</v>
      </c>
    </row>
    <row r="24" spans="1:159" ht="30" customHeight="1" x14ac:dyDescent="0.25">
      <c r="A24" s="207">
        <v>43845</v>
      </c>
      <c r="B24" s="209">
        <f>'[1]November - 2022'!B24</f>
        <v>0.7</v>
      </c>
      <c r="C24" s="250">
        <f>'[1]November - 2022'!E24</f>
        <v>193053</v>
      </c>
      <c r="D24" s="170">
        <f>'[1]November - 2022'!F24</f>
        <v>1236</v>
      </c>
      <c r="E24" s="168">
        <f>'[1]November - 2022'!G24</f>
        <v>738</v>
      </c>
      <c r="F24" s="168">
        <f>'[1]November - 2022'!H24</f>
        <v>230901</v>
      </c>
      <c r="G24" s="170">
        <f>'[1]November - 2022'!I24</f>
        <v>469</v>
      </c>
      <c r="H24" s="168">
        <f>'[1]November - 2022'!J24</f>
        <v>364</v>
      </c>
      <c r="I24" s="168">
        <f>'[1]November - 2022'!K24</f>
        <v>3690</v>
      </c>
      <c r="J24" s="170">
        <f>'[1]November - 2022'!L24</f>
        <v>92</v>
      </c>
      <c r="K24" s="168">
        <f>'[1]November - 2022'!N24</f>
        <v>914994</v>
      </c>
      <c r="L24" s="170">
        <f>'[1]November - 2022'!O24</f>
        <v>335</v>
      </c>
      <c r="M24" s="168">
        <f>'[1]November - 2022'!Q24</f>
        <v>241327</v>
      </c>
      <c r="N24" s="170">
        <f>'[1]November - 2022'!R24</f>
        <v>0</v>
      </c>
      <c r="O24" s="168">
        <f>'[1]November - 2022'!U24</f>
        <v>113071</v>
      </c>
      <c r="P24" s="170">
        <f>'[1]November - 2022'!V24</f>
        <v>180</v>
      </c>
      <c r="Q24" s="168">
        <f>'[1]November - 2022'!W24</f>
        <v>114.72000000000116</v>
      </c>
      <c r="R24" s="168">
        <f>'[1]November - 2022'!X24</f>
        <v>6055</v>
      </c>
      <c r="S24" s="208">
        <f>'[1]November - 2022'!Y24</f>
        <v>15</v>
      </c>
      <c r="T24" s="521"/>
      <c r="U24" s="169">
        <f>'[1]November - 2022'!AE24</f>
        <v>8089614.959999999</v>
      </c>
      <c r="V24" s="288">
        <f>'[1]November - 2022'!AF24</f>
        <v>2874.4799999985844</v>
      </c>
      <c r="W24" s="92">
        <f>'[1]November - 2022'!AF24</f>
        <v>2874.4799999985844</v>
      </c>
      <c r="X24" s="287">
        <f>'[1]November - 2022'!AH24</f>
        <v>15370477.919999998</v>
      </c>
      <c r="Y24" s="288">
        <f>'[1]November - 2022'!AI24</f>
        <v>4628.3999999985099</v>
      </c>
      <c r="Z24" s="92">
        <f>'[1]November - 2022'!AI24</f>
        <v>4628.3999999985099</v>
      </c>
      <c r="AA24" s="287">
        <f>'[1]November - 2022'!AK24</f>
        <v>15697340.4</v>
      </c>
      <c r="AB24" s="288">
        <f>'[1]November - 2022'!AL24</f>
        <v>11644.080000001937</v>
      </c>
      <c r="AC24" s="92">
        <f>'[1]November - 2022'!AL24</f>
        <v>11644.080000001937</v>
      </c>
      <c r="AD24" s="287">
        <f>'[1]November - 2022'!AN24</f>
        <v>18769380</v>
      </c>
      <c r="AE24" s="288">
        <f>'[1]November - 2022'!AO24</f>
        <v>5651.519999999553</v>
      </c>
      <c r="AF24" s="92">
        <f>'[1]November - 2022'!AO24</f>
        <v>5651.519999999553</v>
      </c>
      <c r="AG24" s="287">
        <f>'[1]November - 2022'!AQ24</f>
        <v>19026621.599999998</v>
      </c>
      <c r="AH24" s="288">
        <f>'[1]November - 2022'!AR24</f>
        <v>194.87999999895692</v>
      </c>
      <c r="AI24" s="92">
        <f>'[1]November - 2022'!AR24</f>
        <v>194.87999999895692</v>
      </c>
      <c r="AJ24" s="287">
        <f>'[1]November - 2022'!AT24</f>
        <v>17433916.080000002</v>
      </c>
      <c r="AK24" s="288">
        <f>'[1]November - 2022'!AU24</f>
        <v>5651.519999999553</v>
      </c>
      <c r="AL24" s="92">
        <f>'[1]November - 2022'!AU24</f>
        <v>5651.519999999553</v>
      </c>
      <c r="AM24" s="287">
        <f>'[1]November - 2022'!AW24</f>
        <v>14685767.039999999</v>
      </c>
      <c r="AN24" s="288">
        <f>'[1]November - 2022'!AX24</f>
        <v>4774.5599999986589</v>
      </c>
      <c r="AO24" s="92">
        <f>'[1]November - 2022'!AX24</f>
        <v>4774.5599999986589</v>
      </c>
      <c r="AP24" s="287">
        <f>'[1]November - 2022'!AZ24</f>
        <v>14201928.719999999</v>
      </c>
      <c r="AQ24" s="288">
        <f>'[1]November - 2022'!BA24</f>
        <v>4628.4000000003725</v>
      </c>
      <c r="AR24" s="92">
        <f>'[1]November - 2022'!BA24</f>
        <v>4628.4000000003725</v>
      </c>
      <c r="AS24" s="287">
        <f>'[1]November - 2022'!BC24</f>
        <v>11109231.84</v>
      </c>
      <c r="AT24" s="288">
        <f>'[1]November - 2022'!BD24</f>
        <v>3020.640000000596</v>
      </c>
      <c r="AU24" s="92">
        <f>'[1]November - 2022'!BD24</f>
        <v>3020.640000000596</v>
      </c>
      <c r="AV24" s="287">
        <f>'[1]November - 2022'!BF24</f>
        <v>17567262.719999999</v>
      </c>
      <c r="AW24" s="252">
        <f>'[1]November - 2022'!BG24</f>
        <v>5797.679999999702</v>
      </c>
      <c r="AX24" s="253">
        <f>'[1]November - 2022'!BG24</f>
        <v>5797.679999999702</v>
      </c>
      <c r="AY24" s="487"/>
      <c r="AZ24" s="272">
        <f>'[1]November - 2022'!BM24</f>
        <v>77568100</v>
      </c>
      <c r="BA24" s="179">
        <f>'[1]November - 2022'!BN24</f>
        <v>58000</v>
      </c>
      <c r="BB24" s="93">
        <f>'[1]November - 2022'!BN24</f>
        <v>58000</v>
      </c>
      <c r="BC24" s="272">
        <f>'[1]November - 2022'!BP24</f>
        <v>80213100</v>
      </c>
      <c r="BD24" s="245">
        <f>'[1]November - 2022'!BQ24</f>
        <v>31000</v>
      </c>
      <c r="BE24" s="93">
        <f>'[1]November - 2022'!BQ24</f>
        <v>31000</v>
      </c>
      <c r="BF24" s="272">
        <f>'[1]November - 2022'!BS24</f>
        <v>74085900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10054150</v>
      </c>
      <c r="BT24" s="185">
        <f>'[1]November - 2022'!BW24</f>
        <v>8130</v>
      </c>
      <c r="BU24" s="394"/>
      <c r="BV24" s="88">
        <f>'[1]November - 2022'!BY24</f>
        <v>0.61</v>
      </c>
      <c r="BW24" s="241">
        <f>'[1]November - 2022'!BZ24</f>
        <v>6.0000000000000053E-2</v>
      </c>
      <c r="BX24" s="88">
        <f>'[1]November - 2022'!BZ24</f>
        <v>6.0000000000000053E-2</v>
      </c>
      <c r="BY24" s="89">
        <f>'[1]November - 2022'!CB24</f>
        <v>63877</v>
      </c>
      <c r="BZ24" s="191">
        <f>'[1]November - 2022'!CC24</f>
        <v>24</v>
      </c>
      <c r="CA24" s="89">
        <f>'[1]November - 2022'!CD24</f>
        <v>54978</v>
      </c>
      <c r="CB24" s="191">
        <f>'[1]November - 2022'!CE24</f>
        <v>19</v>
      </c>
      <c r="CC24" s="89">
        <f>'[1]November - 2022'!CF24</f>
        <v>18595</v>
      </c>
      <c r="CD24" s="191">
        <f>'[1]November - 2022'!CG24</f>
        <v>6</v>
      </c>
      <c r="CE24" s="89">
        <f>'[1]November - 2022'!CH24</f>
        <v>25357</v>
      </c>
      <c r="CF24" s="191">
        <f>'[1]November - 2022'!CI24</f>
        <v>11</v>
      </c>
      <c r="CG24" s="89">
        <f>'[1]November - 2022'!CJ24</f>
        <v>28147</v>
      </c>
      <c r="CH24" s="191">
        <f>'[1]November - 2022'!CK24</f>
        <v>16</v>
      </c>
      <c r="CI24" s="89">
        <f>'[1]November - 2022'!CL24</f>
        <v>61717</v>
      </c>
      <c r="CJ24" s="191">
        <f>'[1]November - 2022'!CM24</f>
        <v>31</v>
      </c>
      <c r="CK24" s="89">
        <f>'[1]November - 2022'!CN24</f>
        <v>266340</v>
      </c>
      <c r="CL24" s="246">
        <f>'[1]November - 2022'!CO24</f>
        <v>76</v>
      </c>
      <c r="CM24" s="89">
        <f>'[1]November - 2022'!CO24</f>
        <v>76</v>
      </c>
      <c r="CN24" s="89">
        <f>'[1]November - 2022'!CQ24</f>
        <v>212629</v>
      </c>
      <c r="CO24" s="246">
        <f>'[1]November - 2022'!CR24</f>
        <v>101</v>
      </c>
      <c r="CP24" s="89">
        <f>'[1]November - 2022'!CR24</f>
        <v>101</v>
      </c>
      <c r="CQ24" s="89">
        <f>'[1]November - 2022'!CT24</f>
        <v>351477</v>
      </c>
      <c r="CR24" s="246">
        <f>'[1]November - 2022'!CU24</f>
        <v>226</v>
      </c>
      <c r="CS24" s="89">
        <f>'[1]November - 2022'!CU24</f>
        <v>226</v>
      </c>
      <c r="CT24" s="89">
        <f>'[1]November - 2022'!CW24</f>
        <v>690763</v>
      </c>
      <c r="CU24" s="191">
        <f>'[1]November - 2022'!CX24</f>
        <v>184</v>
      </c>
      <c r="CV24" s="454"/>
      <c r="CW24" s="256">
        <f>'[1]November - 2022'!CZ24</f>
        <v>8663</v>
      </c>
      <c r="CX24" s="198">
        <f>'[1]November - 2022'!DA24</f>
        <v>5</v>
      </c>
      <c r="CY24" s="257">
        <f>'[1]November - 2022'!DB24</f>
        <v>5880</v>
      </c>
      <c r="CZ24" s="198">
        <f>'[1]November - 2022'!DC24</f>
        <v>3</v>
      </c>
      <c r="DA24" s="257">
        <f>'[1]November - 2022'!DD24</f>
        <v>31775</v>
      </c>
      <c r="DB24" s="198">
        <f>'[1]November - 2022'!DE24</f>
        <v>14</v>
      </c>
      <c r="DC24" s="257">
        <f>'[1]November - 2022'!DF24</f>
        <v>32053</v>
      </c>
      <c r="DD24" s="198">
        <f>'[1]November - 2022'!DG24</f>
        <v>16</v>
      </c>
      <c r="DE24" s="257">
        <f>'[1]November - 2022'!DH24</f>
        <v>21603</v>
      </c>
      <c r="DF24" s="198">
        <f>'[1]November - 2022'!DI24</f>
        <v>9</v>
      </c>
      <c r="DG24" s="257">
        <f>'[1]November - 2022'!DJ24</f>
        <v>23897</v>
      </c>
      <c r="DH24" s="198">
        <f>'[1]November - 2022'!DK24</f>
        <v>6</v>
      </c>
      <c r="DI24" s="257">
        <f>'[1]November - 2022'!DL24</f>
        <v>6871</v>
      </c>
      <c r="DJ24" s="198">
        <f>'[1]November - 2022'!DM24</f>
        <v>7</v>
      </c>
      <c r="DK24" s="257">
        <f>'[1]November - 2022'!DN24</f>
        <v>9580</v>
      </c>
      <c r="DL24" s="198">
        <f>'[1]November - 2022'!DO24</f>
        <v>6</v>
      </c>
      <c r="DM24" s="257">
        <f>'[1]November - 2022'!DP24</f>
        <v>3179</v>
      </c>
      <c r="DN24" s="198">
        <f>'[1]November - 2022'!DQ24</f>
        <v>3</v>
      </c>
      <c r="DO24" s="257">
        <f>'[1]November - 2022'!DR24</f>
        <v>6220</v>
      </c>
      <c r="DP24" s="198">
        <f>'[1]November - 2022'!DS24</f>
        <v>8</v>
      </c>
      <c r="DQ24" s="257">
        <f>'[1]November - 2022'!DT24</f>
        <v>30153</v>
      </c>
      <c r="DR24" s="206">
        <f>'[1]November - 2022'!DU24</f>
        <v>10</v>
      </c>
      <c r="DS24" s="439"/>
      <c r="DT24" s="210">
        <f>'[1]November - 2022'!DW24</f>
        <v>6067.7</v>
      </c>
      <c r="DU24" s="221">
        <f>'[1]November - 2022'!DX24</f>
        <v>11.599999999999454</v>
      </c>
      <c r="DV24" s="91">
        <f>'[1]November - 2022'!DY24</f>
        <v>11093.6</v>
      </c>
      <c r="DW24" s="215">
        <f>'[1]November - 2022'!DZ24</f>
        <v>8.5</v>
      </c>
      <c r="DX24" s="91">
        <f>'[1]November - 2022'!EA24</f>
        <v>4641.1000000000004</v>
      </c>
      <c r="DY24" s="215">
        <f>'[1]November - 2022'!EB24</f>
        <v>7.2000000000007276</v>
      </c>
      <c r="DZ24" s="91">
        <f>'[1]November - 2022'!EC24</f>
        <v>5223.6000000000004</v>
      </c>
      <c r="EA24" s="215">
        <f>'[1]November - 2022'!ED24</f>
        <v>6.2000000000007276</v>
      </c>
      <c r="EB24" s="91">
        <f>'[1]November - 2022'!EE24</f>
        <v>1112902</v>
      </c>
      <c r="EC24" s="215">
        <f>'[1]November - 2022'!EF24</f>
        <v>597</v>
      </c>
      <c r="ED24" s="91">
        <f>'[1]November - 2022'!EI24</f>
        <v>228267.6</v>
      </c>
      <c r="EE24" s="229">
        <f>'[1]November - 2022'!EJ24</f>
        <v>153.5</v>
      </c>
      <c r="EF24" s="378"/>
      <c r="EG24" s="235">
        <f>'[1]November - 2022'!EL24</f>
        <v>12035400</v>
      </c>
      <c r="EH24" s="230">
        <f>'[1]November - 2022'!EM24</f>
        <v>6000</v>
      </c>
      <c r="EI24" s="90">
        <f>'[1]November - 2022'!EN24</f>
        <v>927280</v>
      </c>
      <c r="EJ24" s="230">
        <f>'[1]November - 2022'!EO24</f>
        <v>280</v>
      </c>
      <c r="EK24" s="90">
        <f>'[1]November - 2022'!EP24</f>
        <v>7171400</v>
      </c>
      <c r="EL24" s="230">
        <f>'[1]November - 2022'!EQ24</f>
        <v>2400</v>
      </c>
      <c r="EM24" s="90">
        <f>'[1]November - 2022'!ER24</f>
        <v>2486100</v>
      </c>
      <c r="EN24" s="230">
        <f>'[1]November - 2022'!ES24</f>
        <v>500</v>
      </c>
      <c r="EO24" s="90">
        <f>'[1]November - 2022'!ET24</f>
        <v>1260880</v>
      </c>
      <c r="EP24" s="230">
        <f>'[1]November - 2022'!EU24</f>
        <v>790</v>
      </c>
      <c r="EQ24" s="90">
        <f>'[1]November - 2022'!EV24</f>
        <v>16513200</v>
      </c>
      <c r="ER24" s="230">
        <f>'[1]November - 2022'!EW24</f>
        <v>7200</v>
      </c>
      <c r="ES24" s="426"/>
      <c r="ET24" s="281">
        <f>'[1]November - 2022'!EY24</f>
        <v>41721</v>
      </c>
      <c r="EU24" s="275">
        <f>'[1]November - 2022'!EZ24</f>
        <v>18</v>
      </c>
      <c r="EV24" s="282">
        <f>'[1]November - 2022'!FA24</f>
        <v>36510</v>
      </c>
      <c r="EW24" s="275">
        <f>'[1]November - 2022'!FB24</f>
        <v>12</v>
      </c>
      <c r="EX24" s="282">
        <f>'[1]November - 2022'!FC24</f>
        <v>7305</v>
      </c>
      <c r="EY24" s="275">
        <f>'[1]November - 2022'!FD24</f>
        <v>8</v>
      </c>
      <c r="EZ24" s="282">
        <f>'[1]November - 2022'!FE24</f>
        <v>58924</v>
      </c>
      <c r="FA24" s="275">
        <f>'[1]November - 2022'!FF24</f>
        <v>13</v>
      </c>
      <c r="FB24" s="282">
        <f>'[1]November - 2022'!FG24</f>
        <v>48749</v>
      </c>
      <c r="FC24" s="276">
        <f>'[1]November - 2022'!FH24</f>
        <v>34</v>
      </c>
    </row>
    <row r="25" spans="1:159" ht="30" customHeight="1" x14ac:dyDescent="0.25">
      <c r="A25" s="207">
        <v>43846</v>
      </c>
      <c r="B25" s="209">
        <f>'[1]November - 2022'!B25</f>
        <v>0.77</v>
      </c>
      <c r="C25" s="250">
        <f>'[1]November - 2022'!E25</f>
        <v>193943</v>
      </c>
      <c r="D25" s="170">
        <f>'[1]November - 2022'!F25</f>
        <v>890</v>
      </c>
      <c r="E25" s="168">
        <f>'[1]November - 2022'!G25</f>
        <v>901</v>
      </c>
      <c r="F25" s="168">
        <f>'[1]November - 2022'!H25</f>
        <v>231363</v>
      </c>
      <c r="G25" s="170">
        <f>'[1]November - 2022'!I25</f>
        <v>462</v>
      </c>
      <c r="H25" s="168">
        <f>'[1]November - 2022'!J25</f>
        <v>411</v>
      </c>
      <c r="I25" s="168">
        <f>'[1]November - 2022'!K25</f>
        <v>3828</v>
      </c>
      <c r="J25" s="170">
        <f>'[1]November - 2022'!L25</f>
        <v>138</v>
      </c>
      <c r="K25" s="168">
        <f>'[1]November - 2022'!N25</f>
        <v>915292</v>
      </c>
      <c r="L25" s="170">
        <f>'[1]November - 2022'!O25</f>
        <v>298</v>
      </c>
      <c r="M25" s="168">
        <f>'[1]November - 2022'!Q25</f>
        <v>241506</v>
      </c>
      <c r="N25" s="170">
        <f>'[1]November - 2022'!R25</f>
        <v>179</v>
      </c>
      <c r="O25" s="168">
        <f>'[1]November - 2022'!U25</f>
        <v>113250</v>
      </c>
      <c r="P25" s="170">
        <f>'[1]November - 2022'!V25</f>
        <v>179</v>
      </c>
      <c r="Q25" s="168">
        <f>'[1]November - 2022'!W25</f>
        <v>122.25999999999476</v>
      </c>
      <c r="R25" s="168">
        <f>'[1]November - 2022'!X25</f>
        <v>6061</v>
      </c>
      <c r="S25" s="208">
        <f>'[1]November - 2022'!Y25</f>
        <v>6</v>
      </c>
      <c r="T25" s="521"/>
      <c r="U25" s="169">
        <f>'[1]November - 2022'!AE25</f>
        <v>8092489.4400000004</v>
      </c>
      <c r="V25" s="288">
        <f>'[1]November - 2022'!AF25</f>
        <v>2874.4800000013784</v>
      </c>
      <c r="W25" s="92">
        <f>'[1]November - 2022'!AF25</f>
        <v>2874.4800000013784</v>
      </c>
      <c r="X25" s="287">
        <f>'[1]November - 2022'!AH25</f>
        <v>15374911.439999999</v>
      </c>
      <c r="Y25" s="288">
        <f>'[1]November - 2022'!AI25</f>
        <v>4433.5200000014156</v>
      </c>
      <c r="Z25" s="92">
        <f>'[1]November - 2022'!AI25</f>
        <v>4433.5200000014156</v>
      </c>
      <c r="AA25" s="287">
        <f>'[1]November - 2022'!AK25</f>
        <v>15708740.880000001</v>
      </c>
      <c r="AB25" s="288">
        <f>'[1]November - 2022'!AL25</f>
        <v>11400.480000000447</v>
      </c>
      <c r="AC25" s="92">
        <f>'[1]November - 2022'!AL25</f>
        <v>11400.480000000447</v>
      </c>
      <c r="AD25" s="287">
        <f>'[1]November - 2022'!AN25</f>
        <v>18775567.439999998</v>
      </c>
      <c r="AE25" s="288">
        <f>'[1]November - 2022'!AO25</f>
        <v>6187.4399999976158</v>
      </c>
      <c r="AF25" s="92">
        <f>'[1]November - 2022'!AO25</f>
        <v>6187.4399999976158</v>
      </c>
      <c r="AG25" s="287">
        <f>'[1]November - 2022'!AQ25</f>
        <v>19027108.800000001</v>
      </c>
      <c r="AH25" s="288">
        <f>'[1]November - 2022'!AR25</f>
        <v>487.20000000298023</v>
      </c>
      <c r="AI25" s="92">
        <f>'[1]November - 2022'!AR25</f>
        <v>487.20000000298023</v>
      </c>
      <c r="AJ25" s="287">
        <f>'[1]November - 2022'!AT25</f>
        <v>17439665.039999999</v>
      </c>
      <c r="AK25" s="288">
        <f>'[1]November - 2022'!AU25</f>
        <v>5748.9599999971688</v>
      </c>
      <c r="AL25" s="92">
        <f>'[1]November - 2022'!AU25</f>
        <v>5748.9599999971688</v>
      </c>
      <c r="AM25" s="287">
        <f>'[1]November - 2022'!AW25</f>
        <v>14690639.039999999</v>
      </c>
      <c r="AN25" s="288">
        <f>'[1]November - 2022'!AX25</f>
        <v>4872</v>
      </c>
      <c r="AO25" s="92">
        <f>'[1]November - 2022'!AX25</f>
        <v>4872</v>
      </c>
      <c r="AP25" s="287">
        <f>'[1]November - 2022'!AZ25</f>
        <v>14206752</v>
      </c>
      <c r="AQ25" s="288">
        <f>'[1]November - 2022'!BA25</f>
        <v>4823.2800000011921</v>
      </c>
      <c r="AR25" s="92">
        <f>'[1]November - 2022'!BA25</f>
        <v>4823.2800000011921</v>
      </c>
      <c r="AS25" s="287">
        <f>'[1]November - 2022'!BC25</f>
        <v>11112349.92</v>
      </c>
      <c r="AT25" s="288">
        <f>'[1]November - 2022'!BD25</f>
        <v>3118.0800000000745</v>
      </c>
      <c r="AU25" s="92">
        <f>'[1]November - 2022'!BD25</f>
        <v>3118.0800000000745</v>
      </c>
      <c r="AV25" s="287">
        <f>'[1]November - 2022'!BF25</f>
        <v>17573206.560000002</v>
      </c>
      <c r="AW25" s="252">
        <f>'[1]November - 2022'!BG25</f>
        <v>5943.8400000035763</v>
      </c>
      <c r="AX25" s="253">
        <f>'[1]November - 2022'!BG25</f>
        <v>5943.8400000035763</v>
      </c>
      <c r="AY25" s="487"/>
      <c r="AZ25" s="272">
        <f>'[1]November - 2022'!BM25</f>
        <v>77624200</v>
      </c>
      <c r="BA25" s="179">
        <f>'[1]November - 2022'!BN25</f>
        <v>56100</v>
      </c>
      <c r="BB25" s="93">
        <f>'[1]November - 2022'!BN25</f>
        <v>56100</v>
      </c>
      <c r="BC25" s="272">
        <f>'[1]November - 2022'!BP25</f>
        <v>80246100</v>
      </c>
      <c r="BD25" s="245">
        <f>'[1]November - 2022'!BQ25</f>
        <v>33000</v>
      </c>
      <c r="BE25" s="93">
        <f>'[1]November - 2022'!BQ25</f>
        <v>33000</v>
      </c>
      <c r="BF25" s="272">
        <f>'[1]November - 2022'!BS25</f>
        <v>74085900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10062400</v>
      </c>
      <c r="BT25" s="185">
        <f>'[1]November - 2022'!BW25</f>
        <v>8250</v>
      </c>
      <c r="BU25" s="394"/>
      <c r="BV25" s="88">
        <f>'[1]November - 2022'!BY25</f>
        <v>0.54</v>
      </c>
      <c r="BW25" s="241">
        <f>'[1]November - 2022'!BZ25</f>
        <v>6.9999999999999951E-2</v>
      </c>
      <c r="BX25" s="88">
        <f>'[1]November - 2022'!BZ25</f>
        <v>6.9999999999999951E-2</v>
      </c>
      <c r="BY25" s="89">
        <f>'[1]November - 2022'!CB25</f>
        <v>63897</v>
      </c>
      <c r="BZ25" s="191">
        <f>'[1]November - 2022'!CC25</f>
        <v>20</v>
      </c>
      <c r="CA25" s="89">
        <f>'[1]November - 2022'!CD25</f>
        <v>54996</v>
      </c>
      <c r="CB25" s="191">
        <f>'[1]November - 2022'!CE25</f>
        <v>18</v>
      </c>
      <c r="CC25" s="89">
        <f>'[1]November - 2022'!CF25</f>
        <v>18602</v>
      </c>
      <c r="CD25" s="191">
        <f>'[1]November - 2022'!CG25</f>
        <v>7</v>
      </c>
      <c r="CE25" s="89">
        <f>'[1]November - 2022'!CH25</f>
        <v>25369</v>
      </c>
      <c r="CF25" s="191">
        <f>'[1]November - 2022'!CI25</f>
        <v>12</v>
      </c>
      <c r="CG25" s="89">
        <f>'[1]November - 2022'!CJ25</f>
        <v>28162</v>
      </c>
      <c r="CH25" s="191">
        <f>'[1]November - 2022'!CK25</f>
        <v>15</v>
      </c>
      <c r="CI25" s="89">
        <f>'[1]November - 2022'!CL25</f>
        <v>61752</v>
      </c>
      <c r="CJ25" s="191">
        <f>'[1]November - 2022'!CM25</f>
        <v>35</v>
      </c>
      <c r="CK25" s="89">
        <f>'[1]November - 2022'!CN25</f>
        <v>266412</v>
      </c>
      <c r="CL25" s="246">
        <f>'[1]November - 2022'!CO25</f>
        <v>72</v>
      </c>
      <c r="CM25" s="89">
        <f>'[1]November - 2022'!CO25</f>
        <v>72</v>
      </c>
      <c r="CN25" s="89">
        <f>'[1]November - 2022'!CQ25</f>
        <v>212730</v>
      </c>
      <c r="CO25" s="246">
        <f>'[1]November - 2022'!CR25</f>
        <v>101</v>
      </c>
      <c r="CP25" s="89">
        <f>'[1]November - 2022'!CR25</f>
        <v>101</v>
      </c>
      <c r="CQ25" s="89">
        <f>'[1]November - 2022'!CT25</f>
        <v>351623</v>
      </c>
      <c r="CR25" s="246">
        <f>'[1]November - 2022'!CU25</f>
        <v>146</v>
      </c>
      <c r="CS25" s="89">
        <f>'[1]November - 2022'!CU25</f>
        <v>146</v>
      </c>
      <c r="CT25" s="89">
        <f>'[1]November - 2022'!CW25</f>
        <v>690935</v>
      </c>
      <c r="CU25" s="191">
        <f>'[1]November - 2022'!CX25</f>
        <v>172</v>
      </c>
      <c r="CV25" s="454"/>
      <c r="CW25" s="256">
        <f>'[1]November - 2022'!CZ25</f>
        <v>8675</v>
      </c>
      <c r="CX25" s="198">
        <f>'[1]November - 2022'!DA25</f>
        <v>12</v>
      </c>
      <c r="CY25" s="257">
        <f>'[1]November - 2022'!DB25</f>
        <v>5888</v>
      </c>
      <c r="CZ25" s="198">
        <f>'[1]November - 2022'!DC25</f>
        <v>8</v>
      </c>
      <c r="DA25" s="257">
        <f>'[1]November - 2022'!DD25</f>
        <v>31791</v>
      </c>
      <c r="DB25" s="198">
        <f>'[1]November - 2022'!DE25</f>
        <v>16</v>
      </c>
      <c r="DC25" s="257">
        <f>'[1]November - 2022'!DF25</f>
        <v>32067</v>
      </c>
      <c r="DD25" s="198">
        <f>'[1]November - 2022'!DG25</f>
        <v>14</v>
      </c>
      <c r="DE25" s="257">
        <f>'[1]November - 2022'!DH25</f>
        <v>21613</v>
      </c>
      <c r="DF25" s="198">
        <f>'[1]November - 2022'!DI25</f>
        <v>10</v>
      </c>
      <c r="DG25" s="257">
        <f>'[1]November - 2022'!DJ25</f>
        <v>23902</v>
      </c>
      <c r="DH25" s="198">
        <f>'[1]November - 2022'!DK25</f>
        <v>5</v>
      </c>
      <c r="DI25" s="257">
        <f>'[1]November - 2022'!DL25</f>
        <v>6880</v>
      </c>
      <c r="DJ25" s="198">
        <f>'[1]November - 2022'!DM25</f>
        <v>9</v>
      </c>
      <c r="DK25" s="257">
        <f>'[1]November - 2022'!DN25</f>
        <v>9585</v>
      </c>
      <c r="DL25" s="198">
        <f>'[1]November - 2022'!DO25</f>
        <v>5</v>
      </c>
      <c r="DM25" s="257">
        <f>'[1]November - 2022'!DP25</f>
        <v>3182</v>
      </c>
      <c r="DN25" s="198">
        <f>'[1]November - 2022'!DQ25</f>
        <v>3</v>
      </c>
      <c r="DO25" s="257">
        <f>'[1]November - 2022'!DR25</f>
        <v>6230</v>
      </c>
      <c r="DP25" s="198">
        <f>'[1]November - 2022'!DS25</f>
        <v>10</v>
      </c>
      <c r="DQ25" s="257">
        <f>'[1]November - 2022'!DT25</f>
        <v>30159</v>
      </c>
      <c r="DR25" s="206">
        <f>'[1]November - 2022'!DU25</f>
        <v>6</v>
      </c>
      <c r="DS25" s="439"/>
      <c r="DT25" s="210">
        <f>'[1]November - 2022'!DW25</f>
        <v>6079.2</v>
      </c>
      <c r="DU25" s="221">
        <f>'[1]November - 2022'!DX25</f>
        <v>11.5</v>
      </c>
      <c r="DV25" s="91">
        <f>'[1]November - 2022'!DY25</f>
        <v>11102.9</v>
      </c>
      <c r="DW25" s="215">
        <f>'[1]November - 2022'!DZ25</f>
        <v>9.2999999999992724</v>
      </c>
      <c r="DX25" s="91">
        <f>'[1]November - 2022'!EA25</f>
        <v>4648.3</v>
      </c>
      <c r="DY25" s="215">
        <f>'[1]November - 2022'!EB25</f>
        <v>7.1999999999998181</v>
      </c>
      <c r="DZ25" s="91">
        <f>'[1]November - 2022'!EC25</f>
        <v>5230.2</v>
      </c>
      <c r="EA25" s="215">
        <f>'[1]November - 2022'!ED25</f>
        <v>6.5999999999994543</v>
      </c>
      <c r="EB25" s="91">
        <f>'[1]November - 2022'!EE25</f>
        <v>1113540</v>
      </c>
      <c r="EC25" s="215">
        <f>'[1]November - 2022'!EF25</f>
        <v>638</v>
      </c>
      <c r="ED25" s="91">
        <f>'[1]November - 2022'!EI25</f>
        <v>228418.6</v>
      </c>
      <c r="EE25" s="229">
        <f>'[1]November - 2022'!EJ25</f>
        <v>151</v>
      </c>
      <c r="EF25" s="378"/>
      <c r="EG25" s="235">
        <f>'[1]November - 2022'!EL25</f>
        <v>12041300</v>
      </c>
      <c r="EH25" s="230">
        <f>'[1]November - 2022'!EM25</f>
        <v>5900</v>
      </c>
      <c r="EI25" s="90">
        <f>'[1]November - 2022'!EN25</f>
        <v>927570</v>
      </c>
      <c r="EJ25" s="230">
        <f>'[1]November - 2022'!EO25</f>
        <v>290</v>
      </c>
      <c r="EK25" s="90">
        <f>'[1]November - 2022'!EP25</f>
        <v>7174000</v>
      </c>
      <c r="EL25" s="230">
        <f>'[1]November - 2022'!EQ25</f>
        <v>2600</v>
      </c>
      <c r="EM25" s="90">
        <f>'[1]November - 2022'!ER25</f>
        <v>2486500</v>
      </c>
      <c r="EN25" s="230">
        <f>'[1]November - 2022'!ES25</f>
        <v>400</v>
      </c>
      <c r="EO25" s="90">
        <f>'[1]November - 2022'!ET25</f>
        <v>1261670</v>
      </c>
      <c r="EP25" s="230">
        <f>'[1]November - 2022'!EU25</f>
        <v>790</v>
      </c>
      <c r="EQ25" s="90">
        <f>'[1]November - 2022'!EV25</f>
        <v>16520500</v>
      </c>
      <c r="ER25" s="230">
        <f>'[1]November - 2022'!EW25</f>
        <v>7300</v>
      </c>
      <c r="ES25" s="426"/>
      <c r="ET25" s="281">
        <f>'[1]November - 2022'!EY25</f>
        <v>41738</v>
      </c>
      <c r="EU25" s="275">
        <f>'[1]November - 2022'!EZ25</f>
        <v>17</v>
      </c>
      <c r="EV25" s="282">
        <f>'[1]November - 2022'!FA25</f>
        <v>36521</v>
      </c>
      <c r="EW25" s="275">
        <f>'[1]November - 2022'!FB25</f>
        <v>11</v>
      </c>
      <c r="EX25" s="282">
        <f>'[1]November - 2022'!FC25</f>
        <v>7313</v>
      </c>
      <c r="EY25" s="275">
        <f>'[1]November - 2022'!FD25</f>
        <v>8</v>
      </c>
      <c r="EZ25" s="282">
        <f>'[1]November - 2022'!FE25</f>
        <v>58942</v>
      </c>
      <c r="FA25" s="275">
        <f>'[1]November - 2022'!FF25</f>
        <v>18</v>
      </c>
      <c r="FB25" s="282">
        <f>'[1]November - 2022'!FG25</f>
        <v>48782</v>
      </c>
      <c r="FC25" s="276">
        <f>'[1]November - 2022'!FH25</f>
        <v>33</v>
      </c>
    </row>
    <row r="26" spans="1:159" ht="30" customHeight="1" x14ac:dyDescent="0.25">
      <c r="A26" s="207">
        <v>43847</v>
      </c>
      <c r="B26" s="209">
        <f>'[1]November - 2022'!B26</f>
        <v>0.85</v>
      </c>
      <c r="C26" s="250">
        <f>'[1]November - 2022'!E26</f>
        <v>194873</v>
      </c>
      <c r="D26" s="170">
        <f>'[1]November - 2022'!F26</f>
        <v>930</v>
      </c>
      <c r="E26" s="168">
        <f>'[1]November - 2022'!G26</f>
        <v>666</v>
      </c>
      <c r="F26" s="168">
        <f>'[1]November - 2022'!H26</f>
        <v>231898</v>
      </c>
      <c r="G26" s="170">
        <f>'[1]November - 2022'!I26</f>
        <v>535</v>
      </c>
      <c r="H26" s="168">
        <f>'[1]November - 2022'!J26</f>
        <v>382</v>
      </c>
      <c r="I26" s="168">
        <f>'[1]November - 2022'!K26</f>
        <v>3953</v>
      </c>
      <c r="J26" s="170">
        <f>'[1]November - 2022'!L26</f>
        <v>125</v>
      </c>
      <c r="K26" s="168">
        <f>'[1]November - 2022'!N26</f>
        <v>915564</v>
      </c>
      <c r="L26" s="170">
        <f>'[1]November - 2022'!O26</f>
        <v>272</v>
      </c>
      <c r="M26" s="168">
        <f>'[1]November - 2022'!Q26</f>
        <v>241647</v>
      </c>
      <c r="N26" s="170">
        <f>'[1]November - 2022'!R26</f>
        <v>141</v>
      </c>
      <c r="O26" s="168">
        <f>'[1]November - 2022'!U26</f>
        <v>113418</v>
      </c>
      <c r="P26" s="170">
        <f>'[1]November - 2022'!V26</f>
        <v>168</v>
      </c>
      <c r="Q26" s="168">
        <f>'[1]November - 2022'!W26</f>
        <v>124.93000000000029</v>
      </c>
      <c r="R26" s="168">
        <f>'[1]November - 2022'!X26</f>
        <v>6082</v>
      </c>
      <c r="S26" s="208">
        <f>'[1]November - 2022'!Y26</f>
        <v>21</v>
      </c>
      <c r="T26" s="521"/>
      <c r="U26" s="169">
        <f>'[1]November - 2022'!AE26</f>
        <v>8095607.5199999996</v>
      </c>
      <c r="V26" s="288">
        <f>'[1]November - 2022'!AF26</f>
        <v>3118.0799999991432</v>
      </c>
      <c r="W26" s="92">
        <f>'[1]November - 2022'!AF26</f>
        <v>3118.0799999991432</v>
      </c>
      <c r="X26" s="287">
        <f>'[1]November - 2022'!AH26</f>
        <v>15379491.119999999</v>
      </c>
      <c r="Y26" s="288">
        <f>'[1]November - 2022'!AI26</f>
        <v>4579.679999999702</v>
      </c>
      <c r="Z26" s="92">
        <f>'[1]November - 2022'!AI26</f>
        <v>4579.679999999702</v>
      </c>
      <c r="AA26" s="287">
        <f>'[1]November - 2022'!AK26</f>
        <v>15722674.799999999</v>
      </c>
      <c r="AB26" s="288">
        <f>'[1]November - 2022'!AL26</f>
        <v>13933.919999998063</v>
      </c>
      <c r="AC26" s="92">
        <f>'[1]November - 2022'!AL26</f>
        <v>13933.919999998063</v>
      </c>
      <c r="AD26" s="287">
        <f>'[1]November - 2022'!AN26</f>
        <v>18778393.199999999</v>
      </c>
      <c r="AE26" s="288">
        <f>'[1]November - 2022'!AO26</f>
        <v>2825.7600000016391</v>
      </c>
      <c r="AF26" s="92">
        <f>'[1]November - 2022'!AO26</f>
        <v>2825.7600000016391</v>
      </c>
      <c r="AG26" s="287">
        <f>'[1]November - 2022'!AQ26</f>
        <v>19027498.560000002</v>
      </c>
      <c r="AH26" s="288">
        <f>'[1]November - 2022'!AR26</f>
        <v>389.76000000163913</v>
      </c>
      <c r="AI26" s="92">
        <f>'[1]November - 2022'!AR26</f>
        <v>389.76000000163913</v>
      </c>
      <c r="AJ26" s="287">
        <f>'[1]November - 2022'!AT26</f>
        <v>17445462.719999999</v>
      </c>
      <c r="AK26" s="288">
        <f>'[1]November - 2022'!AU26</f>
        <v>5797.679999999702</v>
      </c>
      <c r="AL26" s="92">
        <f>'[1]November - 2022'!AU26</f>
        <v>5797.679999999702</v>
      </c>
      <c r="AM26" s="287">
        <f>'[1]November - 2022'!AW26</f>
        <v>14695267.439999999</v>
      </c>
      <c r="AN26" s="288">
        <f>'[1]November - 2022'!AX26</f>
        <v>4628.4000000003725</v>
      </c>
      <c r="AO26" s="92">
        <f>'[1]November - 2022'!AX26</f>
        <v>4628.4000000003725</v>
      </c>
      <c r="AP26" s="287">
        <f>'[1]November - 2022'!AZ26</f>
        <v>14211429.119999999</v>
      </c>
      <c r="AQ26" s="288">
        <f>'[1]November - 2022'!BA26</f>
        <v>4677.1199999991804</v>
      </c>
      <c r="AR26" s="92">
        <f>'[1]November - 2022'!BA26</f>
        <v>4677.1199999991804</v>
      </c>
      <c r="AS26" s="287">
        <f>'[1]November - 2022'!BC26</f>
        <v>11115321.84</v>
      </c>
      <c r="AT26" s="288">
        <f>'[1]November - 2022'!BD26</f>
        <v>2971.9199999999255</v>
      </c>
      <c r="AU26" s="92">
        <f>'[1]November - 2022'!BD26</f>
        <v>2971.9199999999255</v>
      </c>
      <c r="AV26" s="287">
        <f>'[1]November - 2022'!BF26</f>
        <v>17579150.399999999</v>
      </c>
      <c r="AW26" s="252">
        <f>'[1]November - 2022'!BG26</f>
        <v>5943.8399999961257</v>
      </c>
      <c r="AX26" s="253">
        <f>'[1]November - 2022'!BG26</f>
        <v>5943.8399999961257</v>
      </c>
      <c r="AY26" s="487"/>
      <c r="AZ26" s="272">
        <f>'[1]November - 2022'!BM26</f>
        <v>77693500</v>
      </c>
      <c r="BA26" s="179">
        <f>'[1]November - 2022'!BN26</f>
        <v>69300</v>
      </c>
      <c r="BB26" s="93">
        <f>'[1]November - 2022'!BN26</f>
        <v>69300</v>
      </c>
      <c r="BC26" s="272">
        <f>'[1]November - 2022'!BP26</f>
        <v>80260700</v>
      </c>
      <c r="BD26" s="245">
        <f>'[1]November - 2022'!BQ26</f>
        <v>14600</v>
      </c>
      <c r="BE26" s="93">
        <f>'[1]November - 2022'!BQ26</f>
        <v>14600</v>
      </c>
      <c r="BF26" s="272">
        <f>'[1]November - 2022'!BS26</f>
        <v>74085900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10071660</v>
      </c>
      <c r="BT26" s="185">
        <f>'[1]November - 2022'!BW26</f>
        <v>9260</v>
      </c>
      <c r="BU26" s="394"/>
      <c r="BV26" s="88">
        <f>'[1]November - 2022'!BY26</f>
        <v>0.65</v>
      </c>
      <c r="BW26" s="241">
        <f>'[1]November - 2022'!BZ26</f>
        <v>-0.10999999999999999</v>
      </c>
      <c r="BX26" s="88">
        <f>'[1]November - 2022'!BZ26</f>
        <v>-0.10999999999999999</v>
      </c>
      <c r="BY26" s="89">
        <f>'[1]November - 2022'!CB26</f>
        <v>63920</v>
      </c>
      <c r="BZ26" s="191">
        <f>'[1]November - 2022'!CC26</f>
        <v>23</v>
      </c>
      <c r="CA26" s="89">
        <f>'[1]November - 2022'!CD26</f>
        <v>55016</v>
      </c>
      <c r="CB26" s="191">
        <f>'[1]November - 2022'!CE26</f>
        <v>20</v>
      </c>
      <c r="CC26" s="89">
        <f>'[1]November - 2022'!CF26</f>
        <v>18610</v>
      </c>
      <c r="CD26" s="191">
        <f>'[1]November - 2022'!CG26</f>
        <v>8</v>
      </c>
      <c r="CE26" s="89">
        <f>'[1]November - 2022'!CH26</f>
        <v>25379</v>
      </c>
      <c r="CF26" s="191">
        <f>'[1]November - 2022'!CI26</f>
        <v>10</v>
      </c>
      <c r="CG26" s="89">
        <f>'[1]November - 2022'!CJ26</f>
        <v>28178</v>
      </c>
      <c r="CH26" s="191">
        <f>'[1]November - 2022'!CK26</f>
        <v>16</v>
      </c>
      <c r="CI26" s="89">
        <f>'[1]November - 2022'!CL26</f>
        <v>61786</v>
      </c>
      <c r="CJ26" s="191">
        <f>'[1]November - 2022'!CM26</f>
        <v>34</v>
      </c>
      <c r="CK26" s="89">
        <f>'[1]November - 2022'!CN26</f>
        <v>266485</v>
      </c>
      <c r="CL26" s="246">
        <f>'[1]November - 2022'!CO26</f>
        <v>73</v>
      </c>
      <c r="CM26" s="89">
        <f>'[1]November - 2022'!CO26</f>
        <v>73</v>
      </c>
      <c r="CN26" s="89">
        <f>'[1]November - 2022'!CQ26</f>
        <v>212831</v>
      </c>
      <c r="CO26" s="246">
        <f>'[1]November - 2022'!CR26</f>
        <v>101</v>
      </c>
      <c r="CP26" s="89">
        <f>'[1]November - 2022'!CR26</f>
        <v>101</v>
      </c>
      <c r="CQ26" s="89">
        <f>'[1]November - 2022'!CT26</f>
        <v>351754</v>
      </c>
      <c r="CR26" s="246">
        <f>'[1]November - 2022'!CU26</f>
        <v>131</v>
      </c>
      <c r="CS26" s="89">
        <f>'[1]November - 2022'!CU26</f>
        <v>131</v>
      </c>
      <c r="CT26" s="89">
        <f>'[1]November - 2022'!CW26</f>
        <v>691109</v>
      </c>
      <c r="CU26" s="191">
        <f>'[1]November - 2022'!CX26</f>
        <v>174</v>
      </c>
      <c r="CV26" s="454"/>
      <c r="CW26" s="256">
        <f>'[1]November - 2022'!CZ26</f>
        <v>8687</v>
      </c>
      <c r="CX26" s="198">
        <f>'[1]November - 2022'!DA26</f>
        <v>12</v>
      </c>
      <c r="CY26" s="257">
        <f>'[1]November - 2022'!DB26</f>
        <v>5896</v>
      </c>
      <c r="CZ26" s="198">
        <f>'[1]November - 2022'!DC26</f>
        <v>8</v>
      </c>
      <c r="DA26" s="257">
        <f>'[1]November - 2022'!DD26</f>
        <v>31807</v>
      </c>
      <c r="DB26" s="198">
        <f>'[1]November - 2022'!DE26</f>
        <v>16</v>
      </c>
      <c r="DC26" s="257">
        <f>'[1]November - 2022'!DF26</f>
        <v>32080</v>
      </c>
      <c r="DD26" s="198">
        <f>'[1]November - 2022'!DG26</f>
        <v>13</v>
      </c>
      <c r="DE26" s="257">
        <f>'[1]November - 2022'!DH26</f>
        <v>21625</v>
      </c>
      <c r="DF26" s="198">
        <f>'[1]November - 2022'!DI26</f>
        <v>12</v>
      </c>
      <c r="DG26" s="257">
        <f>'[1]November - 2022'!DJ26</f>
        <v>23909</v>
      </c>
      <c r="DH26" s="198">
        <f>'[1]November - 2022'!DK26</f>
        <v>7</v>
      </c>
      <c r="DI26" s="257">
        <f>'[1]November - 2022'!DL26</f>
        <v>6888</v>
      </c>
      <c r="DJ26" s="198">
        <f>'[1]November - 2022'!DM26</f>
        <v>8</v>
      </c>
      <c r="DK26" s="257">
        <f>'[1]November - 2022'!DN26</f>
        <v>9590</v>
      </c>
      <c r="DL26" s="198">
        <f>'[1]November - 2022'!DO26</f>
        <v>5</v>
      </c>
      <c r="DM26" s="257">
        <f>'[1]November - 2022'!DP26</f>
        <v>3185</v>
      </c>
      <c r="DN26" s="198">
        <f>'[1]November - 2022'!DQ26</f>
        <v>3</v>
      </c>
      <c r="DO26" s="257">
        <f>'[1]November - 2022'!DR26</f>
        <v>6241</v>
      </c>
      <c r="DP26" s="198">
        <f>'[1]November - 2022'!DS26</f>
        <v>11</v>
      </c>
      <c r="DQ26" s="257">
        <f>'[1]November - 2022'!DT26</f>
        <v>30165</v>
      </c>
      <c r="DR26" s="206">
        <f>'[1]November - 2022'!DU26</f>
        <v>6</v>
      </c>
      <c r="DS26" s="439"/>
      <c r="DT26" s="210">
        <f>'[1]November - 2022'!DW26</f>
        <v>6091</v>
      </c>
      <c r="DU26" s="221">
        <f>'[1]November - 2022'!DX26</f>
        <v>11.800000000000182</v>
      </c>
      <c r="DV26" s="91">
        <f>'[1]November - 2022'!DY26</f>
        <v>11112.2</v>
      </c>
      <c r="DW26" s="215">
        <f>'[1]November - 2022'!DZ26</f>
        <v>9.3000000000010914</v>
      </c>
      <c r="DX26" s="91">
        <f>'[1]November - 2022'!EA26</f>
        <v>4655.6000000000004</v>
      </c>
      <c r="DY26" s="215">
        <f>'[1]November - 2022'!EB26</f>
        <v>7.3000000000001819</v>
      </c>
      <c r="DZ26" s="91">
        <f>'[1]November - 2022'!EC26</f>
        <v>5236.3999999999996</v>
      </c>
      <c r="EA26" s="215">
        <f>'[1]November - 2022'!ED26</f>
        <v>6.1999999999998181</v>
      </c>
      <c r="EB26" s="91">
        <f>'[1]November - 2022'!EE26</f>
        <v>1114159</v>
      </c>
      <c r="EC26" s="215">
        <f>'[1]November - 2022'!EF26</f>
        <v>619</v>
      </c>
      <c r="ED26" s="91">
        <f>'[1]November - 2022'!EI26</f>
        <v>228573.3</v>
      </c>
      <c r="EE26" s="229">
        <f>'[1]November - 2022'!EJ26</f>
        <v>154.69999999998254</v>
      </c>
      <c r="EF26" s="378"/>
      <c r="EG26" s="235">
        <f>'[1]November - 2022'!EL26</f>
        <v>12047000</v>
      </c>
      <c r="EH26" s="230">
        <f>'[1]November - 2022'!EM26</f>
        <v>5700</v>
      </c>
      <c r="EI26" s="90">
        <f>'[1]November - 2022'!EN26</f>
        <v>927860</v>
      </c>
      <c r="EJ26" s="230">
        <f>'[1]November - 2022'!EO26</f>
        <v>290</v>
      </c>
      <c r="EK26" s="90">
        <f>'[1]November - 2022'!EP26</f>
        <v>7176400</v>
      </c>
      <c r="EL26" s="230">
        <f>'[1]November - 2022'!EQ26</f>
        <v>2400</v>
      </c>
      <c r="EM26" s="90">
        <f>'[1]November - 2022'!ER26</f>
        <v>2487000</v>
      </c>
      <c r="EN26" s="230">
        <f>'[1]November - 2022'!ES26</f>
        <v>500</v>
      </c>
      <c r="EO26" s="90">
        <f>'[1]November - 2022'!ET26</f>
        <v>1262460</v>
      </c>
      <c r="EP26" s="230">
        <f>'[1]November - 2022'!EU26</f>
        <v>790</v>
      </c>
      <c r="EQ26" s="90">
        <f>'[1]November - 2022'!EV26</f>
        <v>16526100</v>
      </c>
      <c r="ER26" s="230">
        <f>'[1]November - 2022'!EW26</f>
        <v>5600</v>
      </c>
      <c r="ES26" s="426"/>
      <c r="ET26" s="281">
        <f>'[1]November - 2022'!EY26</f>
        <v>41755</v>
      </c>
      <c r="EU26" s="275">
        <f>'[1]November - 2022'!EZ26</f>
        <v>17</v>
      </c>
      <c r="EV26" s="282">
        <f>'[1]November - 2022'!FA26</f>
        <v>36534</v>
      </c>
      <c r="EW26" s="275">
        <f>'[1]November - 2022'!FB26</f>
        <v>13</v>
      </c>
      <c r="EX26" s="282">
        <f>'[1]November - 2022'!FC26</f>
        <v>7322</v>
      </c>
      <c r="EY26" s="275">
        <f>'[1]November - 2022'!FD26</f>
        <v>9</v>
      </c>
      <c r="EZ26" s="282">
        <f>'[1]November - 2022'!FE26</f>
        <v>58957</v>
      </c>
      <c r="FA26" s="275">
        <f>'[1]November - 2022'!FF26</f>
        <v>15</v>
      </c>
      <c r="FB26" s="282">
        <f>'[1]November - 2022'!FG26</f>
        <v>48818</v>
      </c>
      <c r="FC26" s="276">
        <f>'[1]November - 2022'!FH26</f>
        <v>36</v>
      </c>
    </row>
    <row r="27" spans="1:159" ht="30" customHeight="1" x14ac:dyDescent="0.25">
      <c r="A27" s="207">
        <v>43848</v>
      </c>
      <c r="B27" s="209">
        <f>'[1]November - 2022'!B27</f>
        <v>0.85</v>
      </c>
      <c r="C27" s="250">
        <f>'[1]November - 2022'!E27</f>
        <v>195723</v>
      </c>
      <c r="D27" s="170">
        <f>'[1]November - 2022'!F27</f>
        <v>850</v>
      </c>
      <c r="E27" s="168">
        <f>'[1]November - 2022'!G27</f>
        <v>679</v>
      </c>
      <c r="F27" s="168">
        <f>'[1]November - 2022'!H27</f>
        <v>232437</v>
      </c>
      <c r="G27" s="170">
        <f>'[1]November - 2022'!I27</f>
        <v>539</v>
      </c>
      <c r="H27" s="168">
        <f>'[1]November - 2022'!J27</f>
        <v>402</v>
      </c>
      <c r="I27" s="168">
        <f>'[1]November - 2022'!K27</f>
        <v>4095</v>
      </c>
      <c r="J27" s="170">
        <f>'[1]November - 2022'!L27</f>
        <v>142</v>
      </c>
      <c r="K27" s="168">
        <f>'[1]November - 2022'!N27</f>
        <v>915843</v>
      </c>
      <c r="L27" s="170">
        <f>'[1]November - 2022'!O27</f>
        <v>279</v>
      </c>
      <c r="M27" s="168">
        <f>'[1]November - 2022'!Q27</f>
        <v>241766</v>
      </c>
      <c r="N27" s="170">
        <f>'[1]November - 2022'!R27</f>
        <v>119</v>
      </c>
      <c r="O27" s="168">
        <f>'[1]November - 2022'!U27</f>
        <v>113574</v>
      </c>
      <c r="P27" s="170">
        <f>'[1]November - 2022'!V27</f>
        <v>156</v>
      </c>
      <c r="Q27" s="168">
        <f>'[1]November - 2022'!W27</f>
        <v>120.56000000000495</v>
      </c>
      <c r="R27" s="168">
        <f>'[1]November - 2022'!X27</f>
        <v>6093</v>
      </c>
      <c r="S27" s="208">
        <f>'[1]November - 2022'!Y27</f>
        <v>11</v>
      </c>
      <c r="T27" s="521"/>
      <c r="U27" s="169">
        <f>'[1]November - 2022'!AE27</f>
        <v>8098725.5999999996</v>
      </c>
      <c r="V27" s="288">
        <f>'[1]November - 2022'!AF27</f>
        <v>3118.0800000000745</v>
      </c>
      <c r="W27" s="92">
        <f>'[1]November - 2022'!AF27</f>
        <v>3118.0800000000745</v>
      </c>
      <c r="X27" s="287">
        <f>'[1]November - 2022'!AH27</f>
        <v>15384363.119999999</v>
      </c>
      <c r="Y27" s="288">
        <f>'[1]November - 2022'!AI27</f>
        <v>4872</v>
      </c>
      <c r="Z27" s="92">
        <f>'[1]November - 2022'!AI27</f>
        <v>4872</v>
      </c>
      <c r="AA27" s="287">
        <f>'[1]November - 2022'!AK27</f>
        <v>15738362.640000001</v>
      </c>
      <c r="AB27" s="288">
        <f>'[1]November - 2022'!AL27</f>
        <v>15687.840000001714</v>
      </c>
      <c r="AC27" s="92">
        <f>'[1]November - 2022'!AL27</f>
        <v>15687.840000001714</v>
      </c>
      <c r="AD27" s="287">
        <f>'[1]November - 2022'!AN27</f>
        <v>18779318.879999999</v>
      </c>
      <c r="AE27" s="288">
        <f>'[1]November - 2022'!AO27</f>
        <v>925.67999999970198</v>
      </c>
      <c r="AF27" s="92">
        <f>'[1]November - 2022'!AO27</f>
        <v>925.67999999970198</v>
      </c>
      <c r="AG27" s="287">
        <f>'[1]November - 2022'!AQ27</f>
        <v>19028619.119999997</v>
      </c>
      <c r="AH27" s="288">
        <f>'[1]November - 2022'!AR27</f>
        <v>1120.5599999949336</v>
      </c>
      <c r="AI27" s="92">
        <f>'[1]November - 2022'!AR27</f>
        <v>1120.5599999949336</v>
      </c>
      <c r="AJ27" s="287">
        <f>'[1]November - 2022'!AT27</f>
        <v>17451601.439999998</v>
      </c>
      <c r="AK27" s="288">
        <f>'[1]November - 2022'!AU27</f>
        <v>6138.7199999988079</v>
      </c>
      <c r="AL27" s="92">
        <f>'[1]November - 2022'!AU27</f>
        <v>6138.7199999988079</v>
      </c>
      <c r="AM27" s="287">
        <f>'[1]November - 2022'!AW27</f>
        <v>14700188.16</v>
      </c>
      <c r="AN27" s="288">
        <f>'[1]November - 2022'!AX27</f>
        <v>4920.7200000006706</v>
      </c>
      <c r="AO27" s="92">
        <f>'[1]November - 2022'!AX27</f>
        <v>4920.7200000006706</v>
      </c>
      <c r="AP27" s="287">
        <f>'[1]November - 2022'!AZ27</f>
        <v>14216447.280000001</v>
      </c>
      <c r="AQ27" s="288">
        <f>'[1]November - 2022'!BA27</f>
        <v>5018.1600000020117</v>
      </c>
      <c r="AR27" s="92">
        <f>'[1]November - 2022'!BA27</f>
        <v>5018.1600000020117</v>
      </c>
      <c r="AS27" s="287">
        <f>'[1]November - 2022'!BC27</f>
        <v>11118537.359999999</v>
      </c>
      <c r="AT27" s="288">
        <f>'[1]November - 2022'!BD27</f>
        <v>3215.519999999553</v>
      </c>
      <c r="AU27" s="92">
        <f>'[1]November - 2022'!BD27</f>
        <v>3215.519999999553</v>
      </c>
      <c r="AV27" s="287">
        <f>'[1]November - 2022'!BF27</f>
        <v>17585386.560000002</v>
      </c>
      <c r="AW27" s="252">
        <f>'[1]November - 2022'!BG27</f>
        <v>6236.1600000038743</v>
      </c>
      <c r="AX27" s="253">
        <f>'[1]November - 2022'!BG27</f>
        <v>6236.1600000038743</v>
      </c>
      <c r="AY27" s="487"/>
      <c r="AZ27" s="272">
        <f>'[1]November - 2022'!BM27</f>
        <v>77771000</v>
      </c>
      <c r="BA27" s="179">
        <f>'[1]November - 2022'!BN27</f>
        <v>77500</v>
      </c>
      <c r="BB27" s="93">
        <f>'[1]November - 2022'!BN27</f>
        <v>77500</v>
      </c>
      <c r="BC27" s="272">
        <f>'[1]November - 2022'!BP27</f>
        <v>80264900</v>
      </c>
      <c r="BD27" s="245">
        <f>'[1]November - 2022'!BQ27</f>
        <v>4200</v>
      </c>
      <c r="BE27" s="93">
        <f>'[1]November - 2022'!BQ27</f>
        <v>4200</v>
      </c>
      <c r="BF27" s="272">
        <f>'[1]November - 2022'!BS27</f>
        <v>74085900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10080840</v>
      </c>
      <c r="BT27" s="185">
        <f>'[1]November - 2022'!BW27</f>
        <v>9180</v>
      </c>
      <c r="BU27" s="394"/>
      <c r="BV27" s="88">
        <f>'[1]November - 2022'!BY27</f>
        <v>0.6</v>
      </c>
      <c r="BW27" s="241">
        <f>'[1]November - 2022'!BZ27</f>
        <v>5.0000000000000044E-2</v>
      </c>
      <c r="BX27" s="88">
        <f>'[1]November - 2022'!BZ27</f>
        <v>5.0000000000000044E-2</v>
      </c>
      <c r="BY27" s="89">
        <f>'[1]November - 2022'!CB27</f>
        <v>63937</v>
      </c>
      <c r="BZ27" s="191">
        <f>'[1]November - 2022'!CC27</f>
        <v>17</v>
      </c>
      <c r="CA27" s="89">
        <f>'[1]November - 2022'!CD27</f>
        <v>55036</v>
      </c>
      <c r="CB27" s="191">
        <f>'[1]November - 2022'!CE27</f>
        <v>20</v>
      </c>
      <c r="CC27" s="89">
        <f>'[1]November - 2022'!CF27</f>
        <v>18617</v>
      </c>
      <c r="CD27" s="191">
        <f>'[1]November - 2022'!CG27</f>
        <v>7</v>
      </c>
      <c r="CE27" s="89">
        <f>'[1]November - 2022'!CH27</f>
        <v>25389</v>
      </c>
      <c r="CF27" s="191">
        <f>'[1]November - 2022'!CI27</f>
        <v>10</v>
      </c>
      <c r="CG27" s="89">
        <f>'[1]November - 2022'!CJ27</f>
        <v>28193</v>
      </c>
      <c r="CH27" s="191">
        <f>'[1]November - 2022'!CK27</f>
        <v>15</v>
      </c>
      <c r="CI27" s="89">
        <f>'[1]November - 2022'!CL27</f>
        <v>61821</v>
      </c>
      <c r="CJ27" s="191">
        <f>'[1]November - 2022'!CM27</f>
        <v>35</v>
      </c>
      <c r="CK27" s="89">
        <f>'[1]November - 2022'!CN27</f>
        <v>266559</v>
      </c>
      <c r="CL27" s="246">
        <f>'[1]November - 2022'!CO27</f>
        <v>74</v>
      </c>
      <c r="CM27" s="89">
        <f>'[1]November - 2022'!CO27</f>
        <v>74</v>
      </c>
      <c r="CN27" s="89">
        <f>'[1]November - 2022'!CQ27</f>
        <v>212944</v>
      </c>
      <c r="CO27" s="246">
        <f>'[1]November - 2022'!CR27</f>
        <v>113</v>
      </c>
      <c r="CP27" s="89">
        <f>'[1]November - 2022'!CR27</f>
        <v>113</v>
      </c>
      <c r="CQ27" s="89">
        <f>'[1]November - 2022'!CT27</f>
        <v>351910</v>
      </c>
      <c r="CR27" s="246">
        <f>'[1]November - 2022'!CU27</f>
        <v>156</v>
      </c>
      <c r="CS27" s="89">
        <f>'[1]November - 2022'!CU27</f>
        <v>156</v>
      </c>
      <c r="CT27" s="89">
        <f>'[1]November - 2022'!CW27</f>
        <v>691285</v>
      </c>
      <c r="CU27" s="191">
        <f>'[1]November - 2022'!CX27</f>
        <v>176</v>
      </c>
      <c r="CV27" s="454"/>
      <c r="CW27" s="256">
        <f>'[1]November - 2022'!CZ27</f>
        <v>8698</v>
      </c>
      <c r="CX27" s="198">
        <f>'[1]November - 2022'!DA27</f>
        <v>11</v>
      </c>
      <c r="CY27" s="257">
        <f>'[1]November - 2022'!DB27</f>
        <v>5906</v>
      </c>
      <c r="CZ27" s="198">
        <f>'[1]November - 2022'!DC27</f>
        <v>10</v>
      </c>
      <c r="DA27" s="257">
        <f>'[1]November - 2022'!DD27</f>
        <v>31824</v>
      </c>
      <c r="DB27" s="198">
        <f>'[1]November - 2022'!DE27</f>
        <v>17</v>
      </c>
      <c r="DC27" s="257">
        <f>'[1]November - 2022'!DF27</f>
        <v>32099</v>
      </c>
      <c r="DD27" s="198">
        <f>'[1]November - 2022'!DG27</f>
        <v>19</v>
      </c>
      <c r="DE27" s="257">
        <f>'[1]November - 2022'!DH27</f>
        <v>21637</v>
      </c>
      <c r="DF27" s="198">
        <f>'[1]November - 2022'!DI27</f>
        <v>12</v>
      </c>
      <c r="DG27" s="257">
        <f>'[1]November - 2022'!DJ27</f>
        <v>23917</v>
      </c>
      <c r="DH27" s="198">
        <f>'[1]November - 2022'!DK27</f>
        <v>8</v>
      </c>
      <c r="DI27" s="257">
        <f>'[1]November - 2022'!DL27</f>
        <v>6900</v>
      </c>
      <c r="DJ27" s="198">
        <f>'[1]November - 2022'!DM27</f>
        <v>12</v>
      </c>
      <c r="DK27" s="257">
        <f>'[1]November - 2022'!DN27</f>
        <v>9600</v>
      </c>
      <c r="DL27" s="198">
        <f>'[1]November - 2022'!DO27</f>
        <v>10</v>
      </c>
      <c r="DM27" s="257">
        <f>'[1]November - 2022'!DP27</f>
        <v>3188</v>
      </c>
      <c r="DN27" s="198">
        <f>'[1]November - 2022'!DQ27</f>
        <v>3</v>
      </c>
      <c r="DO27" s="257">
        <f>'[1]November - 2022'!DR27</f>
        <v>6252</v>
      </c>
      <c r="DP27" s="198">
        <f>'[1]November - 2022'!DS27</f>
        <v>11</v>
      </c>
      <c r="DQ27" s="257">
        <f>'[1]November - 2022'!DT27</f>
        <v>30171</v>
      </c>
      <c r="DR27" s="206">
        <f>'[1]November - 2022'!DU27</f>
        <v>6</v>
      </c>
      <c r="DS27" s="439"/>
      <c r="DT27" s="210">
        <f>'[1]November - 2022'!DW27</f>
        <v>6103.3</v>
      </c>
      <c r="DU27" s="221">
        <f>'[1]November - 2022'!DX27</f>
        <v>12.300000000000182</v>
      </c>
      <c r="DV27" s="91">
        <f>'[1]November - 2022'!DY27</f>
        <v>11121.8</v>
      </c>
      <c r="DW27" s="215">
        <f>'[1]November - 2022'!DZ27</f>
        <v>9.5999999999985448</v>
      </c>
      <c r="DX27" s="91">
        <f>'[1]November - 2022'!EA27</f>
        <v>4663.1000000000004</v>
      </c>
      <c r="DY27" s="215">
        <f>'[1]November - 2022'!EB27</f>
        <v>7.5</v>
      </c>
      <c r="DZ27" s="91">
        <f>'[1]November - 2022'!EC27</f>
        <v>5243.3</v>
      </c>
      <c r="EA27" s="215">
        <f>'[1]November - 2022'!ED27</f>
        <v>6.9000000000005457</v>
      </c>
      <c r="EB27" s="91">
        <f>'[1]November - 2022'!EE27</f>
        <v>1114799</v>
      </c>
      <c r="EC27" s="215">
        <f>'[1]November - 2022'!EF27</f>
        <v>640</v>
      </c>
      <c r="ED27" s="91">
        <f>'[1]November - 2022'!EI27</f>
        <v>228736.2</v>
      </c>
      <c r="EE27" s="229">
        <f>'[1]November - 2022'!EJ27</f>
        <v>162.90000000002328</v>
      </c>
      <c r="EF27" s="378"/>
      <c r="EG27" s="235">
        <f>'[1]November - 2022'!EL27</f>
        <v>12052200</v>
      </c>
      <c r="EH27" s="230">
        <f>'[1]November - 2022'!EM27</f>
        <v>5200</v>
      </c>
      <c r="EI27" s="90">
        <f>'[1]November - 2022'!EN27</f>
        <v>928150</v>
      </c>
      <c r="EJ27" s="230">
        <f>'[1]November - 2022'!EO27</f>
        <v>290</v>
      </c>
      <c r="EK27" s="90">
        <f>'[1]November - 2022'!EP27</f>
        <v>7178800</v>
      </c>
      <c r="EL27" s="230">
        <f>'[1]November - 2022'!EQ27</f>
        <v>2400</v>
      </c>
      <c r="EM27" s="90">
        <f>'[1]November - 2022'!ER27</f>
        <v>2487600</v>
      </c>
      <c r="EN27" s="230">
        <f>'[1]November - 2022'!ES27</f>
        <v>600</v>
      </c>
      <c r="EO27" s="90">
        <f>'[1]November - 2022'!ET27</f>
        <v>1263250</v>
      </c>
      <c r="EP27" s="230">
        <f>'[1]November - 2022'!EU27</f>
        <v>790</v>
      </c>
      <c r="EQ27" s="90">
        <f>'[1]November - 2022'!EV27</f>
        <v>16532100</v>
      </c>
      <c r="ER27" s="230">
        <f>'[1]November - 2022'!EW27</f>
        <v>6000</v>
      </c>
      <c r="ES27" s="426"/>
      <c r="ET27" s="281">
        <f>'[1]November - 2022'!EY27</f>
        <v>41776</v>
      </c>
      <c r="EU27" s="275">
        <f>'[1]November - 2022'!EZ27</f>
        <v>21</v>
      </c>
      <c r="EV27" s="282">
        <f>'[1]November - 2022'!FA27</f>
        <v>36549</v>
      </c>
      <c r="EW27" s="275">
        <f>'[1]November - 2022'!FB27</f>
        <v>15</v>
      </c>
      <c r="EX27" s="282">
        <f>'[1]November - 2022'!FC27</f>
        <v>7334</v>
      </c>
      <c r="EY27" s="275">
        <f>'[1]November - 2022'!FD27</f>
        <v>12</v>
      </c>
      <c r="EZ27" s="282">
        <f>'[1]November - 2022'!FE27</f>
        <v>58975</v>
      </c>
      <c r="FA27" s="275">
        <f>'[1]November - 2022'!FF27</f>
        <v>18</v>
      </c>
      <c r="FB27" s="282">
        <f>'[1]November - 2022'!FG27</f>
        <v>48855</v>
      </c>
      <c r="FC27" s="276">
        <f>'[1]November - 2022'!FH27</f>
        <v>37</v>
      </c>
    </row>
    <row r="28" spans="1:159" ht="30" customHeight="1" x14ac:dyDescent="0.25">
      <c r="A28" s="207">
        <v>43849</v>
      </c>
      <c r="B28" s="209">
        <f>'[1]November - 2022'!B28</f>
        <v>0.84</v>
      </c>
      <c r="C28" s="250">
        <f>'[1]November - 2022'!E28</f>
        <v>196619</v>
      </c>
      <c r="D28" s="170">
        <f>'[1]November - 2022'!F28</f>
        <v>896</v>
      </c>
      <c r="E28" s="168">
        <f>'[1]November - 2022'!G28</f>
        <v>714</v>
      </c>
      <c r="F28" s="168">
        <f>'[1]November - 2022'!H28</f>
        <v>232978</v>
      </c>
      <c r="G28" s="170">
        <f>'[1]November - 2022'!I28</f>
        <v>541</v>
      </c>
      <c r="H28" s="168">
        <f>'[1]November - 2022'!J28</f>
        <v>593</v>
      </c>
      <c r="I28" s="168">
        <f>'[1]November - 2022'!K28</f>
        <v>4225</v>
      </c>
      <c r="J28" s="170">
        <f>'[1]November - 2022'!L28</f>
        <v>130</v>
      </c>
      <c r="K28" s="168">
        <f>'[1]November - 2022'!N28</f>
        <v>916141</v>
      </c>
      <c r="L28" s="170">
        <f>'[1]November - 2022'!O28</f>
        <v>298</v>
      </c>
      <c r="M28" s="168">
        <f>'[1]November - 2022'!Q28</f>
        <v>241966</v>
      </c>
      <c r="N28" s="170">
        <f>'[1]November - 2022'!R28</f>
        <v>200</v>
      </c>
      <c r="O28" s="168">
        <f>'[1]November - 2022'!U28</f>
        <v>113760</v>
      </c>
      <c r="P28" s="170">
        <f>'[1]November - 2022'!V28</f>
        <v>186</v>
      </c>
      <c r="Q28" s="168">
        <f>'[1]November - 2022'!W28</f>
        <v>111.7699999999968</v>
      </c>
      <c r="R28" s="168">
        <f>'[1]November - 2022'!X28</f>
        <v>6116</v>
      </c>
      <c r="S28" s="208">
        <f>'[1]November - 2022'!Y28</f>
        <v>23</v>
      </c>
      <c r="T28" s="521"/>
      <c r="U28" s="169">
        <f>'[1]November - 2022'!AE28</f>
        <v>8100576.959999999</v>
      </c>
      <c r="V28" s="288">
        <f>'[1]November - 2022'!AF28</f>
        <v>1851.359999999404</v>
      </c>
      <c r="W28" s="92">
        <f>'[1]November - 2022'!AF28</f>
        <v>1851.359999999404</v>
      </c>
      <c r="X28" s="287">
        <f>'[1]November - 2022'!AH28</f>
        <v>15388894.08</v>
      </c>
      <c r="Y28" s="288">
        <f>'[1]November - 2022'!AI28</f>
        <v>4530.9600000008941</v>
      </c>
      <c r="Z28" s="92">
        <f>'[1]November - 2022'!AI28</f>
        <v>4530.9600000008941</v>
      </c>
      <c r="AA28" s="287">
        <f>'[1]November - 2022'!AK28</f>
        <v>15745573.199999999</v>
      </c>
      <c r="AB28" s="288">
        <f>'[1]November - 2022'!AL28</f>
        <v>7210.5599999986589</v>
      </c>
      <c r="AC28" s="92">
        <f>'[1]November - 2022'!AL28</f>
        <v>7210.5599999986589</v>
      </c>
      <c r="AD28" s="287">
        <f>'[1]November - 2022'!AN28</f>
        <v>18780488.16</v>
      </c>
      <c r="AE28" s="288">
        <f>'[1]November - 2022'!AO28</f>
        <v>1169.2800000011921</v>
      </c>
      <c r="AF28" s="92">
        <f>'[1]November - 2022'!AO28</f>
        <v>1169.2800000011921</v>
      </c>
      <c r="AG28" s="287">
        <f>'[1]November - 2022'!AQ28</f>
        <v>19039581.119999997</v>
      </c>
      <c r="AH28" s="288">
        <f>'[1]November - 2022'!AR28</f>
        <v>10962</v>
      </c>
      <c r="AI28" s="92">
        <f>'[1]November - 2022'!AR28</f>
        <v>10962</v>
      </c>
      <c r="AJ28" s="287">
        <f>'[1]November - 2022'!AT28</f>
        <v>17457350.399999999</v>
      </c>
      <c r="AK28" s="288">
        <f>'[1]November - 2022'!AU28</f>
        <v>5748.9600000008941</v>
      </c>
      <c r="AL28" s="92">
        <f>'[1]November - 2022'!AU28</f>
        <v>5748.9600000008941</v>
      </c>
      <c r="AM28" s="287">
        <f>'[1]November - 2022'!AW28</f>
        <v>14704914</v>
      </c>
      <c r="AN28" s="288">
        <f>'[1]November - 2022'!AX28</f>
        <v>4725.839999999851</v>
      </c>
      <c r="AO28" s="92">
        <f>'[1]November - 2022'!AX28</f>
        <v>4725.839999999851</v>
      </c>
      <c r="AP28" s="295">
        <f>'[1]November - 2022'!AZ28</f>
        <v>14221270.559999999</v>
      </c>
      <c r="AQ28" s="288">
        <f>'[1]November - 2022'!BA28</f>
        <v>4823.2799999974668</v>
      </c>
      <c r="AR28" s="92">
        <f>'[1]November - 2022'!BA28</f>
        <v>4823.2799999974668</v>
      </c>
      <c r="AS28" s="287">
        <f>'[1]November - 2022'!BC28</f>
        <v>11121655.439999999</v>
      </c>
      <c r="AT28" s="288">
        <f>'[1]November - 2022'!BD28</f>
        <v>3118.0800000000745</v>
      </c>
      <c r="AU28" s="92">
        <f>'[1]November - 2022'!BD28</f>
        <v>3118.0800000000745</v>
      </c>
      <c r="AV28" s="287">
        <f>'[1]November - 2022'!BF28</f>
        <v>17591330.399999999</v>
      </c>
      <c r="AW28" s="252">
        <f>'[1]November - 2022'!BG28</f>
        <v>5943.8399999961257</v>
      </c>
      <c r="AX28" s="253">
        <f>'[1]November - 2022'!BG28</f>
        <v>5943.8399999961257</v>
      </c>
      <c r="AY28" s="487"/>
      <c r="AZ28" s="272">
        <f>'[1]November - 2022'!BM28</f>
        <v>77811600</v>
      </c>
      <c r="BA28" s="179">
        <f>'[1]November - 2022'!BN28</f>
        <v>40600</v>
      </c>
      <c r="BB28" s="93">
        <f>'[1]November - 2022'!BN28</f>
        <v>40600</v>
      </c>
      <c r="BC28" s="272">
        <f>'[1]November - 2022'!BP28</f>
        <v>80264900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74130700</v>
      </c>
      <c r="BG28" s="245">
        <f>'[1]November - 2022'!BT28</f>
        <v>44800</v>
      </c>
      <c r="BH28" s="93">
        <f>'[1]November - 2022'!BT28</f>
        <v>44800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10091490</v>
      </c>
      <c r="BT28" s="185">
        <f>'[1]November - 2022'!BW28</f>
        <v>10650</v>
      </c>
      <c r="BU28" s="394"/>
      <c r="BV28" s="88">
        <f>'[1]November - 2022'!BY28</f>
        <v>0.5</v>
      </c>
      <c r="BW28" s="241">
        <f>'[1]November - 2022'!BZ28</f>
        <v>9.9999999999999978E-2</v>
      </c>
      <c r="BX28" s="88">
        <f>'[1]November - 2022'!BZ28</f>
        <v>9.9999999999999978E-2</v>
      </c>
      <c r="BY28" s="89">
        <f>'[1]November - 2022'!CB28</f>
        <v>63954</v>
      </c>
      <c r="BZ28" s="191">
        <f>'[1]November - 2022'!CC28</f>
        <v>17</v>
      </c>
      <c r="CA28" s="89">
        <f>'[1]November - 2022'!CD28</f>
        <v>55057</v>
      </c>
      <c r="CB28" s="191">
        <f>'[1]November - 2022'!CE28</f>
        <v>21</v>
      </c>
      <c r="CC28" s="89">
        <f>'[1]November - 2022'!CF28</f>
        <v>18623</v>
      </c>
      <c r="CD28" s="191">
        <f>'[1]November - 2022'!CG28</f>
        <v>6</v>
      </c>
      <c r="CE28" s="89">
        <f>'[1]November - 2022'!CH28</f>
        <v>25399</v>
      </c>
      <c r="CF28" s="191">
        <f>'[1]November - 2022'!CI28</f>
        <v>10</v>
      </c>
      <c r="CG28" s="89">
        <f>'[1]November - 2022'!CJ28</f>
        <v>28208</v>
      </c>
      <c r="CH28" s="191">
        <f>'[1]November - 2022'!CK28</f>
        <v>15</v>
      </c>
      <c r="CI28" s="89">
        <f>'[1]November - 2022'!CL28</f>
        <v>61855</v>
      </c>
      <c r="CJ28" s="191">
        <f>'[1]November - 2022'!CM28</f>
        <v>34</v>
      </c>
      <c r="CK28" s="89">
        <f>'[1]November - 2022'!CN28</f>
        <v>266634</v>
      </c>
      <c r="CL28" s="246">
        <f>'[1]November - 2022'!CO28</f>
        <v>75</v>
      </c>
      <c r="CM28" s="89">
        <f>'[1]November - 2022'!CO28</f>
        <v>75</v>
      </c>
      <c r="CN28" s="89">
        <f>'[1]November - 2022'!CQ28</f>
        <v>213050</v>
      </c>
      <c r="CO28" s="246">
        <f>'[1]November - 2022'!CR28</f>
        <v>106</v>
      </c>
      <c r="CP28" s="89">
        <f>'[1]November - 2022'!CR28</f>
        <v>106</v>
      </c>
      <c r="CQ28" s="89">
        <f>'[1]November - 2022'!CT28</f>
        <v>352049</v>
      </c>
      <c r="CR28" s="246">
        <f>'[1]November - 2022'!CU28</f>
        <v>139</v>
      </c>
      <c r="CS28" s="89">
        <f>'[1]November - 2022'!CU28</f>
        <v>139</v>
      </c>
      <c r="CT28" s="89">
        <f>'[1]November - 2022'!CW28</f>
        <v>691464</v>
      </c>
      <c r="CU28" s="191">
        <f>'[1]November - 2022'!CX28</f>
        <v>179</v>
      </c>
      <c r="CV28" s="454"/>
      <c r="CW28" s="256">
        <f>'[1]November - 2022'!CZ28</f>
        <v>8708</v>
      </c>
      <c r="CX28" s="198">
        <f>'[1]November - 2022'!DA28</f>
        <v>10</v>
      </c>
      <c r="CY28" s="257">
        <f>'[1]November - 2022'!DB28</f>
        <v>5916</v>
      </c>
      <c r="CZ28" s="198">
        <f>'[1]November - 2022'!DC28</f>
        <v>10</v>
      </c>
      <c r="DA28" s="257">
        <f>'[1]November - 2022'!DD28</f>
        <v>31838</v>
      </c>
      <c r="DB28" s="198">
        <f>'[1]November - 2022'!DE28</f>
        <v>14</v>
      </c>
      <c r="DC28" s="257">
        <f>'[1]November - 2022'!DF28</f>
        <v>32114</v>
      </c>
      <c r="DD28" s="198">
        <f>'[1]November - 2022'!DG28</f>
        <v>15</v>
      </c>
      <c r="DE28" s="257">
        <f>'[1]November - 2022'!DH28</f>
        <v>21648</v>
      </c>
      <c r="DF28" s="198">
        <f>'[1]November - 2022'!DI28</f>
        <v>11</v>
      </c>
      <c r="DG28" s="257">
        <f>'[1]November - 2022'!DJ28</f>
        <v>23922</v>
      </c>
      <c r="DH28" s="198">
        <f>'[1]November - 2022'!DK28</f>
        <v>5</v>
      </c>
      <c r="DI28" s="257">
        <f>'[1]November - 2022'!DL28</f>
        <v>6911</v>
      </c>
      <c r="DJ28" s="198">
        <f>'[1]November - 2022'!DM28</f>
        <v>11</v>
      </c>
      <c r="DK28" s="257">
        <f>'[1]November - 2022'!DN28</f>
        <v>9611</v>
      </c>
      <c r="DL28" s="198">
        <f>'[1]November - 2022'!DO28</f>
        <v>11</v>
      </c>
      <c r="DM28" s="257">
        <f>'[1]November - 2022'!DP28</f>
        <v>3190</v>
      </c>
      <c r="DN28" s="198">
        <f>'[1]November - 2022'!DQ28</f>
        <v>2</v>
      </c>
      <c r="DO28" s="257">
        <f>'[1]November - 2022'!DR28</f>
        <v>6262</v>
      </c>
      <c r="DP28" s="198">
        <f>'[1]November - 2022'!DS28</f>
        <v>10</v>
      </c>
      <c r="DQ28" s="257">
        <f>'[1]November - 2022'!DT28</f>
        <v>30171</v>
      </c>
      <c r="DR28" s="206">
        <f>'[1]November - 2022'!DU28</f>
        <v>0</v>
      </c>
      <c r="DS28" s="439"/>
      <c r="DT28" s="210">
        <f>'[1]November - 2022'!DW28</f>
        <v>6115.1</v>
      </c>
      <c r="DU28" s="221">
        <f>'[1]November - 2022'!DX28</f>
        <v>11.800000000000182</v>
      </c>
      <c r="DV28" s="91">
        <f>'[1]November - 2022'!DY28</f>
        <v>11130.3</v>
      </c>
      <c r="DW28" s="215">
        <f>'[1]November - 2022'!DZ28</f>
        <v>8.5</v>
      </c>
      <c r="DX28" s="91">
        <f>'[1]November - 2022'!EA28</f>
        <v>4670.3</v>
      </c>
      <c r="DY28" s="215">
        <f>'[1]November - 2022'!EB28</f>
        <v>7.1999999999998181</v>
      </c>
      <c r="DZ28" s="91">
        <f>'[1]November - 2022'!EC28</f>
        <v>5250.3</v>
      </c>
      <c r="EA28" s="215">
        <f>'[1]November - 2022'!ED28</f>
        <v>7</v>
      </c>
      <c r="EB28" s="91">
        <f>'[1]November - 2022'!EE28</f>
        <v>1115487</v>
      </c>
      <c r="EC28" s="215">
        <f>'[1]November - 2022'!EF28</f>
        <v>688</v>
      </c>
      <c r="ED28" s="91">
        <f>'[1]November - 2022'!EI28</f>
        <v>228888.1</v>
      </c>
      <c r="EE28" s="229">
        <f>'[1]November - 2022'!EJ28</f>
        <v>151.89999999999418</v>
      </c>
      <c r="EF28" s="378"/>
      <c r="EG28" s="235">
        <f>'[1]November - 2022'!EL28</f>
        <v>12058700</v>
      </c>
      <c r="EH28" s="230">
        <f>'[1]November - 2022'!EM28</f>
        <v>6500</v>
      </c>
      <c r="EI28" s="90">
        <f>'[1]November - 2022'!EN28</f>
        <v>928460</v>
      </c>
      <c r="EJ28" s="230">
        <f>'[1]November - 2022'!EO28</f>
        <v>310</v>
      </c>
      <c r="EK28" s="90">
        <f>'[1]November - 2022'!EP28</f>
        <v>7181400</v>
      </c>
      <c r="EL28" s="230">
        <f>'[1]November - 2022'!EQ28</f>
        <v>2600</v>
      </c>
      <c r="EM28" s="90">
        <f>'[1]November - 2022'!ER28</f>
        <v>2488400</v>
      </c>
      <c r="EN28" s="230">
        <f>'[1]November - 2022'!ES28</f>
        <v>800</v>
      </c>
      <c r="EO28" s="90">
        <f>'[1]November - 2022'!ET28</f>
        <v>1264100</v>
      </c>
      <c r="EP28" s="230">
        <f>'[1]November - 2022'!EU28</f>
        <v>850</v>
      </c>
      <c r="EQ28" s="90">
        <f>'[1]November - 2022'!EV28</f>
        <v>16539100</v>
      </c>
      <c r="ER28" s="230">
        <f>'[1]November - 2022'!EW28</f>
        <v>7000</v>
      </c>
      <c r="ES28" s="426"/>
      <c r="ET28" s="281">
        <f>'[1]November - 2022'!EY28</f>
        <v>41795</v>
      </c>
      <c r="EU28" s="275">
        <f>'[1]November - 2022'!EZ28</f>
        <v>19</v>
      </c>
      <c r="EV28" s="282">
        <f>'[1]November - 2022'!FA28</f>
        <v>36563</v>
      </c>
      <c r="EW28" s="275">
        <f>'[1]November - 2022'!FB28</f>
        <v>14</v>
      </c>
      <c r="EX28" s="282">
        <f>'[1]November - 2022'!FC28</f>
        <v>7346</v>
      </c>
      <c r="EY28" s="275">
        <f>'[1]November - 2022'!FD28</f>
        <v>12</v>
      </c>
      <c r="EZ28" s="282">
        <f>'[1]November - 2022'!FE28</f>
        <v>58990</v>
      </c>
      <c r="FA28" s="275">
        <f>'[1]November - 2022'!FF28</f>
        <v>15</v>
      </c>
      <c r="FB28" s="282">
        <f>'[1]November - 2022'!FG28</f>
        <v>48892</v>
      </c>
      <c r="FC28" s="276">
        <f>'[1]November - 2022'!FH28</f>
        <v>37</v>
      </c>
    </row>
    <row r="29" spans="1:159" ht="30" customHeight="1" x14ac:dyDescent="0.25">
      <c r="A29" s="207">
        <v>43850</v>
      </c>
      <c r="B29" s="209">
        <f>'[1]November - 2022'!B29</f>
        <v>0.88</v>
      </c>
      <c r="C29" s="250">
        <f>'[1]November - 2022'!E29</f>
        <v>197394</v>
      </c>
      <c r="D29" s="170">
        <f>'[1]November - 2022'!F29</f>
        <v>775</v>
      </c>
      <c r="E29" s="168">
        <f>'[1]November - 2022'!G29</f>
        <v>590</v>
      </c>
      <c r="F29" s="168">
        <f>'[1]November - 2022'!H29</f>
        <v>233445</v>
      </c>
      <c r="G29" s="170">
        <f>'[1]November - 2022'!I29</f>
        <v>467</v>
      </c>
      <c r="H29" s="168">
        <f>'[1]November - 2022'!J29</f>
        <v>270</v>
      </c>
      <c r="I29" s="168">
        <f>'[1]November - 2022'!K29</f>
        <v>4386</v>
      </c>
      <c r="J29" s="170">
        <f>'[1]November - 2022'!L29</f>
        <v>161</v>
      </c>
      <c r="K29" s="168">
        <f>'[1]November - 2022'!N29</f>
        <v>916388</v>
      </c>
      <c r="L29" s="170">
        <f>'[1]November - 2022'!O29</f>
        <v>247</v>
      </c>
      <c r="M29" s="168">
        <f>'[1]November - 2022'!Q29</f>
        <v>242003</v>
      </c>
      <c r="N29" s="170">
        <f>'[1]November - 2022'!R29</f>
        <v>37</v>
      </c>
      <c r="O29" s="168">
        <f>'[1]November - 2022'!U29</f>
        <v>113927</v>
      </c>
      <c r="P29" s="170">
        <f>'[1]November - 2022'!V29</f>
        <v>167</v>
      </c>
      <c r="Q29" s="168">
        <f>'[1]November - 2022'!W29</f>
        <v>112.30000000000291</v>
      </c>
      <c r="R29" s="168">
        <f>'[1]November - 2022'!X29</f>
        <v>6132</v>
      </c>
      <c r="S29" s="208">
        <f>'[1]November - 2022'!Y29</f>
        <v>16</v>
      </c>
      <c r="T29" s="521"/>
      <c r="U29" s="169">
        <f>'[1]November - 2022'!AE29</f>
        <v>8102671.919999999</v>
      </c>
      <c r="V29" s="288">
        <f>'[1]November - 2022'!AF29</f>
        <v>2094.9599999999627</v>
      </c>
      <c r="W29" s="92">
        <f>'[1]November - 2022'!AF29</f>
        <v>2094.9599999999627</v>
      </c>
      <c r="X29" s="287">
        <f>'[1]November - 2022'!AH29</f>
        <v>15393473.76</v>
      </c>
      <c r="Y29" s="288">
        <f>'[1]November - 2022'!AI29</f>
        <v>4579.679999999702</v>
      </c>
      <c r="Z29" s="92">
        <f>'[1]November - 2022'!AI29</f>
        <v>4579.679999999702</v>
      </c>
      <c r="AA29" s="287">
        <f>'[1]November - 2022'!AK29</f>
        <v>15751029.84</v>
      </c>
      <c r="AB29" s="288">
        <f>'[1]November - 2022'!AL29</f>
        <v>5456.640000000596</v>
      </c>
      <c r="AC29" s="92">
        <f>'[1]November - 2022'!AL29</f>
        <v>5456.640000000596</v>
      </c>
      <c r="AD29" s="287">
        <f>'[1]November - 2022'!AN29</f>
        <v>18781560</v>
      </c>
      <c r="AE29" s="288">
        <f>'[1]November - 2022'!AO29</f>
        <v>1071.839999999851</v>
      </c>
      <c r="AF29" s="92">
        <f>'[1]November - 2022'!AO29</f>
        <v>1071.839999999851</v>
      </c>
      <c r="AG29" s="287">
        <f>'[1]November - 2022'!AQ29</f>
        <v>19051176.48</v>
      </c>
      <c r="AH29" s="288">
        <f>'[1]November - 2022'!AR29</f>
        <v>11595.360000003129</v>
      </c>
      <c r="AI29" s="92">
        <f>'[1]November - 2022'!AR29</f>
        <v>11595.360000003129</v>
      </c>
      <c r="AJ29" s="287">
        <f>'[1]November - 2022'!AT29</f>
        <v>17463001.919999998</v>
      </c>
      <c r="AK29" s="288">
        <f>'[1]November - 2022'!AU29</f>
        <v>5651.519999999553</v>
      </c>
      <c r="AL29" s="92">
        <f>'[1]November - 2022'!AU29</f>
        <v>5651.519999999553</v>
      </c>
      <c r="AM29" s="287">
        <f>'[1]November - 2022'!AW29</f>
        <v>14709493.68</v>
      </c>
      <c r="AN29" s="288">
        <f>'[1]November - 2022'!AX29</f>
        <v>4579.679999999702</v>
      </c>
      <c r="AO29" s="92">
        <f>'[1]November - 2022'!AX29</f>
        <v>4579.679999999702</v>
      </c>
      <c r="AP29" s="287">
        <f>'[1]November - 2022'!AZ29</f>
        <v>14226191.280000001</v>
      </c>
      <c r="AQ29" s="288">
        <f>'[1]November - 2022'!BA29</f>
        <v>4920.7200000025332</v>
      </c>
      <c r="AR29" s="92">
        <f>'[1]November - 2022'!BA29</f>
        <v>4920.7200000025332</v>
      </c>
      <c r="AS29" s="287">
        <f>'[1]November - 2022'!BC29</f>
        <v>11124773.52</v>
      </c>
      <c r="AT29" s="288">
        <f>'[1]November - 2022'!BD29</f>
        <v>3118.0800000000745</v>
      </c>
      <c r="AU29" s="92">
        <f>'[1]November - 2022'!BD29</f>
        <v>3118.0800000000745</v>
      </c>
      <c r="AV29" s="287">
        <f>'[1]November - 2022'!BF29</f>
        <v>17597274.239999998</v>
      </c>
      <c r="AW29" s="252">
        <f>'[1]November - 2022'!BG29</f>
        <v>5943.839999999851</v>
      </c>
      <c r="AX29" s="253">
        <f>'[1]November - 2022'!BG29</f>
        <v>5943.839999999851</v>
      </c>
      <c r="AY29" s="487"/>
      <c r="AZ29" s="272">
        <f>'[1]November - 2022'!BM29</f>
        <v>77838300</v>
      </c>
      <c r="BA29" s="179">
        <f>'[1]November - 2022'!BN29</f>
        <v>26700</v>
      </c>
      <c r="BB29" s="93">
        <f>'[1]November - 2022'!BN29</f>
        <v>26700</v>
      </c>
      <c r="BC29" s="272">
        <f>'[1]November - 2022'!BP29</f>
        <v>80264900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74193500</v>
      </c>
      <c r="BG29" s="245">
        <f>'[1]November - 2022'!BT29</f>
        <v>62800</v>
      </c>
      <c r="BH29" s="93">
        <f>'[1]November - 2022'!BT29</f>
        <v>62800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10097700</v>
      </c>
      <c r="BT29" s="185">
        <f>'[1]November - 2022'!BW29</f>
        <v>6210</v>
      </c>
      <c r="BU29" s="394"/>
      <c r="BV29" s="88">
        <f>'[1]November - 2022'!BY29</f>
        <v>0.72</v>
      </c>
      <c r="BW29" s="241">
        <f>'[1]November - 2022'!BZ29</f>
        <v>-0.21999999999999997</v>
      </c>
      <c r="BX29" s="88">
        <f>'[1]November - 2022'!BZ29</f>
        <v>-0.21999999999999997</v>
      </c>
      <c r="BY29" s="89">
        <f>'[1]November - 2022'!CB29</f>
        <v>63972</v>
      </c>
      <c r="BZ29" s="191">
        <f>'[1]November - 2022'!CC29</f>
        <v>18</v>
      </c>
      <c r="CA29" s="89">
        <f>'[1]November - 2022'!CD29</f>
        <v>55076</v>
      </c>
      <c r="CB29" s="191">
        <f>'[1]November - 2022'!CE29</f>
        <v>19</v>
      </c>
      <c r="CC29" s="89">
        <f>'[1]November - 2022'!CF29</f>
        <v>18629</v>
      </c>
      <c r="CD29" s="191">
        <f>'[1]November - 2022'!CG29</f>
        <v>6</v>
      </c>
      <c r="CE29" s="89">
        <f>'[1]November - 2022'!CH29</f>
        <v>25409</v>
      </c>
      <c r="CF29" s="191">
        <f>'[1]November - 2022'!CI29</f>
        <v>10</v>
      </c>
      <c r="CG29" s="89">
        <f>'[1]November - 2022'!CJ29</f>
        <v>28220</v>
      </c>
      <c r="CH29" s="191">
        <f>'[1]November - 2022'!CK29</f>
        <v>12</v>
      </c>
      <c r="CI29" s="89">
        <f>'[1]November - 2022'!CL29</f>
        <v>61892</v>
      </c>
      <c r="CJ29" s="191">
        <f>'[1]November - 2022'!CM29</f>
        <v>37</v>
      </c>
      <c r="CK29" s="89">
        <f>'[1]November - 2022'!CN29</f>
        <v>266707</v>
      </c>
      <c r="CL29" s="246">
        <f>'[1]November - 2022'!CO29</f>
        <v>73</v>
      </c>
      <c r="CM29" s="89">
        <f>'[1]November - 2022'!CO29</f>
        <v>73</v>
      </c>
      <c r="CN29" s="89">
        <f>'[1]November - 2022'!CQ29</f>
        <v>213151</v>
      </c>
      <c r="CO29" s="246">
        <f>'[1]November - 2022'!CR29</f>
        <v>101</v>
      </c>
      <c r="CP29" s="89">
        <f>'[1]November - 2022'!CR29</f>
        <v>101</v>
      </c>
      <c r="CQ29" s="89">
        <f>'[1]November - 2022'!CT29</f>
        <v>352224</v>
      </c>
      <c r="CR29" s="246">
        <f>'[1]November - 2022'!CU29</f>
        <v>175</v>
      </c>
      <c r="CS29" s="89">
        <f>'[1]November - 2022'!CU29</f>
        <v>175</v>
      </c>
      <c r="CT29" s="89">
        <f>'[1]November - 2022'!CW29</f>
        <v>691639</v>
      </c>
      <c r="CU29" s="191">
        <f>'[1]November - 2022'!CX29</f>
        <v>175</v>
      </c>
      <c r="CV29" s="454"/>
      <c r="CW29" s="256">
        <f>'[1]November - 2022'!CZ29</f>
        <v>8716</v>
      </c>
      <c r="CX29" s="198">
        <f>'[1]November - 2022'!DA29</f>
        <v>8</v>
      </c>
      <c r="CY29" s="257">
        <f>'[1]November - 2022'!DB29</f>
        <v>5917</v>
      </c>
      <c r="CZ29" s="198">
        <f>'[1]November - 2022'!DC29</f>
        <v>1</v>
      </c>
      <c r="DA29" s="257">
        <f>'[1]November - 2022'!DD29</f>
        <v>31857</v>
      </c>
      <c r="DB29" s="198">
        <f>'[1]November - 2022'!DE29</f>
        <v>19</v>
      </c>
      <c r="DC29" s="257">
        <f>'[1]November - 2022'!DF29</f>
        <v>32131</v>
      </c>
      <c r="DD29" s="198">
        <f>'[1]November - 2022'!DG29</f>
        <v>17</v>
      </c>
      <c r="DE29" s="257">
        <f>'[1]November - 2022'!DH29</f>
        <v>21658</v>
      </c>
      <c r="DF29" s="198">
        <f>'[1]November - 2022'!DI29</f>
        <v>10</v>
      </c>
      <c r="DG29" s="257">
        <f>'[1]November - 2022'!DJ29</f>
        <v>23931</v>
      </c>
      <c r="DH29" s="198">
        <f>'[1]November - 2022'!DK29</f>
        <v>9</v>
      </c>
      <c r="DI29" s="257">
        <f>'[1]November - 2022'!DL29</f>
        <v>6922</v>
      </c>
      <c r="DJ29" s="198">
        <f>'[1]November - 2022'!DM29</f>
        <v>11</v>
      </c>
      <c r="DK29" s="257">
        <f>'[1]November - 2022'!DN29</f>
        <v>9619</v>
      </c>
      <c r="DL29" s="198">
        <f>'[1]November - 2022'!DO29</f>
        <v>8</v>
      </c>
      <c r="DM29" s="257">
        <f>'[1]November - 2022'!DP29</f>
        <v>3193</v>
      </c>
      <c r="DN29" s="198">
        <f>'[1]November - 2022'!DQ29</f>
        <v>3</v>
      </c>
      <c r="DO29" s="257">
        <f>'[1]November - 2022'!DR29</f>
        <v>6274</v>
      </c>
      <c r="DP29" s="198">
        <f>'[1]November - 2022'!DS29</f>
        <v>12</v>
      </c>
      <c r="DQ29" s="257">
        <f>'[1]November - 2022'!DT29</f>
        <v>30184</v>
      </c>
      <c r="DR29" s="206">
        <f>'[1]November - 2022'!DU29</f>
        <v>13</v>
      </c>
      <c r="DS29" s="439"/>
      <c r="DT29" s="210">
        <f>'[1]November - 2022'!DW29</f>
        <v>6126.2</v>
      </c>
      <c r="DU29" s="221">
        <f>'[1]November - 2022'!DX29</f>
        <v>11.099999999999454</v>
      </c>
      <c r="DV29" s="91">
        <f>'[1]November - 2022'!DY29</f>
        <v>11138.5</v>
      </c>
      <c r="DW29" s="215">
        <f>'[1]November - 2022'!DZ29</f>
        <v>8.2000000000007276</v>
      </c>
      <c r="DX29" s="91">
        <f>'[1]November - 2022'!EA29</f>
        <v>4677.3999999999996</v>
      </c>
      <c r="DY29" s="215">
        <f>'[1]November - 2022'!EB29</f>
        <v>7.0999999999994543</v>
      </c>
      <c r="DZ29" s="91">
        <f>'[1]November - 2022'!EC29</f>
        <v>5257.1</v>
      </c>
      <c r="EA29" s="215">
        <f>'[1]November - 2022'!ED29</f>
        <v>6.8000000000001819</v>
      </c>
      <c r="EB29" s="91">
        <f>'[1]November - 2022'!EE29</f>
        <v>1116090</v>
      </c>
      <c r="EC29" s="215">
        <f>'[1]November - 2022'!EF29</f>
        <v>603</v>
      </c>
      <c r="ED29" s="91">
        <f>'[1]November - 2022'!EI29</f>
        <v>229034.8</v>
      </c>
      <c r="EE29" s="229">
        <f>'[1]November - 2022'!EJ29</f>
        <v>146.69999999998254</v>
      </c>
      <c r="EF29" s="378"/>
      <c r="EG29" s="235">
        <f>'[1]November - 2022'!EL29</f>
        <v>12064000</v>
      </c>
      <c r="EH29" s="230">
        <f>'[1]November - 2022'!EM29</f>
        <v>5300</v>
      </c>
      <c r="EI29" s="90">
        <f>'[1]November - 2022'!EN29</f>
        <v>928770</v>
      </c>
      <c r="EJ29" s="230">
        <f>'[1]November - 2022'!EO29</f>
        <v>310</v>
      </c>
      <c r="EK29" s="90">
        <f>'[1]November - 2022'!EP29</f>
        <v>7183800</v>
      </c>
      <c r="EL29" s="230">
        <f>'[1]November - 2022'!EQ29</f>
        <v>2400</v>
      </c>
      <c r="EM29" s="90">
        <f>'[1]November - 2022'!ER29</f>
        <v>2489200</v>
      </c>
      <c r="EN29" s="230">
        <f>'[1]November - 2022'!ES29</f>
        <v>800</v>
      </c>
      <c r="EO29" s="90">
        <f>'[1]November - 2022'!ET29</f>
        <v>1264890</v>
      </c>
      <c r="EP29" s="230">
        <f>'[1]November - 2022'!EU29</f>
        <v>790</v>
      </c>
      <c r="EQ29" s="90">
        <f>'[1]November - 2022'!EV29</f>
        <v>16544100</v>
      </c>
      <c r="ER29" s="230">
        <f>'[1]November - 2022'!EW29</f>
        <v>5000</v>
      </c>
      <c r="ES29" s="426"/>
      <c r="ET29" s="281">
        <f>'[1]November - 2022'!EY29</f>
        <v>41811</v>
      </c>
      <c r="EU29" s="275">
        <f>'[1]November - 2022'!EZ29</f>
        <v>16</v>
      </c>
      <c r="EV29" s="282">
        <f>'[1]November - 2022'!FA29</f>
        <v>36574</v>
      </c>
      <c r="EW29" s="275">
        <f>'[1]November - 2022'!FB29</f>
        <v>11</v>
      </c>
      <c r="EX29" s="282">
        <f>'[1]November - 2022'!FC29</f>
        <v>7358</v>
      </c>
      <c r="EY29" s="275">
        <f>'[1]November - 2022'!FD29</f>
        <v>12</v>
      </c>
      <c r="EZ29" s="282">
        <f>'[1]November - 2022'!FE29</f>
        <v>59004</v>
      </c>
      <c r="FA29" s="275">
        <f>'[1]November - 2022'!FF29</f>
        <v>14</v>
      </c>
      <c r="FB29" s="282">
        <f>'[1]November - 2022'!FG29</f>
        <v>48922</v>
      </c>
      <c r="FC29" s="276">
        <f>'[1]November - 2022'!FH29</f>
        <v>30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-197394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-233445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-4386</v>
      </c>
      <c r="K30" s="168">
        <f>'[1]November - 2022'!N30</f>
        <v>0</v>
      </c>
      <c r="L30" s="170">
        <f>'[1]November - 2022'!O30</f>
        <v>-916388</v>
      </c>
      <c r="M30" s="168">
        <f>'[1]November - 2022'!Q30</f>
        <v>0</v>
      </c>
      <c r="N30" s="170">
        <f>'[1]November - 2022'!R30</f>
        <v>-242003</v>
      </c>
      <c r="O30" s="168">
        <f>'[1]November - 2022'!U30</f>
        <v>0</v>
      </c>
      <c r="P30" s="170">
        <f>'[1]November - 2022'!V30</f>
        <v>-113927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-6132</v>
      </c>
      <c r="T30" s="521"/>
      <c r="U30" s="169">
        <f>'[1]November - 2022'!AE30</f>
        <v>0</v>
      </c>
      <c r="V30" s="288">
        <f>'[1]November - 2022'!AF30</f>
        <v>-8102671.919999999</v>
      </c>
      <c r="W30" s="92">
        <f>'[1]November - 2022'!AF30</f>
        <v>-8102671.919999999</v>
      </c>
      <c r="X30" s="287">
        <f>'[1]November - 2022'!AH30</f>
        <v>0</v>
      </c>
      <c r="Y30" s="288">
        <f>'[1]November - 2022'!AI30</f>
        <v>-15393473.76</v>
      </c>
      <c r="Z30" s="92">
        <f>'[1]November - 2022'!AI30</f>
        <v>-15393473.76</v>
      </c>
      <c r="AA30" s="287">
        <f>'[1]November - 2022'!AK30</f>
        <v>0</v>
      </c>
      <c r="AB30" s="288">
        <f>'[1]November - 2022'!AL30</f>
        <v>-15751029.84</v>
      </c>
      <c r="AC30" s="92">
        <f>'[1]November - 2022'!AL30</f>
        <v>-15751029.84</v>
      </c>
      <c r="AD30" s="287">
        <f>'[1]November - 2022'!AN30</f>
        <v>0</v>
      </c>
      <c r="AE30" s="288">
        <f>'[1]November - 2022'!AO30</f>
        <v>-18781560</v>
      </c>
      <c r="AF30" s="92">
        <f>'[1]November - 2022'!AO30</f>
        <v>-18781560</v>
      </c>
      <c r="AG30" s="287">
        <f>'[1]November - 2022'!AQ30</f>
        <v>0</v>
      </c>
      <c r="AH30" s="288">
        <f>'[1]November - 2022'!AR30</f>
        <v>-19051176.48</v>
      </c>
      <c r="AI30" s="92">
        <f>'[1]November - 2022'!AR30</f>
        <v>-19051176.48</v>
      </c>
      <c r="AJ30" s="287">
        <f>'[1]November - 2022'!AT30</f>
        <v>0</v>
      </c>
      <c r="AK30" s="288">
        <f>'[1]November - 2022'!AU30</f>
        <v>-17463001.919999998</v>
      </c>
      <c r="AL30" s="92">
        <f>'[1]November - 2022'!AU30</f>
        <v>-17463001.919999998</v>
      </c>
      <c r="AM30" s="287">
        <f>'[1]November - 2022'!AW30</f>
        <v>0</v>
      </c>
      <c r="AN30" s="288">
        <f>'[1]November - 2022'!AX30</f>
        <v>-14709493.68</v>
      </c>
      <c r="AO30" s="92">
        <f>'[1]November - 2022'!AX30</f>
        <v>-14709493.68</v>
      </c>
      <c r="AP30" s="287">
        <f>'[1]November - 2022'!AZ30</f>
        <v>0</v>
      </c>
      <c r="AQ30" s="288">
        <f>'[1]November - 2022'!BA30</f>
        <v>-14226191.280000001</v>
      </c>
      <c r="AR30" s="92">
        <f>'[1]November - 2022'!BA30</f>
        <v>-14226191.280000001</v>
      </c>
      <c r="AS30" s="287">
        <f>'[1]November - 2022'!BC30</f>
        <v>0</v>
      </c>
      <c r="AT30" s="288">
        <f>'[1]November - 2022'!BD30</f>
        <v>-11124773.52</v>
      </c>
      <c r="AU30" s="92">
        <f>'[1]November - 2022'!BD30</f>
        <v>-11124773.52</v>
      </c>
      <c r="AV30" s="287">
        <f>'[1]November - 2022'!BF30</f>
        <v>0</v>
      </c>
      <c r="AW30" s="252">
        <f>'[1]November - 2022'!BG30</f>
        <v>-17597274.239999998</v>
      </c>
      <c r="AX30" s="253">
        <f>'[1]November - 2022'!BG30</f>
        <v>-17597274.239999998</v>
      </c>
      <c r="AY30" s="487"/>
      <c r="AZ30" s="272">
        <f>'[1]November - 2022'!BM30</f>
        <v>0</v>
      </c>
      <c r="BA30" s="179">
        <f>'[1]November - 2022'!BN30</f>
        <v>-77838300</v>
      </c>
      <c r="BB30" s="93">
        <f>'[1]November - 2022'!BN30</f>
        <v>-77838300</v>
      </c>
      <c r="BC30" s="272">
        <f>'[1]November - 2022'!BP30</f>
        <v>0</v>
      </c>
      <c r="BD30" s="245">
        <f>'[1]November - 2022'!BQ30</f>
        <v>-80264900</v>
      </c>
      <c r="BE30" s="93">
        <f>'[1]November - 2022'!BQ30</f>
        <v>-80264900</v>
      </c>
      <c r="BF30" s="272">
        <f>'[1]November - 2022'!BS30</f>
        <v>0</v>
      </c>
      <c r="BG30" s="245">
        <f>'[1]November - 2022'!BT30</f>
        <v>-74193500</v>
      </c>
      <c r="BH30" s="93">
        <f>'[1]November - 2022'!BT30</f>
        <v>-74193500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-10097700</v>
      </c>
      <c r="BU30" s="394"/>
      <c r="BV30" s="88">
        <f>'[1]November - 2022'!BY30</f>
        <v>0</v>
      </c>
      <c r="BW30" s="241">
        <f>'[1]November - 2022'!BZ30</f>
        <v>0.72</v>
      </c>
      <c r="BX30" s="88">
        <f>'[1]November - 2022'!BZ30</f>
        <v>0.72</v>
      </c>
      <c r="BY30" s="89">
        <f>'[1]November - 2022'!CB30</f>
        <v>0</v>
      </c>
      <c r="BZ30" s="191">
        <f>'[1]November - 2022'!CC30</f>
        <v>-63972</v>
      </c>
      <c r="CA30" s="89">
        <f>'[1]November - 2022'!CD30</f>
        <v>0</v>
      </c>
      <c r="CB30" s="191">
        <f>'[1]November - 2022'!CE30</f>
        <v>-55076</v>
      </c>
      <c r="CC30" s="89">
        <f>'[1]November - 2022'!CF30</f>
        <v>0</v>
      </c>
      <c r="CD30" s="191">
        <f>'[1]November - 2022'!CG30</f>
        <v>-18629</v>
      </c>
      <c r="CE30" s="89">
        <f>'[1]November - 2022'!CH30</f>
        <v>0</v>
      </c>
      <c r="CF30" s="191">
        <f>'[1]November - 2022'!CI30</f>
        <v>-25409</v>
      </c>
      <c r="CG30" s="89">
        <f>'[1]November - 2022'!CJ30</f>
        <v>0</v>
      </c>
      <c r="CH30" s="191">
        <f>'[1]November - 2022'!CK30</f>
        <v>-28220</v>
      </c>
      <c r="CI30" s="89">
        <f>'[1]November - 2022'!CL30</f>
        <v>0</v>
      </c>
      <c r="CJ30" s="191">
        <f>'[1]November - 2022'!CM30</f>
        <v>-61892</v>
      </c>
      <c r="CK30" s="89">
        <f>'[1]November - 2022'!CN30</f>
        <v>0</v>
      </c>
      <c r="CL30" s="246">
        <f>'[1]November - 2022'!CO30</f>
        <v>-266707</v>
      </c>
      <c r="CM30" s="89">
        <f>'[1]November - 2022'!CO30</f>
        <v>-266707</v>
      </c>
      <c r="CN30" s="89">
        <f>'[1]November - 2022'!CQ30</f>
        <v>0</v>
      </c>
      <c r="CO30" s="246">
        <f>'[1]November - 2022'!CR30</f>
        <v>-213151</v>
      </c>
      <c r="CP30" s="89">
        <f>'[1]November - 2022'!CR30</f>
        <v>-213151</v>
      </c>
      <c r="CQ30" s="89">
        <f>'[1]November - 2022'!CT30</f>
        <v>0</v>
      </c>
      <c r="CR30" s="246">
        <f>'[1]November - 2022'!CU30</f>
        <v>-352224</v>
      </c>
      <c r="CS30" s="89">
        <f>'[1]November - 2022'!CU30</f>
        <v>-352224</v>
      </c>
      <c r="CT30" s="89">
        <f>'[1]November - 2022'!CW30</f>
        <v>0</v>
      </c>
      <c r="CU30" s="191">
        <f>'[1]November - 2022'!CX30</f>
        <v>-691639</v>
      </c>
      <c r="CV30" s="454"/>
      <c r="CW30" s="256">
        <f>'[1]November - 2022'!CZ30</f>
        <v>0</v>
      </c>
      <c r="CX30" s="198">
        <f>'[1]November - 2022'!DA30</f>
        <v>-8716</v>
      </c>
      <c r="CY30" s="257">
        <f>'[1]November - 2022'!DB30</f>
        <v>0</v>
      </c>
      <c r="CZ30" s="198">
        <f>'[1]November - 2022'!DC30</f>
        <v>-5917</v>
      </c>
      <c r="DA30" s="257">
        <f>'[1]November - 2022'!DD30</f>
        <v>0</v>
      </c>
      <c r="DB30" s="198">
        <f>'[1]November - 2022'!DE30</f>
        <v>-31857</v>
      </c>
      <c r="DC30" s="257">
        <f>'[1]November - 2022'!DF30</f>
        <v>0</v>
      </c>
      <c r="DD30" s="198">
        <f>'[1]November - 2022'!DG30</f>
        <v>-32131</v>
      </c>
      <c r="DE30" s="257">
        <f>'[1]November - 2022'!DH30</f>
        <v>0</v>
      </c>
      <c r="DF30" s="198">
        <f>'[1]November - 2022'!DI30</f>
        <v>-21658</v>
      </c>
      <c r="DG30" s="257">
        <f>'[1]November - 2022'!DJ30</f>
        <v>0</v>
      </c>
      <c r="DH30" s="198">
        <f>'[1]November - 2022'!DK30</f>
        <v>-23931</v>
      </c>
      <c r="DI30" s="257">
        <f>'[1]November - 2022'!DL30</f>
        <v>0</v>
      </c>
      <c r="DJ30" s="198">
        <f>'[1]November - 2022'!DM30</f>
        <v>-6922</v>
      </c>
      <c r="DK30" s="257">
        <f>'[1]November - 2022'!DN30</f>
        <v>0</v>
      </c>
      <c r="DL30" s="198">
        <f>'[1]November - 2022'!DO30</f>
        <v>-9619</v>
      </c>
      <c r="DM30" s="257">
        <f>'[1]November - 2022'!DP30</f>
        <v>0</v>
      </c>
      <c r="DN30" s="198">
        <f>'[1]November - 2022'!DQ30</f>
        <v>-3193</v>
      </c>
      <c r="DO30" s="257">
        <f>'[1]November - 2022'!DR30</f>
        <v>0</v>
      </c>
      <c r="DP30" s="198">
        <f>'[1]November - 2022'!DS30</f>
        <v>-6274</v>
      </c>
      <c r="DQ30" s="257">
        <f>'[1]November - 2022'!DT30</f>
        <v>0</v>
      </c>
      <c r="DR30" s="206">
        <f>'[1]November - 2022'!DU30</f>
        <v>-30184</v>
      </c>
      <c r="DS30" s="439"/>
      <c r="DT30" s="210">
        <f>'[1]November - 2022'!DW30</f>
        <v>0</v>
      </c>
      <c r="DU30" s="221">
        <f>'[1]November - 2022'!DX30</f>
        <v>-6126.2</v>
      </c>
      <c r="DV30" s="91">
        <f>'[1]November - 2022'!DY30</f>
        <v>0</v>
      </c>
      <c r="DW30" s="215">
        <f>'[1]November - 2022'!DZ30</f>
        <v>-11138.5</v>
      </c>
      <c r="DX30" s="91">
        <f>'[1]November - 2022'!EA30</f>
        <v>0</v>
      </c>
      <c r="DY30" s="215">
        <f>'[1]November - 2022'!EB30</f>
        <v>-4677.3999999999996</v>
      </c>
      <c r="DZ30" s="91">
        <f>'[1]November - 2022'!EC30</f>
        <v>0</v>
      </c>
      <c r="EA30" s="215">
        <f>'[1]November - 2022'!ED30</f>
        <v>-5257.1</v>
      </c>
      <c r="EB30" s="91">
        <f>'[1]November - 2022'!EE30</f>
        <v>0</v>
      </c>
      <c r="EC30" s="215">
        <f>'[1]November - 2022'!EF30</f>
        <v>-1116090</v>
      </c>
      <c r="ED30" s="91">
        <f>'[1]November - 2022'!EI30</f>
        <v>0</v>
      </c>
      <c r="EE30" s="229">
        <f>'[1]November - 2022'!EJ30</f>
        <v>-229034.8</v>
      </c>
      <c r="EF30" s="378"/>
      <c r="EG30" s="235">
        <f>'[1]November - 2022'!EL30</f>
        <v>0</v>
      </c>
      <c r="EH30" s="230">
        <f>'[1]November - 2022'!EM30</f>
        <v>-12064000</v>
      </c>
      <c r="EI30" s="90">
        <f>'[1]November - 2022'!EN30</f>
        <v>0</v>
      </c>
      <c r="EJ30" s="230">
        <f>'[1]November - 2022'!EO30</f>
        <v>-928770</v>
      </c>
      <c r="EK30" s="90">
        <f>'[1]November - 2022'!EP30</f>
        <v>0</v>
      </c>
      <c r="EL30" s="230">
        <f>'[1]November - 2022'!EQ30</f>
        <v>-7183800</v>
      </c>
      <c r="EM30" s="90">
        <f>'[1]November - 2022'!ER30</f>
        <v>0</v>
      </c>
      <c r="EN30" s="230">
        <f>'[1]November - 2022'!ES30</f>
        <v>-2489200</v>
      </c>
      <c r="EO30" s="90">
        <f>'[1]November - 2022'!ET30</f>
        <v>0</v>
      </c>
      <c r="EP30" s="230">
        <f>'[1]November - 2022'!EU30</f>
        <v>-1264890</v>
      </c>
      <c r="EQ30" s="90">
        <f>'[1]November - 2022'!EV30</f>
        <v>0</v>
      </c>
      <c r="ER30" s="230">
        <f>'[1]November - 2022'!EW30</f>
        <v>-16544100</v>
      </c>
      <c r="ES30" s="426"/>
      <c r="ET30" s="281">
        <f>'[1]November - 2022'!EY30</f>
        <v>0</v>
      </c>
      <c r="EU30" s="275">
        <f>'[1]November - 2022'!EZ30</f>
        <v>-41811</v>
      </c>
      <c r="EV30" s="282">
        <f>'[1]November - 2022'!FA30</f>
        <v>0</v>
      </c>
      <c r="EW30" s="275">
        <f>'[1]November - 2022'!FB30</f>
        <v>-36574</v>
      </c>
      <c r="EX30" s="282">
        <f>'[1]November - 2022'!FC30</f>
        <v>0</v>
      </c>
      <c r="EY30" s="275">
        <f>'[1]November - 2022'!FD30</f>
        <v>-7358</v>
      </c>
      <c r="EZ30" s="282">
        <f>'[1]November - 2022'!FE30</f>
        <v>0</v>
      </c>
      <c r="FA30" s="275">
        <f>'[1]November - 2022'!FF30</f>
        <v>-59004</v>
      </c>
      <c r="FB30" s="282">
        <f>'[1]November - 2022'!FG30</f>
        <v>0</v>
      </c>
      <c r="FC30" s="276">
        <f>'[1]November - 2022'!FH30</f>
        <v>-48922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521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87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394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454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439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378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42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521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87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394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454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439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378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42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521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87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394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454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439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378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42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521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87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394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454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439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378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42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521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87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394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454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439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378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42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521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87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394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454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439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378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42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521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87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394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454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439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378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42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521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87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394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454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439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378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42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521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87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395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454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439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378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42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454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439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378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428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9899</v>
      </c>
      <c r="D44" s="549"/>
      <c r="E44" s="550"/>
      <c r="F44" s="551">
        <f>SUM(H9:H24)</f>
        <v>6516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2130.2300000000032</v>
      </c>
      <c r="P44" s="552"/>
      <c r="Q44" s="553"/>
      <c r="R44" s="557"/>
      <c r="S44" s="558"/>
      <c r="T44" s="526"/>
      <c r="U44" s="363">
        <f>SUM(W9:W24)</f>
        <v>37563.11999999918</v>
      </c>
      <c r="V44" s="364"/>
      <c r="W44" s="365"/>
      <c r="X44" s="363">
        <f>SUM(Z9:Z24)</f>
        <v>69815.759999997914</v>
      </c>
      <c r="Y44" s="364"/>
      <c r="Z44" s="365"/>
      <c r="AA44" s="363">
        <f>SUM(AC9:AC24)</f>
        <v>79559.759999999776</v>
      </c>
      <c r="AB44" s="364"/>
      <c r="AC44" s="365"/>
      <c r="AD44" s="363">
        <f>SUM(AF9:AF24)</f>
        <v>115368.96000000089</v>
      </c>
      <c r="AE44" s="364"/>
      <c r="AF44" s="365"/>
      <c r="AG44" s="363">
        <f>SUM(AI9:AI24)</f>
        <v>77952</v>
      </c>
      <c r="AH44" s="364"/>
      <c r="AI44" s="365"/>
      <c r="AJ44" s="363">
        <f>SUM(AL9:AL24)</f>
        <v>87403.680000003427</v>
      </c>
      <c r="AK44" s="364"/>
      <c r="AL44" s="365"/>
      <c r="AM44" s="363">
        <f>SUM(AO9:AO24)</f>
        <v>71277.359999999404</v>
      </c>
      <c r="AN44" s="364"/>
      <c r="AO44" s="365"/>
      <c r="AP44" s="363">
        <f>SUM(AR9:AR24)</f>
        <v>70546.559999998659</v>
      </c>
      <c r="AQ44" s="364"/>
      <c r="AR44" s="365"/>
      <c r="AS44" s="363">
        <f>SUM(AU9:AU24)</f>
        <v>46868.640000000596</v>
      </c>
      <c r="AT44" s="364"/>
      <c r="AU44" s="365"/>
      <c r="AV44" s="363">
        <f>SUM(AX9:AX24)</f>
        <v>88426.800000000745</v>
      </c>
      <c r="AW44" s="364"/>
      <c r="AX44" s="364"/>
      <c r="AY44" s="585"/>
      <c r="AZ44" s="364">
        <f>SUM(BB9:BB24)</f>
        <v>373300</v>
      </c>
      <c r="BA44" s="364"/>
      <c r="BB44" s="364"/>
      <c r="BC44" s="363">
        <f>SUM(BE9:BE24)</f>
        <v>561600</v>
      </c>
      <c r="BD44" s="364"/>
      <c r="BE44" s="364"/>
      <c r="BF44" s="358">
        <f>SUM(BH9:BH24)</f>
        <v>355000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1162</v>
      </c>
      <c r="CL44" s="358"/>
      <c r="CM44" s="358"/>
      <c r="CN44" s="358">
        <f>SUM(CP9:CP24)</f>
        <v>1492</v>
      </c>
      <c r="CO44" s="358"/>
      <c r="CP44" s="358"/>
      <c r="CQ44" s="358">
        <f>SUM(CS9:CS24)</f>
        <v>1616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14172</v>
      </c>
      <c r="D45" s="360"/>
      <c r="E45" s="361"/>
      <c r="F45" s="360">
        <f>SUM(G9:G24)</f>
        <v>7269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2671</v>
      </c>
      <c r="P45" s="360"/>
      <c r="Q45" s="361"/>
      <c r="R45" s="366"/>
      <c r="S45" s="367"/>
      <c r="T45" s="527"/>
      <c r="U45" s="351">
        <f>SUM(V9:V24)</f>
        <v>37563.11999999918</v>
      </c>
      <c r="V45" s="351"/>
      <c r="W45" s="352"/>
      <c r="X45" s="351">
        <f>SUM(Y9:Y24)</f>
        <v>69815.759999997914</v>
      </c>
      <c r="Y45" s="351"/>
      <c r="Z45" s="352"/>
      <c r="AA45" s="351">
        <f>SUM(AB9:AB24)</f>
        <v>79559.759999999776</v>
      </c>
      <c r="AB45" s="351"/>
      <c r="AC45" s="352"/>
      <c r="AD45" s="351">
        <f>SUM(AE9:AE24)</f>
        <v>115368.96000000089</v>
      </c>
      <c r="AE45" s="351"/>
      <c r="AF45" s="352"/>
      <c r="AG45" s="351">
        <f>SUM(AH9:AH24)</f>
        <v>77952</v>
      </c>
      <c r="AH45" s="351"/>
      <c r="AI45" s="352"/>
      <c r="AJ45" s="351">
        <f>SUM(AK9:AK24)</f>
        <v>87403.680000003427</v>
      </c>
      <c r="AK45" s="351"/>
      <c r="AL45" s="352"/>
      <c r="AM45" s="351">
        <f>SUM(AN9:AN24)</f>
        <v>71277.359999999404</v>
      </c>
      <c r="AN45" s="351"/>
      <c r="AO45" s="352"/>
      <c r="AP45" s="351">
        <f>SUM(AQ9:AQ24)</f>
        <v>70546.559999998659</v>
      </c>
      <c r="AQ45" s="351"/>
      <c r="AR45" s="352"/>
      <c r="AS45" s="351">
        <f>SUM(AT9:AT24)</f>
        <v>46868.640000000596</v>
      </c>
      <c r="AT45" s="351"/>
      <c r="AU45" s="352"/>
      <c r="AV45" s="351">
        <f>SUM(AW9:AW24)</f>
        <v>88426.800000000745</v>
      </c>
      <c r="AW45" s="351"/>
      <c r="AX45" s="351"/>
      <c r="AY45" s="585"/>
      <c r="AZ45" s="352">
        <f>SUM(BA9:BA24)</f>
        <v>373300</v>
      </c>
      <c r="BA45" s="358"/>
      <c r="BB45" s="358"/>
      <c r="BC45" s="358">
        <f>SUM(BD9:BD24)</f>
        <v>561600</v>
      </c>
      <c r="BD45" s="358"/>
      <c r="BE45" s="358"/>
      <c r="BF45" s="358">
        <f>SUM(BG9:BG24)</f>
        <v>355000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1162</v>
      </c>
      <c r="CL45" s="358"/>
      <c r="CM45" s="358"/>
      <c r="CN45" s="358">
        <f>SUM(CO9:CO24)</f>
        <v>1492</v>
      </c>
      <c r="CO45" s="358"/>
      <c r="CP45" s="358"/>
      <c r="CQ45" s="358">
        <f>SUM(CR9:CR24)</f>
        <v>1616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21449</v>
      </c>
      <c r="D47" s="577"/>
      <c r="E47" s="578"/>
      <c r="F47" s="576">
        <f>SUM(H9:H39)</f>
        <v>12930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3998.4500000000044</v>
      </c>
      <c r="P47" s="579"/>
      <c r="Q47" s="579"/>
      <c r="R47" s="576">
        <v>476</v>
      </c>
      <c r="S47" s="577"/>
      <c r="T47" s="586"/>
      <c r="U47" s="350">
        <f>SUM(W9:W39)</f>
        <v>-8052051.8399999999</v>
      </c>
      <c r="V47" s="351"/>
      <c r="W47" s="352"/>
      <c r="X47" s="350">
        <f>SUM(Z9:Z39)</f>
        <v>-15300662.16</v>
      </c>
      <c r="Y47" s="351"/>
      <c r="Z47" s="352"/>
      <c r="AA47" s="350">
        <f>SUM(AC9:AC39)</f>
        <v>-15617780.640000001</v>
      </c>
      <c r="AB47" s="351"/>
      <c r="AC47" s="352"/>
      <c r="AD47" s="350">
        <f>SUM(AF9:AF39)</f>
        <v>-18654011.039999999</v>
      </c>
      <c r="AE47" s="351"/>
      <c r="AF47" s="352"/>
      <c r="AG47" s="350">
        <f>SUM(AI9:AI39)</f>
        <v>-18948669.599999998</v>
      </c>
      <c r="AH47" s="351"/>
      <c r="AI47" s="352"/>
      <c r="AJ47" s="350">
        <f>SUM(AL9:AL39)</f>
        <v>-17346512.399999999</v>
      </c>
      <c r="AK47" s="351"/>
      <c r="AL47" s="352"/>
      <c r="AM47" s="350">
        <f>SUM(AO9:AO39)</f>
        <v>-14614489.68</v>
      </c>
      <c r="AN47" s="351"/>
      <c r="AO47" s="352"/>
      <c r="AP47" s="350">
        <f>SUM(AR9:AR39)</f>
        <v>-14131382.16</v>
      </c>
      <c r="AQ47" s="351"/>
      <c r="AR47" s="352"/>
      <c r="AS47" s="350">
        <f>SUM(AU9:AU39)</f>
        <v>-11062363.199999999</v>
      </c>
      <c r="AT47" s="351"/>
      <c r="AU47" s="352"/>
      <c r="AV47" s="350">
        <f>SUM(AX9:AX39)</f>
        <v>-17478835.919999998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-265178</v>
      </c>
      <c r="CL47" s="351"/>
      <c r="CM47" s="352"/>
      <c r="CN47" s="350">
        <f>SUM(CP9:CP39)</f>
        <v>-211137</v>
      </c>
      <c r="CO47" s="351"/>
      <c r="CP47" s="352"/>
      <c r="CQ47" s="350">
        <f>SUM(CS9:CS39)</f>
        <v>-349861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-179665</v>
      </c>
      <c r="D48" s="577"/>
      <c r="E48" s="578"/>
      <c r="F48" s="576">
        <f>SUM(G9:G39)</f>
        <v>-223632</v>
      </c>
      <c r="G48" s="577"/>
      <c r="H48" s="578"/>
      <c r="I48" s="576">
        <f>SUM(J10:J39)</f>
        <v>-2320</v>
      </c>
      <c r="J48" s="578"/>
      <c r="K48" s="576">
        <f>SUM(L9:L39)</f>
        <v>-910541</v>
      </c>
      <c r="L48" s="578"/>
      <c r="M48" s="576"/>
      <c r="N48" s="578"/>
      <c r="O48" s="576">
        <f>SUM(P9:P39)</f>
        <v>-110400</v>
      </c>
      <c r="P48" s="577"/>
      <c r="Q48" s="578"/>
      <c r="R48" s="576">
        <f>SUM(S9:S39)</f>
        <v>-5862</v>
      </c>
      <c r="S48" s="577"/>
      <c r="T48" s="586"/>
      <c r="U48" s="587">
        <f>SUM(V9:V39)</f>
        <v>-8052051.8399999999</v>
      </c>
      <c r="V48" s="588"/>
      <c r="W48" s="589"/>
      <c r="X48" s="587">
        <f>SUM(Y9:Y39)</f>
        <v>-15300662.16</v>
      </c>
      <c r="Y48" s="588"/>
      <c r="Z48" s="589"/>
      <c r="AA48" s="340">
        <f>SUM(AB9:AB39)</f>
        <v>-15617780.640000001</v>
      </c>
      <c r="AB48" s="341"/>
      <c r="AC48" s="342"/>
      <c r="AD48" s="340">
        <f>SUM(AE9:AE39)</f>
        <v>-18654011.039999999</v>
      </c>
      <c r="AE48" s="341"/>
      <c r="AF48" s="342"/>
      <c r="AG48" s="340">
        <f>SUM(AH9:AH39)</f>
        <v>-18948669.599999998</v>
      </c>
      <c r="AH48" s="341"/>
      <c r="AI48" s="342"/>
      <c r="AJ48" s="340">
        <f>SUM(AK9:AK39)</f>
        <v>-17346512.399999999</v>
      </c>
      <c r="AK48" s="341"/>
      <c r="AL48" s="342"/>
      <c r="AM48" s="340">
        <f>SUM(AN9:AN39)</f>
        <v>-14614489.68</v>
      </c>
      <c r="AN48" s="341"/>
      <c r="AO48" s="342"/>
      <c r="AP48" s="340">
        <f>SUM(AQ9:AQ39)</f>
        <v>-14131382.16</v>
      </c>
      <c r="AQ48" s="341"/>
      <c r="AR48" s="342"/>
      <c r="AS48" s="340">
        <f>SUM(AT9:AT39)</f>
        <v>-11062363.199999999</v>
      </c>
      <c r="AT48" s="341"/>
      <c r="AU48" s="342"/>
      <c r="AV48" s="340">
        <f>SUM(AW9:AW39)</f>
        <v>-17478835.919999998</v>
      </c>
      <c r="AW48" s="341"/>
      <c r="AX48" s="341"/>
      <c r="AY48" s="585"/>
      <c r="AZ48" s="336">
        <f>SUM(BA9:BA40)</f>
        <v>-77194800</v>
      </c>
      <c r="BA48" s="336"/>
      <c r="BB48" s="337"/>
      <c r="BC48" s="336">
        <f t="shared" ref="BC48" si="0">SUM(BD9:BD40)</f>
        <v>-79651500</v>
      </c>
      <c r="BD48" s="336"/>
      <c r="BE48" s="337"/>
      <c r="BF48" s="336">
        <f t="shared" ref="BF48" si="1">SUM(BG9:BG40)</f>
        <v>-73730900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-9927590</v>
      </c>
      <c r="BT48" s="343"/>
      <c r="BU48" s="566"/>
      <c r="BV48" s="353"/>
      <c r="BW48" s="354"/>
      <c r="BX48" s="117"/>
      <c r="BY48" s="348">
        <f>SUM(BZ9:BZ39)</f>
        <v>-63542</v>
      </c>
      <c r="BZ48" s="349"/>
      <c r="CA48" s="348">
        <f>SUM(CB9:CB39)</f>
        <v>-54684</v>
      </c>
      <c r="CB48" s="349"/>
      <c r="CC48" s="348">
        <f>SUM(CD9:CD39)</f>
        <v>-18495</v>
      </c>
      <c r="CD48" s="349"/>
      <c r="CE48" s="348">
        <f>SUM(CF9:CF39)</f>
        <v>-25191</v>
      </c>
      <c r="CF48" s="349"/>
      <c r="CG48" s="348">
        <f>SUM(CH9:CH39)</f>
        <v>-27922</v>
      </c>
      <c r="CH48" s="349"/>
      <c r="CI48" s="348">
        <f>SUM(CJ9:CJ39)</f>
        <v>-61167</v>
      </c>
      <c r="CJ48" s="349"/>
      <c r="CK48" s="348">
        <f>SUM(CL9:CL39)</f>
        <v>-265178</v>
      </c>
      <c r="CL48" s="355"/>
      <c r="CM48" s="349"/>
      <c r="CN48" s="348">
        <f>SUM(CO9:CO39)</f>
        <v>-211137</v>
      </c>
      <c r="CO48" s="355"/>
      <c r="CP48" s="349"/>
      <c r="CQ48" s="348">
        <f>SUM(CR9:CR39)</f>
        <v>-349861</v>
      </c>
      <c r="CR48" s="355"/>
      <c r="CS48" s="349"/>
      <c r="CT48" s="348">
        <f>SUM(CU9:CU39)</f>
        <v>-688055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201114</v>
      </c>
      <c r="D49" s="304"/>
      <c r="E49" s="305"/>
      <c r="F49" s="303">
        <f>F47-F48</f>
        <v>236562</v>
      </c>
      <c r="G49" s="304"/>
      <c r="H49" s="305"/>
      <c r="I49" s="303">
        <f>I47-I48</f>
        <v>9368.9</v>
      </c>
      <c r="J49" s="305"/>
      <c r="K49" s="303">
        <f>K47-K48</f>
        <v>918243.2</v>
      </c>
      <c r="L49" s="305"/>
      <c r="M49" s="303"/>
      <c r="N49" s="305"/>
      <c r="O49" s="590">
        <f>O47-O48</f>
        <v>114398.45000000001</v>
      </c>
      <c r="P49" s="590"/>
      <c r="Q49" s="590"/>
      <c r="R49" s="303">
        <f>R47-R48</f>
        <v>6338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-77542100</v>
      </c>
      <c r="BA49" s="336"/>
      <c r="BB49" s="337"/>
      <c r="BC49" s="336">
        <f t="shared" ref="BC49" si="2">BC48-BC47</f>
        <v>-80012600</v>
      </c>
      <c r="BD49" s="336"/>
      <c r="BE49" s="337"/>
      <c r="BF49" s="336">
        <f t="shared" ref="BF49" si="3">BF48-BF47</f>
        <v>-74289742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691949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-151206758.64000002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-151206758.64000002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744782.6400000006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744782.6400000006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-230577200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2022-11-21T12:56:24Z</dcterms:modified>
</cp:coreProperties>
</file>