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7"/>
  <workbookPr filterPrivacy="1" defaultThemeVersion="124226"/>
  <xr:revisionPtr revIDLastSave="0" documentId="13_ncr:1_{FA6EC374-FDD5-4AAB-AD05-EFE1E5CF9CF3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 refMode="R1C1"/>
</workbook>
</file>

<file path=xl/calcChain.xml><?xml version="1.0" encoding="utf-8"?>
<calcChain xmlns="http://schemas.openxmlformats.org/spreadsheetml/2006/main">
  <c r="G24" i="2" l="1"/>
  <c r="B32" i="8" l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/>
  <c r="J12" i="2"/>
  <c r="S8" i="8"/>
  <c r="S9" i="8"/>
  <c r="J8" i="2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L20" i="8" s="1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D9" i="8" s="1"/>
  <c r="I7" i="8"/>
  <c r="B8" i="2"/>
  <c r="V8" i="2" s="1"/>
  <c r="M7" i="3" s="1"/>
  <c r="O17" i="8"/>
  <c r="C17" i="2"/>
  <c r="C18" i="2"/>
  <c r="C19" i="2"/>
  <c r="G17" i="8"/>
  <c r="B8" i="8"/>
  <c r="Z8" i="8" s="1"/>
  <c r="B10" i="8"/>
  <c r="S27" i="2"/>
  <c r="B20" i="4"/>
  <c r="B3" i="4"/>
  <c r="H21" i="2"/>
  <c r="C21" i="2"/>
  <c r="C22" i="2"/>
  <c r="C24" i="2"/>
  <c r="B5" i="8"/>
  <c r="B6" i="8"/>
  <c r="Z6" i="8" s="1"/>
  <c r="B7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D22" i="8" s="1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H25" i="8" s="1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L6" i="4" s="1"/>
  <c r="B7" i="4"/>
  <c r="B8" i="4"/>
  <c r="L8" i="4" s="1"/>
  <c r="B9" i="4"/>
  <c r="L9" i="4" s="1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C4" i="3" s="1"/>
  <c r="B6" i="2"/>
  <c r="B7" i="2"/>
  <c r="V7" i="2" s="1"/>
  <c r="M6" i="3" s="1"/>
  <c r="B9" i="2"/>
  <c r="V9" i="2" s="1"/>
  <c r="M8" i="3" s="1"/>
  <c r="B10" i="2"/>
  <c r="B11" i="2"/>
  <c r="B12" i="2"/>
  <c r="C11" i="3" s="1"/>
  <c r="B13" i="2"/>
  <c r="C12" i="3" s="1"/>
  <c r="B14" i="2"/>
  <c r="C13" i="3" s="1"/>
  <c r="B15" i="2"/>
  <c r="B16" i="2"/>
  <c r="C15" i="3" s="1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/>
  <c r="D6" i="2"/>
  <c r="D5" i="4"/>
  <c r="D7" i="2"/>
  <c r="D6" i="4"/>
  <c r="D7" i="4"/>
  <c r="D8" i="4"/>
  <c r="D10" i="2"/>
  <c r="D9" i="4"/>
  <c r="D11" i="2"/>
  <c r="D10" i="4" s="1"/>
  <c r="D12" i="2"/>
  <c r="D11" i="4"/>
  <c r="D13" i="2"/>
  <c r="D12" i="4"/>
  <c r="D14" i="2"/>
  <c r="D13" i="4" s="1"/>
  <c r="D15" i="2"/>
  <c r="D14" i="4" s="1"/>
  <c r="D16" i="2"/>
  <c r="D15" i="4" s="1"/>
  <c r="D17" i="2"/>
  <c r="E16" i="3" s="1"/>
  <c r="D18" i="2"/>
  <c r="D17" i="4" s="1"/>
  <c r="D19" i="2"/>
  <c r="D18" i="4" s="1"/>
  <c r="D20" i="2"/>
  <c r="D19" i="4" s="1"/>
  <c r="D21" i="2"/>
  <c r="D20" i="4" s="1"/>
  <c r="D22" i="2"/>
  <c r="D21" i="4"/>
  <c r="D22" i="4"/>
  <c r="D24" i="2"/>
  <c r="D23" i="4" s="1"/>
  <c r="D25" i="2"/>
  <c r="D24" i="4"/>
  <c r="D26" i="2"/>
  <c r="D25" i="4"/>
  <c r="D27" i="2"/>
  <c r="D26" i="4"/>
  <c r="D28" i="2"/>
  <c r="D27" i="4"/>
  <c r="D29" i="2"/>
  <c r="D28" i="4"/>
  <c r="D30" i="2"/>
  <c r="D29" i="4"/>
  <c r="D31" i="2"/>
  <c r="D30" i="4"/>
  <c r="D32" i="2"/>
  <c r="D31" i="4"/>
  <c r="D33" i="2"/>
  <c r="D32" i="4"/>
  <c r="D34" i="2"/>
  <c r="D4" i="2"/>
  <c r="B4" i="3"/>
  <c r="B5" i="3"/>
  <c r="B6" i="3"/>
  <c r="G6" i="3" s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G27" i="3" s="1"/>
  <c r="B28" i="3"/>
  <c r="B29" i="3"/>
  <c r="B30" i="3"/>
  <c r="H30" i="3" s="1"/>
  <c r="B31" i="3"/>
  <c r="B32" i="3"/>
  <c r="B33" i="3"/>
  <c r="B3" i="3"/>
  <c r="D3" i="4"/>
  <c r="D33" i="4"/>
  <c r="C33" i="3"/>
  <c r="D33" i="3"/>
  <c r="E33" i="3"/>
  <c r="J33" i="3"/>
  <c r="K33" i="3"/>
  <c r="L33" i="3"/>
  <c r="I33" i="3"/>
  <c r="I34" i="2"/>
  <c r="H33" i="3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F33" i="3"/>
  <c r="V34" i="2"/>
  <c r="M33" i="3"/>
  <c r="G33" i="3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/>
  <c r="C34" i="8"/>
  <c r="V33" i="8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/>
  <c r="Z33" i="8"/>
  <c r="A34" i="8"/>
  <c r="C33" i="4"/>
  <c r="E33" i="4"/>
  <c r="K33" i="4"/>
  <c r="A33" i="4"/>
  <c r="A33" i="3"/>
  <c r="A34" i="2"/>
  <c r="G33" i="4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X25" i="8" s="1"/>
  <c r="U25" i="8"/>
  <c r="V25" i="8" s="1"/>
  <c r="S25" i="8"/>
  <c r="Q25" i="8"/>
  <c r="O25" i="8"/>
  <c r="M25" i="8"/>
  <c r="N25" i="8" s="1"/>
  <c r="I25" i="8"/>
  <c r="E25" i="8"/>
  <c r="C25" i="8"/>
  <c r="A25" i="8"/>
  <c r="W24" i="8"/>
  <c r="X24" i="8" s="1"/>
  <c r="U24" i="8"/>
  <c r="S24" i="8"/>
  <c r="Q24" i="8"/>
  <c r="R24" i="8" s="1"/>
  <c r="O24" i="8"/>
  <c r="M24" i="8"/>
  <c r="N24" i="8" s="1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X22" i="8" s="1"/>
  <c r="A22" i="8"/>
  <c r="W21" i="8"/>
  <c r="U21" i="8"/>
  <c r="S21" i="8"/>
  <c r="Q21" i="8"/>
  <c r="O21" i="8"/>
  <c r="M21" i="8"/>
  <c r="I21" i="8"/>
  <c r="E21" i="8"/>
  <c r="C21" i="8"/>
  <c r="T21" i="8" s="1"/>
  <c r="A21" i="8"/>
  <c r="W20" i="8"/>
  <c r="X20" i="8" s="1"/>
  <c r="U20" i="8"/>
  <c r="S20" i="8"/>
  <c r="Q20" i="8"/>
  <c r="O20" i="8"/>
  <c r="M20" i="8"/>
  <c r="I20" i="8"/>
  <c r="Y20" i="8" s="1"/>
  <c r="E20" i="8"/>
  <c r="C20" i="8"/>
  <c r="A20" i="8"/>
  <c r="W19" i="8"/>
  <c r="U19" i="8"/>
  <c r="S19" i="8"/>
  <c r="Q19" i="8"/>
  <c r="O19" i="8"/>
  <c r="M19" i="8"/>
  <c r="I19" i="8"/>
  <c r="E19" i="8"/>
  <c r="C19" i="8"/>
  <c r="R19" i="8" s="1"/>
  <c r="A19" i="8"/>
  <c r="W18" i="8"/>
  <c r="U18" i="8"/>
  <c r="S18" i="8"/>
  <c r="Q18" i="8"/>
  <c r="O18" i="8"/>
  <c r="M18" i="8"/>
  <c r="I18" i="8"/>
  <c r="E18" i="8"/>
  <c r="C18" i="8"/>
  <c r="H18" i="8" s="1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X11" i="8" s="1"/>
  <c r="U11" i="8"/>
  <c r="S11" i="8"/>
  <c r="Q11" i="8"/>
  <c r="O11" i="8"/>
  <c r="M11" i="8"/>
  <c r="I11" i="8"/>
  <c r="E11" i="8"/>
  <c r="C11" i="8"/>
  <c r="T11" i="8" s="1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/>
  <c r="R30" i="8"/>
  <c r="X30" i="8"/>
  <c r="T28" i="8"/>
  <c r="R7" i="8"/>
  <c r="J7" i="8"/>
  <c r="T8" i="8"/>
  <c r="X6" i="8"/>
  <c r="P10" i="8"/>
  <c r="X10" i="8"/>
  <c r="P6" i="8"/>
  <c r="P26" i="8"/>
  <c r="X26" i="8"/>
  <c r="J26" i="8"/>
  <c r="T20" i="8"/>
  <c r="R26" i="8"/>
  <c r="J6" i="8"/>
  <c r="R6" i="8"/>
  <c r="J10" i="8"/>
  <c r="R10" i="8"/>
  <c r="T6" i="8"/>
  <c r="R27" i="8"/>
  <c r="R31" i="8"/>
  <c r="V32" i="8"/>
  <c r="P8" i="8"/>
  <c r="X8" i="8"/>
  <c r="T10" i="8"/>
  <c r="T26" i="8"/>
  <c r="D5" i="8"/>
  <c r="H5" i="8"/>
  <c r="N9" i="8"/>
  <c r="H17" i="8"/>
  <c r="D29" i="8"/>
  <c r="H29" i="8"/>
  <c r="V29" i="8"/>
  <c r="P4" i="8"/>
  <c r="V4" i="8"/>
  <c r="P5" i="8"/>
  <c r="X5" i="8"/>
  <c r="T7" i="8"/>
  <c r="H8" i="8"/>
  <c r="N8" i="8"/>
  <c r="V8" i="8"/>
  <c r="P9" i="8"/>
  <c r="X9" i="8"/>
  <c r="D20" i="8"/>
  <c r="N20" i="8"/>
  <c r="H24" i="8"/>
  <c r="V24" i="8"/>
  <c r="P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T4" i="8"/>
  <c r="V5" i="8"/>
  <c r="H9" i="8"/>
  <c r="H4" i="8"/>
  <c r="J5" i="8"/>
  <c r="V7" i="8"/>
  <c r="J9" i="8"/>
  <c r="R9" i="8"/>
  <c r="P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N4" i="8"/>
  <c r="N5" i="8"/>
  <c r="V9" i="8"/>
  <c r="N17" i="8"/>
  <c r="D25" i="8"/>
  <c r="N29" i="8"/>
  <c r="X4" i="8"/>
  <c r="R5" i="8"/>
  <c r="D7" i="8"/>
  <c r="H7" i="8"/>
  <c r="N7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D18" i="8"/>
  <c r="N18" i="8"/>
  <c r="R20" i="8"/>
  <c r="J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F4" i="8"/>
  <c r="F5" i="8"/>
  <c r="F6" i="8"/>
  <c r="F7" i="8"/>
  <c r="F8" i="8"/>
  <c r="F9" i="8"/>
  <c r="F10" i="8"/>
  <c r="F1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L5" i="8"/>
  <c r="L6" i="8"/>
  <c r="L7" i="8"/>
  <c r="L8" i="8"/>
  <c r="L9" i="8"/>
  <c r="L10" i="8"/>
  <c r="L14" i="8"/>
  <c r="L18" i="8"/>
  <c r="L24" i="8"/>
  <c r="L25" i="8"/>
  <c r="L26" i="8"/>
  <c r="L27" i="8"/>
  <c r="L28" i="8"/>
  <c r="L29" i="8"/>
  <c r="L30" i="8"/>
  <c r="L31" i="8"/>
  <c r="L32" i="8"/>
  <c r="L33" i="4"/>
  <c r="Y5" i="8"/>
  <c r="Z5" i="8"/>
  <c r="Y6" i="8"/>
  <c r="Y7" i="8"/>
  <c r="Z7" i="8"/>
  <c r="Y8" i="8"/>
  <c r="Y9" i="8"/>
  <c r="Y10" i="8"/>
  <c r="Z10" i="8"/>
  <c r="Y26" i="8"/>
  <c r="Z26" i="8"/>
  <c r="Y27" i="8"/>
  <c r="Z27" i="8"/>
  <c r="Y28" i="8"/>
  <c r="Z28" i="8"/>
  <c r="Y29" i="8"/>
  <c r="Z29" i="8"/>
  <c r="Y30" i="8"/>
  <c r="Z30" i="8"/>
  <c r="Y31" i="8"/>
  <c r="Z31" i="8"/>
  <c r="Y32" i="8"/>
  <c r="Z32" i="8"/>
  <c r="Y15" i="8"/>
  <c r="Z15" i="8" s="1"/>
  <c r="Y4" i="8"/>
  <c r="Z4" i="8"/>
  <c r="I3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O18" i="2"/>
  <c r="I17" i="4" s="1"/>
  <c r="U5" i="2"/>
  <c r="K4" i="4"/>
  <c r="A30" i="3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/>
  <c r="C5" i="2"/>
  <c r="C4" i="2"/>
  <c r="H32" i="4"/>
  <c r="T20" i="2"/>
  <c r="J7" i="2"/>
  <c r="U7" i="2"/>
  <c r="N17" i="2"/>
  <c r="H15" i="2"/>
  <c r="I12" i="2"/>
  <c r="G11" i="2"/>
  <c r="F11" i="2"/>
  <c r="G10" i="3" s="1"/>
  <c r="C11" i="2"/>
  <c r="C10" i="4" s="1"/>
  <c r="C10" i="3"/>
  <c r="C9" i="3"/>
  <c r="C8" i="3"/>
  <c r="C7" i="3"/>
  <c r="L10" i="2"/>
  <c r="U10" i="2"/>
  <c r="L9" i="3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G21" i="4" s="1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/>
  <c r="L6" i="3"/>
  <c r="L7" i="3"/>
  <c r="U11" i="2"/>
  <c r="K10" i="4"/>
  <c r="U12" i="2"/>
  <c r="K11" i="4" s="1"/>
  <c r="U13" i="2"/>
  <c r="K12" i="4" s="1"/>
  <c r="U14" i="2"/>
  <c r="K13" i="4" s="1"/>
  <c r="U15" i="2"/>
  <c r="U16" i="2"/>
  <c r="K15" i="4" s="1"/>
  <c r="U17" i="2"/>
  <c r="L16" i="3"/>
  <c r="U18" i="2"/>
  <c r="L17" i="3" s="1"/>
  <c r="U19" i="2"/>
  <c r="L18" i="3" s="1"/>
  <c r="U20" i="2"/>
  <c r="L19" i="3" s="1"/>
  <c r="U21" i="2"/>
  <c r="K20" i="4" s="1"/>
  <c r="U22" i="2"/>
  <c r="K21" i="4" s="1"/>
  <c r="U24" i="2"/>
  <c r="K23" i="4" s="1"/>
  <c r="U25" i="2"/>
  <c r="K24" i="4" s="1"/>
  <c r="U26" i="2"/>
  <c r="K25" i="4"/>
  <c r="U27" i="2"/>
  <c r="K26" i="4"/>
  <c r="U28" i="2"/>
  <c r="U29" i="2"/>
  <c r="K28" i="4"/>
  <c r="U30" i="2"/>
  <c r="K29" i="4"/>
  <c r="U31" i="2"/>
  <c r="K30" i="4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F24" i="4" s="1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H20" i="4" s="1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5" i="2"/>
  <c r="E6" i="2"/>
  <c r="F5" i="3"/>
  <c r="E7" i="2"/>
  <c r="E6" i="4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E21" i="2"/>
  <c r="E22" i="2"/>
  <c r="E21" i="4" s="1"/>
  <c r="E24" i="2"/>
  <c r="F23" i="3" s="1"/>
  <c r="E25" i="2"/>
  <c r="F24" i="3" s="1"/>
  <c r="E26" i="2"/>
  <c r="E27" i="2"/>
  <c r="F26" i="3"/>
  <c r="E28" i="2"/>
  <c r="E27" i="4"/>
  <c r="E29" i="2"/>
  <c r="E28" i="4"/>
  <c r="E30" i="2"/>
  <c r="F29" i="3"/>
  <c r="E31" i="2"/>
  <c r="F30" i="3"/>
  <c r="E32" i="2"/>
  <c r="F31" i="3"/>
  <c r="E32" i="4"/>
  <c r="E4" i="2"/>
  <c r="K5" i="2"/>
  <c r="K6" i="2"/>
  <c r="K7" i="2"/>
  <c r="K11" i="2"/>
  <c r="K12" i="2"/>
  <c r="K13" i="2"/>
  <c r="I12" i="3" s="1"/>
  <c r="K14" i="2"/>
  <c r="K15" i="2"/>
  <c r="K16" i="2"/>
  <c r="K17" i="2"/>
  <c r="K18" i="2"/>
  <c r="H17" i="4" s="1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J15" i="3" s="1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V11" i="2" s="1"/>
  <c r="S12" i="2"/>
  <c r="J11" i="4" s="1"/>
  <c r="S13" i="2"/>
  <c r="S14" i="2"/>
  <c r="J13" i="4" s="1"/>
  <c r="S15" i="2"/>
  <c r="S16" i="2"/>
  <c r="S17" i="2"/>
  <c r="K16" i="3" s="1"/>
  <c r="S18" i="2"/>
  <c r="S19" i="2"/>
  <c r="S20" i="2"/>
  <c r="J19" i="4" s="1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16" i="3"/>
  <c r="C17" i="3"/>
  <c r="C18" i="3"/>
  <c r="C19" i="3"/>
  <c r="C20" i="3"/>
  <c r="C21" i="3"/>
  <c r="C23" i="3"/>
  <c r="C24" i="3"/>
  <c r="C25" i="3"/>
  <c r="C26" i="3"/>
  <c r="C27" i="3"/>
  <c r="C28" i="3"/>
  <c r="V32" i="2"/>
  <c r="V24" i="2"/>
  <c r="M23" i="3" s="1"/>
  <c r="F4" i="3"/>
  <c r="V31" i="2"/>
  <c r="E3" i="4"/>
  <c r="V4" i="2"/>
  <c r="M3" i="3"/>
  <c r="F17" i="3"/>
  <c r="V30" i="2"/>
  <c r="V26" i="2"/>
  <c r="M25" i="3"/>
  <c r="D21" i="3"/>
  <c r="V10" i="2"/>
  <c r="M9" i="3" s="1"/>
  <c r="V28" i="2"/>
  <c r="C11" i="4"/>
  <c r="V27" i="2"/>
  <c r="K3" i="4"/>
  <c r="V29" i="2"/>
  <c r="M28" i="3"/>
  <c r="C20" i="4"/>
  <c r="C12" i="4"/>
  <c r="C31" i="4"/>
  <c r="C26" i="4"/>
  <c r="D24" i="3"/>
  <c r="C23" i="4"/>
  <c r="C30" i="4"/>
  <c r="C25" i="4"/>
  <c r="C29" i="4"/>
  <c r="H15" i="4"/>
  <c r="D28" i="3"/>
  <c r="E8" i="3"/>
  <c r="C15" i="4"/>
  <c r="H29" i="3"/>
  <c r="C14" i="4"/>
  <c r="C13" i="4"/>
  <c r="K17" i="4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E15" i="3"/>
  <c r="C7" i="4"/>
  <c r="K7" i="3"/>
  <c r="I3" i="3"/>
  <c r="I4" i="3"/>
  <c r="H29" i="4"/>
  <c r="G28" i="3"/>
  <c r="F28" i="4"/>
  <c r="D26" i="3"/>
  <c r="H24" i="3"/>
  <c r="L25" i="3"/>
  <c r="J23" i="4"/>
  <c r="K19" i="4"/>
  <c r="G18" i="3"/>
  <c r="L11" i="3"/>
  <c r="J10" i="4"/>
  <c r="H7" i="3"/>
  <c r="F7" i="3"/>
  <c r="G7" i="4"/>
  <c r="G7" i="3"/>
  <c r="H7" i="4"/>
  <c r="L5" i="3"/>
  <c r="C5" i="4"/>
  <c r="I5" i="3"/>
  <c r="D15" i="3"/>
  <c r="E7" i="3"/>
  <c r="F16" i="3"/>
  <c r="L26" i="3"/>
  <c r="K18" i="4"/>
  <c r="J7" i="3"/>
  <c r="E25" i="3"/>
  <c r="E21" i="3"/>
  <c r="L4" i="3"/>
  <c r="K14" i="4"/>
  <c r="D31" i="3"/>
  <c r="H4" i="4"/>
  <c r="E3" i="3"/>
  <c r="K4" i="3"/>
  <c r="J30" i="4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G29" i="3"/>
  <c r="E28" i="3"/>
  <c r="H28" i="3"/>
  <c r="J28" i="4"/>
  <c r="J27" i="4"/>
  <c r="H28" i="4"/>
  <c r="H27" i="3"/>
  <c r="G26" i="4"/>
  <c r="G27" i="4"/>
  <c r="F27" i="4"/>
  <c r="H27" i="4"/>
  <c r="G26" i="3"/>
  <c r="K25" i="3"/>
  <c r="F25" i="4"/>
  <c r="I23" i="3"/>
  <c r="K22" i="4"/>
  <c r="F22" i="4"/>
  <c r="G19" i="4"/>
  <c r="E19" i="4"/>
  <c r="G18" i="4"/>
  <c r="G14" i="4"/>
  <c r="L15" i="3"/>
  <c r="G13" i="4"/>
  <c r="G12" i="4"/>
  <c r="E10" i="4"/>
  <c r="H11" i="4"/>
  <c r="H10" i="3"/>
  <c r="H9" i="4"/>
  <c r="K7" i="4"/>
  <c r="I7" i="4"/>
  <c r="F7" i="4"/>
  <c r="I7" i="3"/>
  <c r="I8" i="3"/>
  <c r="J7" i="4"/>
  <c r="H5" i="3"/>
  <c r="F5" i="4"/>
  <c r="J6" i="4"/>
  <c r="J4" i="3"/>
  <c r="H5" i="4"/>
  <c r="E5" i="3"/>
  <c r="F6" i="4"/>
  <c r="K16" i="4"/>
  <c r="D29" i="3"/>
  <c r="J5" i="3"/>
  <c r="G5" i="3"/>
  <c r="D13" i="3"/>
  <c r="K5" i="3"/>
  <c r="I6" i="4"/>
  <c r="G22" i="4"/>
  <c r="G4" i="4"/>
  <c r="F4" i="4"/>
  <c r="F3" i="3"/>
  <c r="E4" i="3"/>
  <c r="E17" i="4"/>
  <c r="H26" i="3"/>
  <c r="H6" i="4"/>
  <c r="G10" i="4"/>
  <c r="I4" i="4"/>
  <c r="I5" i="4"/>
  <c r="K6" i="4"/>
  <c r="L28" i="3"/>
  <c r="G31" i="3"/>
  <c r="J9" i="3"/>
  <c r="F10" i="4"/>
  <c r="F26" i="4"/>
  <c r="F21" i="3"/>
  <c r="J4" i="4"/>
  <c r="H9" i="3"/>
  <c r="G28" i="4"/>
  <c r="C24" i="4"/>
  <c r="D20" i="3"/>
  <c r="C16" i="4"/>
  <c r="G8" i="3"/>
  <c r="J8" i="3"/>
  <c r="C8" i="4"/>
  <c r="I25" i="4"/>
  <c r="C27" i="4"/>
  <c r="D23" i="3"/>
  <c r="C19" i="4"/>
  <c r="H25" i="3"/>
  <c r="E8" i="4"/>
  <c r="I32" i="4"/>
  <c r="I17" i="3"/>
  <c r="F30" i="4"/>
  <c r="C22" i="4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F31" i="4"/>
  <c r="J31" i="4"/>
  <c r="E30" i="4"/>
  <c r="G29" i="4"/>
  <c r="G30" i="4"/>
  <c r="I30" i="4"/>
  <c r="I29" i="4"/>
  <c r="F29" i="4"/>
  <c r="H30" i="4"/>
  <c r="J29" i="4"/>
  <c r="K29" i="3"/>
  <c r="C28" i="4"/>
  <c r="L29" i="3"/>
  <c r="J29" i="3"/>
  <c r="I29" i="3"/>
  <c r="E29" i="3"/>
  <c r="E29" i="4"/>
  <c r="J28" i="3"/>
  <c r="I28" i="3"/>
  <c r="I28" i="4"/>
  <c r="I27" i="4"/>
  <c r="K28" i="3"/>
  <c r="F28" i="3"/>
  <c r="K27" i="4"/>
  <c r="J26" i="3"/>
  <c r="E26" i="3"/>
  <c r="J26" i="4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G22" i="3"/>
  <c r="F23" i="4"/>
  <c r="H23" i="4"/>
  <c r="J22" i="4"/>
  <c r="K23" i="3"/>
  <c r="D22" i="3"/>
  <c r="G21" i="3"/>
  <c r="H21" i="3"/>
  <c r="G20" i="4"/>
  <c r="L21" i="3"/>
  <c r="L20" i="3"/>
  <c r="I21" i="4"/>
  <c r="F21" i="4"/>
  <c r="E20" i="3"/>
  <c r="J21" i="4"/>
  <c r="K21" i="3"/>
  <c r="H20" i="3"/>
  <c r="I20" i="3"/>
  <c r="J20" i="4"/>
  <c r="K20" i="3"/>
  <c r="E20" i="4"/>
  <c r="H18" i="3"/>
  <c r="F19" i="4"/>
  <c r="F18" i="4"/>
  <c r="I19" i="4"/>
  <c r="E18" i="3"/>
  <c r="I18" i="3"/>
  <c r="D17" i="3"/>
  <c r="G17" i="4"/>
  <c r="E17" i="3"/>
  <c r="J17" i="4"/>
  <c r="D16" i="3"/>
  <c r="J16" i="4"/>
  <c r="G15" i="4"/>
  <c r="H15" i="3"/>
  <c r="J14" i="4"/>
  <c r="E15" i="4"/>
  <c r="F15" i="3"/>
  <c r="L13" i="3"/>
  <c r="I14" i="4"/>
  <c r="H13" i="3"/>
  <c r="L12" i="3"/>
  <c r="G12" i="3"/>
  <c r="F13" i="4"/>
  <c r="J13" i="3"/>
  <c r="I13" i="4"/>
  <c r="E13" i="3"/>
  <c r="F12" i="3"/>
  <c r="H11" i="3"/>
  <c r="J12" i="4"/>
  <c r="K12" i="3"/>
  <c r="E11" i="4"/>
  <c r="L10" i="3"/>
  <c r="J10" i="3"/>
  <c r="F11" i="4"/>
  <c r="E10" i="3"/>
  <c r="F8" i="4"/>
  <c r="J8" i="4"/>
  <c r="E9" i="4"/>
  <c r="I9" i="4"/>
  <c r="G8" i="4"/>
  <c r="F9" i="4"/>
  <c r="J9" i="4"/>
  <c r="H8" i="4"/>
  <c r="G9" i="4"/>
  <c r="K9" i="4"/>
  <c r="L7" i="4"/>
  <c r="L5" i="4"/>
  <c r="L3" i="4"/>
  <c r="L4" i="4"/>
  <c r="L26" i="4"/>
  <c r="L25" i="4"/>
  <c r="L30" i="4"/>
  <c r="L31" i="4"/>
  <c r="L29" i="4"/>
  <c r="L32" i="4"/>
  <c r="L27" i="4"/>
  <c r="L28" i="4"/>
  <c r="M32" i="3"/>
  <c r="M31" i="3"/>
  <c r="M29" i="3"/>
  <c r="M26" i="3"/>
  <c r="M35" i="8" l="1"/>
  <c r="J23" i="8"/>
  <c r="Y24" i="8"/>
  <c r="Z24" i="8" s="1"/>
  <c r="T24" i="8"/>
  <c r="Y25" i="8"/>
  <c r="Z25" i="8" s="1"/>
  <c r="D24" i="8"/>
  <c r="G24" i="3"/>
  <c r="V25" i="2"/>
  <c r="M24" i="3" s="1"/>
  <c r="G24" i="4"/>
  <c r="O35" i="2"/>
  <c r="V23" i="2"/>
  <c r="M22" i="3" s="1"/>
  <c r="I22" i="4"/>
  <c r="L24" i="4"/>
  <c r="H22" i="4"/>
  <c r="L22" i="4" s="1"/>
  <c r="L23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Z20" i="8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L21" i="4" s="1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L19" i="4" s="1"/>
  <c r="D19" i="8"/>
  <c r="R18" i="8"/>
  <c r="X19" i="8"/>
  <c r="T18" i="8"/>
  <c r="F19" i="8"/>
  <c r="P19" i="8"/>
  <c r="V18" i="8"/>
  <c r="X18" i="8"/>
  <c r="N19" i="8"/>
  <c r="F18" i="8"/>
  <c r="D18" i="3"/>
  <c r="C18" i="4"/>
  <c r="C34" i="4" s="1"/>
  <c r="C36" i="4" s="1"/>
  <c r="H17" i="3"/>
  <c r="J17" i="3"/>
  <c r="I18" i="4"/>
  <c r="K18" i="3"/>
  <c r="J18" i="4"/>
  <c r="K17" i="3"/>
  <c r="V19" i="2"/>
  <c r="M18" i="3" s="1"/>
  <c r="D8" i="8"/>
  <c r="Z9" i="8"/>
  <c r="Y18" i="8"/>
  <c r="Z18" i="8" s="1"/>
  <c r="L17" i="8"/>
  <c r="H16" i="3"/>
  <c r="J16" i="3"/>
  <c r="G17" i="3"/>
  <c r="F17" i="4"/>
  <c r="L17" i="4" s="1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G34" i="4" s="1"/>
  <c r="G36" i="4" s="1"/>
  <c r="R35" i="2"/>
  <c r="I15" i="4"/>
  <c r="G16" i="3"/>
  <c r="G35" i="2"/>
  <c r="F16" i="4"/>
  <c r="I16" i="3"/>
  <c r="I15" i="3"/>
  <c r="D16" i="4"/>
  <c r="D34" i="4" s="1"/>
  <c r="D36" i="4" s="1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K34" i="4"/>
  <c r="K36" i="4" s="1"/>
  <c r="I12" i="4"/>
  <c r="M35" i="2"/>
  <c r="G13" i="3"/>
  <c r="H35" i="2"/>
  <c r="F35" i="2"/>
  <c r="H12" i="4"/>
  <c r="H10" i="4"/>
  <c r="N35" i="2"/>
  <c r="I10" i="4"/>
  <c r="L10" i="4" s="1"/>
  <c r="K10" i="3"/>
  <c r="V12" i="2"/>
  <c r="M11" i="3" s="1"/>
  <c r="K11" i="3"/>
  <c r="V14" i="2"/>
  <c r="M13" i="3" s="1"/>
  <c r="E13" i="4"/>
  <c r="E35" i="2"/>
  <c r="M10" i="3"/>
  <c r="I10" i="3"/>
  <c r="I22" i="3"/>
  <c r="J22" i="3"/>
  <c r="K27" i="3"/>
  <c r="E30" i="3"/>
  <c r="K14" i="3"/>
  <c r="K6" i="3"/>
  <c r="F14" i="3"/>
  <c r="D19" i="3"/>
  <c r="M30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M27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20" i="4" l="1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<sst xmlns="http://schemas.openxmlformats.org/spreadsheetml/2006/main" count="201" uniqueCount="128">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</sst>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-434940</c:v>
                </c:pt>
                <c:pt idx="1">
                  <c:v>-2456000</c:v>
                </c:pt>
                <c:pt idx="2">
                  <c:v>-237009.99999999997</c:v>
                </c:pt>
                <c:pt idx="3">
                  <c:v>-913880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-54328</c:v>
                </c:pt>
                <c:pt idx="1">
                  <c:v>0.17577667484162368</c:v>
                </c:pt>
                <c:pt idx="2" formatCode="_(* #,##0.00_);_(* \(#,##0.00\);_(* &quot;-&quot;??_);_(@_)">
                  <c:v>-206664</c:v>
                </c:pt>
                <c:pt idx="3">
                  <c:v>0.66865540291321823</c:v>
                </c:pt>
                <c:pt idx="4" formatCode="0.00">
                  <c:v>-27288</c:v>
                </c:pt>
                <c:pt idx="5">
                  <c:v>8.8289535839313565E-2</c:v>
                </c:pt>
                <c:pt idx="6" formatCode="0.00">
                  <c:v>-37152</c:v>
                </c:pt>
                <c:pt idx="7">
                  <c:v>0.12020422293690185</c:v>
                </c:pt>
                <c:pt idx="8" formatCode="0.00">
                  <c:v>-6394</c:v>
                </c:pt>
                <c:pt idx="9">
                  <c:v>2.0687602321774072E-2</c:v>
                </c:pt>
                <c:pt idx="10" formatCode="0.00">
                  <c:v>-775</c:v>
                </c:pt>
                <c:pt idx="11">
                  <c:v>2.5074901156357378E-3</c:v>
                </c:pt>
                <c:pt idx="12" formatCode="0.00">
                  <c:v>-66956</c:v>
                </c:pt>
                <c:pt idx="13">
                  <c:v>0.21663420410645995</c:v>
                </c:pt>
                <c:pt idx="14" formatCode="_(* #,##0.00_);_(* \(#,##0.00\);_(* &quot;-&quot;??_);_(@_)">
                  <c:v>-249696</c:v>
                </c:pt>
                <c:pt idx="15">
                  <c:v>0.80788419601778216</c:v>
                </c:pt>
                <c:pt idx="16" formatCode="0.00">
                  <c:v>-112190</c:v>
                </c:pt>
                <c:pt idx="17">
                  <c:v>0.36298750461054635</c:v>
                </c:pt>
                <c:pt idx="18" formatCode="0.00">
                  <c:v>-20665</c:v>
                </c:pt>
                <c:pt idx="19">
                  <c:v>6.6861010631758089E-2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-309074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-782108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2" sqref="I2:I22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8</v>
      </c>
      <c r="D2" s="46">
        <v>2021</v>
      </c>
      <c r="E2" s="107">
        <v>21469.999999999345</v>
      </c>
      <c r="F2" s="48">
        <v>0.15</v>
      </c>
      <c r="G2" s="107">
        <v>5872</v>
      </c>
      <c r="H2" s="48">
        <v>0.5927</v>
      </c>
      <c r="I2" s="65">
        <v>320</v>
      </c>
      <c r="J2" s="76">
        <v>1.133</v>
      </c>
      <c r="K2" s="108"/>
      <c r="L2" s="76"/>
      <c r="M2" s="72">
        <v>20</v>
      </c>
      <c r="N2" s="72">
        <v>42</v>
      </c>
      <c r="O2" s="72">
        <v>125</v>
      </c>
    </row>
    <row r="3" spans="1:15" ht="15" x14ac:dyDescent="0.25">
      <c r="A3" s="45" t="s">
        <v>9</v>
      </c>
      <c r="B3" s="46">
        <f>B2+1</f>
        <v>2</v>
      </c>
      <c r="C3" s="47">
        <v>8</v>
      </c>
      <c r="D3" s="46">
        <v>2021</v>
      </c>
      <c r="E3" s="107">
        <v>20730.000000000018</v>
      </c>
      <c r="F3" s="48">
        <v>0.15</v>
      </c>
      <c r="G3" s="107">
        <v>5616</v>
      </c>
      <c r="H3" s="48">
        <v>0.5927</v>
      </c>
      <c r="I3" s="65">
        <v>269</v>
      </c>
      <c r="J3" s="76">
        <v>1.133</v>
      </c>
      <c r="K3" s="108"/>
      <c r="L3" s="76"/>
      <c r="M3" s="72">
        <v>23</v>
      </c>
      <c r="N3" s="72">
        <v>49</v>
      </c>
      <c r="O3" s="72">
        <v>152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8</v>
      </c>
      <c r="D4" s="46">
        <v>2021</v>
      </c>
      <c r="E4" s="107">
        <v>22650.000000000771</v>
      </c>
      <c r="F4" s="48">
        <v>0.15</v>
      </c>
      <c r="G4" s="107">
        <v>6176</v>
      </c>
      <c r="H4" s="48">
        <v>0.5927</v>
      </c>
      <c r="I4" s="65">
        <v>435</v>
      </c>
      <c r="J4" s="76">
        <v>1.133</v>
      </c>
      <c r="K4" s="108"/>
      <c r="L4" s="76"/>
      <c r="M4" s="72">
        <v>29</v>
      </c>
      <c r="N4" s="72">
        <v>73</v>
      </c>
      <c r="O4" s="72">
        <v>192</v>
      </c>
    </row>
    <row r="5" spans="1:15" ht="15" x14ac:dyDescent="0.25">
      <c r="A5" s="45" t="s">
        <v>9</v>
      </c>
      <c r="B5" s="46">
        <f t="shared" si="0"/>
        <v>4</v>
      </c>
      <c r="C5" s="47">
        <v>8</v>
      </c>
      <c r="D5" s="46">
        <v>2021</v>
      </c>
      <c r="E5" s="107">
        <v>23439.999999999825</v>
      </c>
      <c r="F5" s="48">
        <v>0.15</v>
      </c>
      <c r="G5" s="107">
        <v>6476</v>
      </c>
      <c r="H5" s="48">
        <v>0.5927</v>
      </c>
      <c r="I5" s="65">
        <v>400</v>
      </c>
      <c r="J5" s="76">
        <v>1.133</v>
      </c>
      <c r="K5" s="108"/>
      <c r="L5" s="76"/>
      <c r="M5" s="72">
        <v>27</v>
      </c>
      <c r="N5" s="72">
        <v>71</v>
      </c>
      <c r="O5" s="72">
        <v>218</v>
      </c>
    </row>
    <row r="6" spans="1:15" ht="15" x14ac:dyDescent="0.25">
      <c r="A6" s="45" t="s">
        <v>9</v>
      </c>
      <c r="B6" s="46">
        <f t="shared" si="0"/>
        <v>5</v>
      </c>
      <c r="C6" s="47">
        <v>8</v>
      </c>
      <c r="D6" s="46">
        <v>2021</v>
      </c>
      <c r="E6" s="107">
        <v>22619.999999999891</v>
      </c>
      <c r="F6" s="48">
        <v>0.15</v>
      </c>
      <c r="G6" s="107">
        <v>6218</v>
      </c>
      <c r="H6" s="48">
        <v>0.5927</v>
      </c>
      <c r="I6" s="65">
        <v>371</v>
      </c>
      <c r="J6" s="76">
        <v>1.133</v>
      </c>
      <c r="K6" s="108"/>
      <c r="L6" s="76"/>
      <c r="M6" s="72">
        <v>34</v>
      </c>
      <c r="N6" s="72">
        <v>89</v>
      </c>
      <c r="O6" s="72">
        <v>226</v>
      </c>
    </row>
    <row r="7" spans="1:15" ht="15" x14ac:dyDescent="0.25">
      <c r="A7" s="45" t="s">
        <v>9</v>
      </c>
      <c r="B7" s="46">
        <f t="shared" si="0"/>
        <v>6</v>
      </c>
      <c r="C7" s="47">
        <v>8</v>
      </c>
      <c r="D7" s="46">
        <v>2021</v>
      </c>
      <c r="E7" s="107">
        <v>21349.999999999909</v>
      </c>
      <c r="F7" s="48">
        <v>0.15</v>
      </c>
      <c r="G7" s="107">
        <v>5743</v>
      </c>
      <c r="H7" s="48">
        <v>0.5927</v>
      </c>
      <c r="I7" s="65">
        <v>256</v>
      </c>
      <c r="J7" s="76">
        <v>1.133</v>
      </c>
      <c r="K7" s="108"/>
      <c r="L7" s="76"/>
      <c r="M7" s="72">
        <v>25</v>
      </c>
      <c r="N7" s="72">
        <v>78</v>
      </c>
      <c r="O7" s="72">
        <v>189</v>
      </c>
    </row>
    <row r="8" spans="1:15" ht="15" x14ac:dyDescent="0.25">
      <c r="A8" s="45" t="s">
        <v>9</v>
      </c>
      <c r="B8" s="46">
        <f t="shared" si="0"/>
        <v>7</v>
      </c>
      <c r="C8" s="47">
        <v>8</v>
      </c>
      <c r="D8" s="46">
        <v>2021</v>
      </c>
      <c r="E8" s="107">
        <v>23490.00000000092</v>
      </c>
      <c r="F8" s="48">
        <v>0.15</v>
      </c>
      <c r="G8" s="107">
        <v>6796</v>
      </c>
      <c r="H8" s="48">
        <v>0.5927</v>
      </c>
      <c r="I8" s="65">
        <v>366</v>
      </c>
      <c r="J8" s="76">
        <v>1.133</v>
      </c>
      <c r="K8" s="108"/>
      <c r="L8" s="76"/>
      <c r="M8" s="72">
        <v>26</v>
      </c>
      <c r="N8" s="72">
        <v>76</v>
      </c>
      <c r="O8" s="72">
        <v>176</v>
      </c>
    </row>
    <row r="9" spans="1:15" ht="15" x14ac:dyDescent="0.25">
      <c r="A9" s="45" t="s">
        <v>9</v>
      </c>
      <c r="B9" s="46">
        <f t="shared" si="0"/>
        <v>8</v>
      </c>
      <c r="C9" s="47">
        <v>8</v>
      </c>
      <c r="D9" s="46">
        <v>2021</v>
      </c>
      <c r="E9" s="107">
        <v>22709.999999998217</v>
      </c>
      <c r="F9" s="48">
        <v>0.15</v>
      </c>
      <c r="G9" s="107">
        <v>6277</v>
      </c>
      <c r="H9" s="48">
        <v>0.5927</v>
      </c>
      <c r="I9" s="65">
        <v>369</v>
      </c>
      <c r="J9" s="76">
        <v>1.133</v>
      </c>
      <c r="K9" s="108"/>
      <c r="L9" s="76"/>
      <c r="M9" s="72">
        <v>25</v>
      </c>
      <c r="N9" s="72">
        <v>69</v>
      </c>
      <c r="O9" s="72">
        <v>159</v>
      </c>
    </row>
    <row r="10" spans="1:15" ht="15" x14ac:dyDescent="0.25">
      <c r="A10" s="45" t="s">
        <v>9</v>
      </c>
      <c r="B10" s="46">
        <f t="shared" si="0"/>
        <v>9</v>
      </c>
      <c r="C10" s="47">
        <v>8</v>
      </c>
      <c r="D10" s="46">
        <v>2021</v>
      </c>
      <c r="E10" s="107">
        <v>24239.999999999778</v>
      </c>
      <c r="F10" s="48">
        <v>0.15</v>
      </c>
      <c r="G10" s="107">
        <v>6738</v>
      </c>
      <c r="H10" s="48">
        <v>0.5927</v>
      </c>
      <c r="I10" s="65">
        <v>579</v>
      </c>
      <c r="J10" s="76">
        <v>1.133</v>
      </c>
      <c r="K10" s="108"/>
      <c r="L10" s="76"/>
      <c r="M10" s="72">
        <v>24</v>
      </c>
      <c r="N10" s="72">
        <v>64</v>
      </c>
      <c r="O10" s="72">
        <v>158</v>
      </c>
    </row>
    <row r="11" spans="1:15" ht="15" x14ac:dyDescent="0.25">
      <c r="A11" s="45" t="s">
        <v>9</v>
      </c>
      <c r="B11" s="46">
        <f t="shared" si="0"/>
        <v>10</v>
      </c>
      <c r="C11" s="47">
        <v>8</v>
      </c>
      <c r="D11" s="46">
        <v>2021</v>
      </c>
      <c r="E11" s="107">
        <v>24410.000000000313</v>
      </c>
      <c r="F11" s="48">
        <v>0.15</v>
      </c>
      <c r="G11" s="107">
        <v>6771</v>
      </c>
      <c r="H11" s="48">
        <v>0.5927</v>
      </c>
      <c r="I11" s="65">
        <v>179</v>
      </c>
      <c r="J11" s="76">
        <v>1.133</v>
      </c>
      <c r="K11" s="108"/>
      <c r="L11" s="76"/>
      <c r="M11" s="72">
        <v>18</v>
      </c>
      <c r="N11" s="72">
        <v>54</v>
      </c>
      <c r="O11" s="72">
        <v>152</v>
      </c>
    </row>
    <row r="12" spans="1:15" ht="15" x14ac:dyDescent="0.25">
      <c r="A12" s="45" t="s">
        <v>9</v>
      </c>
      <c r="B12" s="46">
        <f t="shared" si="0"/>
        <v>11</v>
      </c>
      <c r="C12" s="47">
        <v>8</v>
      </c>
      <c r="D12" s="46">
        <v>2021</v>
      </c>
      <c r="E12" s="107">
        <v>24290.000000001102</v>
      </c>
      <c r="F12" s="48">
        <v>0.15</v>
      </c>
      <c r="G12" s="107">
        <v>6738</v>
      </c>
      <c r="H12" s="48">
        <v>0.5927</v>
      </c>
      <c r="I12" s="65">
        <v>442</v>
      </c>
      <c r="J12" s="76">
        <v>1.133</v>
      </c>
      <c r="K12" s="108"/>
      <c r="L12" s="76"/>
      <c r="M12" s="72">
        <v>22</v>
      </c>
      <c r="N12" s="72">
        <v>61</v>
      </c>
      <c r="O12" s="72">
        <v>153</v>
      </c>
    </row>
    <row r="13" spans="1:15" ht="15" x14ac:dyDescent="0.25">
      <c r="A13" s="45" t="s">
        <v>9</v>
      </c>
      <c r="B13" s="46">
        <f t="shared" si="0"/>
        <v>12</v>
      </c>
      <c r="C13" s="47">
        <v>8</v>
      </c>
      <c r="D13" s="46">
        <v>2021</v>
      </c>
      <c r="E13" s="107">
        <v>23440.000000000735</v>
      </c>
      <c r="F13" s="48">
        <v>0.15</v>
      </c>
      <c r="G13" s="107">
        <v>6573</v>
      </c>
      <c r="H13" s="48">
        <v>0.5927</v>
      </c>
      <c r="I13" s="65">
        <v>384</v>
      </c>
      <c r="J13" s="76">
        <v>1.133</v>
      </c>
      <c r="K13" s="108"/>
      <c r="L13" s="76"/>
      <c r="M13" s="72">
        <v>26</v>
      </c>
      <c r="N13" s="72">
        <v>71</v>
      </c>
      <c r="O13" s="72">
        <v>181</v>
      </c>
    </row>
    <row r="14" spans="1:15" ht="15" x14ac:dyDescent="0.25">
      <c r="A14" s="45" t="s">
        <v>9</v>
      </c>
      <c r="B14" s="46">
        <f t="shared" si="0"/>
        <v>13</v>
      </c>
      <c r="C14" s="47">
        <v>8</v>
      </c>
      <c r="D14" s="46">
        <v>2021</v>
      </c>
      <c r="E14" s="107">
        <v>23569.999999998348</v>
      </c>
      <c r="F14" s="48">
        <v>0.15</v>
      </c>
      <c r="G14" s="107">
        <v>6512</v>
      </c>
      <c r="H14" s="48">
        <v>0.5927</v>
      </c>
      <c r="I14" s="65">
        <v>327</v>
      </c>
      <c r="J14" s="76">
        <v>1.133</v>
      </c>
      <c r="K14" s="108"/>
      <c r="L14" s="76"/>
      <c r="M14" s="72">
        <v>28</v>
      </c>
      <c r="N14" s="72">
        <v>89</v>
      </c>
      <c r="O14" s="72">
        <v>217</v>
      </c>
    </row>
    <row r="15" spans="1:15" ht="15" x14ac:dyDescent="0.25">
      <c r="A15" s="45" t="s">
        <v>9</v>
      </c>
      <c r="B15" s="46">
        <f t="shared" si="0"/>
        <v>14</v>
      </c>
      <c r="C15" s="47">
        <v>8</v>
      </c>
      <c r="D15" s="46">
        <v>2021</v>
      </c>
      <c r="E15" s="107">
        <v>24350.000000001048</v>
      </c>
      <c r="F15" s="48">
        <v>0.15</v>
      </c>
      <c r="G15" s="107">
        <v>6446</v>
      </c>
      <c r="H15" s="48">
        <v>0.5927</v>
      </c>
      <c r="I15" s="65">
        <v>317</v>
      </c>
      <c r="J15" s="76">
        <v>1.133</v>
      </c>
      <c r="K15" s="108"/>
      <c r="L15" s="76"/>
      <c r="M15" s="72">
        <v>30</v>
      </c>
      <c r="N15" s="72">
        <v>97</v>
      </c>
      <c r="O15" s="72">
        <v>240</v>
      </c>
    </row>
    <row r="16" spans="1:15" ht="15" x14ac:dyDescent="0.25">
      <c r="A16" s="45" t="s">
        <v>9</v>
      </c>
      <c r="B16" s="46">
        <f t="shared" si="0"/>
        <v>15</v>
      </c>
      <c r="C16" s="47">
        <v>8</v>
      </c>
      <c r="D16" s="46">
        <v>2021</v>
      </c>
      <c r="E16" s="107">
        <v>23809.999999999491</v>
      </c>
      <c r="F16" s="48">
        <v>0.15</v>
      </c>
      <c r="G16" s="107">
        <v>6634</v>
      </c>
      <c r="H16" s="48">
        <v>0.5927</v>
      </c>
      <c r="I16" s="65">
        <v>333</v>
      </c>
      <c r="J16" s="76">
        <v>1.133</v>
      </c>
      <c r="K16" s="108"/>
      <c r="L16" s="76"/>
      <c r="M16" s="72">
        <v>32</v>
      </c>
      <c r="N16" s="72">
        <v>92</v>
      </c>
      <c r="O16" s="72">
        <v>274</v>
      </c>
    </row>
    <row r="17" spans="1:15" ht="15" x14ac:dyDescent="0.25">
      <c r="A17" s="45" t="s">
        <v>9</v>
      </c>
      <c r="B17" s="46">
        <f t="shared" si="0"/>
        <v>16</v>
      </c>
      <c r="C17" s="47">
        <v>8</v>
      </c>
      <c r="D17" s="46">
        <v>2021</v>
      </c>
      <c r="E17" s="107">
        <v>23839.999999999691</v>
      </c>
      <c r="F17" s="48">
        <v>0.15</v>
      </c>
      <c r="G17" s="107">
        <v>6464</v>
      </c>
      <c r="H17" s="48">
        <v>0.5927</v>
      </c>
      <c r="I17" s="65">
        <v>374</v>
      </c>
      <c r="J17" s="76">
        <v>1.133</v>
      </c>
      <c r="K17" s="108"/>
      <c r="L17" s="76"/>
      <c r="M17" s="72">
        <v>29</v>
      </c>
      <c r="N17" s="72">
        <v>84</v>
      </c>
      <c r="O17" s="72">
        <v>222</v>
      </c>
    </row>
    <row r="18" spans="1:15" ht="15" x14ac:dyDescent="0.25">
      <c r="A18" s="45" t="s">
        <v>9</v>
      </c>
      <c r="B18" s="46">
        <f t="shared" si="0"/>
        <v>17</v>
      </c>
      <c r="C18" s="47">
        <v>8</v>
      </c>
      <c r="D18" s="46">
        <v>2021</v>
      </c>
      <c r="E18" s="107">
        <v>23209.999999999578</v>
      </c>
      <c r="F18" s="48">
        <v>0.15</v>
      </c>
      <c r="G18" s="107">
        <v>6345</v>
      </c>
      <c r="H18" s="48">
        <v>0.5927</v>
      </c>
      <c r="I18" s="65">
        <v>262</v>
      </c>
      <c r="J18" s="76">
        <v>1.133</v>
      </c>
      <c r="K18" s="108"/>
      <c r="L18" s="76"/>
      <c r="M18" s="72">
        <v>37</v>
      </c>
      <c r="N18" s="72">
        <v>97</v>
      </c>
      <c r="O18" s="72">
        <v>240</v>
      </c>
    </row>
    <row r="19" spans="1:15" ht="15" x14ac:dyDescent="0.25">
      <c r="A19" s="45" t="s">
        <v>9</v>
      </c>
      <c r="B19" s="46">
        <f t="shared" si="0"/>
        <v>18</v>
      </c>
      <c r="C19" s="47">
        <v>8</v>
      </c>
      <c r="D19" s="46">
        <v>2021</v>
      </c>
      <c r="E19" s="107">
        <v>23900.00000000123</v>
      </c>
      <c r="F19" s="48">
        <v>0.15</v>
      </c>
      <c r="G19" s="107">
        <v>6563</v>
      </c>
      <c r="H19" s="48">
        <v>0.5927</v>
      </c>
      <c r="I19" s="65">
        <v>314</v>
      </c>
      <c r="J19" s="76">
        <v>1.133</v>
      </c>
      <c r="K19" s="108"/>
      <c r="L19" s="76"/>
      <c r="M19" s="72">
        <v>34</v>
      </c>
      <c r="N19" s="72">
        <v>87</v>
      </c>
      <c r="O19" s="72">
        <v>225</v>
      </c>
    </row>
    <row r="20" spans="1:15" ht="15" x14ac:dyDescent="0.25">
      <c r="A20" s="45" t="s">
        <v>9</v>
      </c>
      <c r="B20" s="46">
        <f t="shared" si="0"/>
        <v>19</v>
      </c>
      <c r="C20" s="47">
        <v>8</v>
      </c>
      <c r="D20" s="46">
        <v>2021</v>
      </c>
      <c r="E20" s="107">
        <v>23030.000000000655</v>
      </c>
      <c r="F20" s="48">
        <v>0.15</v>
      </c>
      <c r="G20" s="107">
        <v>6499</v>
      </c>
      <c r="H20" s="48">
        <v>0.5927</v>
      </c>
      <c r="I20" s="65">
        <v>329</v>
      </c>
      <c r="J20" s="76">
        <v>1.133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8</v>
      </c>
      <c r="D21" s="46">
        <v>2021</v>
      </c>
      <c r="E21" s="107">
        <v>22839.999999999691</v>
      </c>
      <c r="F21" s="48">
        <v>0.15</v>
      </c>
      <c r="G21" s="107">
        <v>6339</v>
      </c>
      <c r="H21" s="48">
        <v>0.5927</v>
      </c>
      <c r="I21" s="65">
        <v>242</v>
      </c>
      <c r="J21" s="76">
        <v>1.133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8</v>
      </c>
      <c r="D22" s="46">
        <v>2021</v>
      </c>
      <c r="E22" s="107">
        <v>22709.999999999811</v>
      </c>
      <c r="F22" s="48">
        <v>0.15</v>
      </c>
      <c r="G22" s="107">
        <v>5981</v>
      </c>
      <c r="H22" s="48">
        <v>0.5927</v>
      </c>
      <c r="I22" s="65">
        <v>233</v>
      </c>
      <c r="J22" s="76">
        <v>1.133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8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8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8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8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8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8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8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8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8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8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486100.00000000047</v>
      </c>
      <c r="F33" s="104">
        <v>0</v>
      </c>
      <c r="G33" s="101">
        <f>SUM(G2:G32)</f>
        <v>133777</v>
      </c>
      <c r="H33" s="102">
        <v>0</v>
      </c>
      <c r="I33" s="103">
        <f>SUM(I2:I32)</f>
        <v>7101</v>
      </c>
      <c r="J33" s="104">
        <v>0</v>
      </c>
      <c r="K33" s="105">
        <v>0</v>
      </c>
      <c r="L33" s="102">
        <v>0</v>
      </c>
      <c r="M33" s="106">
        <f t="shared" ref="M33:O33" si="1">SUM(M2:M32)</f>
        <v>489</v>
      </c>
      <c r="N33" s="106">
        <f t="shared" si="1"/>
        <v>1343</v>
      </c>
      <c r="O33" s="106">
        <f t="shared" si="1"/>
        <v>3499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L20" sqref="L2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44409</v>
      </c>
      <c r="B4" s="1">
        <v>1023.1</v>
      </c>
      <c r="C4" s="1">
        <v>237.01</v>
      </c>
      <c r="D4" s="1">
        <v>7554935.0599999996</v>
      </c>
      <c r="E4" s="1">
        <v>8284704.04</v>
      </c>
      <c r="F4" s="1">
        <v>2.456</v>
      </c>
      <c r="G4" s="1">
        <v>771.87</v>
      </c>
      <c r="H4" s="1">
        <v>635.87</v>
      </c>
      <c r="I4" s="1">
        <v>246.18</v>
      </c>
      <c r="J4" s="1">
        <v>324.2</v>
      </c>
      <c r="K4" s="1">
        <v>349.56</v>
      </c>
      <c r="L4" s="1">
        <v>240.12</v>
      </c>
      <c r="M4" s="1">
        <v>542.35</v>
      </c>
      <c r="N4" s="1">
        <v>494.99</v>
      </c>
      <c r="O4" s="1">
        <v>158.49</v>
      </c>
      <c r="P4" s="1">
        <v>651.11</v>
      </c>
      <c r="Q4" s="1">
        <v>483.18</v>
      </c>
      <c r="R4" s="1">
        <v>166.73</v>
      </c>
      <c r="S4" s="1">
        <v>119.01</v>
      </c>
      <c r="T4" s="1">
        <v>434.94</v>
      </c>
      <c r="V4" s="71">
        <v>20</v>
      </c>
      <c r="W4" s="71">
        <v>42</v>
      </c>
      <c r="X4" s="71">
        <v>125</v>
      </c>
      <c r="Y4" s="17"/>
    </row>
    <row r="5" spans="1:25" ht="21" customHeight="1" x14ac:dyDescent="0.25">
      <c r="A5" s="8">
        <v>44410</v>
      </c>
      <c r="B5" s="1">
        <v>1024.5</v>
      </c>
      <c r="C5" s="1">
        <v>237.25</v>
      </c>
      <c r="D5" s="1">
        <v>7557399.5899999999</v>
      </c>
      <c r="E5" s="1">
        <v>8287643.3399999999</v>
      </c>
      <c r="F5" s="1">
        <v>2.4584999999999999</v>
      </c>
      <c r="G5" s="1">
        <v>772.79</v>
      </c>
      <c r="H5" s="1">
        <v>636.23</v>
      </c>
      <c r="I5" s="1">
        <v>246.53</v>
      </c>
      <c r="J5" s="1">
        <v>324.5</v>
      </c>
      <c r="K5" s="1">
        <v>349.9</v>
      </c>
      <c r="L5" s="1">
        <v>240.33</v>
      </c>
      <c r="M5" s="1">
        <v>543.1</v>
      </c>
      <c r="N5" s="1">
        <v>495.48</v>
      </c>
      <c r="O5" s="1">
        <v>158.69999999999999</v>
      </c>
      <c r="P5" s="1">
        <v>652.04</v>
      </c>
      <c r="Q5" s="1">
        <v>483.92</v>
      </c>
      <c r="R5" s="1">
        <v>166.94</v>
      </c>
      <c r="S5" s="1">
        <v>119.14</v>
      </c>
      <c r="T5" s="1">
        <v>435.39</v>
      </c>
      <c r="V5" s="71">
        <v>23</v>
      </c>
      <c r="W5" s="71">
        <v>49</v>
      </c>
      <c r="X5" s="71">
        <v>152</v>
      </c>
      <c r="Y5" s="17"/>
    </row>
    <row r="6" spans="1:25" ht="21" customHeight="1" x14ac:dyDescent="0.25">
      <c r="A6" s="8">
        <v>44411</v>
      </c>
      <c r="B6" s="1">
        <v>1025.9000000000001</v>
      </c>
      <c r="C6" s="1">
        <v>237.5</v>
      </c>
      <c r="D6" s="1">
        <v>7559464.7300000004</v>
      </c>
      <c r="E6" s="1">
        <v>8290369.9900000002</v>
      </c>
      <c r="F6" s="1">
        <v>2.4609000000000001</v>
      </c>
      <c r="G6" s="1">
        <v>773.67</v>
      </c>
      <c r="H6" s="1">
        <v>636.62</v>
      </c>
      <c r="I6" s="1">
        <v>246.85</v>
      </c>
      <c r="J6" s="1">
        <v>324.68</v>
      </c>
      <c r="K6" s="1">
        <v>350.14</v>
      </c>
      <c r="L6" s="1">
        <v>240.51</v>
      </c>
      <c r="M6" s="1">
        <v>543.77</v>
      </c>
      <c r="N6" s="1">
        <v>496.11</v>
      </c>
      <c r="O6" s="1">
        <v>158.94999999999999</v>
      </c>
      <c r="P6" s="1">
        <v>652.86</v>
      </c>
      <c r="Q6" s="1">
        <v>484.61</v>
      </c>
      <c r="R6" s="1">
        <v>167.13</v>
      </c>
      <c r="S6" s="1">
        <v>119.24</v>
      </c>
      <c r="T6" s="1">
        <v>435.85</v>
      </c>
      <c r="V6" s="71">
        <v>29</v>
      </c>
      <c r="W6" s="71">
        <v>73</v>
      </c>
      <c r="X6" s="71">
        <v>192</v>
      </c>
      <c r="Y6" s="17"/>
    </row>
    <row r="7" spans="1:25" ht="21" customHeight="1" x14ac:dyDescent="0.25">
      <c r="A7" s="8">
        <v>44412</v>
      </c>
      <c r="B7" s="1">
        <v>1027.4000000000001</v>
      </c>
      <c r="C7" s="1">
        <v>237.77</v>
      </c>
      <c r="D7" s="109">
        <v>7561611.0999999996</v>
      </c>
      <c r="E7" s="1">
        <v>8293057.79</v>
      </c>
      <c r="F7" s="1">
        <v>2.4632000000000001</v>
      </c>
      <c r="G7" s="1">
        <v>774.59</v>
      </c>
      <c r="H7" s="1">
        <v>637.03</v>
      </c>
      <c r="I7" s="1">
        <v>247.17</v>
      </c>
      <c r="J7" s="1">
        <v>324.93</v>
      </c>
      <c r="K7" s="1">
        <v>350.37</v>
      </c>
      <c r="L7" s="1">
        <v>240.67</v>
      </c>
      <c r="M7" s="1">
        <v>544.41999999999996</v>
      </c>
      <c r="N7" s="1">
        <v>496.83</v>
      </c>
      <c r="O7" s="1">
        <v>159.15</v>
      </c>
      <c r="P7" s="1">
        <v>653.73</v>
      </c>
      <c r="Q7" s="1">
        <v>485.32</v>
      </c>
      <c r="R7" s="1">
        <v>167.31</v>
      </c>
      <c r="S7" s="1">
        <v>119.36</v>
      </c>
      <c r="T7" s="1">
        <v>436.34</v>
      </c>
      <c r="V7" s="71">
        <v>27</v>
      </c>
      <c r="W7" s="71">
        <v>71</v>
      </c>
      <c r="X7" s="71">
        <v>218</v>
      </c>
      <c r="Y7" s="17"/>
    </row>
    <row r="8" spans="1:25" ht="21" customHeight="1" x14ac:dyDescent="0.25">
      <c r="A8" s="8">
        <v>44413</v>
      </c>
      <c r="B8" s="1">
        <v>1028.9000000000001</v>
      </c>
      <c r="C8" s="1">
        <v>237.99</v>
      </c>
      <c r="D8" s="1">
        <v>7564005.6799999997</v>
      </c>
      <c r="E8" s="1">
        <v>8295948.1299999999</v>
      </c>
      <c r="F8" s="1">
        <v>2.4657</v>
      </c>
      <c r="G8" s="1">
        <v>775.52</v>
      </c>
      <c r="H8" s="1">
        <v>637.55999999999995</v>
      </c>
      <c r="I8" s="1">
        <v>247.5</v>
      </c>
      <c r="J8" s="1">
        <v>325.2</v>
      </c>
      <c r="K8" s="1">
        <v>350.65</v>
      </c>
      <c r="L8" s="1">
        <v>240.85</v>
      </c>
      <c r="M8" s="1">
        <v>545.11</v>
      </c>
      <c r="N8" s="1">
        <v>497.58</v>
      </c>
      <c r="O8" s="1">
        <v>159.4</v>
      </c>
      <c r="P8" s="1">
        <v>654.69000000000005</v>
      </c>
      <c r="Q8" s="1">
        <v>486.07</v>
      </c>
      <c r="R8" s="1">
        <v>167.48</v>
      </c>
      <c r="S8" s="1">
        <v>119.48</v>
      </c>
      <c r="T8" s="1">
        <v>436.86</v>
      </c>
      <c r="V8" s="71">
        <v>34</v>
      </c>
      <c r="W8" s="71">
        <v>89</v>
      </c>
      <c r="X8" s="71">
        <v>226</v>
      </c>
      <c r="Y8" s="17"/>
    </row>
    <row r="9" spans="1:25" ht="21" customHeight="1" x14ac:dyDescent="0.25">
      <c r="A9" s="8">
        <v>44414</v>
      </c>
      <c r="B9" s="111">
        <v>1030.3</v>
      </c>
      <c r="C9" s="15">
        <v>238.23</v>
      </c>
      <c r="D9" s="111">
        <v>7566321.5999999996</v>
      </c>
      <c r="E9" s="111">
        <v>8298966.5999999996</v>
      </c>
      <c r="F9" s="15">
        <v>2.4681999999999999</v>
      </c>
      <c r="G9" s="111">
        <v>776.47</v>
      </c>
      <c r="H9" s="111">
        <v>638.12</v>
      </c>
      <c r="I9" s="111">
        <v>247.83</v>
      </c>
      <c r="J9" s="1">
        <v>325.49</v>
      </c>
      <c r="K9" s="1">
        <v>350.93</v>
      </c>
      <c r="L9" s="1">
        <v>241.04</v>
      </c>
      <c r="M9" s="1">
        <v>545.79999999999995</v>
      </c>
      <c r="N9" s="1">
        <v>498.29</v>
      </c>
      <c r="O9" s="1">
        <v>159.66</v>
      </c>
      <c r="P9" s="1">
        <v>655.6</v>
      </c>
      <c r="Q9" s="1">
        <v>486.72</v>
      </c>
      <c r="R9" s="1">
        <v>167.68</v>
      </c>
      <c r="S9" s="1">
        <v>119.6</v>
      </c>
      <c r="T9" s="1">
        <v>437.37</v>
      </c>
      <c r="V9" s="71">
        <v>25</v>
      </c>
      <c r="W9" s="71">
        <v>78</v>
      </c>
      <c r="X9" s="71">
        <v>189</v>
      </c>
      <c r="Y9" s="17"/>
    </row>
    <row r="10" spans="1:25" ht="21" customHeight="1" x14ac:dyDescent="0.25">
      <c r="A10" s="8">
        <v>44415</v>
      </c>
      <c r="B10" s="1">
        <v>1031.5</v>
      </c>
      <c r="C10" s="1">
        <v>238.5</v>
      </c>
      <c r="D10" s="1">
        <v>7568582.9900000002</v>
      </c>
      <c r="E10" s="1">
        <v>8302063.6799999997</v>
      </c>
      <c r="F10" s="1">
        <v>2.4708999999999999</v>
      </c>
      <c r="G10" s="1">
        <v>777.34</v>
      </c>
      <c r="H10" s="1">
        <v>638.66999999999996</v>
      </c>
      <c r="I10" s="1">
        <v>248.16</v>
      </c>
      <c r="J10" s="1">
        <v>325.83999999999997</v>
      </c>
      <c r="K10" s="1">
        <v>351.25</v>
      </c>
      <c r="L10" s="1">
        <v>241.28</v>
      </c>
      <c r="M10" s="1">
        <v>546.44000000000005</v>
      </c>
      <c r="N10" s="1">
        <v>498.94</v>
      </c>
      <c r="O10" s="1">
        <v>159.96</v>
      </c>
      <c r="P10" s="1">
        <v>655.65</v>
      </c>
      <c r="Q10" s="1">
        <v>487.36</v>
      </c>
      <c r="R10" s="1">
        <v>167.87</v>
      </c>
      <c r="S10" s="1">
        <v>119.73</v>
      </c>
      <c r="T10" s="1">
        <v>437.63</v>
      </c>
      <c r="V10" s="71">
        <v>26</v>
      </c>
      <c r="W10" s="71">
        <v>76</v>
      </c>
      <c r="X10" s="71">
        <v>176</v>
      </c>
      <c r="Y10" s="17"/>
    </row>
    <row r="11" spans="1:25" ht="21" customHeight="1" x14ac:dyDescent="0.25">
      <c r="A11" s="8">
        <v>44416</v>
      </c>
      <c r="B11" s="1">
        <v>1032.9000000000001</v>
      </c>
      <c r="C11" s="1">
        <v>238.72</v>
      </c>
      <c r="D11" s="1">
        <v>7571014.5999999996</v>
      </c>
      <c r="E11" s="1">
        <v>8305701.0700000003</v>
      </c>
      <c r="F11" s="1">
        <v>2.4733999999999998</v>
      </c>
      <c r="G11" s="1">
        <v>778.21</v>
      </c>
      <c r="H11" s="1">
        <v>639.25</v>
      </c>
      <c r="I11" s="1">
        <v>248.49</v>
      </c>
      <c r="J11" s="1">
        <v>326.08</v>
      </c>
      <c r="K11" s="1">
        <v>351.54</v>
      </c>
      <c r="L11" s="1">
        <v>241.48</v>
      </c>
      <c r="M11" s="1">
        <v>547.09</v>
      </c>
      <c r="N11" s="1">
        <v>499.7</v>
      </c>
      <c r="O11" s="1">
        <v>160.16999999999999</v>
      </c>
      <c r="P11" s="1">
        <v>657.81</v>
      </c>
      <c r="Q11" s="1">
        <v>488</v>
      </c>
      <c r="R11" s="1">
        <v>168.06</v>
      </c>
      <c r="S11" s="1">
        <v>119.85</v>
      </c>
      <c r="T11" s="1">
        <v>438.12</v>
      </c>
      <c r="V11" s="71">
        <v>25</v>
      </c>
      <c r="W11" s="71">
        <v>69</v>
      </c>
      <c r="X11" s="71">
        <v>159</v>
      </c>
      <c r="Y11" s="17"/>
    </row>
    <row r="12" spans="1:25" ht="21" customHeight="1" x14ac:dyDescent="0.25">
      <c r="A12" s="8">
        <v>44417</v>
      </c>
      <c r="B12" s="1">
        <v>1034.2</v>
      </c>
      <c r="C12" s="1">
        <v>238.96</v>
      </c>
      <c r="D12" s="1">
        <v>7573177.1399999997</v>
      </c>
      <c r="E12" s="1">
        <v>8308862.2800000003</v>
      </c>
      <c r="F12" s="1">
        <v>2.4759000000000002</v>
      </c>
      <c r="G12" s="1">
        <v>779.1</v>
      </c>
      <c r="H12" s="1">
        <v>639.74</v>
      </c>
      <c r="I12" s="1">
        <v>248.83</v>
      </c>
      <c r="J12" s="1">
        <v>326.42</v>
      </c>
      <c r="K12" s="1">
        <v>351.84</v>
      </c>
      <c r="L12" s="1">
        <v>241.71</v>
      </c>
      <c r="M12" s="1">
        <v>547.79</v>
      </c>
      <c r="N12" s="1">
        <v>500.43</v>
      </c>
      <c r="O12" s="1">
        <v>160.38999999999999</v>
      </c>
      <c r="P12" s="1">
        <v>658.87</v>
      </c>
      <c r="Q12" s="1">
        <v>488.66</v>
      </c>
      <c r="R12" s="1">
        <v>168.27</v>
      </c>
      <c r="S12" s="1">
        <v>119.98</v>
      </c>
      <c r="T12" s="1">
        <v>438.57</v>
      </c>
      <c r="V12" s="71">
        <v>24</v>
      </c>
      <c r="W12" s="71">
        <v>64</v>
      </c>
      <c r="X12" s="71">
        <v>158</v>
      </c>
      <c r="Y12" s="17"/>
    </row>
    <row r="13" spans="1:25" ht="21" customHeight="1" x14ac:dyDescent="0.25">
      <c r="A13" s="8">
        <v>44418</v>
      </c>
      <c r="B13" s="1">
        <v>1035.5</v>
      </c>
      <c r="C13" s="1">
        <v>239.19</v>
      </c>
      <c r="D13" s="1">
        <v>7575577.4800000004</v>
      </c>
      <c r="E13" s="1">
        <v>8312559.3099999996</v>
      </c>
      <c r="F13" s="1">
        <v>2.4782999999999999</v>
      </c>
      <c r="G13" s="1">
        <v>779.98</v>
      </c>
      <c r="H13" s="1">
        <v>640.29999999999995</v>
      </c>
      <c r="I13" s="1">
        <v>249.17</v>
      </c>
      <c r="J13" s="1">
        <v>326.73</v>
      </c>
      <c r="K13" s="1">
        <v>352.17</v>
      </c>
      <c r="L13" s="1">
        <v>241.94</v>
      </c>
      <c r="M13" s="1">
        <v>548.64</v>
      </c>
      <c r="N13" s="1">
        <v>501.21</v>
      </c>
      <c r="O13" s="1">
        <v>160.62</v>
      </c>
      <c r="P13" s="1">
        <v>660.01</v>
      </c>
      <c r="Q13" s="1">
        <v>489.34</v>
      </c>
      <c r="R13" s="1">
        <v>168.53</v>
      </c>
      <c r="S13" s="1">
        <v>120.1</v>
      </c>
      <c r="T13" s="1">
        <v>439.04</v>
      </c>
      <c r="V13" s="71">
        <v>18</v>
      </c>
      <c r="W13" s="71">
        <v>54</v>
      </c>
      <c r="X13" s="71">
        <v>152</v>
      </c>
      <c r="Y13" s="17"/>
    </row>
    <row r="14" spans="1:25" ht="21" customHeight="1" x14ac:dyDescent="0.25">
      <c r="A14" s="8">
        <v>44419</v>
      </c>
      <c r="B14" s="1">
        <v>1036.8</v>
      </c>
      <c r="C14" s="1">
        <v>239.42</v>
      </c>
      <c r="D14" s="1">
        <v>7577866.4299999997</v>
      </c>
      <c r="E14" s="1">
        <v>8316315.5199999996</v>
      </c>
      <c r="F14" s="1">
        <v>2.4803999999999999</v>
      </c>
      <c r="G14" s="1">
        <v>780.87</v>
      </c>
      <c r="H14" s="1">
        <v>640.96</v>
      </c>
      <c r="I14" s="1">
        <v>249.54</v>
      </c>
      <c r="J14" s="1">
        <v>326.97000000000003</v>
      </c>
      <c r="K14" s="1">
        <v>352.42</v>
      </c>
      <c r="L14" s="1">
        <v>242.1</v>
      </c>
      <c r="M14" s="1">
        <v>549.49</v>
      </c>
      <c r="N14" s="1">
        <v>501.99</v>
      </c>
      <c r="O14" s="1">
        <v>160.84</v>
      </c>
      <c r="P14" s="1">
        <v>661.16</v>
      </c>
      <c r="Q14" s="1">
        <v>490.03</v>
      </c>
      <c r="R14" s="1">
        <v>168.81</v>
      </c>
      <c r="S14" s="1">
        <v>120.25</v>
      </c>
      <c r="T14" s="1">
        <v>439.55</v>
      </c>
      <c r="V14" s="71">
        <v>22</v>
      </c>
      <c r="W14" s="71">
        <v>61</v>
      </c>
      <c r="X14" s="71">
        <v>153</v>
      </c>
      <c r="Y14" s="17"/>
    </row>
    <row r="15" spans="1:25" ht="21" customHeight="1" x14ac:dyDescent="0.25">
      <c r="A15" s="8">
        <v>44420</v>
      </c>
      <c r="B15" s="1">
        <v>1038.2</v>
      </c>
      <c r="C15" s="1">
        <v>239.67</v>
      </c>
      <c r="D15" s="1">
        <v>7580218.6200000001</v>
      </c>
      <c r="E15" s="1">
        <v>8319893.2400000002</v>
      </c>
      <c r="F15" s="1">
        <v>2.4826999999999999</v>
      </c>
      <c r="G15" s="1">
        <v>781.65</v>
      </c>
      <c r="H15" s="1">
        <v>641.51</v>
      </c>
      <c r="I15" s="1">
        <v>249.95</v>
      </c>
      <c r="J15" s="1">
        <v>327.23</v>
      </c>
      <c r="K15" s="1">
        <v>352.75</v>
      </c>
      <c r="L15" s="1">
        <v>242.31</v>
      </c>
      <c r="M15" s="1">
        <v>550.32000000000005</v>
      </c>
      <c r="N15" s="1">
        <v>502.75</v>
      </c>
      <c r="O15" s="1">
        <v>161.06</v>
      </c>
      <c r="P15" s="1">
        <v>662.3</v>
      </c>
      <c r="Q15" s="1">
        <v>490.77</v>
      </c>
      <c r="R15" s="1">
        <v>169.1</v>
      </c>
      <c r="S15" s="1">
        <v>120.37</v>
      </c>
      <c r="T15" s="1">
        <v>440.06</v>
      </c>
      <c r="V15" s="71">
        <v>26</v>
      </c>
      <c r="W15" s="71">
        <v>71</v>
      </c>
      <c r="X15" s="71">
        <v>181</v>
      </c>
      <c r="Y15" s="17"/>
    </row>
    <row r="16" spans="1:25" ht="21" customHeight="1" x14ac:dyDescent="0.25">
      <c r="A16" s="8">
        <v>44421</v>
      </c>
      <c r="B16" s="1">
        <v>1039.5</v>
      </c>
      <c r="C16" s="1">
        <v>239.9</v>
      </c>
      <c r="D16" s="1">
        <v>7582527.5099999998</v>
      </c>
      <c r="E16" s="1">
        <v>8323653.0899999999</v>
      </c>
      <c r="F16" s="1">
        <v>2.4849999999999999</v>
      </c>
      <c r="G16" s="1">
        <v>782.48</v>
      </c>
      <c r="H16" s="1">
        <v>642.05999999999995</v>
      </c>
      <c r="I16" s="1">
        <v>250.3</v>
      </c>
      <c r="J16" s="1">
        <v>327.44</v>
      </c>
      <c r="K16" s="1">
        <v>353.04</v>
      </c>
      <c r="L16" s="1">
        <v>242.52</v>
      </c>
      <c r="M16" s="1">
        <v>551.05999999999995</v>
      </c>
      <c r="N16" s="1">
        <v>503.5</v>
      </c>
      <c r="O16" s="1">
        <v>161.27000000000001</v>
      </c>
      <c r="P16" s="1">
        <v>663.41</v>
      </c>
      <c r="Q16" s="1">
        <v>491.44</v>
      </c>
      <c r="R16" s="1">
        <v>169.37</v>
      </c>
      <c r="S16" s="1">
        <v>120.48</v>
      </c>
      <c r="T16" s="1">
        <v>440.54</v>
      </c>
      <c r="V16" s="71">
        <v>28</v>
      </c>
      <c r="W16" s="71">
        <v>89</v>
      </c>
      <c r="X16" s="71">
        <v>217</v>
      </c>
      <c r="Y16" s="17"/>
    </row>
    <row r="17" spans="1:25" ht="21" customHeight="1" x14ac:dyDescent="0.25">
      <c r="A17" s="8">
        <v>44422</v>
      </c>
      <c r="B17" s="1">
        <v>1040.8</v>
      </c>
      <c r="C17" s="1">
        <v>240.16</v>
      </c>
      <c r="D17" s="1">
        <v>7584922.3499999996</v>
      </c>
      <c r="E17" s="1">
        <v>8327152.5800000001</v>
      </c>
      <c r="F17" s="1">
        <v>2.4878</v>
      </c>
      <c r="G17" s="1">
        <v>783.35</v>
      </c>
      <c r="H17" s="1">
        <v>642.61</v>
      </c>
      <c r="I17" s="1">
        <v>250.68</v>
      </c>
      <c r="J17" s="1">
        <v>327.75</v>
      </c>
      <c r="K17" s="1">
        <v>353.3</v>
      </c>
      <c r="L17" s="1">
        <v>242.7</v>
      </c>
      <c r="M17" s="1">
        <v>551.92999999999995</v>
      </c>
      <c r="N17" s="1">
        <v>504.26</v>
      </c>
      <c r="O17" s="1">
        <v>161.47999999999999</v>
      </c>
      <c r="P17" s="1">
        <v>664.53</v>
      </c>
      <c r="Q17" s="1">
        <v>492.11</v>
      </c>
      <c r="R17" s="1">
        <v>169.65</v>
      </c>
      <c r="S17" s="1">
        <v>120.6</v>
      </c>
      <c r="T17" s="1">
        <v>440.83</v>
      </c>
      <c r="V17" s="71">
        <v>30</v>
      </c>
      <c r="W17" s="71">
        <v>97</v>
      </c>
      <c r="X17" s="71">
        <v>240</v>
      </c>
      <c r="Y17" s="17"/>
    </row>
    <row r="18" spans="1:25" ht="21" customHeight="1" x14ac:dyDescent="0.25">
      <c r="A18" s="8">
        <v>44423</v>
      </c>
      <c r="B18" s="1">
        <v>1042.0999999999999</v>
      </c>
      <c r="C18" s="1">
        <v>240.45</v>
      </c>
      <c r="D18" s="1">
        <v>7587398.1799999997</v>
      </c>
      <c r="E18" s="1">
        <v>8331166.1699999999</v>
      </c>
      <c r="F18" s="1">
        <v>2.4897</v>
      </c>
      <c r="G18" s="1">
        <v>784.25</v>
      </c>
      <c r="H18" s="1">
        <v>643.24</v>
      </c>
      <c r="I18" s="1">
        <v>251.04</v>
      </c>
      <c r="J18" s="1">
        <v>328</v>
      </c>
      <c r="K18" s="1">
        <v>353.61</v>
      </c>
      <c r="L18" s="1">
        <v>242.91</v>
      </c>
      <c r="M18" s="1">
        <v>552.73</v>
      </c>
      <c r="N18" s="1">
        <v>505.1</v>
      </c>
      <c r="O18" s="1">
        <v>161.69</v>
      </c>
      <c r="P18" s="1">
        <v>665.67</v>
      </c>
      <c r="Q18" s="1">
        <v>492.8</v>
      </c>
      <c r="R18" s="1">
        <v>169.91</v>
      </c>
      <c r="S18" s="1">
        <v>120.72</v>
      </c>
      <c r="T18" s="1">
        <v>441.35</v>
      </c>
      <c r="V18" s="71">
        <v>32</v>
      </c>
      <c r="W18" s="71">
        <v>92</v>
      </c>
      <c r="X18" s="71">
        <v>274</v>
      </c>
      <c r="Y18" s="17"/>
    </row>
    <row r="19" spans="1:25" ht="21" customHeight="1" x14ac:dyDescent="0.25">
      <c r="A19" s="8">
        <v>44424</v>
      </c>
      <c r="B19" s="1">
        <v>1043.4000000000001</v>
      </c>
      <c r="C19" s="1">
        <v>240.72</v>
      </c>
      <c r="D19" s="1">
        <v>7590087.9199999999</v>
      </c>
      <c r="E19" s="1">
        <v>8334805.9500000002</v>
      </c>
      <c r="F19" s="1">
        <v>2.492</v>
      </c>
      <c r="G19" s="1">
        <v>785.13</v>
      </c>
      <c r="H19" s="1">
        <v>643.95000000000005</v>
      </c>
      <c r="I19" s="1">
        <v>251.41</v>
      </c>
      <c r="J19" s="1">
        <v>328.36</v>
      </c>
      <c r="K19" s="1">
        <v>353.92</v>
      </c>
      <c r="L19" s="1">
        <v>242.92</v>
      </c>
      <c r="M19" s="1">
        <v>553.51</v>
      </c>
      <c r="N19" s="1">
        <v>505.9</v>
      </c>
      <c r="O19" s="1">
        <v>161.91</v>
      </c>
      <c r="P19" s="1">
        <v>666.79</v>
      </c>
      <c r="Q19" s="1">
        <v>493.5</v>
      </c>
      <c r="R19" s="1">
        <v>170.19</v>
      </c>
      <c r="S19" s="1">
        <v>120.84</v>
      </c>
      <c r="T19" s="1">
        <v>441.85</v>
      </c>
      <c r="V19" s="71">
        <v>29</v>
      </c>
      <c r="W19" s="71">
        <v>84</v>
      </c>
      <c r="X19" s="71">
        <v>222</v>
      </c>
      <c r="Y19" s="17"/>
    </row>
    <row r="20" spans="1:25" ht="21" customHeight="1" x14ac:dyDescent="0.25">
      <c r="A20" s="8">
        <v>44425</v>
      </c>
      <c r="B20" s="1">
        <v>1044.7</v>
      </c>
      <c r="C20" s="1">
        <v>240.98</v>
      </c>
      <c r="D20" s="1">
        <v>7592798.5300000003</v>
      </c>
      <c r="E20" s="1">
        <v>8338334.5099999998</v>
      </c>
      <c r="F20" s="1">
        <v>2.4941</v>
      </c>
      <c r="G20" s="1">
        <v>785.97</v>
      </c>
      <c r="H20" s="1">
        <v>644.70000000000005</v>
      </c>
      <c r="I20" s="1">
        <v>251.79</v>
      </c>
      <c r="J20" s="1">
        <v>328.75</v>
      </c>
      <c r="K20" s="1">
        <v>354.25</v>
      </c>
      <c r="L20" s="1">
        <v>243.34</v>
      </c>
      <c r="M20" s="1">
        <v>554.30999999999995</v>
      </c>
      <c r="N20" s="1">
        <v>506.76</v>
      </c>
      <c r="O20" s="1">
        <v>162.16</v>
      </c>
      <c r="P20" s="1">
        <v>667.87</v>
      </c>
      <c r="Q20" s="1">
        <v>494.14</v>
      </c>
      <c r="R20" s="1">
        <v>170.47</v>
      </c>
      <c r="S20" s="1">
        <v>120.96</v>
      </c>
      <c r="T20" s="1">
        <v>442.35</v>
      </c>
      <c r="V20" s="71">
        <v>37</v>
      </c>
      <c r="W20" s="71">
        <v>97</v>
      </c>
      <c r="X20" s="71">
        <v>240</v>
      </c>
      <c r="Y20" s="17"/>
    </row>
    <row r="21" spans="1:25" ht="21" customHeight="1" x14ac:dyDescent="0.25">
      <c r="A21" s="8">
        <v>44426</v>
      </c>
      <c r="B21" s="1">
        <v>1046.0999999999999</v>
      </c>
      <c r="C21" s="1">
        <v>241.23</v>
      </c>
      <c r="D21" s="1">
        <v>7595309.9299999997</v>
      </c>
      <c r="E21" s="1">
        <v>8341842.4400000004</v>
      </c>
      <c r="F21" s="1">
        <v>2.4964</v>
      </c>
      <c r="G21" s="1">
        <v>786.83</v>
      </c>
      <c r="H21" s="1">
        <v>645.39</v>
      </c>
      <c r="I21" s="1">
        <v>252.12</v>
      </c>
      <c r="J21" s="1">
        <v>329.07</v>
      </c>
      <c r="K21" s="1">
        <v>354.56</v>
      </c>
      <c r="L21" s="1">
        <v>243.57</v>
      </c>
      <c r="M21" s="1">
        <v>555.11</v>
      </c>
      <c r="N21" s="1">
        <v>507.61</v>
      </c>
      <c r="O21" s="1">
        <v>162.41</v>
      </c>
      <c r="P21" s="1">
        <v>668.85</v>
      </c>
      <c r="Q21" s="1">
        <v>494.76</v>
      </c>
      <c r="R21" s="1">
        <v>170.76</v>
      </c>
      <c r="S21" s="1">
        <v>121.08</v>
      </c>
      <c r="T21" s="1">
        <v>442.84</v>
      </c>
      <c r="V21" s="71">
        <v>34</v>
      </c>
      <c r="W21" s="71">
        <v>87</v>
      </c>
      <c r="X21" s="71">
        <v>225</v>
      </c>
      <c r="Y21" s="17"/>
    </row>
    <row r="22" spans="1:25" ht="21" customHeight="1" x14ac:dyDescent="0.25">
      <c r="A22" s="8">
        <v>44427</v>
      </c>
      <c r="B22" s="1">
        <v>1047.5</v>
      </c>
      <c r="C22" s="1">
        <v>241.5</v>
      </c>
      <c r="D22" s="1">
        <v>7597838.0499999998</v>
      </c>
      <c r="E22" s="1">
        <v>8345371.3799999999</v>
      </c>
      <c r="F22" s="1">
        <v>2.4986999999999999</v>
      </c>
      <c r="G22" s="1">
        <v>787.65</v>
      </c>
      <c r="H22" s="1">
        <v>646.03</v>
      </c>
      <c r="I22" s="1">
        <v>252.5</v>
      </c>
      <c r="J22" s="1">
        <v>329.4</v>
      </c>
      <c r="K22" s="1">
        <v>354.94</v>
      </c>
      <c r="L22" s="1">
        <v>243.79</v>
      </c>
      <c r="M22" s="1">
        <v>555.86</v>
      </c>
      <c r="N22" s="1">
        <v>508.47</v>
      </c>
      <c r="O22" s="1">
        <v>162.63</v>
      </c>
      <c r="P22" s="1">
        <v>669.82</v>
      </c>
      <c r="Q22" s="1">
        <v>495.43</v>
      </c>
      <c r="R22" s="28">
        <v>171.03</v>
      </c>
      <c r="S22" s="28">
        <v>121.2</v>
      </c>
      <c r="T22" s="1">
        <v>443.36</v>
      </c>
      <c r="V22" s="71"/>
      <c r="W22" s="71"/>
      <c r="X22" s="71"/>
      <c r="Y22" s="17"/>
    </row>
    <row r="23" spans="1:25" ht="21" customHeight="1" x14ac:dyDescent="0.25">
      <c r="A23" s="8">
        <v>44428</v>
      </c>
      <c r="B23" s="1">
        <v>1048.9000000000001</v>
      </c>
      <c r="C23" s="1">
        <v>241.75</v>
      </c>
      <c r="D23" s="1">
        <v>7600217.2699999996</v>
      </c>
      <c r="E23" s="1">
        <v>8348773.7300000004</v>
      </c>
      <c r="F23" s="1">
        <v>2.5009999999999999</v>
      </c>
      <c r="G23" s="1">
        <v>788.56</v>
      </c>
      <c r="H23" s="1">
        <v>646.69000000000005</v>
      </c>
      <c r="I23" s="1">
        <v>252.83</v>
      </c>
      <c r="J23" s="1">
        <v>329.79</v>
      </c>
      <c r="K23" s="1">
        <v>355.27</v>
      </c>
      <c r="L23" s="1">
        <v>244.02</v>
      </c>
      <c r="M23" s="1">
        <v>556.61</v>
      </c>
      <c r="N23" s="1">
        <v>509.32</v>
      </c>
      <c r="O23" s="1">
        <v>162.87</v>
      </c>
      <c r="P23" s="1">
        <v>670.88</v>
      </c>
      <c r="Q23" s="1">
        <v>496.12</v>
      </c>
      <c r="R23" s="1">
        <v>171.3</v>
      </c>
      <c r="S23" s="1">
        <v>121.31</v>
      </c>
      <c r="T23" s="1">
        <v>443.86</v>
      </c>
      <c r="V23" s="71"/>
      <c r="W23" s="71"/>
      <c r="X23" s="71"/>
      <c r="Y23" s="17"/>
    </row>
    <row r="24" spans="1:25" ht="21" customHeight="1" x14ac:dyDescent="0.25">
      <c r="A24" s="8">
        <v>44429</v>
      </c>
      <c r="B24" s="1">
        <v>1050.4000000000001</v>
      </c>
      <c r="C24" s="1">
        <v>242.01</v>
      </c>
      <c r="D24" s="1">
        <v>7602614.4500000002</v>
      </c>
      <c r="E24" s="1">
        <v>8352147.3499999996</v>
      </c>
      <c r="F24" s="1">
        <v>2.5032999999999999</v>
      </c>
      <c r="G24" s="1">
        <v>789.45</v>
      </c>
      <c r="H24" s="1">
        <v>647.33000000000004</v>
      </c>
      <c r="I24" s="1">
        <v>253.14</v>
      </c>
      <c r="J24" s="1">
        <v>330.08</v>
      </c>
      <c r="K24" s="1">
        <v>355.53</v>
      </c>
      <c r="L24" s="1">
        <v>244.24</v>
      </c>
      <c r="M24" s="1">
        <v>557.29999999999995</v>
      </c>
      <c r="N24" s="1">
        <v>510.21</v>
      </c>
      <c r="O24" s="1">
        <v>163.08000000000001</v>
      </c>
      <c r="P24" s="1">
        <v>671.91</v>
      </c>
      <c r="Q24" s="1">
        <v>496.85</v>
      </c>
      <c r="R24" s="1">
        <v>171.59</v>
      </c>
      <c r="S24" s="1">
        <v>121.44</v>
      </c>
      <c r="T24" s="1">
        <v>444.38</v>
      </c>
      <c r="V24" s="71"/>
      <c r="W24" s="71"/>
      <c r="X24" s="71"/>
      <c r="Y24" s="17"/>
    </row>
    <row r="25" spans="1:25" ht="21" customHeight="1" x14ac:dyDescent="0.25">
      <c r="A25" s="8">
        <v>44430</v>
      </c>
      <c r="B25" s="1">
        <v>1051.9000000000001</v>
      </c>
      <c r="C25" s="1">
        <v>242.27</v>
      </c>
      <c r="D25" s="1">
        <v>7605852.3700000001</v>
      </c>
      <c r="E25" s="1">
        <v>8355275.5999999996</v>
      </c>
      <c r="F25" s="1">
        <v>2.5055999999999998</v>
      </c>
      <c r="G25" s="1">
        <v>790.25</v>
      </c>
      <c r="H25" s="1">
        <v>648</v>
      </c>
      <c r="I25" s="1">
        <v>253.47</v>
      </c>
      <c r="J25" s="1">
        <v>330.36</v>
      </c>
      <c r="K25" s="1">
        <v>355.83</v>
      </c>
      <c r="L25" s="1">
        <v>244.46</v>
      </c>
      <c r="M25" s="1">
        <v>558.03</v>
      </c>
      <c r="N25" s="1">
        <v>511.11</v>
      </c>
      <c r="O25" s="1">
        <v>163.29</v>
      </c>
      <c r="P25" s="1">
        <v>672.93</v>
      </c>
      <c r="Q25" s="1">
        <v>497.56</v>
      </c>
      <c r="R25" s="1">
        <v>171.85</v>
      </c>
      <c r="S25" s="1">
        <v>121.55</v>
      </c>
      <c r="T25" s="1">
        <v>444.66</v>
      </c>
      <c r="V25" s="71"/>
      <c r="W25" s="71"/>
      <c r="X25" s="71"/>
      <c r="Y25" s="17"/>
    </row>
    <row r="26" spans="1:25" ht="21" customHeight="1" x14ac:dyDescent="0.25">
      <c r="A26" s="8">
        <v>44431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44432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44433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44434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44436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44437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44438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44439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44440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489</v>
      </c>
      <c r="W35" s="78">
        <f>SUM(W4:W34)</f>
        <v>1343</v>
      </c>
      <c r="X35" s="78">
        <f>SUM(X4:X34)</f>
        <v>3499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30" sqref="G30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44409</v>
      </c>
      <c r="B4" s="26">
        <v>25520</v>
      </c>
      <c r="C4" s="4">
        <f>('Kwh Reading'!T5-'Kwh Reading'!T4)*1000</f>
        <v>449.99999999998863</v>
      </c>
      <c r="D4" s="2">
        <f>('Kwh Reading'!F5-'Kwh Reading'!F4)*1000000</f>
        <v>2499.9999999999468</v>
      </c>
      <c r="E4" s="2">
        <f>('Kwh Reading'!C5-'Kwh Reading'!C4)*1000</f>
        <v>240.00000000000909</v>
      </c>
      <c r="F4" s="2">
        <f>('Kwh Reading'!J5-'Kwh Reading'!J4)*1000</f>
        <v>300.00000000001137</v>
      </c>
      <c r="G4" s="2">
        <f>('Kwh Reading'!K5-'Kwh Reading'!K4)*1000</f>
        <v>339.99999999997499</v>
      </c>
      <c r="H4" s="2">
        <f>('Kwh Reading'!L5-'Kwh Reading'!L4)*1000</f>
        <v>210.00000000000796</v>
      </c>
      <c r="I4" s="2">
        <f>('Kwh Reading'!R5-'Kwh Reading'!R4)*1000</f>
        <v>210.00000000000796</v>
      </c>
      <c r="J4" s="2">
        <f>('Kwh Reading'!S5-'Kwh Reading'!S4)*1000</f>
        <v>129.99999999999545</v>
      </c>
      <c r="K4" s="2">
        <f>('Kwh Reading'!I5-'Kwh Reading'!I4)*1000</f>
        <v>349.99999999999432</v>
      </c>
      <c r="L4" s="2">
        <f>('Kwh Reading'!B5-'Kwh Reading'!B4)*1000</f>
        <v>1399.9999999999773</v>
      </c>
      <c r="M4" s="2">
        <f>('Kwh Reading'!M5-'Kwh Reading'!M4)*1000</f>
        <v>750</v>
      </c>
      <c r="N4" s="2">
        <f>('Kwh Reading'!H5-'Kwh Reading'!H4)*1000</f>
        <v>360.00000000001364</v>
      </c>
      <c r="O4" s="2">
        <f>('Kwh Reading'!P5-'Kwh Reading'!P4)*1000</f>
        <v>929.99999999994998</v>
      </c>
      <c r="P4" s="2">
        <f>('Kwh Reading'!G5-'Kwh Reading'!G4)*1000</f>
        <v>919.99999999995907</v>
      </c>
      <c r="Q4" s="2">
        <f>('Kwh Reading'!Q5-'Kwh Reading'!Q4)*1000</f>
        <v>740.00000000000909</v>
      </c>
      <c r="R4" s="2">
        <f>('Kwh Reading'!N5-'Kwh Reading'!N4)*1000</f>
        <v>490.00000000000909</v>
      </c>
      <c r="S4" s="2">
        <f>'Kwh Reading'!E5-'Kwh Reading'!E4</f>
        <v>2939.2999999998137</v>
      </c>
      <c r="T4" s="2">
        <f>'Kwh Reading'!D5-'Kwh Reading'!D4</f>
        <v>2464.5300000002608</v>
      </c>
      <c r="U4" s="27">
        <f>('Kwh Reading'!O5-'Kwh Reading'!O4)*1000</f>
        <v>209.99999999997954</v>
      </c>
      <c r="V4" s="16">
        <f>B4-(SUM(C4:U4))</f>
        <v>9586.170000000091</v>
      </c>
    </row>
    <row r="5" spans="1:22" x14ac:dyDescent="0.25">
      <c r="A5" s="3">
        <f>'Kwh Reading'!A5</f>
        <v>44410</v>
      </c>
      <c r="B5" s="26">
        <f>TOTAL!E3</f>
        <v>20730.000000000018</v>
      </c>
      <c r="C5" s="4">
        <f>('Kwh Reading'!T6-'Kwh Reading'!T5)*1000</f>
        <v>460.00000000003638</v>
      </c>
      <c r="D5" s="2">
        <f>('Kwh Reading'!F6-'Kwh Reading'!F5)*1000000</f>
        <v>2400.0000000001796</v>
      </c>
      <c r="E5" s="2">
        <f>('Kwh Reading'!C6-'Kwh Reading'!C5)*1000</f>
        <v>250</v>
      </c>
      <c r="F5" s="2">
        <f>('Kwh Reading'!J6-'Kwh Reading'!J5)*1000</f>
        <v>180.00000000000682</v>
      </c>
      <c r="G5" s="2">
        <f>('Kwh Reading'!K6-'Kwh Reading'!K5)*1000</f>
        <v>240.00000000000909</v>
      </c>
      <c r="H5" s="2">
        <f>('Kwh Reading'!L6-'Kwh Reading'!L5)*1000</f>
        <v>179.9999999999784</v>
      </c>
      <c r="I5" s="2">
        <f>('Kwh Reading'!R6-'Kwh Reading'!R5)*1000</f>
        <v>189.99999999999773</v>
      </c>
      <c r="J5" s="2">
        <f>('Kwh Reading'!S6-'Kwh Reading'!S5)*1000</f>
        <v>99.999999999994316</v>
      </c>
      <c r="K5" s="2">
        <f>('Kwh Reading'!I6-'Kwh Reading'!I5)*1000</f>
        <v>319.99999999999318</v>
      </c>
      <c r="L5" s="2">
        <f>('Kwh Reading'!B6-'Kwh Reading'!B5)*1000</f>
        <v>1400.0000000000909</v>
      </c>
      <c r="M5" s="2">
        <f>('Kwh Reading'!M6-'Kwh Reading'!M5)*1000</f>
        <v>669.99999999995907</v>
      </c>
      <c r="N5" s="2">
        <f>('Kwh Reading'!H6-'Kwh Reading'!H5)*1000</f>
        <v>389.99999999998636</v>
      </c>
      <c r="O5" s="2">
        <f>('Kwh Reading'!P6-'Kwh Reading'!P5)*1000</f>
        <v>820.00000000005002</v>
      </c>
      <c r="P5" s="2">
        <f>('Kwh Reading'!G6-'Kwh Reading'!G5)*1000</f>
        <v>879.99999999999545</v>
      </c>
      <c r="Q5" s="2">
        <f>('Kwh Reading'!Q6-'Kwh Reading'!Q5)*1000</f>
        <v>689.99999999999773</v>
      </c>
      <c r="R5" s="2">
        <f>('Kwh Reading'!N6-'Kwh Reading'!N5)*1000</f>
        <v>629.99999999999545</v>
      </c>
      <c r="S5" s="2">
        <f>'Kwh Reading'!E6-'Kwh Reading'!E5</f>
        <v>2726.6500000003725</v>
      </c>
      <c r="T5" s="2">
        <f>'Kwh Reading'!D6-'Kwh Reading'!D5</f>
        <v>2065.140000000596</v>
      </c>
      <c r="U5" s="27">
        <f>('Kwh Reading'!O6-'Kwh Reading'!O5)*1000</f>
        <v>250</v>
      </c>
      <c r="V5" s="16">
        <f t="shared" ref="V5:V9" si="0">B5-(SUM(C5:U5))</f>
        <v>5888.2099999987804</v>
      </c>
    </row>
    <row r="6" spans="1:22" x14ac:dyDescent="0.25">
      <c r="A6" s="3">
        <f>'Kwh Reading'!A6</f>
        <v>44411</v>
      </c>
      <c r="B6" s="26">
        <f>TOTAL!E4</f>
        <v>22650.000000000771</v>
      </c>
      <c r="C6" s="4">
        <f>('Kwh Reading'!T7-'Kwh Reading'!T6)*1000</f>
        <v>489.99999999995225</v>
      </c>
      <c r="D6" s="2">
        <f>('Kwh Reading'!F7-'Kwh Reading'!F6)*1000000</f>
        <v>2299.9999999999686</v>
      </c>
      <c r="E6" s="2">
        <f>('Kwh Reading'!C7-'Kwh Reading'!C6)*1000</f>
        <v>270.00000000001023</v>
      </c>
      <c r="F6" s="2">
        <f>('Kwh Reading'!J7-'Kwh Reading'!J6)*1000</f>
        <v>250</v>
      </c>
      <c r="G6" s="2">
        <f>('Kwh Reading'!K7-'Kwh Reading'!K6)*1000</f>
        <v>230.00000000001819</v>
      </c>
      <c r="H6" s="2">
        <f>('Kwh Reading'!L7-'Kwh Reading'!L6)*1000</f>
        <v>159.99999999999659</v>
      </c>
      <c r="I6" s="2">
        <f>('Kwh Reading'!R7-'Kwh Reading'!R6)*1000</f>
        <v>180.00000000000682</v>
      </c>
      <c r="J6" s="2">
        <f>('Kwh Reading'!S7-'Kwh Reading'!S6)*1000</f>
        <v>120.00000000000455</v>
      </c>
      <c r="K6" s="2">
        <f>('Kwh Reading'!I7-'Kwh Reading'!I6)*1000</f>
        <v>319.99999999999318</v>
      </c>
      <c r="L6" s="2">
        <f>('Kwh Reading'!B7-'Kwh Reading'!B6)*1000</f>
        <v>1500</v>
      </c>
      <c r="M6" s="2">
        <f>('Kwh Reading'!M7-'Kwh Reading'!M6)*1000</f>
        <v>649.99999999997726</v>
      </c>
      <c r="N6" s="2">
        <f>('Kwh Reading'!H7-'Kwh Reading'!H6)*1000</f>
        <v>409.99999999996817</v>
      </c>
      <c r="O6" s="2">
        <f>('Kwh Reading'!P7-'Kwh Reading'!P6)*1000</f>
        <v>870.00000000000455</v>
      </c>
      <c r="P6" s="2">
        <f>('Kwh Reading'!G7-'Kwh Reading'!G6)*1000</f>
        <v>920.00000000007276</v>
      </c>
      <c r="Q6" s="2">
        <f>('Kwh Reading'!Q7-'Kwh Reading'!Q6)*1000</f>
        <v>709.99999999997954</v>
      </c>
      <c r="R6" s="2">
        <f>('Kwh Reading'!N7-'Kwh Reading'!N6)*1000</f>
        <v>719.99999999997044</v>
      </c>
      <c r="S6" s="2">
        <f>'Kwh Reading'!E7-'Kwh Reading'!E6</f>
        <v>2687.7999999998137</v>
      </c>
      <c r="T6" s="2">
        <f>'Kwh Reading'!D7-'Kwh Reading'!D6</f>
        <v>2146.3699999991804</v>
      </c>
      <c r="U6" s="27">
        <f>('Kwh Reading'!O7-'Kwh Reading'!O6)*1000</f>
        <v>200.00000000001705</v>
      </c>
      <c r="V6" s="16">
        <f t="shared" si="0"/>
        <v>7515.8300000018371</v>
      </c>
    </row>
    <row r="7" spans="1:22" x14ac:dyDescent="0.25">
      <c r="A7" s="3">
        <f>'Kwh Reading'!A7</f>
        <v>44412</v>
      </c>
      <c r="B7" s="26">
        <f>TOTAL!E5</f>
        <v>23439.999999999825</v>
      </c>
      <c r="C7" s="4">
        <f>('Kwh Reading'!T8-'Kwh Reading'!T7)*1000</f>
        <v>520.00000000003865</v>
      </c>
      <c r="D7" s="2">
        <f>('Kwh Reading'!F8-'Kwh Reading'!F7)*1000000</f>
        <v>2499.9999999999468</v>
      </c>
      <c r="E7" s="2">
        <f>('Kwh Reading'!C8-'Kwh Reading'!C7)*1000</f>
        <v>219.99999999999886</v>
      </c>
      <c r="F7" s="2">
        <f>('Kwh Reading'!J8-'Kwh Reading'!J7)*1000</f>
        <v>269.99999999998181</v>
      </c>
      <c r="G7" s="2">
        <f>('Kwh Reading'!K8-'Kwh Reading'!K7)*1000</f>
        <v>279.99999999997272</v>
      </c>
      <c r="H7" s="2">
        <f>('Kwh Reading'!L8-'Kwh Reading'!L7)*1000</f>
        <v>180.00000000000682</v>
      </c>
      <c r="I7" s="2">
        <f>('Kwh Reading'!R8-'Kwh Reading'!R7)*1000</f>
        <v>169.99999999998749</v>
      </c>
      <c r="J7" s="2">
        <f>('Kwh Reading'!S8-'Kwh Reading'!S7)*1000</f>
        <v>120.00000000000455</v>
      </c>
      <c r="K7" s="2">
        <f>('Kwh Reading'!I8-'Kwh Reading'!I7)*1000</f>
        <v>330.00000000001251</v>
      </c>
      <c r="L7" s="2">
        <f>('Kwh Reading'!B8-'Kwh Reading'!B7)*1000</f>
        <v>1500</v>
      </c>
      <c r="M7" s="2">
        <f>('Kwh Reading'!M8-'Kwh Reading'!M7)*1000</f>
        <v>690.00000000005457</v>
      </c>
      <c r="N7" s="2">
        <f>('Kwh Reading'!H8-'Kwh Reading'!H7)*1000</f>
        <v>529.99999999997272</v>
      </c>
      <c r="O7" s="2">
        <f>('Kwh Reading'!P8-'Kwh Reading'!P7)*1000</f>
        <v>960.00000000003638</v>
      </c>
      <c r="P7" s="2">
        <f>('Kwh Reading'!G8-'Kwh Reading'!G7)*1000</f>
        <v>929.99999999994998</v>
      </c>
      <c r="Q7" s="2">
        <f>('Kwh Reading'!Q8-'Kwh Reading'!Q7)*1000</f>
        <v>750</v>
      </c>
      <c r="R7" s="2">
        <f>('Kwh Reading'!N8-'Kwh Reading'!N7)*1000</f>
        <v>750</v>
      </c>
      <c r="S7" s="2">
        <f>'Kwh Reading'!E8-'Kwh Reading'!E7</f>
        <v>2890.339999999851</v>
      </c>
      <c r="T7" s="2">
        <f>'Kwh Reading'!D8-'Kwh Reading'!D7</f>
        <v>2394.5800000000745</v>
      </c>
      <c r="U7" s="27">
        <f>('Kwh Reading'!O8-'Kwh Reading'!O7)*1000</f>
        <v>250</v>
      </c>
      <c r="V7" s="16">
        <f t="shared" si="0"/>
        <v>7205.0799999999363</v>
      </c>
    </row>
    <row r="8" spans="1:22" x14ac:dyDescent="0.25">
      <c r="A8" s="3">
        <f>'Kwh Reading'!A8</f>
        <v>44413</v>
      </c>
      <c r="B8" s="26">
        <f>TOTAL!E6</f>
        <v>22619.999999999891</v>
      </c>
      <c r="C8" s="4">
        <f>('Kwh Reading'!T9-'Kwh Reading'!T8)*1000</f>
        <v>509.99999999999091</v>
      </c>
      <c r="D8" s="2">
        <f>('Kwh Reading'!F9-'Kwh Reading'!F8)*1000000</f>
        <v>2499.9999999999468</v>
      </c>
      <c r="E8" s="2">
        <f>('Kwh Reading'!C9-'Kwh Reading'!C8)*1000</f>
        <v>239.99999999998067</v>
      </c>
      <c r="F8" s="2">
        <f>('Kwh Reading'!J9-'Kwh Reading'!J8)*1000</f>
        <v>290.00000000002046</v>
      </c>
      <c r="G8" s="2">
        <f>('Kwh Reading'!K9-'Kwh Reading'!K8)*1000</f>
        <v>280.00000000002956</v>
      </c>
      <c r="H8" s="2">
        <f>('Kwh Reading'!L9-'Kwh Reading'!L8)*1000</f>
        <v>189.99999999999773</v>
      </c>
      <c r="I8" s="2">
        <f>('Kwh Reading'!R9-'Kwh Reading'!R8)*1000</f>
        <v>200.00000000001705</v>
      </c>
      <c r="J8" s="2">
        <f>('Kwh Reading'!S9-'Kwh Reading'!S8)*1000</f>
        <v>119.99999999999034</v>
      </c>
      <c r="K8" s="2">
        <f>('Kwh Reading'!I9-'Kwh Reading'!I8)*1000</f>
        <v>330.00000000001251</v>
      </c>
      <c r="L8" s="2">
        <f>('Kwh Reading'!B9-'Kwh Reading'!B8)*1000</f>
        <v>1399.9999999998636</v>
      </c>
      <c r="M8" s="2">
        <f>('Kwh Reading'!M9-'Kwh Reading'!M8)*1000</f>
        <v>689.99999999994088</v>
      </c>
      <c r="N8" s="2">
        <f>('Kwh Reading'!H9-'Kwh Reading'!H8)*1000</f>
        <v>560.00000000005912</v>
      </c>
      <c r="O8" s="2">
        <f>('Kwh Reading'!P9-'Kwh Reading'!P8)*1000</f>
        <v>909.99999999996817</v>
      </c>
      <c r="P8" s="2">
        <f>('Kwh Reading'!G9-'Kwh Reading'!G8)*1000</f>
        <v>950.00000000004547</v>
      </c>
      <c r="Q8" s="2">
        <f>('Kwh Reading'!Q9-'Kwh Reading'!Q8)*1000</f>
        <v>650.00000000003411</v>
      </c>
      <c r="R8" s="2">
        <f>('Kwh Reading'!N9-'Kwh Reading'!N8)*1000</f>
        <v>710.00000000003638</v>
      </c>
      <c r="S8" s="2">
        <f>'Kwh Reading'!E9-'Kwh Reading'!E8</f>
        <v>3018.4699999997392</v>
      </c>
      <c r="T8" s="2">
        <f>'Kwh Reading'!D9-'Kwh Reading'!D8</f>
        <v>2315.9199999999255</v>
      </c>
      <c r="U8" s="27">
        <f>('Kwh Reading'!O9-'Kwh Reading'!O8)*1000</f>
        <v>259.99999999999091</v>
      </c>
      <c r="V8" s="16">
        <f t="shared" si="0"/>
        <v>6495.6100000003007</v>
      </c>
    </row>
    <row r="9" spans="1:22" x14ac:dyDescent="0.25">
      <c r="A9" s="3">
        <f>'Kwh Reading'!A9</f>
        <v>44414</v>
      </c>
      <c r="B9" s="26">
        <f>TOTAL!E7</f>
        <v>21349.999999999909</v>
      </c>
      <c r="C9" s="4">
        <f>('Kwh Reading'!T10-'Kwh Reading'!T9)*1000</f>
        <v>259.99999999999091</v>
      </c>
      <c r="D9" s="2">
        <f>('Kwh Reading'!F10-'Kwh Reading'!F9)*1000000</f>
        <v>2699.9999999999245</v>
      </c>
      <c r="E9" s="2">
        <f>('Kwh Reading'!C10-'Kwh Reading'!C9)*1000</f>
        <v>270.00000000001023</v>
      </c>
      <c r="F9" s="2">
        <f>('Kwh Reading'!J10-'Kwh Reading'!J9)*1000</f>
        <v>349.99999999996589</v>
      </c>
      <c r="G9" s="2">
        <f>('Kwh Reading'!K10-'Kwh Reading'!K9)*1000</f>
        <v>319.99999999999318</v>
      </c>
      <c r="H9" s="2">
        <f>('Kwh Reading'!L10-'Kwh Reading'!L9)*1000</f>
        <v>240.00000000000909</v>
      </c>
      <c r="I9" s="2">
        <f>('Kwh Reading'!R10-'Kwh Reading'!R9)*1000</f>
        <v>189.99999999999773</v>
      </c>
      <c r="J9" s="2">
        <f>('Kwh Reading'!S10-'Kwh Reading'!S9)*1000</f>
        <v>130.00000000000966</v>
      </c>
      <c r="K9" s="2">
        <f>('Kwh Reading'!I10-'Kwh Reading'!I9)*1000</f>
        <v>329.99999999998408</v>
      </c>
      <c r="L9" s="2">
        <f>('Kwh Reading'!B10-'Kwh Reading'!B9)*1000</f>
        <v>1200.0000000000455</v>
      </c>
      <c r="M9" s="2">
        <f>('Kwh Reading'!M10-'Kwh Reading'!M9)*1000</f>
        <v>640.00000000010004</v>
      </c>
      <c r="N9" s="2">
        <f>('Kwh Reading'!H10-'Kwh Reading'!H9)*1000</f>
        <v>549.99999999995453</v>
      </c>
      <c r="O9" s="2">
        <f>('Kwh Reading'!P10-'Kwh Reading'!P9)*1000</f>
        <v>49.999999999954525</v>
      </c>
      <c r="P9" s="2">
        <f>('Kwh Reading'!G10-'Kwh Reading'!G9)*1000</f>
        <v>870.00000000000455</v>
      </c>
      <c r="Q9" s="2">
        <f>('Kwh Reading'!Q10-'Kwh Reading'!Q9)*1000</f>
        <v>639.99999999998636</v>
      </c>
      <c r="R9" s="2">
        <f>('Kwh Reading'!N10-'Kwh Reading'!N9)*1000</f>
        <v>649.99999999997726</v>
      </c>
      <c r="S9" s="2">
        <f>'Kwh Reading'!E10-'Kwh Reading'!E9</f>
        <v>3097.0800000000745</v>
      </c>
      <c r="T9" s="2">
        <f>'Kwh Reading'!D10-'Kwh Reading'!D9</f>
        <v>2261.390000000596</v>
      </c>
      <c r="U9" s="27">
        <f>('Kwh Reading'!O10-'Kwh Reading'!O9)*1000</f>
        <v>300.00000000001137</v>
      </c>
      <c r="V9" s="16">
        <f t="shared" si="0"/>
        <v>6301.5299999993185</v>
      </c>
    </row>
    <row r="10" spans="1:22" x14ac:dyDescent="0.25">
      <c r="A10" s="3">
        <f>'Kwh Reading'!A10</f>
        <v>44415</v>
      </c>
      <c r="B10" s="26">
        <f>TOTAL!E8</f>
        <v>23490.00000000092</v>
      </c>
      <c r="C10" s="4">
        <f>('Kwh Reading'!T11-'Kwh Reading'!T10)*1000</f>
        <v>490.00000000000909</v>
      </c>
      <c r="D10" s="2">
        <f>('Kwh Reading'!F11-'Kwh Reading'!F10)*1000000</f>
        <v>2499.9999999999468</v>
      </c>
      <c r="E10" s="2">
        <f>('Kwh Reading'!C11-'Kwh Reading'!C10)*1000</f>
        <v>219.99999999999886</v>
      </c>
      <c r="F10" s="2">
        <f>('Kwh Reading'!J11-'Kwh Reading'!J10)*1000</f>
        <v>240.00000000000909</v>
      </c>
      <c r="G10" s="2">
        <f>('Kwh Reading'!K11-'Kwh Reading'!K10)*1000</f>
        <v>290.00000000002046</v>
      </c>
      <c r="H10" s="2">
        <f>('Kwh Reading'!L11-'Kwh Reading'!L10)*1000</f>
        <v>199.99999999998863</v>
      </c>
      <c r="I10" s="2">
        <f>('Kwh Reading'!R11-'Kwh Reading'!R10)*1000</f>
        <v>189.99999999999773</v>
      </c>
      <c r="J10" s="2">
        <f>('Kwh Reading'!S11-'Kwh Reading'!S10)*1000</f>
        <v>119.99999999999034</v>
      </c>
      <c r="K10" s="2">
        <f>('Kwh Reading'!I11-'Kwh Reading'!I10)*1000</f>
        <v>330.00000000001251</v>
      </c>
      <c r="L10" s="2">
        <f>('Kwh Reading'!B11-'Kwh Reading'!B10)*1000</f>
        <v>1400.0000000000909</v>
      </c>
      <c r="M10" s="2">
        <f>('Kwh Reading'!M11-'Kwh Reading'!M10)*1000</f>
        <v>649.99999999997726</v>
      </c>
      <c r="N10" s="2">
        <f>('Kwh Reading'!H11-'Kwh Reading'!H10)*1000</f>
        <v>580.00000000004093</v>
      </c>
      <c r="O10" s="2">
        <f>('Kwh Reading'!P11-'Kwh Reading'!P10)*1000</f>
        <v>2159.9999999999682</v>
      </c>
      <c r="P10" s="2">
        <f>('Kwh Reading'!G11-'Kwh Reading'!G10)*1000</f>
        <v>870.00000000000455</v>
      </c>
      <c r="Q10" s="2">
        <f>('Kwh Reading'!Q11-'Kwh Reading'!Q10)*1000</f>
        <v>639.99999999998636</v>
      </c>
      <c r="R10" s="2">
        <f>('Kwh Reading'!N11-'Kwh Reading'!N10)*1000</f>
        <v>759.99999999999091</v>
      </c>
      <c r="S10" s="34">
        <f>'Kwh Reading'!E11-'Kwh Reading'!E10</f>
        <v>3637.390000000596</v>
      </c>
      <c r="T10" s="34">
        <f>'Kwh Reading'!D11-'Kwh Reading'!D10</f>
        <v>2431.609999999404</v>
      </c>
      <c r="U10" s="27">
        <f>('Kwh Reading'!O11-'Kwh Reading'!O10)*1000</f>
        <v>209.99999999997954</v>
      </c>
      <c r="V10" s="16">
        <f t="shared" ref="V10:V34" si="1">B10-(SUM(C10:U10))</f>
        <v>5571.0000000009131</v>
      </c>
    </row>
    <row r="11" spans="1:22" x14ac:dyDescent="0.25">
      <c r="A11" s="3">
        <f>'Kwh Reading'!A11</f>
        <v>44416</v>
      </c>
      <c r="B11" s="26">
        <f>TOTAL!E9</f>
        <v>22709.999999998217</v>
      </c>
      <c r="C11" s="4">
        <f>('Kwh Reading'!T12-'Kwh Reading'!T11)*1000</f>
        <v>449.99999999998863</v>
      </c>
      <c r="D11" s="2">
        <f>('Kwh Reading'!F12-'Kwh Reading'!F11)*1000000</f>
        <v>2500.0000000003906</v>
      </c>
      <c r="E11" s="2">
        <f>('Kwh Reading'!C12-'Kwh Reading'!C11)*1000</f>
        <v>240.00000000000909</v>
      </c>
      <c r="F11" s="2">
        <f>('Kwh Reading'!J12-'Kwh Reading'!J11)*1000</f>
        <v>340.00000000003183</v>
      </c>
      <c r="G11" s="2">
        <f>('Kwh Reading'!K12-'Kwh Reading'!K11)*1000</f>
        <v>299.99999999995453</v>
      </c>
      <c r="H11" s="2">
        <f>('Kwh Reading'!L12-'Kwh Reading'!L11)*1000</f>
        <v>230.00000000001819</v>
      </c>
      <c r="I11" s="2">
        <f>('Kwh Reading'!R12-'Kwh Reading'!R11)*1000</f>
        <v>210.00000000000796</v>
      </c>
      <c r="J11" s="2">
        <f>('Kwh Reading'!S12-'Kwh Reading'!S11)*1000</f>
        <v>130.00000000000966</v>
      </c>
      <c r="K11" s="2">
        <f>('Kwh Reading'!I12-'Kwh Reading'!I11)*1000</f>
        <v>340.00000000000341</v>
      </c>
      <c r="L11" s="2">
        <f>('Kwh Reading'!B12-'Kwh Reading'!B11)*1000</f>
        <v>1299.9999999999545</v>
      </c>
      <c r="M11" s="2">
        <f>('Kwh Reading'!M12-'Kwh Reading'!M11)*1000</f>
        <v>699.99999999993179</v>
      </c>
      <c r="N11" s="2">
        <f>('Kwh Reading'!H12-'Kwh Reading'!H11)*1000</f>
        <v>490.00000000000909</v>
      </c>
      <c r="O11" s="2">
        <f>('Kwh Reading'!P12-'Kwh Reading'!P11)*1000</f>
        <v>1060.0000000000591</v>
      </c>
      <c r="P11" s="2">
        <f>('Kwh Reading'!G12-'Kwh Reading'!G11)*1000</f>
        <v>889.99999999998636</v>
      </c>
      <c r="Q11" s="2">
        <f>('Kwh Reading'!Q12-'Kwh Reading'!Q11)*1000</f>
        <v>660.00000000002501</v>
      </c>
      <c r="R11" s="2">
        <f>('Kwh Reading'!N12-'Kwh Reading'!N11)*1000</f>
        <v>730.00000000001819</v>
      </c>
      <c r="S11" s="34">
        <f>'Kwh Reading'!E12-'Kwh Reading'!E11</f>
        <v>3161.2099999999627</v>
      </c>
      <c r="T11" s="34">
        <f>'Kwh Reading'!D12-'Kwh Reading'!D11</f>
        <v>2162.5400000000373</v>
      </c>
      <c r="U11" s="27">
        <f>('Kwh Reading'!O12-'Kwh Reading'!O11)*1000</f>
        <v>219.99999999999886</v>
      </c>
      <c r="V11" s="16">
        <f t="shared" si="1"/>
        <v>6596.249999997819</v>
      </c>
    </row>
    <row r="12" spans="1:22" x14ac:dyDescent="0.25">
      <c r="A12" s="3">
        <f>'Kwh Reading'!A12</f>
        <v>44417</v>
      </c>
      <c r="B12" s="26">
        <f>TOTAL!E10</f>
        <v>24239.999999999778</v>
      </c>
      <c r="C12" s="4">
        <f>('Kwh Reading'!T13-'Kwh Reading'!T12)*1000</f>
        <v>470.00000000002728</v>
      </c>
      <c r="D12" s="2">
        <f>('Kwh Reading'!F13-'Kwh Reading'!F12)*1000000</f>
        <v>2399.9999999997358</v>
      </c>
      <c r="E12" s="2">
        <f>('Kwh Reading'!C13-'Kwh Reading'!C12)*1000</f>
        <v>229.99999999998977</v>
      </c>
      <c r="F12" s="2">
        <f>('Kwh Reading'!J13-'Kwh Reading'!J12)*1000</f>
        <v>310.00000000000227</v>
      </c>
      <c r="G12" s="2">
        <f>('Kwh Reading'!K13-'Kwh Reading'!K12)*1000</f>
        <v>330.00000000004093</v>
      </c>
      <c r="H12" s="2">
        <f>('Kwh Reading'!L13-'Kwh Reading'!L12)*1000</f>
        <v>229.99999999998977</v>
      </c>
      <c r="I12" s="2">
        <f>('Kwh Reading'!R13-'Kwh Reading'!R12)*1000</f>
        <v>259.99999999999091</v>
      </c>
      <c r="J12" s="2">
        <f>('Kwh Reading'!S13-'Kwh Reading'!S12)*1000</f>
        <v>119.99999999999034</v>
      </c>
      <c r="K12" s="2">
        <f>('Kwh Reading'!I13-'Kwh Reading'!I12)*1000</f>
        <v>339.99999999997499</v>
      </c>
      <c r="L12" s="2">
        <f>('Kwh Reading'!B13-'Kwh Reading'!B12)*1000</f>
        <v>1299.9999999999545</v>
      </c>
      <c r="M12" s="2">
        <f>('Kwh Reading'!M13-'Kwh Reading'!M12)*1000</f>
        <v>850.00000000002274</v>
      </c>
      <c r="N12" s="2">
        <f>('Kwh Reading'!H13-'Kwh Reading'!H12)*1000</f>
        <v>559.99999999994543</v>
      </c>
      <c r="O12" s="2">
        <f>('Kwh Reading'!P13-'Kwh Reading'!P12)*1000</f>
        <v>1139.9999999999864</v>
      </c>
      <c r="P12" s="2">
        <f>('Kwh Reading'!G13-'Kwh Reading'!G12)*1000</f>
        <v>879.99999999999545</v>
      </c>
      <c r="Q12" s="2">
        <f>('Kwh Reading'!Q13-'Kwh Reading'!Q12)*1000</f>
        <v>679.99999999994998</v>
      </c>
      <c r="R12" s="2">
        <f>('Kwh Reading'!N13-'Kwh Reading'!N12)*1000</f>
        <v>779.99999999997272</v>
      </c>
      <c r="S12" s="34">
        <f>'Kwh Reading'!E13-'Kwh Reading'!E12</f>
        <v>3697.0299999993294</v>
      </c>
      <c r="T12" s="34">
        <f>'Kwh Reading'!D13-'Kwh Reading'!D12</f>
        <v>2400.3400000007823</v>
      </c>
      <c r="U12" s="27">
        <f>('Kwh Reading'!O13-'Kwh Reading'!O12)*1000</f>
        <v>230.00000000001819</v>
      </c>
      <c r="V12" s="16">
        <f t="shared" si="1"/>
        <v>7032.6300000000774</v>
      </c>
    </row>
    <row r="13" spans="1:22" x14ac:dyDescent="0.25">
      <c r="A13" s="3">
        <f>'Kwh Reading'!A13</f>
        <v>44418</v>
      </c>
      <c r="B13" s="26">
        <f>TOTAL!E11</f>
        <v>24410.000000000313</v>
      </c>
      <c r="C13" s="4">
        <f>('Kwh Reading'!T14-'Kwh Reading'!T13)*1000</f>
        <v>509.99999999999091</v>
      </c>
      <c r="D13" s="2">
        <f>('Kwh Reading'!F14-'Kwh Reading'!F13)*1000000</f>
        <v>2099.9999999999909</v>
      </c>
      <c r="E13" s="2">
        <f>('Kwh Reading'!C14-'Kwh Reading'!C13)*1000</f>
        <v>229.99999999998977</v>
      </c>
      <c r="F13" s="2">
        <f>('Kwh Reading'!J14-'Kwh Reading'!J13)*1000</f>
        <v>240.00000000000909</v>
      </c>
      <c r="G13" s="2">
        <f>('Kwh Reading'!K14-'Kwh Reading'!K13)*1000</f>
        <v>250</v>
      </c>
      <c r="H13" s="2">
        <f>('Kwh Reading'!L14-'Kwh Reading'!L13)*1000</f>
        <v>159.99999999999659</v>
      </c>
      <c r="I13" s="2">
        <f>('Kwh Reading'!R14-'Kwh Reading'!R13)*1000</f>
        <v>280.00000000000114</v>
      </c>
      <c r="J13" s="2">
        <f>('Kwh Reading'!S14-'Kwh Reading'!S13)*1000</f>
        <v>150.00000000000568</v>
      </c>
      <c r="K13" s="2">
        <f>('Kwh Reading'!I14-'Kwh Reading'!I13)*1000</f>
        <v>370.00000000000455</v>
      </c>
      <c r="L13" s="2">
        <f>('Kwh Reading'!B14-'Kwh Reading'!B13)*1000</f>
        <v>1299.9999999999545</v>
      </c>
      <c r="M13" s="2">
        <f>('Kwh Reading'!M14-'Kwh Reading'!M13)*1000</f>
        <v>850.00000000002274</v>
      </c>
      <c r="N13" s="2">
        <f>('Kwh Reading'!H14-'Kwh Reading'!H13)*1000</f>
        <v>660.00000000008185</v>
      </c>
      <c r="O13" s="2">
        <f>('Kwh Reading'!P14-'Kwh Reading'!P13)*1000</f>
        <v>1149.9999999999773</v>
      </c>
      <c r="P13" s="2">
        <f>('Kwh Reading'!G14-'Kwh Reading'!G13)*1000</f>
        <v>889.99999999998636</v>
      </c>
      <c r="Q13" s="2">
        <f>('Kwh Reading'!Q14-'Kwh Reading'!Q13)*1000</f>
        <v>689.99999999999773</v>
      </c>
      <c r="R13" s="2">
        <f>('Kwh Reading'!N14-'Kwh Reading'!N13)*1000</f>
        <v>780.00000000002956</v>
      </c>
      <c r="S13" s="34">
        <f>'Kwh Reading'!E14-'Kwh Reading'!E13</f>
        <v>3756.2099999999627</v>
      </c>
      <c r="T13" s="34">
        <f>'Kwh Reading'!D14-'Kwh Reading'!D13</f>
        <v>2288.9499999992549</v>
      </c>
      <c r="U13" s="27">
        <f>('Kwh Reading'!O14-'Kwh Reading'!O13)*1000</f>
        <v>219.99999999999886</v>
      </c>
      <c r="V13" s="16">
        <f t="shared" si="1"/>
        <v>7534.8400000010588</v>
      </c>
    </row>
    <row r="14" spans="1:22" x14ac:dyDescent="0.25">
      <c r="A14" s="3">
        <f>'Kwh Reading'!A14</f>
        <v>44419</v>
      </c>
      <c r="B14" s="26">
        <f>TOTAL!E12</f>
        <v>24290.000000001102</v>
      </c>
      <c r="C14" s="4">
        <f>('Kwh Reading'!T15-'Kwh Reading'!T14)*1000</f>
        <v>509.99999999999091</v>
      </c>
      <c r="D14" s="2">
        <f>('Kwh Reading'!F15-'Kwh Reading'!F14)*1000000</f>
        <v>2299.9999999999686</v>
      </c>
      <c r="E14" s="2">
        <f>('Kwh Reading'!C15-'Kwh Reading'!C14)*1000</f>
        <v>250</v>
      </c>
      <c r="F14" s="2">
        <f>('Kwh Reading'!J15-'Kwh Reading'!J14)*1000</f>
        <v>259.99999999999091</v>
      </c>
      <c r="G14" s="2">
        <f>('Kwh Reading'!K15-'Kwh Reading'!K14)*1000</f>
        <v>329.99999999998408</v>
      </c>
      <c r="H14" s="2">
        <f>('Kwh Reading'!L15-'Kwh Reading'!L14)*1000</f>
        <v>210.00000000000796</v>
      </c>
      <c r="I14" s="2">
        <f>('Kwh Reading'!R15-'Kwh Reading'!R14)*1000</f>
        <v>289.99999999999204</v>
      </c>
      <c r="J14" s="2">
        <f>('Kwh Reading'!S15-'Kwh Reading'!S14)*1000</f>
        <v>120.00000000000455</v>
      </c>
      <c r="K14" s="2">
        <f>('Kwh Reading'!I15-'Kwh Reading'!I14)*1000</f>
        <v>409.99999999999659</v>
      </c>
      <c r="L14" s="2">
        <f>('Kwh Reading'!B15-'Kwh Reading'!B14)*1000</f>
        <v>1400.0000000000909</v>
      </c>
      <c r="M14" s="2">
        <f>('Kwh Reading'!M15-'Kwh Reading'!M14)*1000</f>
        <v>830.00000000004093</v>
      </c>
      <c r="N14" s="2">
        <f>('Kwh Reading'!H15-'Kwh Reading'!H14)*1000</f>
        <v>549.99999999995453</v>
      </c>
      <c r="O14" s="2">
        <f>('Kwh Reading'!P15-'Kwh Reading'!P14)*1000</f>
        <v>1139.9999999999864</v>
      </c>
      <c r="P14" s="2">
        <f>('Kwh Reading'!G15-'Kwh Reading'!G14)*1000</f>
        <v>779.99999999997272</v>
      </c>
      <c r="Q14" s="2">
        <f>('Kwh Reading'!Q15-'Kwh Reading'!Q14)*1000</f>
        <v>740.00000000000909</v>
      </c>
      <c r="R14" s="2">
        <f>('Kwh Reading'!N15-'Kwh Reading'!N14)*1000</f>
        <v>759.99999999999091</v>
      </c>
      <c r="S14" s="34">
        <f>'Kwh Reading'!E15-'Kwh Reading'!E14</f>
        <v>3577.7200000006706</v>
      </c>
      <c r="T14" s="34">
        <f>'Kwh Reading'!D15-'Kwh Reading'!D14</f>
        <v>2352.1900000004098</v>
      </c>
      <c r="U14" s="27">
        <f>('Kwh Reading'!O15-'Kwh Reading'!O14)*1000</f>
        <v>219.99999999999886</v>
      </c>
      <c r="V14" s="16">
        <f t="shared" si="1"/>
        <v>7260.0900000000438</v>
      </c>
    </row>
    <row r="15" spans="1:22" x14ac:dyDescent="0.25">
      <c r="A15" s="3">
        <f>'Kwh Reading'!A15</f>
        <v>44420</v>
      </c>
      <c r="B15" s="26">
        <f>TOTAL!E13</f>
        <v>23440.000000000735</v>
      </c>
      <c r="C15" s="4">
        <f>('Kwh Reading'!T16-'Kwh Reading'!T15)*1000</f>
        <v>480.00000000001819</v>
      </c>
      <c r="D15" s="2">
        <f>('Kwh Reading'!F16-'Kwh Reading'!F15)*1000000</f>
        <v>2299.9999999999686</v>
      </c>
      <c r="E15" s="2">
        <f>('Kwh Reading'!C16-'Kwh Reading'!C15)*1000</f>
        <v>230.00000000001819</v>
      </c>
      <c r="F15" s="2">
        <f>('Kwh Reading'!J16-'Kwh Reading'!J15)*1000</f>
        <v>209.99999999997954</v>
      </c>
      <c r="G15" s="2">
        <f>('Kwh Reading'!K16-'Kwh Reading'!K15)*1000</f>
        <v>290.00000000002046</v>
      </c>
      <c r="H15" s="2">
        <f>('Kwh Reading'!L16-'Kwh Reading'!L15)*1000</f>
        <v>210.00000000000796</v>
      </c>
      <c r="I15" s="2">
        <f>('Kwh Reading'!R16-'Kwh Reading'!R15)*1000</f>
        <v>270.00000000001023</v>
      </c>
      <c r="J15" s="2">
        <f>('Kwh Reading'!S16-'Kwh Reading'!S15)*1000</f>
        <v>109.99999999999943</v>
      </c>
      <c r="K15" s="2">
        <f>('Kwh Reading'!I16-'Kwh Reading'!I15)*1000</f>
        <v>350.00000000002274</v>
      </c>
      <c r="L15" s="2">
        <f>('Kwh Reading'!B16-'Kwh Reading'!B15)*1000</f>
        <v>1299.9999999999545</v>
      </c>
      <c r="M15" s="2">
        <f>('Kwh Reading'!M16-'Kwh Reading'!M15)*1000</f>
        <v>739.99999999989541</v>
      </c>
      <c r="N15" s="2">
        <f>('Kwh Reading'!H16-'Kwh Reading'!H15)*1000</f>
        <v>549.99999999995453</v>
      </c>
      <c r="O15" s="2">
        <f>('Kwh Reading'!P16-'Kwh Reading'!P15)*1000</f>
        <v>1110.0000000000136</v>
      </c>
      <c r="P15" s="2">
        <f>('Kwh Reading'!G16-'Kwh Reading'!G15)*1000</f>
        <v>830.00000000004093</v>
      </c>
      <c r="Q15" s="2">
        <f>('Kwh Reading'!Q16-'Kwh Reading'!Q15)*1000</f>
        <v>670.00000000001592</v>
      </c>
      <c r="R15" s="2">
        <f>('Kwh Reading'!N16-'Kwh Reading'!N15)*1000</f>
        <v>750</v>
      </c>
      <c r="S15" s="34">
        <f>'Kwh Reading'!E16-'Kwh Reading'!E15</f>
        <v>3759.8499999996275</v>
      </c>
      <c r="T15" s="34">
        <f>'Kwh Reading'!D16-'Kwh Reading'!D15</f>
        <v>2308.8899999996647</v>
      </c>
      <c r="U15" s="27">
        <f>('Kwh Reading'!O16-'Kwh Reading'!O15)*1000</f>
        <v>210.00000000000796</v>
      </c>
      <c r="V15" s="16">
        <f t="shared" si="1"/>
        <v>6761.2600000015154</v>
      </c>
    </row>
    <row r="16" spans="1:22" x14ac:dyDescent="0.25">
      <c r="A16" s="3">
        <f>'Kwh Reading'!A16</f>
        <v>44421</v>
      </c>
      <c r="B16" s="26">
        <f>TOTAL!E14</f>
        <v>23569.999999998348</v>
      </c>
      <c r="C16" s="4">
        <f>('Kwh Reading'!T17-'Kwh Reading'!T16)*1000</f>
        <v>289.99999999996362</v>
      </c>
      <c r="D16" s="2">
        <f>('Kwh Reading'!F17-'Kwh Reading'!F16)*1000000</f>
        <v>2800.0000000001355</v>
      </c>
      <c r="E16" s="2">
        <f>('Kwh Reading'!C17-'Kwh Reading'!C16)*1000</f>
        <v>259.99999999999091</v>
      </c>
      <c r="F16" s="2">
        <f>('Kwh Reading'!J17-'Kwh Reading'!J16)*1000</f>
        <v>310.00000000000227</v>
      </c>
      <c r="G16" s="2">
        <f>('Kwh Reading'!K17-'Kwh Reading'!K16)*1000</f>
        <v>259.99999999999091</v>
      </c>
      <c r="H16" s="2">
        <f>('Kwh Reading'!L17-'Kwh Reading'!L16)*1000</f>
        <v>179.9999999999784</v>
      </c>
      <c r="I16" s="2">
        <f>('Kwh Reading'!R17-'Kwh Reading'!R16)*1000</f>
        <v>280.00000000000114</v>
      </c>
      <c r="J16" s="2">
        <f>('Kwh Reading'!S17-'Kwh Reading'!S16)*1000</f>
        <v>119.99999999999034</v>
      </c>
      <c r="K16" s="2">
        <f>('Kwh Reading'!I17-'Kwh Reading'!I16)*1000</f>
        <v>379.99999999999545</v>
      </c>
      <c r="L16" s="2">
        <f>('Kwh Reading'!B17-'Kwh Reading'!B16)*1000</f>
        <v>1299.9999999999545</v>
      </c>
      <c r="M16" s="2">
        <f>('Kwh Reading'!M17-'Kwh Reading'!M16)*1000</f>
        <v>870.00000000000455</v>
      </c>
      <c r="N16" s="2">
        <f>('Kwh Reading'!H17-'Kwh Reading'!H16)*1000</f>
        <v>550.00000000006821</v>
      </c>
      <c r="O16" s="2">
        <f>('Kwh Reading'!P17-'Kwh Reading'!P16)*1000</f>
        <v>1120.0000000000045</v>
      </c>
      <c r="P16" s="2">
        <f>('Kwh Reading'!G17-'Kwh Reading'!G16)*1000</f>
        <v>870.00000000000455</v>
      </c>
      <c r="Q16" s="2">
        <f>('Kwh Reading'!Q17-'Kwh Reading'!Q16)*1000</f>
        <v>670.00000000001592</v>
      </c>
      <c r="R16" s="2">
        <f>('Kwh Reading'!N17-'Kwh Reading'!N16)*1000</f>
        <v>759.99999999999091</v>
      </c>
      <c r="S16" s="34">
        <f>'Kwh Reading'!E17-'Kwh Reading'!E16</f>
        <v>3499.4900000002235</v>
      </c>
      <c r="T16" s="34">
        <f>'Kwh Reading'!D17-'Kwh Reading'!D16</f>
        <v>2394.839999999851</v>
      </c>
      <c r="U16" s="27">
        <f>('Kwh Reading'!O17-'Kwh Reading'!O16)*1000</f>
        <v>209.99999999997954</v>
      </c>
      <c r="V16" s="16">
        <f t="shared" si="1"/>
        <v>6445.6699999982047</v>
      </c>
    </row>
    <row r="17" spans="1:22" x14ac:dyDescent="0.25">
      <c r="A17" s="3">
        <f>'Kwh Reading'!A17</f>
        <v>44422</v>
      </c>
      <c r="B17" s="26">
        <f>TOTAL!E15</f>
        <v>24350.000000001048</v>
      </c>
      <c r="C17" s="4">
        <f>('Kwh Reading'!T18-'Kwh Reading'!T17)*1000</f>
        <v>520.00000000003865</v>
      </c>
      <c r="D17" s="2">
        <f>('Kwh Reading'!F18-'Kwh Reading'!F17)*1000000</f>
        <v>1900.0000000000127</v>
      </c>
      <c r="E17" s="2">
        <f>('Kwh Reading'!C18-'Kwh Reading'!C17)*1000</f>
        <v>289.99999999999204</v>
      </c>
      <c r="F17" s="2">
        <f>('Kwh Reading'!J18-'Kwh Reading'!J17)*1000</f>
        <v>250</v>
      </c>
      <c r="G17" s="2">
        <f>('Kwh Reading'!K18-'Kwh Reading'!K17)*1000</f>
        <v>310.00000000000227</v>
      </c>
      <c r="H17" s="2">
        <f>('Kwh Reading'!L18-'Kwh Reading'!L17)*1000</f>
        <v>210.00000000000796</v>
      </c>
      <c r="I17" s="2">
        <f>('Kwh Reading'!R18-'Kwh Reading'!R17)*1000</f>
        <v>259.99999999999091</v>
      </c>
      <c r="J17" s="2">
        <f>('Kwh Reading'!S18-'Kwh Reading'!S17)*1000</f>
        <v>120.00000000000455</v>
      </c>
      <c r="K17" s="2">
        <f>('Kwh Reading'!I18-'Kwh Reading'!I17)*1000</f>
        <v>359.99999999998522</v>
      </c>
      <c r="L17" s="2">
        <f>('Kwh Reading'!B18-'Kwh Reading'!B17)*1000</f>
        <v>1299.9999999999545</v>
      </c>
      <c r="M17" s="2">
        <f>('Kwh Reading'!M18-'Kwh Reading'!M17)*1000</f>
        <v>800.00000000006821</v>
      </c>
      <c r="N17" s="2">
        <f>('Kwh Reading'!H18-'Kwh Reading'!H17)*1000</f>
        <v>629.99999999999545</v>
      </c>
      <c r="O17" s="2">
        <f>('Kwh Reading'!P18-'Kwh Reading'!P17)*1000</f>
        <v>1139.9999999999864</v>
      </c>
      <c r="P17" s="2">
        <f>('Kwh Reading'!G18-'Kwh Reading'!G17)*1000</f>
        <v>899.99999999997726</v>
      </c>
      <c r="Q17" s="2">
        <f>('Kwh Reading'!Q18-'Kwh Reading'!Q17)*1000</f>
        <v>689.99999999999773</v>
      </c>
      <c r="R17" s="2">
        <f>('Kwh Reading'!N18-'Kwh Reading'!N17)*1000</f>
        <v>840.00000000003183</v>
      </c>
      <c r="S17" s="34">
        <f>'Kwh Reading'!E18-'Kwh Reading'!E17</f>
        <v>4013.589999999851</v>
      </c>
      <c r="T17" s="34">
        <f>'Kwh Reading'!D18-'Kwh Reading'!D17</f>
        <v>2475.8300000000745</v>
      </c>
      <c r="U17" s="27">
        <f>('Kwh Reading'!O18-'Kwh Reading'!O17)*1000</f>
        <v>210.00000000000796</v>
      </c>
      <c r="V17" s="16">
        <f t="shared" si="1"/>
        <v>7130.5800000010677</v>
      </c>
    </row>
    <row r="18" spans="1:22" x14ac:dyDescent="0.25">
      <c r="A18" s="3">
        <f>'Kwh Reading'!A18</f>
        <v>44423</v>
      </c>
      <c r="B18" s="26">
        <f>TOTAL!E16</f>
        <v>23809.999999999491</v>
      </c>
      <c r="C18" s="4">
        <f>('Kwh Reading'!T19-'Kwh Reading'!T18)*1000</f>
        <v>500</v>
      </c>
      <c r="D18" s="2">
        <f>('Kwh Reading'!F19-'Kwh Reading'!F18)*1000000</f>
        <v>2299.9999999999686</v>
      </c>
      <c r="E18" s="2">
        <f>('Kwh Reading'!C19-'Kwh Reading'!C18)*1000</f>
        <v>270.00000000001023</v>
      </c>
      <c r="F18" s="2">
        <f>('Kwh Reading'!J19-'Kwh Reading'!J18)*1000</f>
        <v>360.00000000001364</v>
      </c>
      <c r="G18" s="2">
        <f>('Kwh Reading'!K19-'Kwh Reading'!K18)*1000</f>
        <v>310.00000000000227</v>
      </c>
      <c r="H18" s="2">
        <f>('Kwh Reading'!L19-'Kwh Reading'!L18)*1000</f>
        <v>9.9999999999909051</v>
      </c>
      <c r="I18" s="2">
        <f>('Kwh Reading'!R19-'Kwh Reading'!R18)*1000</f>
        <v>280.00000000000114</v>
      </c>
      <c r="J18" s="2">
        <f>('Kwh Reading'!S19-'Kwh Reading'!S18)*1000</f>
        <v>120.00000000000455</v>
      </c>
      <c r="K18" s="2">
        <f>('Kwh Reading'!I19-'Kwh Reading'!I18)*1000</f>
        <v>370.00000000000455</v>
      </c>
      <c r="L18" s="2">
        <f>('Kwh Reading'!B19-'Kwh Reading'!B18)*1000</f>
        <v>1300.0000000001819</v>
      </c>
      <c r="M18" s="2">
        <f>('Kwh Reading'!M19-'Kwh Reading'!M18)*1000</f>
        <v>779.99999999997272</v>
      </c>
      <c r="N18" s="2">
        <f>('Kwh Reading'!H19-'Kwh Reading'!H18)*1000</f>
        <v>710.00000000003638</v>
      </c>
      <c r="O18" s="2">
        <f>('Kwh Reading'!P19-'Kwh Reading'!P18)*1000</f>
        <v>1120.0000000000045</v>
      </c>
      <c r="P18" s="2">
        <f>('Kwh Reading'!G19-'Kwh Reading'!G18)*1000</f>
        <v>879.99999999999545</v>
      </c>
      <c r="Q18" s="2">
        <f>('Kwh Reading'!Q19-'Kwh Reading'!Q18)*1000</f>
        <v>699.99999999998863</v>
      </c>
      <c r="R18" s="2">
        <f>('Kwh Reading'!N19-'Kwh Reading'!N18)*1000</f>
        <v>799.99999999995453</v>
      </c>
      <c r="S18" s="34">
        <f>'Kwh Reading'!E19-'Kwh Reading'!E18</f>
        <v>3639.7800000002608</v>
      </c>
      <c r="T18" s="34">
        <f>'Kwh Reading'!D19-'Kwh Reading'!D18</f>
        <v>2689.7400000002235</v>
      </c>
      <c r="U18" s="27">
        <f>('Kwh Reading'!O19-'Kwh Reading'!O18)*1000</f>
        <v>219.99999999999886</v>
      </c>
      <c r="V18" s="16">
        <f t="shared" si="1"/>
        <v>6450.4799999988754</v>
      </c>
    </row>
    <row r="19" spans="1:22" x14ac:dyDescent="0.25">
      <c r="A19" s="3">
        <f>'Kwh Reading'!A19</f>
        <v>44424</v>
      </c>
      <c r="B19" s="26">
        <f>TOTAL!E17</f>
        <v>23839.999999999691</v>
      </c>
      <c r="C19" s="4">
        <f>('Kwh Reading'!T20-'Kwh Reading'!T19)*1000</f>
        <v>500</v>
      </c>
      <c r="D19" s="2">
        <f>('Kwh Reading'!F20-'Kwh Reading'!F19)*1000000</f>
        <v>2099.9999999999909</v>
      </c>
      <c r="E19" s="2">
        <f>('Kwh Reading'!C20-'Kwh Reading'!C19)*1000</f>
        <v>259.99999999999091</v>
      </c>
      <c r="F19" s="2">
        <f>('Kwh Reading'!J20-'Kwh Reading'!J19)*1000</f>
        <v>389.99999999998636</v>
      </c>
      <c r="G19" s="2">
        <f>('Kwh Reading'!K20-'Kwh Reading'!K19)*1000</f>
        <v>329.99999999998408</v>
      </c>
      <c r="H19" s="2">
        <f>('Kwh Reading'!L20-'Kwh Reading'!L19)*1000</f>
        <v>420.00000000001592</v>
      </c>
      <c r="I19" s="2">
        <f>('Kwh Reading'!R20-'Kwh Reading'!R19)*1000</f>
        <v>280.00000000000114</v>
      </c>
      <c r="J19" s="2">
        <f>('Kwh Reading'!S20-'Kwh Reading'!S19)*1000</f>
        <v>119.99999999999034</v>
      </c>
      <c r="K19" s="2">
        <f>('Kwh Reading'!I20-'Kwh Reading'!I19)*1000</f>
        <v>379.99999999999545</v>
      </c>
      <c r="L19" s="2">
        <f>('Kwh Reading'!B20-'Kwh Reading'!B19)*1000</f>
        <v>1299.9999999999545</v>
      </c>
      <c r="M19" s="2">
        <f>('Kwh Reading'!M20-'Kwh Reading'!M19)*1000</f>
        <v>799.99999999995453</v>
      </c>
      <c r="N19" s="2">
        <f>('Kwh Reading'!H20-'Kwh Reading'!H19)*1000</f>
        <v>750</v>
      </c>
      <c r="O19" s="2">
        <f>('Kwh Reading'!P20-'Kwh Reading'!P19)*1000</f>
        <v>1080.0000000000409</v>
      </c>
      <c r="P19" s="2">
        <f>('Kwh Reading'!G20-'Kwh Reading'!G19)*1000</f>
        <v>840.00000000003183</v>
      </c>
      <c r="Q19" s="2">
        <f>('Kwh Reading'!Q20-'Kwh Reading'!Q19)*1000</f>
        <v>639.99999999998636</v>
      </c>
      <c r="R19" s="2">
        <f>('Kwh Reading'!N20-'Kwh Reading'!N19)*1000</f>
        <v>860.00000000001364</v>
      </c>
      <c r="S19" s="34">
        <f>'Kwh Reading'!E20-'Kwh Reading'!E19</f>
        <v>3528.5599999995902</v>
      </c>
      <c r="T19" s="34">
        <f>'Kwh Reading'!D20-'Kwh Reading'!D19</f>
        <v>2710.6100000003353</v>
      </c>
      <c r="U19" s="27">
        <f>('Kwh Reading'!O20-'Kwh Reading'!O19)*1000</f>
        <v>250</v>
      </c>
      <c r="V19" s="16">
        <f t="shared" si="1"/>
        <v>6300.8299999998271</v>
      </c>
    </row>
    <row r="20" spans="1:22" x14ac:dyDescent="0.25">
      <c r="A20" s="3">
        <f>'Kwh Reading'!A20</f>
        <v>44425</v>
      </c>
      <c r="B20" s="26">
        <f>TOTAL!E18</f>
        <v>23209.999999999578</v>
      </c>
      <c r="C20" s="4">
        <f>('Kwh Reading'!T21-'Kwh Reading'!T20)*1000</f>
        <v>489.99999999995225</v>
      </c>
      <c r="D20" s="2">
        <f>('Kwh Reading'!F21-'Kwh Reading'!F20)*1000000</f>
        <v>2299.9999999999686</v>
      </c>
      <c r="E20" s="2">
        <f>('Kwh Reading'!C21-'Kwh Reading'!C20)*1000</f>
        <v>250</v>
      </c>
      <c r="F20" s="2">
        <f>('Kwh Reading'!J21-'Kwh Reading'!J20)*1000</f>
        <v>319.99999999999318</v>
      </c>
      <c r="G20" s="2">
        <f>('Kwh Reading'!K21-'Kwh Reading'!K20)*1000</f>
        <v>310.00000000000227</v>
      </c>
      <c r="H20" s="2">
        <f>('Kwh Reading'!L21-'Kwh Reading'!L20)*1000</f>
        <v>229.99999999998977</v>
      </c>
      <c r="I20" s="2">
        <f>('Kwh Reading'!R21-'Kwh Reading'!R20)*1000</f>
        <v>289.99999999999204</v>
      </c>
      <c r="J20" s="2">
        <f>('Kwh Reading'!S21-'Kwh Reading'!S20)*1000</f>
        <v>120.00000000000455</v>
      </c>
      <c r="K20" s="2">
        <f>('Kwh Reading'!I21-'Kwh Reading'!I20)*1000</f>
        <v>330.00000000001251</v>
      </c>
      <c r="L20" s="2">
        <f>('Kwh Reading'!B21-'Kwh Reading'!B20)*1000</f>
        <v>1399.9999999998636</v>
      </c>
      <c r="M20" s="2">
        <f>('Kwh Reading'!M21-'Kwh Reading'!M20)*1000</f>
        <v>800.00000000006821</v>
      </c>
      <c r="N20" s="2">
        <f>('Kwh Reading'!H21-'Kwh Reading'!H20)*1000</f>
        <v>689.99999999994088</v>
      </c>
      <c r="O20" s="2">
        <f>('Kwh Reading'!P21-'Kwh Reading'!P20)*1000</f>
        <v>980.00000000001819</v>
      </c>
      <c r="P20" s="2">
        <f>('Kwh Reading'!G21-'Kwh Reading'!G20)*1000</f>
        <v>860.00000000001364</v>
      </c>
      <c r="Q20" s="2">
        <f>('Kwh Reading'!Q21-'Kwh Reading'!Q20)*1000</f>
        <v>620.00000000000455</v>
      </c>
      <c r="R20" s="2">
        <f>('Kwh Reading'!N21-'Kwh Reading'!N20)*1000</f>
        <v>850.00000000002274</v>
      </c>
      <c r="S20" s="34">
        <f>'Kwh Reading'!E21-'Kwh Reading'!E20</f>
        <v>3507.9300000006333</v>
      </c>
      <c r="T20" s="34">
        <f>'Kwh Reading'!D21-'Kwh Reading'!D20</f>
        <v>2511.3999999994412</v>
      </c>
      <c r="U20" s="27">
        <f>('Kwh Reading'!O21-'Kwh Reading'!O20)*1000</f>
        <v>250</v>
      </c>
      <c r="V20" s="16">
        <f t="shared" si="1"/>
        <v>6100.6699999996563</v>
      </c>
    </row>
    <row r="21" spans="1:22" ht="16.5" customHeight="1" x14ac:dyDescent="0.25">
      <c r="A21" s="3">
        <f>'Kwh Reading'!A21</f>
        <v>44426</v>
      </c>
      <c r="B21" s="26">
        <f>TOTAL!E19</f>
        <v>23900.00000000123</v>
      </c>
      <c r="C21" s="4">
        <f>('Kwh Reading'!T22-'Kwh Reading'!T21)*1000</f>
        <v>520.00000000003865</v>
      </c>
      <c r="D21" s="2">
        <f>('Kwh Reading'!F22-'Kwh Reading'!F21)*1000000</f>
        <v>2299.9999999999686</v>
      </c>
      <c r="E21" s="2">
        <f>('Kwh Reading'!C22-'Kwh Reading'!C21)*1000</f>
        <v>270.00000000001023</v>
      </c>
      <c r="F21" s="2">
        <f>('Kwh Reading'!J22-'Kwh Reading'!J21)*1000</f>
        <v>329.99999999998408</v>
      </c>
      <c r="G21" s="2">
        <f>('Kwh Reading'!K22-'Kwh Reading'!K21)*1000</f>
        <v>379.99999999999545</v>
      </c>
      <c r="H21" s="2">
        <f>('Kwh Reading'!L22-'Kwh Reading'!L21)*1000</f>
        <v>219.99999999999886</v>
      </c>
      <c r="I21" s="2">
        <f>('Kwh Reading'!R22-'Kwh Reading'!R21)*1000</f>
        <v>270.00000000001023</v>
      </c>
      <c r="J21" s="2">
        <f>('Kwh Reading'!S22-'Kwh Reading'!S21)*1000</f>
        <v>120.00000000000455</v>
      </c>
      <c r="K21" s="2">
        <f>('Kwh Reading'!I22-'Kwh Reading'!I21)*1000</f>
        <v>379.99999999999545</v>
      </c>
      <c r="L21" s="2">
        <f>('Kwh Reading'!B22-'Kwh Reading'!B21)*1000</f>
        <v>1400.0000000000909</v>
      </c>
      <c r="M21" s="2">
        <f>('Kwh Reading'!M22-'Kwh Reading'!M21)*1000</f>
        <v>750</v>
      </c>
      <c r="N21" s="2">
        <f>('Kwh Reading'!H22-'Kwh Reading'!H21)*1000</f>
        <v>639.99999999998636</v>
      </c>
      <c r="O21" s="2">
        <f>('Kwh Reading'!P22-'Kwh Reading'!P21)*1000</f>
        <v>970.00000000002728</v>
      </c>
      <c r="P21" s="2">
        <f>('Kwh Reading'!G22-'Kwh Reading'!G21)*1000</f>
        <v>819.99999999993634</v>
      </c>
      <c r="Q21" s="2">
        <f>('Kwh Reading'!Q22-'Kwh Reading'!Q21)*1000</f>
        <v>670.00000000001592</v>
      </c>
      <c r="R21" s="2">
        <f>('Kwh Reading'!N22-'Kwh Reading'!N21)*1000</f>
        <v>860.00000000001364</v>
      </c>
      <c r="S21" s="34">
        <f>'Kwh Reading'!E22-'Kwh Reading'!E21</f>
        <v>3528.9399999994785</v>
      </c>
      <c r="T21" s="34">
        <f>'Kwh Reading'!D22-'Kwh Reading'!D21</f>
        <v>2528.1200000001118</v>
      </c>
      <c r="U21" s="27">
        <f>('Kwh Reading'!O22-'Kwh Reading'!O21)*1000</f>
        <v>219.99999999999886</v>
      </c>
      <c r="V21" s="16">
        <f t="shared" si="1"/>
        <v>6722.940000001563</v>
      </c>
    </row>
    <row r="22" spans="1:22" x14ac:dyDescent="0.25">
      <c r="A22" s="3">
        <f>'Kwh Reading'!A22</f>
        <v>44427</v>
      </c>
      <c r="B22" s="26">
        <f>TOTAL!E20</f>
        <v>23030.000000000655</v>
      </c>
      <c r="C22" s="4">
        <f>('Kwh Reading'!T23-'Kwh Reading'!T22)*1000</f>
        <v>500</v>
      </c>
      <c r="D22" s="2">
        <f>('Kwh Reading'!F23-'Kwh Reading'!F22)*1000000</f>
        <v>2299.9999999999686</v>
      </c>
      <c r="E22" s="2">
        <f>('Kwh Reading'!C23-'Kwh Reading'!C22)*1000</f>
        <v>250</v>
      </c>
      <c r="F22" s="2">
        <f>('Kwh Reading'!J23-'Kwh Reading'!J22)*1000</f>
        <v>390.0000000000432</v>
      </c>
      <c r="G22" s="2">
        <f>('Kwh Reading'!K23-'Kwh Reading'!K22)*1000</f>
        <v>329.99999999998408</v>
      </c>
      <c r="H22" s="2">
        <f>('Kwh Reading'!L23-'Kwh Reading'!L22)*1000</f>
        <v>230.00000000001819</v>
      </c>
      <c r="I22" s="2">
        <f>('Kwh Reading'!R23-'Kwh Reading'!R22)*1000</f>
        <v>270.00000000001023</v>
      </c>
      <c r="J22" s="2">
        <f>('Kwh Reading'!S23-'Kwh Reading'!S22)*1000</f>
        <v>109.99999999999943</v>
      </c>
      <c r="K22" s="2">
        <f>('Kwh Reading'!I23-'Kwh Reading'!I22)*1000</f>
        <v>330.00000000001251</v>
      </c>
      <c r="L22" s="2">
        <f>('Kwh Reading'!B23-'Kwh Reading'!B22)*1000</f>
        <v>1400.0000000000909</v>
      </c>
      <c r="M22" s="2">
        <f>('Kwh Reading'!M23-'Kwh Reading'!M22)*1000</f>
        <v>750</v>
      </c>
      <c r="N22" s="2">
        <f>('Kwh Reading'!H23-'Kwh Reading'!H22)*1000</f>
        <v>660.00000000008185</v>
      </c>
      <c r="O22" s="2">
        <f>('Kwh Reading'!P23-'Kwh Reading'!P22)*1000</f>
        <v>1059.9999999999454</v>
      </c>
      <c r="P22" s="2">
        <f>('Kwh Reading'!G23-'Kwh Reading'!G22)*1000</f>
        <v>909.99999999996817</v>
      </c>
      <c r="Q22" s="2">
        <f>('Kwh Reading'!Q23-'Kwh Reading'!Q22)*1000</f>
        <v>689.99999999999773</v>
      </c>
      <c r="R22" s="2">
        <f>('Kwh Reading'!N23-'Kwh Reading'!N22)*1000</f>
        <v>849.99999999996589</v>
      </c>
      <c r="S22" s="34">
        <f>'Kwh Reading'!E23-'Kwh Reading'!E22</f>
        <v>3402.3500000005588</v>
      </c>
      <c r="T22" s="34">
        <f>'Kwh Reading'!D23-'Kwh Reading'!D22</f>
        <v>2379.2199999997392</v>
      </c>
      <c r="U22" s="27">
        <f>('Kwh Reading'!O23-'Kwh Reading'!O22)*1000</f>
        <v>240.00000000000909</v>
      </c>
      <c r="V22" s="16">
        <f t="shared" si="1"/>
        <v>5978.4300000002622</v>
      </c>
    </row>
    <row r="23" spans="1:22" x14ac:dyDescent="0.25">
      <c r="A23" s="3">
        <f>'Kwh Reading'!A23</f>
        <v>44428</v>
      </c>
      <c r="B23" s="26">
        <f>TOTAL!E21</f>
        <v>22839.999999999691</v>
      </c>
      <c r="C23" s="4">
        <f>('Kwh Reading'!T24-'Kwh Reading'!T23)*1000</f>
        <v>519.99999999998181</v>
      </c>
      <c r="D23" s="2">
        <f>('Kwh Reading'!F24-'Kwh Reading'!F23)*1000000</f>
        <v>2299.9999999999686</v>
      </c>
      <c r="E23" s="2">
        <f>('Kwh Reading'!C24-'Kwh Reading'!C23)*1000</f>
        <v>259.99999999999091</v>
      </c>
      <c r="F23" s="2">
        <f>('Kwh Reading'!J24-'Kwh Reading'!J23)*1000</f>
        <v>289.99999999996362</v>
      </c>
      <c r="G23" s="2">
        <f>('Kwh Reading'!K24-'Kwh Reading'!K23)*1000</f>
        <v>259.99999999999091</v>
      </c>
      <c r="H23" s="2">
        <f>('Kwh Reading'!L24-'Kwh Reading'!L23)*1000</f>
        <v>219.99999999999886</v>
      </c>
      <c r="I23" s="2">
        <f>('Kwh Reading'!R24-'Kwh Reading'!R23)*1000</f>
        <v>289.99999999999204</v>
      </c>
      <c r="J23" s="2">
        <f>('Kwh Reading'!S24-'Kwh Reading'!S23)*1000</f>
        <v>129.99999999999545</v>
      </c>
      <c r="K23" s="2">
        <f>('Kwh Reading'!I24-'Kwh Reading'!I23)*1000</f>
        <v>309.99999999997385</v>
      </c>
      <c r="L23" s="2">
        <f>('Kwh Reading'!B24-'Kwh Reading'!B23)*1000</f>
        <v>1500</v>
      </c>
      <c r="M23" s="2">
        <f>('Kwh Reading'!M24-'Kwh Reading'!M23)*1000</f>
        <v>689.99999999994088</v>
      </c>
      <c r="N23" s="2">
        <f>('Kwh Reading'!H24-'Kwh Reading'!H23)*1000</f>
        <v>639.99999999998636</v>
      </c>
      <c r="O23" s="2">
        <f>('Kwh Reading'!P24-'Kwh Reading'!P23)*1000</f>
        <v>1029.9999999999727</v>
      </c>
      <c r="P23" s="2">
        <f>('Kwh Reading'!G24-'Kwh Reading'!G23)*1000</f>
        <v>890.00000000010004</v>
      </c>
      <c r="Q23" s="2">
        <f>('Kwh Reading'!Q24-'Kwh Reading'!Q23)*1000</f>
        <v>730.00000000001819</v>
      </c>
      <c r="R23" s="2">
        <f>('Kwh Reading'!N24-'Kwh Reading'!N23)*1000</f>
        <v>889.99999999998636</v>
      </c>
      <c r="S23" s="34">
        <f>'Kwh Reading'!E24-'Kwh Reading'!E23</f>
        <v>3373.6199999991804</v>
      </c>
      <c r="T23" s="34">
        <f>'Kwh Reading'!D24-'Kwh Reading'!D23</f>
        <v>2397.1800000006333</v>
      </c>
      <c r="U23" s="27">
        <f>('Kwh Reading'!O24-'Kwh Reading'!O23)*1000</f>
        <v>210.00000000000796</v>
      </c>
      <c r="V23" s="16">
        <f t="shared" si="1"/>
        <v>5909.200000000008</v>
      </c>
    </row>
    <row r="24" spans="1:22" x14ac:dyDescent="0.25">
      <c r="A24" s="3">
        <f>'Kwh Reading'!A24</f>
        <v>44429</v>
      </c>
      <c r="B24" s="26">
        <f>TOTAL!E22</f>
        <v>22709.999999999811</v>
      </c>
      <c r="C24" s="4">
        <f>('Kwh Reading'!T25-'Kwh Reading'!T24)*1000</f>
        <v>280.00000000002956</v>
      </c>
      <c r="D24" s="2">
        <f>('Kwh Reading'!F25-'Kwh Reading'!F24)*1000000</f>
        <v>2299.9999999999686</v>
      </c>
      <c r="E24" s="2">
        <f>('Kwh Reading'!C25-'Kwh Reading'!C24)*1000</f>
        <v>260.00000000001933</v>
      </c>
      <c r="F24" s="2">
        <f>('Kwh Reading'!J25-'Kwh Reading'!J24)*1000</f>
        <v>280.00000000002956</v>
      </c>
      <c r="G24" s="2">
        <f>('Kwh Reading'!K25-'Kwh Reading'!K24)*1000</f>
        <v>300.00000000001137</v>
      </c>
      <c r="H24" s="2">
        <f>('Kwh Reading'!L25-'Kwh Reading'!L24)*1000</f>
        <v>219.99999999999886</v>
      </c>
      <c r="I24" s="2">
        <f>('Kwh Reading'!R25-'Kwh Reading'!R24)*1000</f>
        <v>259.99999999999091</v>
      </c>
      <c r="J24" s="2">
        <f>('Kwh Reading'!S25-'Kwh Reading'!S24)*1000</f>
        <v>109.99999999999943</v>
      </c>
      <c r="K24" s="2">
        <f>('Kwh Reading'!I25-'Kwh Reading'!I24)*1000</f>
        <v>330.00000000001251</v>
      </c>
      <c r="L24" s="2">
        <f>('Kwh Reading'!B25-'Kwh Reading'!B24)*1000</f>
        <v>1500</v>
      </c>
      <c r="M24" s="2">
        <f>('Kwh Reading'!M25-'Kwh Reading'!M24)*1000</f>
        <v>730.00000000001819</v>
      </c>
      <c r="N24" s="2">
        <f>('Kwh Reading'!H25-'Kwh Reading'!H24)*1000</f>
        <v>669.99999999995907</v>
      </c>
      <c r="O24" s="2">
        <f>('Kwh Reading'!P25-'Kwh Reading'!P24)*1000</f>
        <v>1019.9999999999818</v>
      </c>
      <c r="P24" s="2">
        <f>('Kwh Reading'!G25-'Kwh Reading'!G24)*1000</f>
        <v>799.99999999995453</v>
      </c>
      <c r="Q24" s="2">
        <f>('Kwh Reading'!Q25-'Kwh Reading'!Q24)*1000</f>
        <v>709.99999999997954</v>
      </c>
      <c r="R24" s="2">
        <f>('Kwh Reading'!N25-'Kwh Reading'!N24)*1000</f>
        <v>900.00000000003411</v>
      </c>
      <c r="S24" s="2">
        <f>'Kwh Reading'!E25-'Kwh Reading'!E24</f>
        <v>3128.25</v>
      </c>
      <c r="T24" s="2">
        <f>'Kwh Reading'!D25-'Kwh Reading'!D24</f>
        <v>3237.9199999999255</v>
      </c>
      <c r="U24" s="27">
        <f>('Kwh Reading'!O25-'Kwh Reading'!O24)*1000</f>
        <v>209.99999999997954</v>
      </c>
      <c r="V24" s="16">
        <f t="shared" si="1"/>
        <v>5463.8299999999217</v>
      </c>
    </row>
    <row r="25" spans="1:22" x14ac:dyDescent="0.25">
      <c r="A25" s="3">
        <f>'Kwh Reading'!A25</f>
        <v>44430</v>
      </c>
      <c r="B25" s="26">
        <f>TOTAL!E23</f>
        <v>0</v>
      </c>
      <c r="C25" s="4">
        <f>('Kwh Reading'!T26-'Kwh Reading'!T25)*1000</f>
        <v>-444660</v>
      </c>
      <c r="D25" s="2">
        <f>('Kwh Reading'!F26-'Kwh Reading'!F25)*1000000</f>
        <v>-2505600</v>
      </c>
      <c r="E25" s="2">
        <f>('Kwh Reading'!C26-'Kwh Reading'!C25)*1000</f>
        <v>-242270</v>
      </c>
      <c r="F25" s="2">
        <f>('Kwh Reading'!J26-'Kwh Reading'!J25)*1000</f>
        <v>-330360</v>
      </c>
      <c r="G25" s="2">
        <f>('Kwh Reading'!K26-'Kwh Reading'!K25)*1000</f>
        <v>-355830</v>
      </c>
      <c r="H25" s="2">
        <f>('Kwh Reading'!L26-'Kwh Reading'!L25)*1000</f>
        <v>-244460</v>
      </c>
      <c r="I25" s="2">
        <f>('Kwh Reading'!R26-'Kwh Reading'!R25)*1000</f>
        <v>-171850</v>
      </c>
      <c r="J25" s="2">
        <f>('Kwh Reading'!S26-'Kwh Reading'!S25)*1000</f>
        <v>-121550</v>
      </c>
      <c r="K25" s="2">
        <f>('Kwh Reading'!I26-'Kwh Reading'!I25)*1000</f>
        <v>-253470</v>
      </c>
      <c r="L25" s="2">
        <f>('Kwh Reading'!B26-'Kwh Reading'!B25)*1000</f>
        <v>-1051900</v>
      </c>
      <c r="M25" s="2">
        <f>('Kwh Reading'!M26-'Kwh Reading'!M25)*1000</f>
        <v>-558030</v>
      </c>
      <c r="N25" s="2">
        <f>('Kwh Reading'!H26-'Kwh Reading'!H25)*1000</f>
        <v>-648000</v>
      </c>
      <c r="O25" s="2">
        <f>('Kwh Reading'!P26-'Kwh Reading'!P25)*1000</f>
        <v>-672930</v>
      </c>
      <c r="P25" s="2">
        <f>('Kwh Reading'!G26-'Kwh Reading'!G25)*1000</f>
        <v>-790250</v>
      </c>
      <c r="Q25" s="2">
        <f>('Kwh Reading'!Q26-'Kwh Reading'!Q25)*1000</f>
        <v>-497560</v>
      </c>
      <c r="R25" s="2">
        <f>('Kwh Reading'!N26-'Kwh Reading'!N25)*1000</f>
        <v>-511110</v>
      </c>
      <c r="S25" s="2">
        <f>'Kwh Reading'!E26-'Kwh Reading'!E25</f>
        <v>-8355275.5999999996</v>
      </c>
      <c r="T25" s="2">
        <f>'Kwh Reading'!D26-'Kwh Reading'!D25</f>
        <v>-7605852.3700000001</v>
      </c>
      <c r="U25" s="27">
        <f>('Kwh Reading'!O26-'Kwh Reading'!O25)*1000</f>
        <v>-163290</v>
      </c>
      <c r="V25" s="16">
        <f t="shared" si="1"/>
        <v>25524247.970000003</v>
      </c>
    </row>
    <row r="26" spans="1:22" x14ac:dyDescent="0.25">
      <c r="A26" s="3">
        <f>'Kwh Reading'!A26</f>
        <v>44431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44432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44433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44434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44435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44436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44437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44438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44439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490150.00000000111</v>
      </c>
      <c r="C35" s="75">
        <f t="shared" ref="C35" si="2">SUM(C4:C34)</f>
        <v>-434940</v>
      </c>
      <c r="D35" s="75">
        <f t="shared" ref="D35" si="3">SUM(D4:D34)</f>
        <v>-2456000</v>
      </c>
      <c r="E35" s="75">
        <f t="shared" ref="E35" si="4">SUM(E4:E34)</f>
        <v>-237009.99999999997</v>
      </c>
      <c r="F35" s="75">
        <f t="shared" ref="F35" si="5">SUM(F4:F34)</f>
        <v>-324200</v>
      </c>
      <c r="G35" s="75">
        <f t="shared" ref="G35:U35" si="6">SUM(G4:G34)</f>
        <v>-349560</v>
      </c>
      <c r="H35" s="75">
        <f t="shared" si="6"/>
        <v>-240120</v>
      </c>
      <c r="I35" s="75">
        <f t="shared" si="6"/>
        <v>-166730</v>
      </c>
      <c r="J35" s="75">
        <f t="shared" si="6"/>
        <v>-119010.00000000001</v>
      </c>
      <c r="K35" s="75">
        <f t="shared" si="6"/>
        <v>-246180</v>
      </c>
      <c r="L35" s="75">
        <f t="shared" si="6"/>
        <v>-1023099.9999999999</v>
      </c>
      <c r="M35" s="75">
        <f t="shared" si="6"/>
        <v>-542350</v>
      </c>
      <c r="N35" s="75">
        <f t="shared" si="6"/>
        <v>-635870</v>
      </c>
      <c r="O35" s="75">
        <f t="shared" si="6"/>
        <v>-651110.00000000012</v>
      </c>
      <c r="P35" s="75">
        <f t="shared" si="6"/>
        <v>-771870</v>
      </c>
      <c r="Q35" s="75">
        <f t="shared" si="6"/>
        <v>-483180</v>
      </c>
      <c r="R35" s="75">
        <f t="shared" si="6"/>
        <v>-494990</v>
      </c>
      <c r="S35" s="75">
        <f t="shared" si="6"/>
        <v>-8284704.04</v>
      </c>
      <c r="T35" s="75">
        <f t="shared" si="6"/>
        <v>-7554935.0599999996</v>
      </c>
      <c r="U35" s="75">
        <f t="shared" si="6"/>
        <v>-158490.00000000003</v>
      </c>
      <c r="V35" s="75">
        <f>SUM(V4:V34)</f>
        <v>25664499.100000005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44409</v>
      </c>
      <c r="B3" s="83">
        <f>TOTAL!E2</f>
        <v>21469.999999999345</v>
      </c>
      <c r="C3" s="1">
        <f>'Kwh Consumption'!C4</f>
        <v>449.99999999998863</v>
      </c>
      <c r="D3" s="1">
        <f>'Kwh Consumption'!D4</f>
        <v>2499.9999999999468</v>
      </c>
      <c r="E3" s="1">
        <f>'Kwh Consumption'!E4</f>
        <v>240.00000000000909</v>
      </c>
      <c r="F3" s="1">
        <f>('Kwh Consumption'!F4+'Kwh Consumption'!G4+'Kwh Consumption'!H4)</f>
        <v>849.99999999999432</v>
      </c>
      <c r="G3" s="16">
        <f>('Kwh Consumption'!I4+'Kwh Consumption'!J4)</f>
        <v>340.00000000000341</v>
      </c>
      <c r="H3" s="1">
        <f>('Kwh Consumption'!K4+'Kwh Consumption'!L4)</f>
        <v>1749.9999999999716</v>
      </c>
      <c r="I3" s="1">
        <f>('Kwh Consumption'!M4+'Kwh Consumption'!N4+'Kwh Consumption'!O4+'Kwh Consumption'!P4+'Kwh Consumption'!Q4+'Kwh Consumption'!R4)</f>
        <v>4189.9999999999409</v>
      </c>
      <c r="J3" s="1">
        <f>('Kwh Consumption'!S4+'Kwh Consumption'!T4)</f>
        <v>5403.8300000000745</v>
      </c>
      <c r="K3" s="1">
        <f>'Kwh Consumption'!U4</f>
        <v>209.99999999997954</v>
      </c>
      <c r="L3" s="32">
        <f t="shared" ref="L3:L33" si="0">B3-C3-D3-E3-F3-G3-H3-I3-J3-K3</f>
        <v>5536.1699999994398</v>
      </c>
    </row>
    <row r="4" spans="1:12" x14ac:dyDescent="0.25">
      <c r="A4" s="14">
        <f>'Kwh Reading'!A5</f>
        <v>44410</v>
      </c>
      <c r="B4" s="83">
        <f>TOTAL!E3</f>
        <v>20730.000000000018</v>
      </c>
      <c r="C4" s="1">
        <f>'Kwh Consumption'!C5</f>
        <v>460.00000000003638</v>
      </c>
      <c r="D4" s="1">
        <f>'Kwh Consumption'!D5</f>
        <v>2400.0000000001796</v>
      </c>
      <c r="E4" s="1">
        <f>'Kwh Consumption'!E5</f>
        <v>250</v>
      </c>
      <c r="F4" s="1">
        <f>('Kwh Consumption'!F5+'Kwh Consumption'!G5+'Kwh Consumption'!H5)</f>
        <v>599.99999999999432</v>
      </c>
      <c r="G4" s="16">
        <f>('Kwh Consumption'!I5+'Kwh Consumption'!J5)</f>
        <v>289.99999999999204</v>
      </c>
      <c r="H4" s="1">
        <f>('Kwh Consumption'!K5+'Kwh Consumption'!L5)</f>
        <v>1720.0000000000841</v>
      </c>
      <c r="I4" s="1">
        <f>('Kwh Consumption'!M5+'Kwh Consumption'!N5+'Kwh Consumption'!O5+'Kwh Consumption'!P5+'Kwh Consumption'!Q5+'Kwh Consumption'!R5)</f>
        <v>4079.9999999999841</v>
      </c>
      <c r="J4" s="1">
        <f>('Kwh Consumption'!S5+'Kwh Consumption'!T5)</f>
        <v>4791.7900000009686</v>
      </c>
      <c r="K4" s="1">
        <f>'Kwh Consumption'!U5</f>
        <v>250</v>
      </c>
      <c r="L4" s="32">
        <f t="shared" si="0"/>
        <v>5888.2099999987822</v>
      </c>
    </row>
    <row r="5" spans="1:12" x14ac:dyDescent="0.25">
      <c r="A5" s="14">
        <f>'Kwh Reading'!A6</f>
        <v>44411</v>
      </c>
      <c r="B5" s="83">
        <f>TOTAL!E4</f>
        <v>22650.000000000771</v>
      </c>
      <c r="C5" s="1">
        <f>'Kwh Consumption'!C6</f>
        <v>489.99999999995225</v>
      </c>
      <c r="D5" s="1">
        <f>'Kwh Consumption'!D6</f>
        <v>2299.9999999999686</v>
      </c>
      <c r="E5" s="1">
        <f>'Kwh Consumption'!E6</f>
        <v>270.00000000001023</v>
      </c>
      <c r="F5" s="1">
        <f>('Kwh Consumption'!F6+'Kwh Consumption'!G6+'Kwh Consumption'!H6)</f>
        <v>640.00000000001478</v>
      </c>
      <c r="G5" s="16">
        <f>('Kwh Consumption'!I6+'Kwh Consumption'!J6)</f>
        <v>300.00000000001137</v>
      </c>
      <c r="H5" s="1">
        <f>('Kwh Consumption'!K6+'Kwh Consumption'!L6)</f>
        <v>1819.9999999999932</v>
      </c>
      <c r="I5" s="1">
        <f>('Kwh Consumption'!M6+'Kwh Consumption'!N6+'Kwh Consumption'!O6+'Kwh Consumption'!P6+'Kwh Consumption'!Q6+'Kwh Consumption'!R6)</f>
        <v>4279.9999999999727</v>
      </c>
      <c r="J5" s="1">
        <f>('Kwh Consumption'!S6+'Kwh Consumption'!T6)</f>
        <v>4834.1699999989942</v>
      </c>
      <c r="K5" s="1">
        <f>'Kwh Consumption'!U6</f>
        <v>200.00000000001705</v>
      </c>
      <c r="L5" s="32">
        <f t="shared" si="0"/>
        <v>7515.830000001838</v>
      </c>
    </row>
    <row r="6" spans="1:12" x14ac:dyDescent="0.25">
      <c r="A6" s="14">
        <f>'Kwh Reading'!A7</f>
        <v>44412</v>
      </c>
      <c r="B6" s="83">
        <f>TOTAL!E5</f>
        <v>23439.999999999825</v>
      </c>
      <c r="C6" s="1">
        <f>'Kwh Consumption'!C7</f>
        <v>520.00000000003865</v>
      </c>
      <c r="D6" s="1">
        <f>'Kwh Consumption'!D7</f>
        <v>2499.9999999999468</v>
      </c>
      <c r="E6" s="1">
        <f>'Kwh Consumption'!E7</f>
        <v>219.99999999999886</v>
      </c>
      <c r="F6" s="1">
        <f>('Kwh Consumption'!F7+'Kwh Consumption'!G7+'Kwh Consumption'!H7)</f>
        <v>729.99999999996135</v>
      </c>
      <c r="G6" s="16">
        <f>('Kwh Consumption'!I7+'Kwh Consumption'!J7)</f>
        <v>289.99999999999204</v>
      </c>
      <c r="H6" s="1">
        <f>('Kwh Consumption'!K7+'Kwh Consumption'!L7)</f>
        <v>1830.0000000000125</v>
      </c>
      <c r="I6" s="1">
        <f>('Kwh Consumption'!M7+'Kwh Consumption'!N7+'Kwh Consumption'!O7+'Kwh Consumption'!P7+'Kwh Consumption'!Q7+'Kwh Consumption'!R7)</f>
        <v>4610.0000000000136</v>
      </c>
      <c r="J6" s="1">
        <f>('Kwh Consumption'!S7+'Kwh Consumption'!T7)</f>
        <v>5284.9199999999255</v>
      </c>
      <c r="K6" s="1">
        <f>'Kwh Consumption'!U7</f>
        <v>250</v>
      </c>
      <c r="L6" s="32">
        <f t="shared" si="0"/>
        <v>7205.0799999999363</v>
      </c>
    </row>
    <row r="7" spans="1:12" x14ac:dyDescent="0.25">
      <c r="A7" s="14">
        <f>'Kwh Reading'!A8</f>
        <v>44413</v>
      </c>
      <c r="B7" s="83">
        <f>TOTAL!E6</f>
        <v>22619.999999999891</v>
      </c>
      <c r="C7" s="1">
        <f>'Kwh Consumption'!C8</f>
        <v>509.99999999999091</v>
      </c>
      <c r="D7" s="1">
        <f>'Kwh Consumption'!D8</f>
        <v>2499.9999999999468</v>
      </c>
      <c r="E7" s="1">
        <f>'Kwh Consumption'!E8</f>
        <v>239.99999999998067</v>
      </c>
      <c r="F7" s="1">
        <f>('Kwh Consumption'!F8+'Kwh Consumption'!G8+'Kwh Consumption'!H8)</f>
        <v>760.00000000004775</v>
      </c>
      <c r="G7" s="16">
        <f>('Kwh Consumption'!I8+'Kwh Consumption'!J8)</f>
        <v>320.00000000000739</v>
      </c>
      <c r="H7" s="1">
        <f>('Kwh Consumption'!K8+'Kwh Consumption'!L8)</f>
        <v>1729.9999999998761</v>
      </c>
      <c r="I7" s="1">
        <f>('Kwh Consumption'!M8+'Kwh Consumption'!N8+'Kwh Consumption'!O8+'Kwh Consumption'!P8+'Kwh Consumption'!Q8+'Kwh Consumption'!R8)</f>
        <v>4470.0000000000837</v>
      </c>
      <c r="J7" s="1">
        <f>('Kwh Consumption'!S8+'Kwh Consumption'!T8)</f>
        <v>5334.3899999996647</v>
      </c>
      <c r="K7" s="1">
        <f>'Kwh Consumption'!U8</f>
        <v>259.99999999999091</v>
      </c>
      <c r="L7" s="32">
        <f t="shared" si="0"/>
        <v>6495.6100000003007</v>
      </c>
    </row>
    <row r="8" spans="1:12" x14ac:dyDescent="0.25">
      <c r="A8" s="14">
        <f>'Kwh Reading'!A9</f>
        <v>44414</v>
      </c>
      <c r="B8" s="83">
        <f>TOTAL!E7</f>
        <v>21349.999999999909</v>
      </c>
      <c r="C8" s="1">
        <f>'Kwh Consumption'!C9</f>
        <v>259.99999999999091</v>
      </c>
      <c r="D8" s="1">
        <f>'Kwh Consumption'!D9</f>
        <v>2699.9999999999245</v>
      </c>
      <c r="E8" s="1">
        <f>'Kwh Consumption'!E9</f>
        <v>270.00000000001023</v>
      </c>
      <c r="F8" s="1">
        <f>('Kwh Consumption'!F9+'Kwh Consumption'!G9+'Kwh Consumption'!H9)</f>
        <v>909.99999999996817</v>
      </c>
      <c r="G8" s="16">
        <f>('Kwh Consumption'!I9+'Kwh Consumption'!J9)</f>
        <v>320.00000000000739</v>
      </c>
      <c r="H8" s="1">
        <f>('Kwh Consumption'!K9+'Kwh Consumption'!L9)</f>
        <v>1530.0000000000296</v>
      </c>
      <c r="I8" s="1">
        <f>('Kwh Consumption'!M9+'Kwh Consumption'!N9+'Kwh Consumption'!O9+'Kwh Consumption'!P9+'Kwh Consumption'!Q9+'Kwh Consumption'!R9)</f>
        <v>3399.9999999999773</v>
      </c>
      <c r="J8" s="1">
        <f>('Kwh Consumption'!S9+'Kwh Consumption'!T9)</f>
        <v>5358.4700000006706</v>
      </c>
      <c r="K8" s="1">
        <f>'Kwh Consumption'!U9</f>
        <v>300.00000000001137</v>
      </c>
      <c r="L8" s="32">
        <f t="shared" si="0"/>
        <v>6301.5299999993222</v>
      </c>
    </row>
    <row r="9" spans="1:12" x14ac:dyDescent="0.25">
      <c r="A9" s="14">
        <f>'Kwh Reading'!A10</f>
        <v>44415</v>
      </c>
      <c r="B9" s="83">
        <f>TOTAL!E8</f>
        <v>23490.00000000092</v>
      </c>
      <c r="C9" s="1">
        <f>'Kwh Consumption'!C10</f>
        <v>490.00000000000909</v>
      </c>
      <c r="D9" s="1">
        <f>'Kwh Consumption'!D10</f>
        <v>2499.9999999999468</v>
      </c>
      <c r="E9" s="1">
        <f>'Kwh Consumption'!E10</f>
        <v>219.99999999999886</v>
      </c>
      <c r="F9" s="1">
        <f>('Kwh Consumption'!F10+'Kwh Consumption'!G10+'Kwh Consumption'!H10)</f>
        <v>730.00000000001819</v>
      </c>
      <c r="G9" s="16">
        <f>('Kwh Consumption'!I10+'Kwh Consumption'!J10)</f>
        <v>309.99999999998806</v>
      </c>
      <c r="H9" s="1">
        <f>('Kwh Consumption'!K10+'Kwh Consumption'!L10)</f>
        <v>1730.0000000001035</v>
      </c>
      <c r="I9" s="1">
        <f>('Kwh Consumption'!M10+'Kwh Consumption'!N10+'Kwh Consumption'!O10+'Kwh Consumption'!P10+'Kwh Consumption'!Q10+'Kwh Consumption'!R10)</f>
        <v>5659.9999999999682</v>
      </c>
      <c r="J9" s="1">
        <f>('Kwh Consumption'!S10+'Kwh Consumption'!T10)</f>
        <v>6069</v>
      </c>
      <c r="K9" s="1">
        <f>'Kwh Consumption'!U10</f>
        <v>209.99999999997954</v>
      </c>
      <c r="L9" s="32">
        <f t="shared" si="0"/>
        <v>5571.0000000009077</v>
      </c>
    </row>
    <row r="10" spans="1:12" x14ac:dyDescent="0.25">
      <c r="A10" s="14">
        <f>'Kwh Reading'!A11</f>
        <v>44416</v>
      </c>
      <c r="B10" s="83">
        <f>TOTAL!E9</f>
        <v>22709.999999998217</v>
      </c>
      <c r="C10" s="1">
        <f>'Kwh Consumption'!C11</f>
        <v>449.99999999998863</v>
      </c>
      <c r="D10" s="1">
        <f>'Kwh Consumption'!D11</f>
        <v>2500.0000000003906</v>
      </c>
      <c r="E10" s="1">
        <f>'Kwh Consumption'!E11</f>
        <v>240.00000000000909</v>
      </c>
      <c r="F10" s="1">
        <f>('Kwh Consumption'!F11+'Kwh Consumption'!G11+'Kwh Consumption'!H11)</f>
        <v>870.00000000000455</v>
      </c>
      <c r="G10" s="16">
        <f>('Kwh Consumption'!I11+'Kwh Consumption'!J11)</f>
        <v>340.00000000001762</v>
      </c>
      <c r="H10" s="1">
        <f>('Kwh Consumption'!K11+'Kwh Consumption'!L11)</f>
        <v>1639.9999999999579</v>
      </c>
      <c r="I10" s="1">
        <f>('Kwh Consumption'!M11+'Kwh Consumption'!N11+'Kwh Consumption'!O11+'Kwh Consumption'!P11+'Kwh Consumption'!Q11+'Kwh Consumption'!R11)</f>
        <v>4530.0000000000291</v>
      </c>
      <c r="J10" s="1">
        <f>('Kwh Consumption'!S11+'Kwh Consumption'!T11)</f>
        <v>5323.75</v>
      </c>
      <c r="K10" s="1">
        <f>'Kwh Consumption'!U11</f>
        <v>219.99999999999886</v>
      </c>
      <c r="L10" s="32">
        <f t="shared" si="0"/>
        <v>6596.2499999978254</v>
      </c>
    </row>
    <row r="11" spans="1:12" x14ac:dyDescent="0.25">
      <c r="A11" s="14">
        <f>'Kwh Reading'!A12</f>
        <v>44417</v>
      </c>
      <c r="B11" s="83">
        <f>TOTAL!E10</f>
        <v>24239.999999999778</v>
      </c>
      <c r="C11" s="1">
        <f>'Kwh Consumption'!C12</f>
        <v>470.00000000002728</v>
      </c>
      <c r="D11" s="1">
        <f>'Kwh Consumption'!D12</f>
        <v>2399.9999999997358</v>
      </c>
      <c r="E11" s="1">
        <f>'Kwh Consumption'!E12</f>
        <v>229.99999999998977</v>
      </c>
      <c r="F11" s="1">
        <f>('Kwh Consumption'!F12+'Kwh Consumption'!G12+'Kwh Consumption'!H12)</f>
        <v>870.00000000003297</v>
      </c>
      <c r="G11" s="16">
        <f>('Kwh Consumption'!I12+'Kwh Consumption'!J12)</f>
        <v>379.99999999998124</v>
      </c>
      <c r="H11" s="1">
        <f>('Kwh Consumption'!K12+'Kwh Consumption'!L12)</f>
        <v>1639.9999999999295</v>
      </c>
      <c r="I11" s="1">
        <f>('Kwh Consumption'!M12+'Kwh Consumption'!N12+'Kwh Consumption'!O12+'Kwh Consumption'!P12+'Kwh Consumption'!Q12+'Kwh Consumption'!R12)</f>
        <v>4889.9999999998727</v>
      </c>
      <c r="J11" s="1">
        <f>('Kwh Consumption'!S12+'Kwh Consumption'!T12)</f>
        <v>6097.3700000001118</v>
      </c>
      <c r="K11" s="1">
        <f>'Kwh Consumption'!U12</f>
        <v>230.00000000001819</v>
      </c>
      <c r="L11" s="32">
        <f t="shared" si="0"/>
        <v>7032.6300000000811</v>
      </c>
    </row>
    <row r="12" spans="1:12" x14ac:dyDescent="0.25">
      <c r="A12" s="14">
        <f>'Kwh Reading'!A13</f>
        <v>44418</v>
      </c>
      <c r="B12" s="83">
        <f>TOTAL!E11</f>
        <v>24410.000000000313</v>
      </c>
      <c r="C12" s="1">
        <f>'Kwh Consumption'!C13</f>
        <v>509.99999999999091</v>
      </c>
      <c r="D12" s="1">
        <f>'Kwh Consumption'!D13</f>
        <v>2099.9999999999909</v>
      </c>
      <c r="E12" s="1">
        <f>'Kwh Consumption'!E13</f>
        <v>229.99999999998977</v>
      </c>
      <c r="F12" s="1">
        <f>('Kwh Consumption'!F13+'Kwh Consumption'!G13+'Kwh Consumption'!H13)</f>
        <v>650.00000000000568</v>
      </c>
      <c r="G12" s="16">
        <f>('Kwh Consumption'!I13+'Kwh Consumption'!J13)</f>
        <v>430.00000000000682</v>
      </c>
      <c r="H12" s="1">
        <f>('Kwh Consumption'!K13+'Kwh Consumption'!L13)</f>
        <v>1669.9999999999591</v>
      </c>
      <c r="I12" s="1">
        <f>('Kwh Consumption'!M13+'Kwh Consumption'!N13+'Kwh Consumption'!O13+'Kwh Consumption'!P13+'Kwh Consumption'!Q13+'Kwh Consumption'!R13)</f>
        <v>5020.0000000000946</v>
      </c>
      <c r="J12" s="1">
        <f>('Kwh Consumption'!S13+'Kwh Consumption'!T13)</f>
        <v>6045.1599999992177</v>
      </c>
      <c r="K12" s="1">
        <f>'Kwh Consumption'!U13</f>
        <v>219.99999999999886</v>
      </c>
      <c r="L12" s="32">
        <f t="shared" si="0"/>
        <v>7534.8400000010524</v>
      </c>
    </row>
    <row r="13" spans="1:12" x14ac:dyDescent="0.25">
      <c r="A13" s="14">
        <f>'Kwh Reading'!A14</f>
        <v>44419</v>
      </c>
      <c r="B13" s="83">
        <f>TOTAL!E12</f>
        <v>24290.000000001102</v>
      </c>
      <c r="C13" s="1">
        <f>'Kwh Consumption'!C14</f>
        <v>509.99999999999091</v>
      </c>
      <c r="D13" s="1">
        <f>'Kwh Consumption'!D14</f>
        <v>2299.9999999999686</v>
      </c>
      <c r="E13" s="1">
        <f>'Kwh Consumption'!E14</f>
        <v>250</v>
      </c>
      <c r="F13" s="1">
        <f>('Kwh Consumption'!F14+'Kwh Consumption'!G14+'Kwh Consumption'!H14)</f>
        <v>799.99999999998295</v>
      </c>
      <c r="G13" s="16">
        <f>('Kwh Consumption'!I14+'Kwh Consumption'!J14)</f>
        <v>409.99999999999659</v>
      </c>
      <c r="H13" s="1">
        <f>('Kwh Consumption'!K14+'Kwh Consumption'!L14)</f>
        <v>1810.0000000000875</v>
      </c>
      <c r="I13" s="1">
        <f>('Kwh Consumption'!M14+'Kwh Consumption'!N14+'Kwh Consumption'!O14+'Kwh Consumption'!P14+'Kwh Consumption'!Q14+'Kwh Consumption'!R14)</f>
        <v>4799.9999999999545</v>
      </c>
      <c r="J13" s="1">
        <f>('Kwh Consumption'!S14+'Kwh Consumption'!T14)</f>
        <v>5929.9100000010803</v>
      </c>
      <c r="K13" s="1">
        <f>'Kwh Consumption'!U14</f>
        <v>219.99999999999886</v>
      </c>
      <c r="L13" s="32">
        <f t="shared" si="0"/>
        <v>7260.0900000000465</v>
      </c>
    </row>
    <row r="14" spans="1:12" x14ac:dyDescent="0.25">
      <c r="A14" s="14">
        <f>'Kwh Reading'!A15</f>
        <v>44420</v>
      </c>
      <c r="B14" s="83">
        <f>TOTAL!E13</f>
        <v>23440.000000000735</v>
      </c>
      <c r="C14" s="1">
        <f>'Kwh Consumption'!C15</f>
        <v>480.00000000001819</v>
      </c>
      <c r="D14" s="1">
        <f>'Kwh Consumption'!D15</f>
        <v>2299.9999999999686</v>
      </c>
      <c r="E14" s="1">
        <f>'Kwh Consumption'!E15</f>
        <v>230.00000000001819</v>
      </c>
      <c r="F14" s="1">
        <f>('Kwh Consumption'!F15+'Kwh Consumption'!G15+'Kwh Consumption'!H15)</f>
        <v>710.00000000000796</v>
      </c>
      <c r="G14" s="16">
        <f>('Kwh Consumption'!I15+'Kwh Consumption'!J15)</f>
        <v>380.00000000000966</v>
      </c>
      <c r="H14" s="1">
        <f>('Kwh Consumption'!K15+'Kwh Consumption'!L15)</f>
        <v>1649.9999999999773</v>
      </c>
      <c r="I14" s="1">
        <f>('Kwh Consumption'!M15+'Kwh Consumption'!N15+'Kwh Consumption'!O15+'Kwh Consumption'!P15+'Kwh Consumption'!Q15+'Kwh Consumption'!R15)</f>
        <v>4649.99999999992</v>
      </c>
      <c r="J14" s="1">
        <f>('Kwh Consumption'!S15+'Kwh Consumption'!T15)</f>
        <v>6068.7399999992922</v>
      </c>
      <c r="K14" s="1">
        <f>'Kwh Consumption'!U15</f>
        <v>210.00000000000796</v>
      </c>
      <c r="L14" s="32">
        <f t="shared" si="0"/>
        <v>6761.2600000015145</v>
      </c>
    </row>
    <row r="15" spans="1:12" x14ac:dyDescent="0.25">
      <c r="A15" s="14">
        <f>'Kwh Reading'!A16</f>
        <v>44421</v>
      </c>
      <c r="B15" s="83">
        <f>TOTAL!E14</f>
        <v>23569.999999998348</v>
      </c>
      <c r="C15" s="1">
        <f>'Kwh Consumption'!C16</f>
        <v>289.99999999996362</v>
      </c>
      <c r="D15" s="1">
        <f>'Kwh Consumption'!D16</f>
        <v>2800.0000000001355</v>
      </c>
      <c r="E15" s="1">
        <f>'Kwh Consumption'!E16</f>
        <v>259.99999999999091</v>
      </c>
      <c r="F15" s="1">
        <f>('Kwh Consumption'!F16+'Kwh Consumption'!G16+'Kwh Consumption'!H16)</f>
        <v>749.99999999997158</v>
      </c>
      <c r="G15" s="16">
        <f>('Kwh Consumption'!I16+'Kwh Consumption'!J16)</f>
        <v>399.99999999999147</v>
      </c>
      <c r="H15" s="1">
        <f>('Kwh Consumption'!K16+'Kwh Consumption'!L16)</f>
        <v>1679.99999999995</v>
      </c>
      <c r="I15" s="1">
        <f>('Kwh Consumption'!M16+'Kwh Consumption'!N16+'Kwh Consumption'!O16+'Kwh Consumption'!P16+'Kwh Consumption'!Q16+'Kwh Consumption'!R16)</f>
        <v>4840.0000000000891</v>
      </c>
      <c r="J15" s="1">
        <f>('Kwh Consumption'!S16+'Kwh Consumption'!T16)</f>
        <v>5894.3300000000745</v>
      </c>
      <c r="K15" s="1">
        <f>'Kwh Consumption'!U16</f>
        <v>209.99999999997954</v>
      </c>
      <c r="L15" s="32">
        <f t="shared" si="0"/>
        <v>6445.6699999982047</v>
      </c>
    </row>
    <row r="16" spans="1:12" x14ac:dyDescent="0.25">
      <c r="A16" s="14">
        <f>'Kwh Reading'!A17</f>
        <v>44422</v>
      </c>
      <c r="B16" s="83">
        <f>TOTAL!E15</f>
        <v>24350.000000001048</v>
      </c>
      <c r="C16" s="1">
        <f>'Kwh Consumption'!C17</f>
        <v>520.00000000003865</v>
      </c>
      <c r="D16" s="1">
        <f>'Kwh Consumption'!D17</f>
        <v>1900.0000000000127</v>
      </c>
      <c r="E16" s="1">
        <f>'Kwh Consumption'!E17</f>
        <v>289.99999999999204</v>
      </c>
      <c r="F16" s="1">
        <f>('Kwh Consumption'!F17+'Kwh Consumption'!G17+'Kwh Consumption'!H17)</f>
        <v>770.00000000001023</v>
      </c>
      <c r="G16" s="16">
        <f>('Kwh Consumption'!I17+'Kwh Consumption'!J17)</f>
        <v>379.99999999999545</v>
      </c>
      <c r="H16" s="1">
        <f>('Kwh Consumption'!K17+'Kwh Consumption'!L17)</f>
        <v>1659.9999999999397</v>
      </c>
      <c r="I16" s="1">
        <f>('Kwh Consumption'!M17+'Kwh Consumption'!N17+'Kwh Consumption'!O17+'Kwh Consumption'!P17+'Kwh Consumption'!Q17+'Kwh Consumption'!R17)</f>
        <v>5000.0000000000573</v>
      </c>
      <c r="J16" s="1">
        <f>('Kwh Consumption'!S17+'Kwh Consumption'!T17)</f>
        <v>6489.4199999999255</v>
      </c>
      <c r="K16" s="1">
        <f>'Kwh Consumption'!U17</f>
        <v>210.00000000000796</v>
      </c>
      <c r="L16" s="32">
        <f t="shared" si="0"/>
        <v>7130.5800000010668</v>
      </c>
    </row>
    <row r="17" spans="1:12" x14ac:dyDescent="0.25">
      <c r="A17" s="14">
        <f>'Kwh Reading'!A18</f>
        <v>44423</v>
      </c>
      <c r="B17" s="83">
        <f>TOTAL!E16</f>
        <v>23809.999999999491</v>
      </c>
      <c r="C17" s="1">
        <f>'Kwh Consumption'!C18</f>
        <v>500</v>
      </c>
      <c r="D17" s="1">
        <f>'Kwh Consumption'!D18</f>
        <v>2299.9999999999686</v>
      </c>
      <c r="E17" s="1">
        <f>'Kwh Consumption'!E18</f>
        <v>270.00000000001023</v>
      </c>
      <c r="F17" s="1">
        <f>('Kwh Consumption'!F18+'Kwh Consumption'!G18+'Kwh Consumption'!H18)</f>
        <v>680.00000000000682</v>
      </c>
      <c r="G17" s="16">
        <f>('Kwh Consumption'!I18+'Kwh Consumption'!J18)</f>
        <v>400.00000000000568</v>
      </c>
      <c r="H17" s="1">
        <f>('Kwh Consumption'!K18+'Kwh Consumption'!L18)</f>
        <v>1670.0000000001864</v>
      </c>
      <c r="I17" s="1">
        <f>('Kwh Consumption'!M18+'Kwh Consumption'!N18+'Kwh Consumption'!O18+'Kwh Consumption'!P18+'Kwh Consumption'!Q18+'Kwh Consumption'!R18)</f>
        <v>4989.9999999999527</v>
      </c>
      <c r="J17" s="1">
        <f>('Kwh Consumption'!S18+'Kwh Consumption'!T18)</f>
        <v>6329.5200000004843</v>
      </c>
      <c r="K17" s="31">
        <f>'Kwh Consumption'!U18</f>
        <v>219.99999999999886</v>
      </c>
      <c r="L17" s="32">
        <f t="shared" si="0"/>
        <v>6450.4799999988763</v>
      </c>
    </row>
    <row r="18" spans="1:12" x14ac:dyDescent="0.25">
      <c r="A18" s="14">
        <f>'Kwh Reading'!A19</f>
        <v>44424</v>
      </c>
      <c r="B18" s="83">
        <f>TOTAL!E17</f>
        <v>23839.999999999691</v>
      </c>
      <c r="C18" s="1">
        <f>'Kwh Consumption'!C19</f>
        <v>500</v>
      </c>
      <c r="D18" s="1">
        <f>'Kwh Consumption'!D19</f>
        <v>2099.9999999999909</v>
      </c>
      <c r="E18" s="1">
        <f>'Kwh Consumption'!E19</f>
        <v>259.99999999999091</v>
      </c>
      <c r="F18" s="1">
        <f>('Kwh Consumption'!F19+'Kwh Consumption'!G19+'Kwh Consumption'!H19)</f>
        <v>1139.9999999999864</v>
      </c>
      <c r="G18" s="16">
        <f>('Kwh Consumption'!I19+'Kwh Consumption'!J19)</f>
        <v>399.99999999999147</v>
      </c>
      <c r="H18" s="1">
        <f>('Kwh Consumption'!K19+'Kwh Consumption'!L19)</f>
        <v>1679.99999999995</v>
      </c>
      <c r="I18" s="1">
        <f>('Kwh Consumption'!M19+'Kwh Consumption'!N19+'Kwh Consumption'!O19+'Kwh Consumption'!P19+'Kwh Consumption'!Q19+'Kwh Consumption'!R19)</f>
        <v>4970.0000000000273</v>
      </c>
      <c r="J18" s="1">
        <f>('Kwh Consumption'!S19+'Kwh Consumption'!T19)</f>
        <v>6239.1699999999255</v>
      </c>
      <c r="K18" s="31">
        <f>'Kwh Consumption'!U19</f>
        <v>250</v>
      </c>
      <c r="L18" s="32">
        <f t="shared" si="0"/>
        <v>6300.8299999998289</v>
      </c>
    </row>
    <row r="19" spans="1:12" x14ac:dyDescent="0.25">
      <c r="A19" s="14">
        <f>'Kwh Reading'!A20</f>
        <v>44425</v>
      </c>
      <c r="B19" s="83">
        <f>TOTAL!E18</f>
        <v>23209.999999999578</v>
      </c>
      <c r="C19" s="1">
        <f>'Kwh Consumption'!C20</f>
        <v>489.99999999995225</v>
      </c>
      <c r="D19" s="1">
        <f>'Kwh Consumption'!D20</f>
        <v>2299.9999999999686</v>
      </c>
      <c r="E19" s="1">
        <f>'Kwh Consumption'!E20</f>
        <v>250</v>
      </c>
      <c r="F19" s="1">
        <f>('Kwh Consumption'!F20+'Kwh Consumption'!G20+'Kwh Consumption'!H20)</f>
        <v>859.99999999998522</v>
      </c>
      <c r="G19" s="16">
        <f>('Kwh Consumption'!I20+'Kwh Consumption'!J20)</f>
        <v>409.99999999999659</v>
      </c>
      <c r="H19" s="1">
        <f>('Kwh Consumption'!K20+'Kwh Consumption'!L20)</f>
        <v>1729.9999999998761</v>
      </c>
      <c r="I19" s="1">
        <f>('Kwh Consumption'!M20+'Kwh Consumption'!N20+'Kwh Consumption'!O20+'Kwh Consumption'!P20+'Kwh Consumption'!Q20+'Kwh Consumption'!R20)</f>
        <v>4800.0000000000682</v>
      </c>
      <c r="J19" s="1">
        <f>('Kwh Consumption'!S20+'Kwh Consumption'!T20)</f>
        <v>6019.3300000000745</v>
      </c>
      <c r="K19" s="1">
        <f>'Kwh Consumption'!U20</f>
        <v>250</v>
      </c>
      <c r="L19" s="32">
        <f t="shared" si="0"/>
        <v>6100.6699999996563</v>
      </c>
    </row>
    <row r="20" spans="1:12" x14ac:dyDescent="0.25">
      <c r="A20" s="14">
        <f>'Kwh Reading'!A21</f>
        <v>44426</v>
      </c>
      <c r="B20" s="83">
        <f>TOTAL!E19</f>
        <v>23900.00000000123</v>
      </c>
      <c r="C20" s="1">
        <f>'Kwh Consumption'!C21</f>
        <v>520.00000000003865</v>
      </c>
      <c r="D20" s="1">
        <f>'Kwh Consumption'!D21</f>
        <v>2299.9999999999686</v>
      </c>
      <c r="E20" s="1">
        <f>'Kwh Consumption'!E21</f>
        <v>270.00000000001023</v>
      </c>
      <c r="F20" s="1">
        <f>('Kwh Consumption'!F21+'Kwh Consumption'!G21+'Kwh Consumption'!H21)</f>
        <v>929.9999999999784</v>
      </c>
      <c r="G20" s="16">
        <f>('Kwh Consumption'!I21+'Kwh Consumption'!J21)</f>
        <v>390.00000000001478</v>
      </c>
      <c r="H20" s="1">
        <f>('Kwh Consumption'!K21+'Kwh Consumption'!L21)</f>
        <v>1780.0000000000864</v>
      </c>
      <c r="I20" s="1">
        <f>('Kwh Consumption'!M21+'Kwh Consumption'!N21+'Kwh Consumption'!O21+'Kwh Consumption'!P21+'Kwh Consumption'!Q21+'Kwh Consumption'!R21)</f>
        <v>4709.99999999998</v>
      </c>
      <c r="J20" s="1">
        <f>('Kwh Consumption'!S21+'Kwh Consumption'!T21)</f>
        <v>6057.0599999995902</v>
      </c>
      <c r="K20" s="1">
        <f>'Kwh Consumption'!U21</f>
        <v>219.99999999999886</v>
      </c>
      <c r="L20" s="32">
        <f t="shared" si="0"/>
        <v>6722.9400000015621</v>
      </c>
    </row>
    <row r="21" spans="1:12" x14ac:dyDescent="0.25">
      <c r="A21" s="14">
        <f>'Kwh Reading'!A22</f>
        <v>44427</v>
      </c>
      <c r="B21" s="83">
        <f>TOTAL!E20</f>
        <v>23030.000000000655</v>
      </c>
      <c r="C21" s="1">
        <f>'Kwh Consumption'!C22</f>
        <v>500</v>
      </c>
      <c r="D21" s="1">
        <f>'Kwh Consumption'!D22</f>
        <v>2299.9999999999686</v>
      </c>
      <c r="E21" s="1">
        <f>'Kwh Consumption'!E22</f>
        <v>250</v>
      </c>
      <c r="F21" s="1">
        <f>('Kwh Consumption'!F22+'Kwh Consumption'!G22+'Kwh Consumption'!H22)</f>
        <v>950.00000000004547</v>
      </c>
      <c r="G21" s="16">
        <f>('Kwh Consumption'!I22+'Kwh Consumption'!J22)</f>
        <v>380.00000000000966</v>
      </c>
      <c r="H21" s="1">
        <f>('Kwh Consumption'!K22+'Kwh Consumption'!L22)</f>
        <v>1730.0000000001035</v>
      </c>
      <c r="I21" s="1">
        <f>('Kwh Consumption'!M22+'Kwh Consumption'!N22+'Kwh Consumption'!O22+'Kwh Consumption'!P22+'Kwh Consumption'!Q22+'Kwh Consumption'!R22)</f>
        <v>4919.9999999999591</v>
      </c>
      <c r="J21" s="1">
        <f>('Kwh Consumption'!S22+'Kwh Consumption'!T22)</f>
        <v>5781.570000000298</v>
      </c>
      <c r="K21" s="1">
        <f>'Kwh Consumption'!U22</f>
        <v>240.00000000000909</v>
      </c>
      <c r="L21" s="32">
        <f t="shared" si="0"/>
        <v>5978.4300000002604</v>
      </c>
    </row>
    <row r="22" spans="1:12" x14ac:dyDescent="0.25">
      <c r="A22" s="14">
        <f>'Kwh Reading'!A23</f>
        <v>44428</v>
      </c>
      <c r="B22" s="83">
        <f>TOTAL!E21</f>
        <v>22839.999999999691</v>
      </c>
      <c r="C22" s="1">
        <f>'Kwh Consumption'!C23</f>
        <v>519.99999999998181</v>
      </c>
      <c r="D22" s="1">
        <f>'Kwh Consumption'!D23</f>
        <v>2299.9999999999686</v>
      </c>
      <c r="E22" s="1">
        <f>'Kwh Consumption'!E23</f>
        <v>259.99999999999091</v>
      </c>
      <c r="F22" s="1">
        <f>('Kwh Consumption'!F23+'Kwh Consumption'!G23+'Kwh Consumption'!H23)</f>
        <v>769.99999999995339</v>
      </c>
      <c r="G22" s="16">
        <f>('Kwh Consumption'!I23+'Kwh Consumption'!J23)</f>
        <v>419.99999999998749</v>
      </c>
      <c r="H22" s="1">
        <f>('Kwh Consumption'!K23+'Kwh Consumption'!L23)</f>
        <v>1809.9999999999739</v>
      </c>
      <c r="I22" s="1">
        <f>('Kwh Consumption'!M23+'Kwh Consumption'!N23+'Kwh Consumption'!O23+'Kwh Consumption'!P23+'Kwh Consumption'!Q23+'Kwh Consumption'!R23)</f>
        <v>4870.0000000000045</v>
      </c>
      <c r="J22" s="1">
        <f>('Kwh Consumption'!S23+'Kwh Consumption'!T23)</f>
        <v>5770.7999999998137</v>
      </c>
      <c r="K22" s="1">
        <f>'Kwh Consumption'!U23</f>
        <v>210.00000000000796</v>
      </c>
      <c r="L22" s="32">
        <f t="shared" si="0"/>
        <v>5909.2000000000107</v>
      </c>
    </row>
    <row r="23" spans="1:12" x14ac:dyDescent="0.25">
      <c r="A23" s="14">
        <f>'Kwh Reading'!A24</f>
        <v>44429</v>
      </c>
      <c r="B23" s="83">
        <f>TOTAL!E22</f>
        <v>22709.999999999811</v>
      </c>
      <c r="C23" s="1">
        <f>'Kwh Consumption'!C24</f>
        <v>280.00000000002956</v>
      </c>
      <c r="D23" s="1">
        <f>'Kwh Consumption'!D24</f>
        <v>2299.9999999999686</v>
      </c>
      <c r="E23" s="1">
        <f>'Kwh Consumption'!E24</f>
        <v>260.00000000001933</v>
      </c>
      <c r="F23" s="1">
        <f>('Kwh Consumption'!F24+'Kwh Consumption'!G24+'Kwh Consumption'!H24)</f>
        <v>800.00000000003979</v>
      </c>
      <c r="G23" s="16">
        <f>('Kwh Consumption'!I24+'Kwh Consumption'!J24)</f>
        <v>369.99999999999034</v>
      </c>
      <c r="H23" s="1">
        <f>('Kwh Consumption'!K24+'Kwh Consumption'!L24)</f>
        <v>1830.0000000000125</v>
      </c>
      <c r="I23" s="1">
        <f>('Kwh Consumption'!M24+'Kwh Consumption'!N24+'Kwh Consumption'!O24+'Kwh Consumption'!P24+'Kwh Consumption'!Q24+'Kwh Consumption'!R24)</f>
        <v>4829.9999999999272</v>
      </c>
      <c r="J23" s="1">
        <f>('Kwh Consumption'!S24+'Kwh Consumption'!T24)</f>
        <v>6366.1699999999255</v>
      </c>
      <c r="K23" s="1">
        <f>'Kwh Consumption'!U24</f>
        <v>209.99999999997954</v>
      </c>
      <c r="L23" s="32">
        <f t="shared" si="0"/>
        <v>5463.8299999999235</v>
      </c>
    </row>
    <row r="24" spans="1:12" x14ac:dyDescent="0.25">
      <c r="A24" s="14">
        <f>'Kwh Reading'!A25</f>
        <v>44430</v>
      </c>
      <c r="B24" s="83">
        <f>TOTAL!E23</f>
        <v>0</v>
      </c>
      <c r="C24" s="1">
        <f>'Kwh Consumption'!C25</f>
        <v>-444660</v>
      </c>
      <c r="D24" s="1">
        <f>'Kwh Consumption'!D25</f>
        <v>-2505600</v>
      </c>
      <c r="E24" s="1">
        <f>'Kwh Consumption'!E25</f>
        <v>-242270</v>
      </c>
      <c r="F24" s="1">
        <f>('Kwh Consumption'!F25+'Kwh Consumption'!G25+'Kwh Consumption'!H25)</f>
        <v>-930650</v>
      </c>
      <c r="G24" s="16">
        <f>('Kwh Consumption'!I25+'Kwh Consumption'!J25)</f>
        <v>-293400</v>
      </c>
      <c r="H24" s="1">
        <f>('Kwh Consumption'!K25+'Kwh Consumption'!L25)</f>
        <v>-1305370</v>
      </c>
      <c r="I24" s="1">
        <f>('Kwh Consumption'!M25+'Kwh Consumption'!N25+'Kwh Consumption'!O25+'Kwh Consumption'!P25+'Kwh Consumption'!Q25+'Kwh Consumption'!R25)</f>
        <v>-3677880</v>
      </c>
      <c r="J24" s="1">
        <f>('Kwh Consumption'!S25+'Kwh Consumption'!T25)</f>
        <v>-15961127.969999999</v>
      </c>
      <c r="K24" s="1">
        <f>'Kwh Consumption'!U25</f>
        <v>-163290</v>
      </c>
      <c r="L24" s="32">
        <f t="shared" si="0"/>
        <v>25524247.969999999</v>
      </c>
    </row>
    <row r="25" spans="1:12" x14ac:dyDescent="0.25">
      <c r="A25" s="14">
        <f>'Kwh Reading'!A26</f>
        <v>44431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44432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44433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44434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44435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44436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44437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44438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44439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486100.00000000047</v>
      </c>
      <c r="C34" s="75">
        <f>SUM(C3:C33)</f>
        <v>-434940</v>
      </c>
      <c r="D34" s="75">
        <f t="shared" ref="D34:L34" si="1">SUM(D3:D33)</f>
        <v>-2456000</v>
      </c>
      <c r="E34" s="75">
        <f t="shared" si="1"/>
        <v>-237009.99999999997</v>
      </c>
      <c r="F34" s="75">
        <f t="shared" si="1"/>
        <v>-913880</v>
      </c>
      <c r="G34" s="75">
        <f t="shared" si="1"/>
        <v>-285740</v>
      </c>
      <c r="H34" s="75">
        <f t="shared" si="1"/>
        <v>-1269280</v>
      </c>
      <c r="I34" s="75">
        <f t="shared" si="1"/>
        <v>-3579370</v>
      </c>
      <c r="J34" s="75">
        <f t="shared" si="1"/>
        <v>-15839639.099999998</v>
      </c>
      <c r="K34" s="75">
        <f t="shared" si="1"/>
        <v>-158490.00000000003</v>
      </c>
      <c r="L34" s="75">
        <f t="shared" si="1"/>
        <v>25660449.099999998</v>
      </c>
      <c r="M34" s="84">
        <f>C34+D34+E34+F34+G34+H34+I34+J34+K34+L34</f>
        <v>486100</v>
      </c>
    </row>
    <row r="36" spans="1:13" ht="15.75" x14ac:dyDescent="0.25">
      <c r="A36" s="85" t="s">
        <v>64</v>
      </c>
      <c r="B36" s="86">
        <f>TOTAL!F2</f>
        <v>0.15</v>
      </c>
      <c r="C36" s="75">
        <f>C34*B36</f>
        <v>-65241</v>
      </c>
      <c r="D36" s="75">
        <f>D34*B36</f>
        <v>-368400</v>
      </c>
      <c r="E36" s="75">
        <f>E34*B36</f>
        <v>-35551.499999999993</v>
      </c>
      <c r="F36" s="75">
        <f>F34*B36</f>
        <v>-137082</v>
      </c>
      <c r="G36" s="75">
        <f>G34*B36</f>
        <v>-42861</v>
      </c>
      <c r="H36" s="75">
        <f>H34*B36</f>
        <v>-190392</v>
      </c>
      <c r="I36" s="75">
        <f>I34*B36</f>
        <v>-536905.5</v>
      </c>
      <c r="J36" s="75">
        <f>J34*B36</f>
        <v>-2375945.8649999998</v>
      </c>
      <c r="K36" s="75">
        <f>K34*B36</f>
        <v>-23773.500000000004</v>
      </c>
      <c r="L36" s="75">
        <f>L34*B36</f>
        <v>3849067.3649999993</v>
      </c>
      <c r="M36" s="84">
        <f>C36+D36+E36+F36+G36+H36+I36+J36+K36+L36</f>
        <v>72914.999999999534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44409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67.499999999998295</v>
      </c>
      <c r="E3" s="1">
        <f>'Kwh Consumption'!D4*' Kwh area wise $ '!B3</f>
        <v>374.99999999999199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127.49999999999915</v>
      </c>
      <c r="H3" s="16">
        <f>('Kwh Consumption'!I4+'Kwh Consumption'!J4)*' Kwh area wise $ '!B3</f>
        <v>51.000000000000512</v>
      </c>
      <c r="I3" s="1">
        <f>('Kwh Consumption'!K4+'Kwh Consumption'!L4)*' Kwh area wise $ '!B3</f>
        <v>262.49999999999574</v>
      </c>
      <c r="J3" s="1">
        <f>('Kwh Consumption'!M4+'Kwh Consumption'!N4+'Kwh Consumption'!O4+'Kwh Consumption'!P4+'Kwh Consumption'!Q4+'Kwh Consumption'!R4)*' Kwh area wise $ '!B3</f>
        <v>628.49999999999113</v>
      </c>
      <c r="K3" s="1">
        <f>('Kwh Consumption'!S4+'Kwh Consumption'!T4)*' Kwh area wise $ '!B3</f>
        <v>810.5745000000112</v>
      </c>
      <c r="L3" s="1">
        <f>'Kwh Consumption'!U4*' Kwh area wise $ '!B3</f>
        <v>31.49999999999693</v>
      </c>
      <c r="M3" s="1">
        <f>'Kwh Consumption'!V4*' Kwh area wise $ '!B3</f>
        <v>1437.9255000000137</v>
      </c>
    </row>
    <row r="4" spans="1:13" x14ac:dyDescent="0.25">
      <c r="A4" s="14">
        <f>'Kwh Reading'!A5</f>
        <v>44410</v>
      </c>
      <c r="B4" s="11">
        <f>TOTAL!F3</f>
        <v>0.15</v>
      </c>
      <c r="C4" s="11">
        <f>'Kwh Consumption'!B5*' Kwh area wise $ '!B4</f>
        <v>3109.5000000000027</v>
      </c>
      <c r="D4" s="1">
        <f>'Kwh Consumption'!C5*' Kwh area wise $ '!B4</f>
        <v>69.000000000005457</v>
      </c>
      <c r="E4" s="1">
        <f>'Kwh Consumption'!D5*' Kwh area wise $ '!B4</f>
        <v>360.00000000002694</v>
      </c>
      <c r="F4" s="1">
        <f>'Kwh Consumption'!E5*' Kwh area wise $ '!B4</f>
        <v>37.5</v>
      </c>
      <c r="G4" s="1">
        <f>('Kwh Consumption'!F5+'Kwh Consumption'!G5+'Kwh Consumption'!H5)*' Kwh area wise $ '!B4</f>
        <v>89.999999999999147</v>
      </c>
      <c r="H4" s="16">
        <f>('Kwh Consumption'!I5+'Kwh Consumption'!J5)*' Kwh area wise $ '!B4</f>
        <v>43.499999999998806</v>
      </c>
      <c r="I4" s="1">
        <f>('Kwh Consumption'!K5+'Kwh Consumption'!L5)*' Kwh area wise $ '!B4</f>
        <v>258.00000000001262</v>
      </c>
      <c r="J4" s="1">
        <f>('Kwh Consumption'!M5+'Kwh Consumption'!N5+'Kwh Consumption'!O5+'Kwh Consumption'!P5+'Kwh Consumption'!Q5+'Kwh Consumption'!R5)*' Kwh area wise $ '!B4</f>
        <v>611.99999999999761</v>
      </c>
      <c r="K4" s="1">
        <f>('Kwh Consumption'!S5+'Kwh Consumption'!T5)*' Kwh area wise $ '!B4</f>
        <v>718.76850000014531</v>
      </c>
      <c r="L4" s="1">
        <f>'Kwh Consumption'!U5*' Kwh area wise $ '!B4</f>
        <v>37.5</v>
      </c>
      <c r="M4" s="1">
        <f>'Kwh Consumption'!V5*' Kwh area wise $ '!B4</f>
        <v>883.23149999981706</v>
      </c>
    </row>
    <row r="5" spans="1:13" x14ac:dyDescent="0.25">
      <c r="A5" s="14">
        <f>'Kwh Reading'!A6</f>
        <v>44411</v>
      </c>
      <c r="B5" s="11">
        <f>TOTAL!F4</f>
        <v>0.15</v>
      </c>
      <c r="C5" s="11">
        <f>'Kwh Consumption'!B6*' Kwh area wise $ '!B5</f>
        <v>3397.5000000001155</v>
      </c>
      <c r="D5" s="1">
        <f>'Kwh Consumption'!C6*' Kwh area wise $ '!B5</f>
        <v>73.499999999992838</v>
      </c>
      <c r="E5" s="1">
        <f>'Kwh Consumption'!D6*' Kwh area wise $ '!B5</f>
        <v>344.99999999999528</v>
      </c>
      <c r="F5" s="1">
        <f>'Kwh Consumption'!E6*' Kwh area wise $ '!B5</f>
        <v>40.500000000001535</v>
      </c>
      <c r="G5" s="1">
        <f>('Kwh Consumption'!F6+'Kwh Consumption'!G6+'Kwh Consumption'!H6)*' Kwh area wise $ '!B5</f>
        <v>96.000000000002217</v>
      </c>
      <c r="H5" s="16">
        <f>('Kwh Consumption'!I6+'Kwh Consumption'!J6)*' Kwh area wise $ '!B5</f>
        <v>45.000000000001705</v>
      </c>
      <c r="I5" s="1">
        <f>('Kwh Consumption'!K6+'Kwh Consumption'!L6)*' Kwh area wise $ '!B5</f>
        <v>272.99999999999898</v>
      </c>
      <c r="J5" s="1">
        <f>('Kwh Consumption'!M6+'Kwh Consumption'!N6+'Kwh Consumption'!O6+'Kwh Consumption'!P6+'Kwh Consumption'!Q6+'Kwh Consumption'!R6)*' Kwh area wise $ '!B5</f>
        <v>641.99999999999591</v>
      </c>
      <c r="K5" s="1">
        <f>('Kwh Consumption'!S6+'Kwh Consumption'!T6)*' Kwh area wise $ '!B5</f>
        <v>725.12549999984913</v>
      </c>
      <c r="L5" s="1">
        <f>'Kwh Consumption'!U6*' Kwh area wise $ '!B5</f>
        <v>30.000000000002558</v>
      </c>
      <c r="M5" s="1">
        <f>'Kwh Consumption'!V6*' Kwh area wise $ '!B5</f>
        <v>1127.3745000002755</v>
      </c>
    </row>
    <row r="6" spans="1:13" x14ac:dyDescent="0.25">
      <c r="A6" s="14">
        <f>'Kwh Reading'!A7</f>
        <v>44412</v>
      </c>
      <c r="B6" s="11">
        <f>TOTAL!F5</f>
        <v>0.15</v>
      </c>
      <c r="C6" s="11">
        <f>'Kwh Consumption'!B7*' Kwh area wise $ '!B6</f>
        <v>3515.9999999999736</v>
      </c>
      <c r="D6" s="1">
        <f>'Kwh Consumption'!C7*' Kwh area wise $ '!B6</f>
        <v>78.000000000005798</v>
      </c>
      <c r="E6" s="1">
        <f>'Kwh Consumption'!D7*' Kwh area wise $ '!B6</f>
        <v>374.99999999999199</v>
      </c>
      <c r="F6" s="1">
        <f>'Kwh Consumption'!E7*' Kwh area wise $ '!B6</f>
        <v>32.999999999999829</v>
      </c>
      <c r="G6" s="1">
        <f>('Kwh Consumption'!F7+'Kwh Consumption'!G7+'Kwh Consumption'!H7)*' Kwh area wise $ '!B6</f>
        <v>109.4999999999942</v>
      </c>
      <c r="H6" s="16">
        <f>('Kwh Consumption'!I7+'Kwh Consumption'!J7)*' Kwh area wise $ '!B6</f>
        <v>43.499999999998806</v>
      </c>
      <c r="I6" s="1">
        <f>('Kwh Consumption'!K7+'Kwh Consumption'!L7)*' Kwh area wise $ '!B6</f>
        <v>274.50000000000188</v>
      </c>
      <c r="J6" s="1">
        <f>('Kwh Consumption'!M7+'Kwh Consumption'!N7+'Kwh Consumption'!O7+'Kwh Consumption'!P7+'Kwh Consumption'!Q7+'Kwh Consumption'!R7)*' Kwh area wise $ '!B6</f>
        <v>691.50000000000205</v>
      </c>
      <c r="K6" s="1">
        <f>('Kwh Consumption'!S7+'Kwh Consumption'!T7)*' Kwh area wise $ '!B6</f>
        <v>792.7379999999888</v>
      </c>
      <c r="L6" s="1">
        <f>'Kwh Consumption'!U7*' Kwh area wise $ '!B6</f>
        <v>37.5</v>
      </c>
      <c r="M6" s="1">
        <f>'Kwh Consumption'!V7*' Kwh area wise $ '!B6</f>
        <v>1080.7619999999904</v>
      </c>
    </row>
    <row r="7" spans="1:13" x14ac:dyDescent="0.25">
      <c r="A7" s="14">
        <f>'Kwh Reading'!A8</f>
        <v>44413</v>
      </c>
      <c r="B7" s="11">
        <f>TOTAL!F6</f>
        <v>0.15</v>
      </c>
      <c r="C7" s="11">
        <f>'Kwh Consumption'!B8*' Kwh area wise $ '!B7</f>
        <v>3392.9999999999836</v>
      </c>
      <c r="D7" s="1">
        <f>'Kwh Consumption'!C8*' Kwh area wise $ '!B7</f>
        <v>76.499999999998636</v>
      </c>
      <c r="E7" s="1">
        <f>'Kwh Consumption'!D8*' Kwh area wise $ '!B7</f>
        <v>374.99999999999199</v>
      </c>
      <c r="F7" s="1">
        <f>'Kwh Consumption'!E8*' Kwh area wise $ '!B7</f>
        <v>35.999999999997101</v>
      </c>
      <c r="G7" s="1">
        <f>('Kwh Consumption'!F8+'Kwh Consumption'!G8+'Kwh Consumption'!H8)*' Kwh area wise $ '!B7</f>
        <v>114.00000000000716</v>
      </c>
      <c r="H7" s="16">
        <f>('Kwh Consumption'!I8+'Kwh Consumption'!J8)*' Kwh area wise $ '!B7</f>
        <v>48.000000000001108</v>
      </c>
      <c r="I7" s="1">
        <f>('Kwh Consumption'!K8+'Kwh Consumption'!L8)*' Kwh area wise $ '!B7</f>
        <v>259.49999999998141</v>
      </c>
      <c r="J7" s="1">
        <f>('Kwh Consumption'!M8+'Kwh Consumption'!N8+'Kwh Consumption'!O8+'Kwh Consumption'!P8+'Kwh Consumption'!Q8+'Kwh Consumption'!R8)*' Kwh area wise $ '!B7</f>
        <v>670.50000000001251</v>
      </c>
      <c r="K7" s="1">
        <f>('Kwh Consumption'!S8+'Kwh Consumption'!T8)*' Kwh area wise $ '!B7</f>
        <v>800.15849999994964</v>
      </c>
      <c r="L7" s="1">
        <f>'Kwh Consumption'!U8*' Kwh area wise $ '!B7</f>
        <v>38.999999999998636</v>
      </c>
      <c r="M7" s="1">
        <f>'Kwh Consumption'!V8*' Kwh area wise $ '!B7</f>
        <v>974.34150000004502</v>
      </c>
    </row>
    <row r="8" spans="1:13" x14ac:dyDescent="0.25">
      <c r="A8" s="14">
        <f>'Kwh Reading'!A9</f>
        <v>44414</v>
      </c>
      <c r="B8" s="11">
        <f>TOTAL!F7</f>
        <v>0.15</v>
      </c>
      <c r="C8" s="11">
        <f>'Kwh Consumption'!B9*' Kwh area wise $ '!B8</f>
        <v>3202.4999999999864</v>
      </c>
      <c r="D8" s="1">
        <f>'Kwh Consumption'!C9*' Kwh area wise $ '!B8</f>
        <v>38.999999999998636</v>
      </c>
      <c r="E8" s="1">
        <f>'Kwh Consumption'!D9*' Kwh area wise $ '!B8</f>
        <v>404.99999999998869</v>
      </c>
      <c r="F8" s="1">
        <f>'Kwh Consumption'!E9*' Kwh area wise $ '!B8</f>
        <v>40.500000000001535</v>
      </c>
      <c r="G8" s="1">
        <f>('Kwh Consumption'!F9+'Kwh Consumption'!G9+'Kwh Consumption'!H9)*' Kwh area wise $ '!B8</f>
        <v>136.49999999999523</v>
      </c>
      <c r="H8" s="16">
        <f>('Kwh Consumption'!I9+'Kwh Consumption'!J9)*' Kwh area wise $ '!B8</f>
        <v>48.000000000001108</v>
      </c>
      <c r="I8" s="1">
        <f>('Kwh Consumption'!K9+'Kwh Consumption'!L9)*' Kwh area wise $ '!B8</f>
        <v>229.50000000000443</v>
      </c>
      <c r="J8" s="1">
        <f>('Kwh Consumption'!M9+'Kwh Consumption'!N9+'Kwh Consumption'!O9+'Kwh Consumption'!P9+'Kwh Consumption'!Q9+'Kwh Consumption'!R9)*' Kwh area wise $ '!B8</f>
        <v>509.99999999999659</v>
      </c>
      <c r="K8" s="1">
        <f>('Kwh Consumption'!S9+'Kwh Consumption'!T9)*' Kwh area wise $ '!B8</f>
        <v>803.77050000010058</v>
      </c>
      <c r="L8" s="1">
        <f>'Kwh Consumption'!U9*' Kwh area wise $ '!B8</f>
        <v>45.000000000001705</v>
      </c>
      <c r="M8" s="1">
        <f>'Kwh Consumption'!V9*' Kwh area wise $ '!B8</f>
        <v>945.22949999989771</v>
      </c>
    </row>
    <row r="9" spans="1:13" x14ac:dyDescent="0.25">
      <c r="A9" s="14">
        <f>'Kwh Reading'!A10</f>
        <v>44415</v>
      </c>
      <c r="B9" s="11">
        <f>TOTAL!F8</f>
        <v>0.15</v>
      </c>
      <c r="C9" s="11">
        <f>'Kwh Consumption'!B10*' Kwh area wise $ '!B9</f>
        <v>3523.5000000001378</v>
      </c>
      <c r="D9" s="1">
        <f>'Kwh Consumption'!C10*' Kwh area wise $ '!B9</f>
        <v>73.500000000001364</v>
      </c>
      <c r="E9" s="1">
        <f>'Kwh Consumption'!D10*' Kwh area wise $ '!B9</f>
        <v>374.99999999999199</v>
      </c>
      <c r="F9" s="1">
        <f>'Kwh Consumption'!E10*' Kwh area wise $ '!B9</f>
        <v>32.999999999999829</v>
      </c>
      <c r="G9" s="1">
        <f>('Kwh Consumption'!F10+'Kwh Consumption'!G10+'Kwh Consumption'!H10)*' Kwh area wise $ '!B9</f>
        <v>109.50000000000273</v>
      </c>
      <c r="H9" s="16">
        <f>('Kwh Consumption'!I10+'Kwh Consumption'!J10)*' Kwh area wise $ '!B9</f>
        <v>46.499999999998209</v>
      </c>
      <c r="I9" s="1">
        <f>('Kwh Consumption'!K10+'Kwh Consumption'!L10)*' Kwh area wise $ '!B9</f>
        <v>259.50000000001552</v>
      </c>
      <c r="J9" s="1">
        <f>('Kwh Consumption'!M10+'Kwh Consumption'!N10+'Kwh Consumption'!O10+'Kwh Consumption'!P10+'Kwh Consumption'!Q10+'Kwh Consumption'!R10)*' Kwh area wise $ '!B9</f>
        <v>848.99999999999523</v>
      </c>
      <c r="K9" s="1">
        <f>('Kwh Consumption'!S10+'Kwh Consumption'!T10)*' Kwh area wise $ '!B9</f>
        <v>910.35</v>
      </c>
      <c r="L9" s="1">
        <f>'Kwh Consumption'!U10*' Kwh area wise $ '!B9</f>
        <v>31.49999999999693</v>
      </c>
      <c r="M9" s="1">
        <f>'Kwh Consumption'!V10*' Kwh area wise $ '!B9</f>
        <v>835.65000000013697</v>
      </c>
    </row>
    <row r="10" spans="1:13" x14ac:dyDescent="0.25">
      <c r="A10" s="14">
        <f>'Kwh Reading'!A11</f>
        <v>44416</v>
      </c>
      <c r="B10" s="11">
        <f>TOTAL!F9</f>
        <v>0.15</v>
      </c>
      <c r="C10" s="11">
        <f>'Kwh Consumption'!B11*' Kwh area wise $ '!B10</f>
        <v>3406.4999999997326</v>
      </c>
      <c r="D10" s="1">
        <f>'Kwh Consumption'!C11*' Kwh area wise $ '!B10</f>
        <v>67.499999999998295</v>
      </c>
      <c r="E10" s="1">
        <f>'Kwh Consumption'!D11*' Kwh area wise $ '!B10</f>
        <v>375.00000000005861</v>
      </c>
      <c r="F10" s="1">
        <f>'Kwh Consumption'!E11*' Kwh area wise $ '!B10</f>
        <v>36.000000000001364</v>
      </c>
      <c r="G10" s="1">
        <f>('Kwh Consumption'!F11+'Kwh Consumption'!G11+'Kwh Consumption'!H11)*' Kwh area wise $ '!B10</f>
        <v>130.50000000000068</v>
      </c>
      <c r="H10" s="16">
        <f>('Kwh Consumption'!I11+'Kwh Consumption'!J11)*' Kwh area wise $ '!B10</f>
        <v>51.000000000002643</v>
      </c>
      <c r="I10" s="1">
        <f>('Kwh Consumption'!K11+'Kwh Consumption'!L11)*' Kwh area wise $ '!B10</f>
        <v>245.99999999999369</v>
      </c>
      <c r="J10" s="1">
        <f>('Kwh Consumption'!M11+'Kwh Consumption'!N11+'Kwh Consumption'!O11+'Kwh Consumption'!P11+'Kwh Consumption'!Q11+'Kwh Consumption'!R11)*' Kwh area wise $ '!B10</f>
        <v>679.50000000000432</v>
      </c>
      <c r="K10" s="1">
        <f>('Kwh Consumption'!S11+'Kwh Consumption'!T11)*' Kwh area wise $ '!B10</f>
        <v>798.5625</v>
      </c>
      <c r="L10" s="1">
        <f>'Kwh Consumption'!U11*' Kwh area wise $ '!B10</f>
        <v>32.999999999999829</v>
      </c>
      <c r="M10" s="1">
        <f>'Kwh Consumption'!V11*' Kwh area wise $ '!B10</f>
        <v>989.43749999967281</v>
      </c>
    </row>
    <row r="11" spans="1:13" x14ac:dyDescent="0.25">
      <c r="A11" s="14">
        <f>'Kwh Reading'!A12</f>
        <v>44417</v>
      </c>
      <c r="B11" s="11">
        <f>TOTAL!F10</f>
        <v>0.15</v>
      </c>
      <c r="C11" s="11">
        <f>'Kwh Consumption'!B12*' Kwh area wise $ '!B11</f>
        <v>3635.9999999999668</v>
      </c>
      <c r="D11" s="1">
        <f>'Kwh Consumption'!C12*' Kwh area wise $ '!B11</f>
        <v>70.500000000004093</v>
      </c>
      <c r="E11" s="1">
        <f>'Kwh Consumption'!D12*' Kwh area wise $ '!B11</f>
        <v>359.99999999996038</v>
      </c>
      <c r="F11" s="1">
        <f>'Kwh Consumption'!E12*' Kwh area wise $ '!B11</f>
        <v>34.499999999998465</v>
      </c>
      <c r="G11" s="1">
        <f>('Kwh Consumption'!F12+'Kwh Consumption'!G12+'Kwh Consumption'!H12)*' Kwh area wise $ '!B11</f>
        <v>130.50000000000495</v>
      </c>
      <c r="H11" s="16">
        <f>('Kwh Consumption'!I12+'Kwh Consumption'!J12)*' Kwh area wise $ '!B11</f>
        <v>56.999999999997186</v>
      </c>
      <c r="I11" s="1">
        <f>('Kwh Consumption'!K12+'Kwh Consumption'!L12)*' Kwh area wise $ '!B11</f>
        <v>245.99999999998943</v>
      </c>
      <c r="J11" s="1">
        <f>('Kwh Consumption'!M12+'Kwh Consumption'!N12+'Kwh Consumption'!O12+'Kwh Consumption'!P12+'Kwh Consumption'!Q12+'Kwh Consumption'!R12)*' Kwh area wise $ '!B11</f>
        <v>733.4999999999809</v>
      </c>
      <c r="K11" s="1">
        <f>('Kwh Consumption'!S12+'Kwh Consumption'!T12)*' Kwh area wise $ '!B11</f>
        <v>914.60550000001672</v>
      </c>
      <c r="L11" s="1">
        <f>'Kwh Consumption'!U12*' Kwh area wise $ '!B11</f>
        <v>34.500000000002728</v>
      </c>
      <c r="M11" s="1">
        <f>'Kwh Consumption'!V12*' Kwh area wise $ '!B11</f>
        <v>1054.8945000000115</v>
      </c>
    </row>
    <row r="12" spans="1:13" x14ac:dyDescent="0.25">
      <c r="A12" s="14">
        <f>'Kwh Reading'!A13</f>
        <v>44418</v>
      </c>
      <c r="B12" s="11">
        <f>TOTAL!F11</f>
        <v>0.15</v>
      </c>
      <c r="C12" s="11">
        <f>'Kwh Consumption'!B13*' Kwh area wise $ '!B12</f>
        <v>3661.5000000000468</v>
      </c>
      <c r="D12" s="1">
        <f>'Kwh Consumption'!C13*' Kwh area wise $ '!B12</f>
        <v>76.499999999998636</v>
      </c>
      <c r="E12" s="1">
        <f>'Kwh Consumption'!D13*' Kwh area wise $ '!B12</f>
        <v>314.99999999999864</v>
      </c>
      <c r="F12" s="1">
        <f>'Kwh Consumption'!E13*' Kwh area wise $ '!B12</f>
        <v>34.499999999998465</v>
      </c>
      <c r="G12" s="1">
        <f>('Kwh Consumption'!F13+'Kwh Consumption'!G13+'Kwh Consumption'!H13)*' Kwh area wise $ '!B12</f>
        <v>97.500000000000853</v>
      </c>
      <c r="H12" s="16">
        <f>('Kwh Consumption'!I13+'Kwh Consumption'!J13)*' Kwh area wise $ '!B12</f>
        <v>64.500000000001023</v>
      </c>
      <c r="I12" s="1">
        <f>('Kwh Consumption'!K13+'Kwh Consumption'!L13)*' Kwh area wise $ '!B12</f>
        <v>250.49999999999386</v>
      </c>
      <c r="J12" s="1">
        <f>('Kwh Consumption'!M13+'Kwh Consumption'!N13+'Kwh Consumption'!O13+'Kwh Consumption'!P13+'Kwh Consumption'!Q13+'Kwh Consumption'!R13)*' Kwh area wise $ '!B12</f>
        <v>753.00000000001421</v>
      </c>
      <c r="K12" s="1">
        <f>('Kwh Consumption'!S13+'Kwh Consumption'!T13)*' Kwh area wise $ '!B12</f>
        <v>906.77399999988268</v>
      </c>
      <c r="L12" s="1">
        <f>'Kwh Consumption'!U13*' Kwh area wise $ '!B12</f>
        <v>32.999999999999829</v>
      </c>
      <c r="M12" s="1">
        <f>'Kwh Consumption'!V13*' Kwh area wise $ '!B12</f>
        <v>1130.2260000001588</v>
      </c>
    </row>
    <row r="13" spans="1:13" x14ac:dyDescent="0.25">
      <c r="A13" s="14">
        <f>'Kwh Reading'!A14</f>
        <v>44419</v>
      </c>
      <c r="B13" s="11">
        <f>TOTAL!F12</f>
        <v>0.15</v>
      </c>
      <c r="C13" s="11">
        <f>'Kwh Consumption'!B14*' Kwh area wise $ '!B13</f>
        <v>3643.5000000001651</v>
      </c>
      <c r="D13" s="1">
        <f>'Kwh Consumption'!C14*' Kwh area wise $ '!B13</f>
        <v>76.499999999998636</v>
      </c>
      <c r="E13" s="1">
        <f>'Kwh Consumption'!D14*' Kwh area wise $ '!B13</f>
        <v>344.99999999999528</v>
      </c>
      <c r="F13" s="1">
        <f>'Kwh Consumption'!E14*' Kwh area wise $ '!B13</f>
        <v>37.5</v>
      </c>
      <c r="G13" s="1">
        <f>('Kwh Consumption'!F14+'Kwh Consumption'!G14+'Kwh Consumption'!H14)*' Kwh area wise $ '!B13</f>
        <v>119.99999999999744</v>
      </c>
      <c r="H13" s="16">
        <f>('Kwh Consumption'!I14+'Kwh Consumption'!J14)*' Kwh area wise $ '!B13</f>
        <v>61.499999999999488</v>
      </c>
      <c r="I13" s="1">
        <f>('Kwh Consumption'!K14+'Kwh Consumption'!L14)*' Kwh area wise $ '!B13</f>
        <v>271.50000000001313</v>
      </c>
      <c r="J13" s="1">
        <f>('Kwh Consumption'!M14+'Kwh Consumption'!N14+'Kwh Consumption'!O14+'Kwh Consumption'!P14+'Kwh Consumption'!Q14+'Kwh Consumption'!R14)*' Kwh area wise $ '!B13</f>
        <v>719.99999999999318</v>
      </c>
      <c r="K13" s="1">
        <f>('Kwh Consumption'!S14+'Kwh Consumption'!T14)*' Kwh area wise $ '!B13</f>
        <v>889.48650000016198</v>
      </c>
      <c r="L13" s="1">
        <f>'Kwh Consumption'!U14*' Kwh area wise $ '!B13</f>
        <v>32.999999999999829</v>
      </c>
      <c r="M13" s="1">
        <f>'Kwh Consumption'!V14*' Kwh area wise $ '!B13</f>
        <v>1089.0135000000066</v>
      </c>
    </row>
    <row r="14" spans="1:13" x14ac:dyDescent="0.25">
      <c r="A14" s="14">
        <f>'Kwh Reading'!A15</f>
        <v>44420</v>
      </c>
      <c r="B14" s="11">
        <f>TOTAL!F13</f>
        <v>0.15</v>
      </c>
      <c r="C14" s="11">
        <f>'Kwh Consumption'!B15*' Kwh area wise $ '!B14</f>
        <v>3516.00000000011</v>
      </c>
      <c r="D14" s="1">
        <f>'Kwh Consumption'!C15*' Kwh area wise $ '!B14</f>
        <v>72.000000000002728</v>
      </c>
      <c r="E14" s="1">
        <f>'Kwh Consumption'!D15*' Kwh area wise $ '!B14</f>
        <v>344.99999999999528</v>
      </c>
      <c r="F14" s="1">
        <f>'Kwh Consumption'!E15*' Kwh area wise $ '!B14</f>
        <v>34.500000000002728</v>
      </c>
      <c r="G14" s="1">
        <f>('Kwh Consumption'!F15+'Kwh Consumption'!G15+'Kwh Consumption'!H15)*' Kwh area wise $ '!B14</f>
        <v>106.50000000000119</v>
      </c>
      <c r="H14" s="16">
        <f>('Kwh Consumption'!I15+'Kwh Consumption'!J15)*' Kwh area wise $ '!B14</f>
        <v>57.00000000000145</v>
      </c>
      <c r="I14" s="1">
        <f>('Kwh Consumption'!K15+'Kwh Consumption'!L15)*' Kwh area wise $ '!B14</f>
        <v>247.49999999999659</v>
      </c>
      <c r="J14" s="1">
        <f>('Kwh Consumption'!M15+'Kwh Consumption'!N15+'Kwh Consumption'!O15+'Kwh Consumption'!P15+'Kwh Consumption'!Q15+'Kwh Consumption'!R15)*' Kwh area wise $ '!B14</f>
        <v>697.49999999998795</v>
      </c>
      <c r="K14" s="1">
        <f>('Kwh Consumption'!S15+'Kwh Consumption'!T15)*' Kwh area wise $ '!B14</f>
        <v>910.31099999989385</v>
      </c>
      <c r="L14" s="1">
        <f>'Kwh Consumption'!U15*' Kwh area wise $ '!B14</f>
        <v>31.500000000001194</v>
      </c>
      <c r="M14" s="1">
        <f>'Kwh Consumption'!V15*' Kwh area wise $ '!B14</f>
        <v>1014.1890000002272</v>
      </c>
    </row>
    <row r="15" spans="1:13" x14ac:dyDescent="0.25">
      <c r="A15" s="14">
        <f>'Kwh Reading'!A16</f>
        <v>44421</v>
      </c>
      <c r="B15" s="11">
        <f>TOTAL!F14</f>
        <v>0.15</v>
      </c>
      <c r="C15" s="11">
        <f>'Kwh Consumption'!B16*' Kwh area wise $ '!B15</f>
        <v>3535.4999999997522</v>
      </c>
      <c r="D15" s="1">
        <f>'Kwh Consumption'!C16*' Kwh area wise $ '!B15</f>
        <v>43.499999999994543</v>
      </c>
      <c r="E15" s="1">
        <f>'Kwh Consumption'!D16*' Kwh area wise $ '!B15</f>
        <v>420.00000000002029</v>
      </c>
      <c r="F15" s="1">
        <f>'Kwh Consumption'!E16*' Kwh area wise $ '!B15</f>
        <v>38.999999999998636</v>
      </c>
      <c r="G15" s="1">
        <f>('Kwh Consumption'!F16+'Kwh Consumption'!G16+'Kwh Consumption'!H16)*' Kwh area wise $ '!B15</f>
        <v>112.49999999999574</v>
      </c>
      <c r="H15" s="16">
        <f>('Kwh Consumption'!I16+'Kwh Consumption'!J16)*' Kwh area wise $ '!B15</f>
        <v>59.999999999998721</v>
      </c>
      <c r="I15" s="1">
        <f>('Kwh Consumption'!K16+'Kwh Consumption'!L16)*' Kwh area wise $ '!B15</f>
        <v>251.9999999999925</v>
      </c>
      <c r="J15" s="1">
        <f>('Kwh Consumption'!M16+'Kwh Consumption'!N16+'Kwh Consumption'!O16+'Kwh Consumption'!P16+'Kwh Consumption'!Q16+'Kwh Consumption'!R16)*' Kwh area wise $ '!B15</f>
        <v>726.0000000000133</v>
      </c>
      <c r="K15" s="1">
        <f>('Kwh Consumption'!S16+'Kwh Consumption'!T16)*' Kwh area wise $ '!B15</f>
        <v>884.14950000001113</v>
      </c>
      <c r="L15" s="1">
        <f>'Kwh Consumption'!U16*' Kwh area wise $ '!B15</f>
        <v>31.49999999999693</v>
      </c>
      <c r="M15" s="1">
        <f>'Kwh Consumption'!V16*' Kwh area wise $ '!B15</f>
        <v>966.85049999973069</v>
      </c>
    </row>
    <row r="16" spans="1:13" x14ac:dyDescent="0.25">
      <c r="A16" s="14">
        <f>'Kwh Reading'!A17</f>
        <v>44422</v>
      </c>
      <c r="B16" s="11">
        <f>TOTAL!F15</f>
        <v>0.15</v>
      </c>
      <c r="C16" s="11">
        <f>'Kwh Consumption'!B17*' Kwh area wise $ '!B16</f>
        <v>3652.5000000001569</v>
      </c>
      <c r="D16" s="1">
        <f>'Kwh Consumption'!C17*' Kwh area wise $ '!B16</f>
        <v>78.000000000005798</v>
      </c>
      <c r="E16" s="1">
        <f>'Kwh Consumption'!D17*' Kwh area wise $ '!B16</f>
        <v>285.00000000000188</v>
      </c>
      <c r="F16" s="1">
        <f>'Kwh Consumption'!E17*' Kwh area wise $ '!B16</f>
        <v>43.499999999998806</v>
      </c>
      <c r="G16" s="1">
        <f>('Kwh Consumption'!F17+'Kwh Consumption'!G17+'Kwh Consumption'!H17)*' Kwh area wise $ '!B16</f>
        <v>115.50000000000153</v>
      </c>
      <c r="H16" s="16">
        <f>('Kwh Consumption'!I17+'Kwh Consumption'!J17)*' Kwh area wise $ '!B16</f>
        <v>56.999999999999318</v>
      </c>
      <c r="I16" s="1">
        <f>('Kwh Consumption'!K17+'Kwh Consumption'!L17)*' Kwh area wise $ '!B16</f>
        <v>248.99999999999096</v>
      </c>
      <c r="J16" s="1">
        <f>('Kwh Consumption'!M17+'Kwh Consumption'!N17+'Kwh Consumption'!O17+'Kwh Consumption'!P17+'Kwh Consumption'!Q17+'Kwh Consumption'!R17)*' Kwh area wise $ '!B16</f>
        <v>750.00000000000853</v>
      </c>
      <c r="K16" s="1">
        <f>('Kwh Consumption'!S17+'Kwh Consumption'!T17)*' Kwh area wise $ '!B16</f>
        <v>973.41299999998876</v>
      </c>
      <c r="L16" s="1">
        <f>'Kwh Consumption'!U17*' Kwh area wise $ '!B16</f>
        <v>31.500000000001194</v>
      </c>
      <c r="M16" s="1">
        <f>'Kwh Consumption'!V17*' Kwh area wise $ '!B16</f>
        <v>1069.5870000001601</v>
      </c>
    </row>
    <row r="17" spans="1:13" x14ac:dyDescent="0.25">
      <c r="A17" s="14">
        <f>'Kwh Reading'!A18</f>
        <v>44423</v>
      </c>
      <c r="B17" s="11">
        <f>TOTAL!F16</f>
        <v>0.15</v>
      </c>
      <c r="C17" s="11">
        <f>'Kwh Consumption'!B18*' Kwh area wise $ '!B17</f>
        <v>3571.4999999999236</v>
      </c>
      <c r="D17" s="1">
        <f>'Kwh Consumption'!C18*' Kwh area wise $ '!B17</f>
        <v>75</v>
      </c>
      <c r="E17" s="1">
        <f>'Kwh Consumption'!D18*' Kwh area wise $ '!B17</f>
        <v>344.99999999999528</v>
      </c>
      <c r="F17" s="1">
        <f>'Kwh Consumption'!E18*' Kwh area wise $ '!B17</f>
        <v>40.500000000001535</v>
      </c>
      <c r="G17" s="1">
        <f>('Kwh Consumption'!F18+'Kwh Consumption'!G18+'Kwh Consumption'!H18)*' Kwh area wise $ '!B17</f>
        <v>102.00000000000102</v>
      </c>
      <c r="H17" s="16">
        <f>('Kwh Consumption'!I18+'Kwh Consumption'!J18)*' Kwh area wise $ '!B17</f>
        <v>60.000000000000853</v>
      </c>
      <c r="I17" s="1">
        <f>('Kwh Consumption'!K18+'Kwh Consumption'!L18)*' Kwh area wise $ '!B17</f>
        <v>250.50000000002797</v>
      </c>
      <c r="J17" s="1">
        <f>('Kwh Consumption'!M18+'Kwh Consumption'!N18+'Kwh Consumption'!O18+'Kwh Consumption'!P18+'Kwh Consumption'!Q18+'Kwh Consumption'!R18)*' Kwh area wise $ '!B17</f>
        <v>748.49999999999284</v>
      </c>
      <c r="K17" s="1">
        <f>('Kwh Consumption'!S18+'Kwh Consumption'!T18)*' Kwh area wise $ '!B17</f>
        <v>949.42800000007264</v>
      </c>
      <c r="L17" s="1">
        <f>'Kwh Consumption'!U18*' Kwh area wise $ '!B17</f>
        <v>32.999999999999829</v>
      </c>
      <c r="M17" s="1">
        <f>'Kwh Consumption'!V18*' Kwh area wise $ '!B17</f>
        <v>967.57199999983129</v>
      </c>
    </row>
    <row r="18" spans="1:13" x14ac:dyDescent="0.25">
      <c r="A18" s="14">
        <f>'Kwh Reading'!A19</f>
        <v>44424</v>
      </c>
      <c r="B18" s="11">
        <f>TOTAL!F17</f>
        <v>0.15</v>
      </c>
      <c r="C18" s="11">
        <f>'Kwh Consumption'!B19*' Kwh area wise $ '!B18</f>
        <v>3575.9999999999536</v>
      </c>
      <c r="D18" s="1">
        <f>'Kwh Consumption'!C19*' Kwh area wise $ '!B18</f>
        <v>75</v>
      </c>
      <c r="E18" s="1">
        <f>'Kwh Consumption'!D19*' Kwh area wise $ '!B18</f>
        <v>314.99999999999864</v>
      </c>
      <c r="F18" s="1">
        <f>'Kwh Consumption'!E19*' Kwh area wise $ '!B18</f>
        <v>38.999999999998636</v>
      </c>
      <c r="G18" s="1">
        <f>('Kwh Consumption'!F19+'Kwh Consumption'!G19+'Kwh Consumption'!H19)*' Kwh area wise $ '!B18</f>
        <v>170.99999999999795</v>
      </c>
      <c r="H18" s="16">
        <f>('Kwh Consumption'!I19+'Kwh Consumption'!J19)*' Kwh area wise $ '!B18</f>
        <v>59.999999999998721</v>
      </c>
      <c r="I18" s="1">
        <f>('Kwh Consumption'!K19+'Kwh Consumption'!L19)*' Kwh area wise $ '!B18</f>
        <v>251.9999999999925</v>
      </c>
      <c r="J18" s="1">
        <f>('Kwh Consumption'!M19+'Kwh Consumption'!N19+'Kwh Consumption'!O19+'Kwh Consumption'!P19+'Kwh Consumption'!Q19+'Kwh Consumption'!R19)*' Kwh area wise $ '!B18</f>
        <v>745.50000000000409</v>
      </c>
      <c r="K18" s="1">
        <f>('Kwh Consumption'!S19+'Kwh Consumption'!T19)*' Kwh area wise $ '!B18</f>
        <v>935.87549999998873</v>
      </c>
      <c r="L18" s="1">
        <f>'Kwh Consumption'!U19*' Kwh area wise $ '!B18</f>
        <v>37.5</v>
      </c>
      <c r="M18" s="1">
        <f>'Kwh Consumption'!V19*' Kwh area wise $ '!B18</f>
        <v>945.12449999997398</v>
      </c>
    </row>
    <row r="19" spans="1:13" x14ac:dyDescent="0.25">
      <c r="A19" s="14">
        <f>'Kwh Reading'!A20</f>
        <v>44425</v>
      </c>
      <c r="B19" s="11">
        <f>TOTAL!F18</f>
        <v>0.15</v>
      </c>
      <c r="C19" s="11">
        <f>'Kwh Consumption'!B20*' Kwh area wise $ '!B19</f>
        <v>3481.4999999999368</v>
      </c>
      <c r="D19" s="1">
        <f>'Kwh Consumption'!C20*' Kwh area wise $ '!B19</f>
        <v>73.499999999992838</v>
      </c>
      <c r="E19" s="1">
        <f>'Kwh Consumption'!D20*' Kwh area wise $ '!B19</f>
        <v>344.99999999999528</v>
      </c>
      <c r="F19" s="1">
        <f>'Kwh Consumption'!E20*' Kwh area wise $ '!B19</f>
        <v>37.5</v>
      </c>
      <c r="G19" s="1">
        <f>('Kwh Consumption'!F20+'Kwh Consumption'!G20+'Kwh Consumption'!H20)*' Kwh area wise $ '!B19</f>
        <v>128.99999999999778</v>
      </c>
      <c r="H19" s="16">
        <f>('Kwh Consumption'!I20+'Kwh Consumption'!J20)*' Kwh area wise $ '!B19</f>
        <v>61.499999999999488</v>
      </c>
      <c r="I19" s="1">
        <f>('Kwh Consumption'!K20+'Kwh Consumption'!L20)*' Kwh area wise $ '!B19</f>
        <v>259.49999999998141</v>
      </c>
      <c r="J19" s="1">
        <f>('Kwh Consumption'!M20+'Kwh Consumption'!N20+'Kwh Consumption'!O20+'Kwh Consumption'!P20+'Kwh Consumption'!Q20+'Kwh Consumption'!R20)*' Kwh area wise $ '!B19</f>
        <v>720.00000000001023</v>
      </c>
      <c r="K19" s="1">
        <f>('Kwh Consumption'!S20+'Kwh Consumption'!T20)*' Kwh area wise $ '!B19</f>
        <v>902.89950000001113</v>
      </c>
      <c r="L19" s="1">
        <f>'Kwh Consumption'!U20*' Kwh area wise $ '!B19</f>
        <v>37.5</v>
      </c>
      <c r="M19" s="1">
        <f>'Kwh Consumption'!V20*' Kwh area wise $ '!B19</f>
        <v>915.1004999999484</v>
      </c>
    </row>
    <row r="20" spans="1:13" x14ac:dyDescent="0.25">
      <c r="A20" s="14">
        <f>'Kwh Reading'!A21</f>
        <v>44426</v>
      </c>
      <c r="B20" s="11">
        <f>TOTAL!F19</f>
        <v>0.15</v>
      </c>
      <c r="C20" s="11">
        <f>'Kwh Consumption'!B21*' Kwh area wise $ '!B20</f>
        <v>3585.0000000001842</v>
      </c>
      <c r="D20" s="1">
        <f>'Kwh Consumption'!C21*' Kwh area wise $ '!B20</f>
        <v>78.000000000005798</v>
      </c>
      <c r="E20" s="1">
        <f>'Kwh Consumption'!D21*' Kwh area wise $ '!B20</f>
        <v>344.99999999999528</v>
      </c>
      <c r="F20" s="1">
        <f>'Kwh Consumption'!E21*' Kwh area wise $ '!B20</f>
        <v>40.500000000001535</v>
      </c>
      <c r="G20" s="1">
        <f>('Kwh Consumption'!F21+'Kwh Consumption'!G21+'Kwh Consumption'!H21)*' Kwh area wise $ '!B20</f>
        <v>139.49999999999676</v>
      </c>
      <c r="H20" s="16">
        <f>('Kwh Consumption'!I21+'Kwh Consumption'!J21)*' Kwh area wise $ '!B20</f>
        <v>58.500000000002217</v>
      </c>
      <c r="I20" s="1">
        <f>('Kwh Consumption'!K21+'Kwh Consumption'!L21)*' Kwh area wise $ '!B20</f>
        <v>267.00000000001296</v>
      </c>
      <c r="J20" s="1">
        <f>('Kwh Consumption'!M21+'Kwh Consumption'!N21+'Kwh Consumption'!O21+'Kwh Consumption'!P21+'Kwh Consumption'!Q21+'Kwh Consumption'!R21)*' Kwh area wise $ '!B20</f>
        <v>706.49999999999693</v>
      </c>
      <c r="K20" s="1">
        <f>('Kwh Consumption'!S21+'Kwh Consumption'!T21)*' Kwh area wise $ '!B20</f>
        <v>908.55899999993846</v>
      </c>
      <c r="L20" s="1">
        <f>'Kwh Consumption'!U21*' Kwh area wise $ '!B20</f>
        <v>32.999999999999829</v>
      </c>
      <c r="M20" s="1">
        <f>'Kwh Consumption'!V21*' Kwh area wise $ '!B20</f>
        <v>1008.4410000002345</v>
      </c>
    </row>
    <row r="21" spans="1:13" x14ac:dyDescent="0.25">
      <c r="A21" s="14">
        <f>'Kwh Reading'!A22</f>
        <v>44427</v>
      </c>
      <c r="B21" s="11">
        <f>TOTAL!F20</f>
        <v>0.15</v>
      </c>
      <c r="C21" s="11">
        <f>'Kwh Consumption'!B22*' Kwh area wise $ '!B21</f>
        <v>3454.5000000000982</v>
      </c>
      <c r="D21" s="1">
        <f>'Kwh Consumption'!C22*' Kwh area wise $ '!B21</f>
        <v>75</v>
      </c>
      <c r="E21" s="1">
        <f>'Kwh Consumption'!D22*' Kwh area wise $ '!B21</f>
        <v>344.99999999999528</v>
      </c>
      <c r="F21" s="1">
        <f>'Kwh Consumption'!E22*' Kwh area wise $ '!B21</f>
        <v>37.5</v>
      </c>
      <c r="G21" s="1">
        <f>('Kwh Consumption'!F22+'Kwh Consumption'!G22+'Kwh Consumption'!H22)*' Kwh area wise $ '!B21</f>
        <v>142.50000000000682</v>
      </c>
      <c r="H21" s="16">
        <f>('Kwh Consumption'!I22+'Kwh Consumption'!J22)*' Kwh area wise $ '!B21</f>
        <v>57.00000000000145</v>
      </c>
      <c r="I21" s="1">
        <f>('Kwh Consumption'!K22+'Kwh Consumption'!L22)*' Kwh area wise $ '!B21</f>
        <v>259.50000000001552</v>
      </c>
      <c r="J21" s="1">
        <f>('Kwh Consumption'!M22+'Kwh Consumption'!N22+'Kwh Consumption'!O22+'Kwh Consumption'!P22+'Kwh Consumption'!Q22+'Kwh Consumption'!R22)*' Kwh area wise $ '!B21</f>
        <v>737.99999999999386</v>
      </c>
      <c r="K21" s="1">
        <f>('Kwh Consumption'!S22+'Kwh Consumption'!T22)*' Kwh area wise $ '!B21</f>
        <v>867.23550000004468</v>
      </c>
      <c r="L21" s="1">
        <f>'Kwh Consumption'!U22*' Kwh area wise $ '!B21</f>
        <v>36.000000000001364</v>
      </c>
      <c r="M21" s="1">
        <f>'Kwh Consumption'!V22*' Kwh area wise $ '!B21</f>
        <v>896.76450000003933</v>
      </c>
    </row>
    <row r="22" spans="1:13" x14ac:dyDescent="0.25">
      <c r="A22" s="14">
        <f>'Kwh Reading'!A23</f>
        <v>44428</v>
      </c>
      <c r="B22" s="11">
        <f>TOTAL!F21</f>
        <v>0.15</v>
      </c>
      <c r="C22" s="11">
        <f>'Kwh Consumption'!B23*' Kwh area wise $ '!B22</f>
        <v>3425.9999999999536</v>
      </c>
      <c r="D22" s="1">
        <f>'Kwh Consumption'!C23*' Kwh area wise $ '!B22</f>
        <v>77.999999999997272</v>
      </c>
      <c r="E22" s="1">
        <f>'Kwh Consumption'!D23*' Kwh area wise $ '!B22</f>
        <v>344.99999999999528</v>
      </c>
      <c r="F22" s="1">
        <f>'Kwh Consumption'!E23*' Kwh area wise $ '!B22</f>
        <v>38.999999999998636</v>
      </c>
      <c r="G22" s="1">
        <f>('Kwh Consumption'!F23+'Kwh Consumption'!G23+'Kwh Consumption'!H23)*' Kwh area wise $ '!B22</f>
        <v>115.49999999999301</v>
      </c>
      <c r="H22" s="16">
        <f>('Kwh Consumption'!I23+'Kwh Consumption'!J23)*' Kwh area wise $ '!B22</f>
        <v>62.999999999998124</v>
      </c>
      <c r="I22" s="1">
        <f>('Kwh Consumption'!K23+'Kwh Consumption'!L23)*' Kwh area wise $ '!B22</f>
        <v>271.49999999999608</v>
      </c>
      <c r="J22" s="1">
        <f>('Kwh Consumption'!M23+'Kwh Consumption'!N23+'Kwh Consumption'!O23+'Kwh Consumption'!P23+'Kwh Consumption'!Q23+'Kwh Consumption'!R23)*' Kwh area wise $ '!B22</f>
        <v>730.50000000000068</v>
      </c>
      <c r="K22" s="1">
        <f>('Kwh Consumption'!S23+'Kwh Consumption'!T23)*' Kwh area wise $ '!B22</f>
        <v>865.61999999997204</v>
      </c>
      <c r="L22" s="1">
        <f>'Kwh Consumption'!U23*' Kwh area wise $ '!B22</f>
        <v>31.500000000001194</v>
      </c>
      <c r="M22" s="1">
        <f>'Kwh Consumption'!V23*' Kwh area wise $ '!B22</f>
        <v>886.38000000000113</v>
      </c>
    </row>
    <row r="23" spans="1:13" x14ac:dyDescent="0.25">
      <c r="A23" s="14">
        <f>'Kwh Reading'!A24</f>
        <v>44429</v>
      </c>
      <c r="B23" s="11">
        <f>TOTAL!F22</f>
        <v>0.15</v>
      </c>
      <c r="C23" s="11">
        <f>'Kwh Consumption'!B24*' Kwh area wise $ '!B23</f>
        <v>3406.4999999999714</v>
      </c>
      <c r="D23" s="1">
        <f>'Kwh Consumption'!C24*' Kwh area wise $ '!B23</f>
        <v>42.000000000004434</v>
      </c>
      <c r="E23" s="1">
        <f>'Kwh Consumption'!D24*' Kwh area wise $ '!B23</f>
        <v>344.99999999999528</v>
      </c>
      <c r="F23" s="1">
        <f>'Kwh Consumption'!E24*' Kwh area wise $ '!B23</f>
        <v>39.000000000002899</v>
      </c>
      <c r="G23" s="1">
        <f>('Kwh Consumption'!F24+'Kwh Consumption'!G24+'Kwh Consumption'!H24)*' Kwh area wise $ '!B23</f>
        <v>120.00000000000597</v>
      </c>
      <c r="H23" s="16">
        <f>('Kwh Consumption'!I24+'Kwh Consumption'!J24)*' Kwh area wise $ '!B23</f>
        <v>55.49999999999855</v>
      </c>
      <c r="I23" s="1">
        <f>('Kwh Consumption'!K24+'Kwh Consumption'!L24)*' Kwh area wise $ '!B23</f>
        <v>274.50000000000188</v>
      </c>
      <c r="J23" s="1">
        <f>('Kwh Consumption'!M24+'Kwh Consumption'!N24+'Kwh Consumption'!O24+'Kwh Consumption'!P24+'Kwh Consumption'!Q24+'Kwh Consumption'!R24)*' Kwh area wise $ '!B23</f>
        <v>724.49999999998909</v>
      </c>
      <c r="K23" s="1">
        <f>('Kwh Consumption'!S24+'Kwh Consumption'!T24)*' Kwh area wise $ '!B23</f>
        <v>954.9254999999888</v>
      </c>
      <c r="L23" s="1">
        <f>'Kwh Consumption'!U24*' Kwh area wise $ '!B23</f>
        <v>31.49999999999693</v>
      </c>
      <c r="M23" s="1">
        <f>'Kwh Consumption'!V24*' Kwh area wise $ '!B23</f>
        <v>819.57449999998823</v>
      </c>
    </row>
    <row r="24" spans="1:13" x14ac:dyDescent="0.25">
      <c r="A24" s="14">
        <f>'Kwh Reading'!A25</f>
        <v>44430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-66699</v>
      </c>
      <c r="E24" s="1">
        <f>'Kwh Consumption'!D25*' Kwh area wise $ '!B24</f>
        <v>-375840</v>
      </c>
      <c r="F24" s="1">
        <f>'Kwh Consumption'!E25*' Kwh area wise $ '!B24</f>
        <v>-36340.5</v>
      </c>
      <c r="G24" s="1">
        <f>('Kwh Consumption'!F25+'Kwh Consumption'!G25+'Kwh Consumption'!H25)*' Kwh area wise $ '!B24</f>
        <v>-139597.5</v>
      </c>
      <c r="H24" s="16">
        <f>('Kwh Consumption'!I25+'Kwh Consumption'!J25)*' Kwh area wise $ '!B24</f>
        <v>-44010</v>
      </c>
      <c r="I24" s="1">
        <f>('Kwh Consumption'!K25+'Kwh Consumption'!L25)*' Kwh area wise $ '!B24</f>
        <v>-195805.5</v>
      </c>
      <c r="J24" s="1">
        <f>('Kwh Consumption'!M25+'Kwh Consumption'!N25+'Kwh Consumption'!O25+'Kwh Consumption'!P25+'Kwh Consumption'!Q25+'Kwh Consumption'!R25)*' Kwh area wise $ '!B24</f>
        <v>-551682</v>
      </c>
      <c r="K24" s="1">
        <f>('Kwh Consumption'!S25+'Kwh Consumption'!T25)*' Kwh area wise $ '!B24</f>
        <v>-2394169.1954999999</v>
      </c>
      <c r="L24" s="1">
        <f>'Kwh Consumption'!U25*' Kwh area wise $ '!B24</f>
        <v>-24493.5</v>
      </c>
      <c r="M24" s="1">
        <f>'Kwh Consumption'!V25*' Kwh area wise $ '!B24</f>
        <v>3828637.1955000004</v>
      </c>
    </row>
    <row r="25" spans="1:13" x14ac:dyDescent="0.25">
      <c r="A25" s="14">
        <f>'Kwh Reading'!A26</f>
        <v>44431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44432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44433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44434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44435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44436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44437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44438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44439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73522.50000000016</v>
      </c>
      <c r="D34" s="75">
        <f t="shared" si="0"/>
        <v>-65240.999999999993</v>
      </c>
      <c r="E34" s="75">
        <f t="shared" si="0"/>
        <v>-368400</v>
      </c>
      <c r="F34" s="75">
        <f t="shared" si="0"/>
        <v>-35551.5</v>
      </c>
      <c r="G34" s="75">
        <f t="shared" si="0"/>
        <v>-137082</v>
      </c>
      <c r="H34" s="75">
        <f t="shared" si="0"/>
        <v>-42861</v>
      </c>
      <c r="I34" s="75">
        <f t="shared" si="0"/>
        <v>-190392</v>
      </c>
      <c r="J34" s="75">
        <f t="shared" si="0"/>
        <v>-536905.5</v>
      </c>
      <c r="K34" s="75">
        <f t="shared" si="0"/>
        <v>-2375945.8649999998</v>
      </c>
      <c r="L34" s="75">
        <f t="shared" si="0"/>
        <v>-23773.500000000004</v>
      </c>
      <c r="M34" s="75">
        <f>SUM(M3:M33)</f>
        <v>3849674.8650000007</v>
      </c>
      <c r="N34" s="84">
        <f>D34+E34+F34+G34+H34+I34+J34+K34+L34+M34</f>
        <v>73522.500000000931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24" sqref="R2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44409</v>
      </c>
      <c r="B3" s="33">
        <v>173617</v>
      </c>
      <c r="C3" s="56">
        <v>135457</v>
      </c>
      <c r="D3" s="33">
        <v>213833</v>
      </c>
      <c r="E3" s="33">
        <v>249696</v>
      </c>
      <c r="F3" s="33">
        <v>66956</v>
      </c>
      <c r="G3" s="33">
        <v>112190</v>
      </c>
      <c r="H3" s="33">
        <v>54328</v>
      </c>
      <c r="I3" s="33">
        <v>64440</v>
      </c>
      <c r="J3" s="33">
        <v>20665</v>
      </c>
      <c r="K3" s="33">
        <v>1024</v>
      </c>
      <c r="L3" s="33">
        <v>17468</v>
      </c>
      <c r="M3" s="33">
        <v>24658</v>
      </c>
      <c r="N3" s="33">
        <v>7431</v>
      </c>
      <c r="O3" s="33">
        <v>1701</v>
      </c>
      <c r="P3" s="33">
        <v>27288</v>
      </c>
      <c r="Q3" s="33">
        <v>775</v>
      </c>
      <c r="R3" s="33">
        <v>6394</v>
      </c>
    </row>
    <row r="4" spans="1:21" x14ac:dyDescent="0.25">
      <c r="A4" s="54">
        <v>44410</v>
      </c>
      <c r="B4" s="56">
        <v>173926</v>
      </c>
      <c r="C4" s="56">
        <v>135692</v>
      </c>
      <c r="D4" s="55">
        <v>214035</v>
      </c>
      <c r="E4" s="55">
        <v>249756</v>
      </c>
      <c r="F4" s="55">
        <v>66957</v>
      </c>
      <c r="G4" s="55">
        <v>112211</v>
      </c>
      <c r="H4" s="33">
        <v>54356</v>
      </c>
      <c r="I4" s="55">
        <v>64466</v>
      </c>
      <c r="J4" s="55">
        <v>20676</v>
      </c>
      <c r="K4" s="55">
        <v>1024</v>
      </c>
      <c r="L4" s="55">
        <v>17476</v>
      </c>
      <c r="M4" s="55">
        <v>24676</v>
      </c>
      <c r="N4" s="55">
        <v>7433</v>
      </c>
      <c r="O4" s="55">
        <v>1703</v>
      </c>
      <c r="P4" s="55">
        <v>27298</v>
      </c>
      <c r="Q4" s="33">
        <v>781</v>
      </c>
      <c r="R4" s="55">
        <v>6401</v>
      </c>
    </row>
    <row r="5" spans="1:21" x14ac:dyDescent="0.25">
      <c r="A5" s="54">
        <v>44411</v>
      </c>
      <c r="B5" s="55">
        <v>174440</v>
      </c>
      <c r="C5" s="33">
        <v>135835</v>
      </c>
      <c r="D5" s="55">
        <v>214208</v>
      </c>
      <c r="E5" s="55">
        <v>249814</v>
      </c>
      <c r="F5" s="55">
        <v>66958</v>
      </c>
      <c r="G5" s="55">
        <v>112227</v>
      </c>
      <c r="H5" s="33">
        <v>54382</v>
      </c>
      <c r="I5" s="55">
        <v>64497</v>
      </c>
      <c r="J5" s="55">
        <v>20687</v>
      </c>
      <c r="K5" s="55">
        <v>1024</v>
      </c>
      <c r="L5" s="55">
        <v>17485</v>
      </c>
      <c r="M5" s="55">
        <v>24689</v>
      </c>
      <c r="N5" s="55">
        <v>7436</v>
      </c>
      <c r="O5" s="55">
        <v>1703</v>
      </c>
      <c r="P5" s="55">
        <v>27312</v>
      </c>
      <c r="Q5" s="33">
        <v>788</v>
      </c>
      <c r="R5" s="55">
        <v>6407</v>
      </c>
    </row>
    <row r="6" spans="1:21" x14ac:dyDescent="0.25">
      <c r="A6" s="54">
        <v>44412</v>
      </c>
      <c r="B6" s="56">
        <v>174637</v>
      </c>
      <c r="C6" s="56">
        <v>136167</v>
      </c>
      <c r="D6" s="55">
        <v>214461</v>
      </c>
      <c r="E6" s="55">
        <v>249867</v>
      </c>
      <c r="F6" s="55">
        <v>66959</v>
      </c>
      <c r="G6" s="55">
        <v>112241</v>
      </c>
      <c r="H6" s="33">
        <v>54403</v>
      </c>
      <c r="I6" s="55">
        <v>64526</v>
      </c>
      <c r="J6" s="55">
        <v>20697</v>
      </c>
      <c r="K6" s="55">
        <v>1024</v>
      </c>
      <c r="L6" s="55">
        <v>17491</v>
      </c>
      <c r="M6" s="55">
        <v>24704</v>
      </c>
      <c r="N6" s="55">
        <v>7438</v>
      </c>
      <c r="O6" s="55">
        <v>1704</v>
      </c>
      <c r="P6" s="55">
        <v>27323</v>
      </c>
      <c r="Q6" s="33">
        <v>793</v>
      </c>
      <c r="R6" s="55">
        <v>6412</v>
      </c>
    </row>
    <row r="7" spans="1:21" x14ac:dyDescent="0.25">
      <c r="A7" s="54">
        <v>44413</v>
      </c>
      <c r="B7" s="56">
        <v>174832</v>
      </c>
      <c r="C7" s="33">
        <v>136408</v>
      </c>
      <c r="D7" s="55">
        <v>214710</v>
      </c>
      <c r="E7" s="55">
        <v>249917</v>
      </c>
      <c r="F7" s="55">
        <v>66959</v>
      </c>
      <c r="G7" s="55">
        <v>112258</v>
      </c>
      <c r="H7" s="33">
        <v>54445</v>
      </c>
      <c r="I7" s="55">
        <v>64545</v>
      </c>
      <c r="J7" s="55">
        <v>20708</v>
      </c>
      <c r="K7" s="55">
        <v>1024</v>
      </c>
      <c r="L7" s="55">
        <v>17498</v>
      </c>
      <c r="M7" s="55">
        <v>24718</v>
      </c>
      <c r="N7" s="55">
        <v>7440</v>
      </c>
      <c r="O7" s="55">
        <v>1704</v>
      </c>
      <c r="P7" s="55">
        <v>27323</v>
      </c>
      <c r="Q7" s="33">
        <v>799</v>
      </c>
      <c r="R7" s="55">
        <v>6423</v>
      </c>
    </row>
    <row r="8" spans="1:21" x14ac:dyDescent="0.25">
      <c r="A8" s="54">
        <v>44414</v>
      </c>
      <c r="B8" s="33">
        <v>175055</v>
      </c>
      <c r="C8" s="56">
        <v>136523</v>
      </c>
      <c r="D8" s="55">
        <v>214910</v>
      </c>
      <c r="E8" s="55">
        <v>249977</v>
      </c>
      <c r="F8" s="55">
        <v>66960</v>
      </c>
      <c r="G8" s="55">
        <v>112275</v>
      </c>
      <c r="H8" s="33">
        <v>54491</v>
      </c>
      <c r="I8" s="55">
        <v>64581</v>
      </c>
      <c r="J8" s="55">
        <v>20720</v>
      </c>
      <c r="K8" s="55">
        <v>1024</v>
      </c>
      <c r="L8" s="55">
        <v>17505</v>
      </c>
      <c r="M8" s="55">
        <v>24736</v>
      </c>
      <c r="N8" s="55">
        <v>7445</v>
      </c>
      <c r="O8" s="55">
        <v>1705</v>
      </c>
      <c r="P8" s="55">
        <v>27339</v>
      </c>
      <c r="Q8" s="33">
        <v>804</v>
      </c>
      <c r="R8" s="55">
        <v>6430</v>
      </c>
    </row>
    <row r="9" spans="1:21" x14ac:dyDescent="0.25">
      <c r="A9" s="54">
        <v>44415</v>
      </c>
      <c r="B9" s="56">
        <v>175231</v>
      </c>
      <c r="C9" s="33">
        <v>136455</v>
      </c>
      <c r="D9" s="55">
        <v>215100</v>
      </c>
      <c r="E9" s="55">
        <v>250037</v>
      </c>
      <c r="F9" s="55">
        <v>66961</v>
      </c>
      <c r="G9" s="55">
        <v>112297</v>
      </c>
      <c r="H9" s="33">
        <v>54530</v>
      </c>
      <c r="I9" s="55">
        <v>64601</v>
      </c>
      <c r="J9" s="55">
        <v>20731</v>
      </c>
      <c r="K9" s="55">
        <v>1024</v>
      </c>
      <c r="L9" s="55">
        <v>17514</v>
      </c>
      <c r="M9" s="55">
        <v>24751</v>
      </c>
      <c r="N9" s="55">
        <v>7449</v>
      </c>
      <c r="O9" s="55">
        <v>1707</v>
      </c>
      <c r="P9" s="55">
        <v>27339</v>
      </c>
      <c r="Q9" s="33">
        <v>806</v>
      </c>
      <c r="R9" s="55">
        <v>6433</v>
      </c>
    </row>
    <row r="10" spans="1:21" x14ac:dyDescent="0.25">
      <c r="A10" s="54">
        <v>44416</v>
      </c>
      <c r="B10" s="33">
        <v>175406</v>
      </c>
      <c r="C10" s="56">
        <v>137129</v>
      </c>
      <c r="D10" s="55">
        <v>215366</v>
      </c>
      <c r="E10" s="55">
        <v>250094</v>
      </c>
      <c r="F10" s="55">
        <v>66961</v>
      </c>
      <c r="G10" s="55">
        <v>112313</v>
      </c>
      <c r="H10" s="33">
        <v>54560</v>
      </c>
      <c r="I10" s="55">
        <v>64634</v>
      </c>
      <c r="J10" s="55">
        <v>20742</v>
      </c>
      <c r="K10" s="55">
        <v>1024</v>
      </c>
      <c r="L10" s="55">
        <v>17521</v>
      </c>
      <c r="M10" s="55">
        <v>24767</v>
      </c>
      <c r="N10" s="55">
        <v>7453</v>
      </c>
      <c r="O10" s="55">
        <v>1708</v>
      </c>
      <c r="P10" s="55">
        <v>27351</v>
      </c>
      <c r="Q10" s="33">
        <v>815</v>
      </c>
      <c r="R10" s="55">
        <v>6440</v>
      </c>
    </row>
    <row r="11" spans="1:21" x14ac:dyDescent="0.25">
      <c r="A11" s="54">
        <v>44417</v>
      </c>
      <c r="B11" s="56">
        <v>175554</v>
      </c>
      <c r="C11" s="33">
        <v>137362</v>
      </c>
      <c r="D11" s="55">
        <v>215566</v>
      </c>
      <c r="E11" s="55">
        <v>250149</v>
      </c>
      <c r="F11" s="55">
        <v>66962</v>
      </c>
      <c r="G11" s="55">
        <v>112333</v>
      </c>
      <c r="H11" s="33">
        <v>54588</v>
      </c>
      <c r="I11" s="55">
        <v>64662</v>
      </c>
      <c r="J11" s="55">
        <v>20753</v>
      </c>
      <c r="K11" s="55">
        <v>1024</v>
      </c>
      <c r="L11" s="55">
        <v>17529</v>
      </c>
      <c r="M11" s="55">
        <v>24782</v>
      </c>
      <c r="N11" s="55">
        <v>7457</v>
      </c>
      <c r="O11" s="55">
        <v>1709</v>
      </c>
      <c r="P11" s="55">
        <v>27359</v>
      </c>
      <c r="Q11" s="33">
        <v>815</v>
      </c>
      <c r="R11" s="55">
        <v>6450</v>
      </c>
    </row>
    <row r="12" spans="1:21" x14ac:dyDescent="0.25">
      <c r="A12" s="54">
        <v>44418</v>
      </c>
      <c r="B12" s="33">
        <v>175759</v>
      </c>
      <c r="C12" s="56">
        <v>137472</v>
      </c>
      <c r="D12" s="55">
        <v>215898</v>
      </c>
      <c r="E12" s="55">
        <v>250203</v>
      </c>
      <c r="F12" s="55">
        <v>66962</v>
      </c>
      <c r="G12" s="55">
        <v>112353</v>
      </c>
      <c r="H12" s="33">
        <v>54618</v>
      </c>
      <c r="I12" s="55">
        <v>64689</v>
      </c>
      <c r="J12" s="55">
        <v>20764</v>
      </c>
      <c r="K12" s="55">
        <v>1024</v>
      </c>
      <c r="L12" s="55">
        <v>17536</v>
      </c>
      <c r="M12" s="55">
        <v>24798</v>
      </c>
      <c r="N12" s="55">
        <v>7459</v>
      </c>
      <c r="O12" s="55">
        <v>1709</v>
      </c>
      <c r="P12" s="55">
        <v>27370</v>
      </c>
      <c r="Q12" s="33">
        <v>825</v>
      </c>
      <c r="R12" s="55">
        <v>6454</v>
      </c>
    </row>
    <row r="13" spans="1:21" x14ac:dyDescent="0.25">
      <c r="A13" s="54">
        <v>44419</v>
      </c>
      <c r="B13" s="56">
        <v>175924</v>
      </c>
      <c r="C13" s="33">
        <v>137631</v>
      </c>
      <c r="D13" s="55">
        <v>216153</v>
      </c>
      <c r="E13" s="55">
        <v>250255</v>
      </c>
      <c r="F13" s="55">
        <v>66963</v>
      </c>
      <c r="G13" s="55">
        <v>112369</v>
      </c>
      <c r="H13" s="33">
        <v>54650</v>
      </c>
      <c r="I13" s="55">
        <v>64708</v>
      </c>
      <c r="J13" s="55">
        <v>20775</v>
      </c>
      <c r="K13" s="55">
        <v>1024</v>
      </c>
      <c r="L13" s="55">
        <v>17543</v>
      </c>
      <c r="M13" s="55">
        <v>24812</v>
      </c>
      <c r="N13" s="55">
        <v>7460</v>
      </c>
      <c r="O13" s="55">
        <v>1711</v>
      </c>
      <c r="P13" s="55">
        <v>27370</v>
      </c>
      <c r="Q13" s="33">
        <v>830</v>
      </c>
      <c r="R13" s="55">
        <v>6464</v>
      </c>
    </row>
    <row r="14" spans="1:21" x14ac:dyDescent="0.25">
      <c r="A14" s="54">
        <v>44420</v>
      </c>
      <c r="B14" s="33">
        <v>176125</v>
      </c>
      <c r="C14" s="56">
        <v>138839</v>
      </c>
      <c r="D14" s="55">
        <v>216456</v>
      </c>
      <c r="E14" s="55">
        <v>250313</v>
      </c>
      <c r="F14" s="55">
        <v>66964</v>
      </c>
      <c r="G14" s="55">
        <v>112387</v>
      </c>
      <c r="H14" s="33">
        <v>54688</v>
      </c>
      <c r="I14" s="55">
        <v>64750</v>
      </c>
      <c r="J14" s="55">
        <v>20786</v>
      </c>
      <c r="K14" s="55">
        <v>1024</v>
      </c>
      <c r="L14" s="55">
        <v>17550</v>
      </c>
      <c r="M14" s="55">
        <v>24828</v>
      </c>
      <c r="N14" s="55">
        <v>7465</v>
      </c>
      <c r="O14" s="55">
        <v>1712</v>
      </c>
      <c r="P14" s="55">
        <v>27391</v>
      </c>
      <c r="Q14" s="33">
        <v>836</v>
      </c>
      <c r="R14" s="55">
        <v>6473</v>
      </c>
    </row>
    <row r="15" spans="1:21" x14ac:dyDescent="0.25">
      <c r="A15" s="54">
        <v>44421</v>
      </c>
      <c r="B15" s="33">
        <v>176248</v>
      </c>
      <c r="C15" s="33">
        <v>138939</v>
      </c>
      <c r="D15" s="55">
        <v>216683</v>
      </c>
      <c r="E15" s="55">
        <v>250373</v>
      </c>
      <c r="F15" s="55">
        <v>66965</v>
      </c>
      <c r="G15" s="55">
        <v>112405</v>
      </c>
      <c r="H15" s="33">
        <v>54715</v>
      </c>
      <c r="I15" s="55">
        <v>64779</v>
      </c>
      <c r="J15" s="55">
        <v>20798</v>
      </c>
      <c r="K15" s="55">
        <v>1024</v>
      </c>
      <c r="L15" s="55">
        <v>17557</v>
      </c>
      <c r="M15" s="55">
        <v>24844</v>
      </c>
      <c r="N15" s="55">
        <v>7473</v>
      </c>
      <c r="O15" s="55">
        <v>1713</v>
      </c>
      <c r="P15" s="55">
        <v>27399</v>
      </c>
      <c r="Q15" s="33">
        <v>840</v>
      </c>
      <c r="R15" s="55">
        <v>6478</v>
      </c>
      <c r="T15" s="110"/>
      <c r="U15" s="110"/>
    </row>
    <row r="16" spans="1:21" x14ac:dyDescent="0.25">
      <c r="A16" s="54">
        <v>44422</v>
      </c>
      <c r="B16" s="33">
        <v>176417</v>
      </c>
      <c r="C16" s="56">
        <v>138939</v>
      </c>
      <c r="D16" s="55">
        <v>216820</v>
      </c>
      <c r="E16" s="55">
        <v>250440</v>
      </c>
      <c r="F16" s="55">
        <v>66966</v>
      </c>
      <c r="G16" s="55">
        <v>112422</v>
      </c>
      <c r="H16" s="33">
        <v>54753</v>
      </c>
      <c r="I16" s="55">
        <v>64920</v>
      </c>
      <c r="J16" s="55">
        <v>20809</v>
      </c>
      <c r="K16" s="55">
        <v>1024</v>
      </c>
      <c r="L16" s="55">
        <v>17565</v>
      </c>
      <c r="M16" s="55">
        <v>24860</v>
      </c>
      <c r="N16" s="55">
        <v>7484</v>
      </c>
      <c r="O16" s="55">
        <v>1715</v>
      </c>
      <c r="P16" s="55">
        <v>27503</v>
      </c>
      <c r="Q16" s="33">
        <v>842</v>
      </c>
      <c r="R16" s="55">
        <v>6480</v>
      </c>
    </row>
    <row r="17" spans="1:22" x14ac:dyDescent="0.25">
      <c r="A17" s="54">
        <v>44423</v>
      </c>
      <c r="B17" s="33">
        <v>176546</v>
      </c>
      <c r="C17" s="33">
        <v>139134</v>
      </c>
      <c r="D17" s="55">
        <v>216989</v>
      </c>
      <c r="E17" s="55">
        <v>250495</v>
      </c>
      <c r="F17" s="55">
        <v>66967</v>
      </c>
      <c r="G17" s="55">
        <v>112441</v>
      </c>
      <c r="H17" s="33">
        <v>54788</v>
      </c>
      <c r="I17" s="55">
        <v>64940</v>
      </c>
      <c r="J17" s="55">
        <v>20820</v>
      </c>
      <c r="K17" s="55">
        <v>1024</v>
      </c>
      <c r="L17" s="55">
        <v>17572</v>
      </c>
      <c r="M17" s="55">
        <v>24873</v>
      </c>
      <c r="N17" s="55">
        <v>7487</v>
      </c>
      <c r="O17" s="55">
        <v>1716</v>
      </c>
      <c r="P17" s="55">
        <v>27503</v>
      </c>
      <c r="Q17" s="33">
        <v>849</v>
      </c>
      <c r="R17" s="55">
        <v>6489</v>
      </c>
    </row>
    <row r="18" spans="1:22" x14ac:dyDescent="0.25">
      <c r="A18" s="54">
        <v>44424</v>
      </c>
      <c r="B18" s="33">
        <v>176700</v>
      </c>
      <c r="C18" s="56">
        <v>139199</v>
      </c>
      <c r="D18" s="55">
        <v>217184</v>
      </c>
      <c r="E18" s="55">
        <v>250561</v>
      </c>
      <c r="F18" s="55">
        <v>66967</v>
      </c>
      <c r="G18" s="55">
        <v>112466</v>
      </c>
      <c r="H18" s="33">
        <v>54827</v>
      </c>
      <c r="I18" s="55">
        <v>64982</v>
      </c>
      <c r="J18" s="33">
        <v>20833</v>
      </c>
      <c r="K18" s="55">
        <v>1024</v>
      </c>
      <c r="L18" s="55">
        <v>17581</v>
      </c>
      <c r="M18" s="55">
        <v>24888</v>
      </c>
      <c r="N18" s="55">
        <v>7491</v>
      </c>
      <c r="O18" s="55">
        <v>1718</v>
      </c>
      <c r="P18" s="55">
        <v>27516</v>
      </c>
      <c r="Q18" s="33">
        <v>858</v>
      </c>
      <c r="R18" s="55">
        <v>6498</v>
      </c>
      <c r="U18" s="110"/>
    </row>
    <row r="19" spans="1:22" x14ac:dyDescent="0.25">
      <c r="A19" s="54">
        <v>44425</v>
      </c>
      <c r="B19" s="33">
        <v>176850</v>
      </c>
      <c r="C19" s="33">
        <v>139254</v>
      </c>
      <c r="D19" s="55">
        <v>217389</v>
      </c>
      <c r="E19" s="55">
        <v>250623</v>
      </c>
      <c r="F19" s="55">
        <v>66968</v>
      </c>
      <c r="G19" s="55">
        <v>112488</v>
      </c>
      <c r="H19" s="33">
        <v>54866</v>
      </c>
      <c r="I19" s="55">
        <v>65012</v>
      </c>
      <c r="J19" s="55">
        <v>20844</v>
      </c>
      <c r="K19" s="55">
        <v>1024</v>
      </c>
      <c r="L19" s="55">
        <v>17587</v>
      </c>
      <c r="M19" s="55">
        <v>24907</v>
      </c>
      <c r="N19" s="55">
        <v>7494</v>
      </c>
      <c r="O19" s="55">
        <v>1720</v>
      </c>
      <c r="P19" s="55">
        <v>27525</v>
      </c>
      <c r="Q19" s="33">
        <v>862</v>
      </c>
      <c r="R19" s="55">
        <v>6504</v>
      </c>
    </row>
    <row r="20" spans="1:22" x14ac:dyDescent="0.25">
      <c r="A20" s="54">
        <v>44426</v>
      </c>
      <c r="B20" s="33">
        <v>176966</v>
      </c>
      <c r="C20" s="56">
        <v>139255</v>
      </c>
      <c r="D20" s="10">
        <v>217524</v>
      </c>
      <c r="E20" s="55">
        <v>250681</v>
      </c>
      <c r="F20" s="55">
        <v>66970</v>
      </c>
      <c r="G20" s="55">
        <v>112504</v>
      </c>
      <c r="H20" s="33">
        <v>54898</v>
      </c>
      <c r="I20" s="55">
        <v>65044</v>
      </c>
      <c r="J20" s="55">
        <v>20854</v>
      </c>
      <c r="K20" s="55">
        <v>1024</v>
      </c>
      <c r="L20" s="55">
        <v>17595</v>
      </c>
      <c r="M20" s="55">
        <v>24918</v>
      </c>
      <c r="N20" s="55">
        <v>7502</v>
      </c>
      <c r="O20" s="55">
        <v>1721</v>
      </c>
      <c r="P20" s="55">
        <v>27533</v>
      </c>
      <c r="Q20" s="33">
        <v>867</v>
      </c>
      <c r="R20" s="55">
        <v>6514</v>
      </c>
    </row>
    <row r="21" spans="1:22" x14ac:dyDescent="0.25">
      <c r="A21" s="54">
        <v>44427</v>
      </c>
      <c r="B21" s="33">
        <v>177079</v>
      </c>
      <c r="C21" s="33">
        <v>140118</v>
      </c>
      <c r="D21" s="55">
        <v>217707</v>
      </c>
      <c r="E21" s="55">
        <v>250740</v>
      </c>
      <c r="F21" s="55">
        <v>66971</v>
      </c>
      <c r="G21" s="55">
        <v>112525</v>
      </c>
      <c r="H21" s="33">
        <v>54927</v>
      </c>
      <c r="I21" s="55">
        <v>65070</v>
      </c>
      <c r="J21" s="55">
        <v>20865</v>
      </c>
      <c r="K21" s="55">
        <v>1024</v>
      </c>
      <c r="L21" s="55">
        <v>17602</v>
      </c>
      <c r="M21" s="55">
        <v>24931</v>
      </c>
      <c r="N21" s="55">
        <v>7505</v>
      </c>
      <c r="O21" s="55">
        <v>1724</v>
      </c>
      <c r="P21" s="55">
        <v>27540</v>
      </c>
      <c r="Q21" s="33">
        <v>871</v>
      </c>
      <c r="R21" s="55">
        <v>6523</v>
      </c>
    </row>
    <row r="22" spans="1:22" x14ac:dyDescent="0.25">
      <c r="A22" s="54">
        <v>44428</v>
      </c>
      <c r="B22" s="33">
        <v>177082</v>
      </c>
      <c r="C22" s="56">
        <v>140410</v>
      </c>
      <c r="D22" s="55">
        <v>217905</v>
      </c>
      <c r="E22" s="55">
        <v>250904</v>
      </c>
      <c r="F22" s="55">
        <v>66971</v>
      </c>
      <c r="G22" s="55">
        <v>112551</v>
      </c>
      <c r="H22" s="33">
        <v>54968</v>
      </c>
      <c r="I22" s="55">
        <v>65110</v>
      </c>
      <c r="J22" s="55">
        <v>20876</v>
      </c>
      <c r="K22" s="55">
        <v>1024</v>
      </c>
      <c r="L22" s="55">
        <v>17611</v>
      </c>
      <c r="M22" s="55">
        <v>24951</v>
      </c>
      <c r="N22" s="55">
        <v>7508</v>
      </c>
      <c r="O22" s="55">
        <v>1724</v>
      </c>
      <c r="P22" s="55">
        <v>27556</v>
      </c>
      <c r="Q22" s="33">
        <v>876</v>
      </c>
      <c r="R22" s="55">
        <v>6529</v>
      </c>
    </row>
    <row r="23" spans="1:22" x14ac:dyDescent="0.25">
      <c r="A23" s="54">
        <v>44429</v>
      </c>
      <c r="B23" s="33">
        <v>177192</v>
      </c>
      <c r="C23" s="33">
        <v>140480</v>
      </c>
      <c r="D23" s="55">
        <v>217988</v>
      </c>
      <c r="E23" s="55">
        <v>250960</v>
      </c>
      <c r="F23" s="55">
        <v>66972</v>
      </c>
      <c r="G23" s="55">
        <v>112568</v>
      </c>
      <c r="H23" s="33">
        <v>55007</v>
      </c>
      <c r="I23" s="55">
        <v>65123</v>
      </c>
      <c r="J23" s="55">
        <v>20887</v>
      </c>
      <c r="K23" s="55">
        <v>1024</v>
      </c>
      <c r="L23" s="55">
        <v>17619</v>
      </c>
      <c r="M23" s="55">
        <v>24968</v>
      </c>
      <c r="N23" s="55">
        <v>7513</v>
      </c>
      <c r="O23" s="55">
        <v>1725</v>
      </c>
      <c r="P23" s="55">
        <v>27556</v>
      </c>
      <c r="Q23" s="33">
        <v>877</v>
      </c>
      <c r="R23" s="55">
        <v>6541</v>
      </c>
    </row>
    <row r="24" spans="1:22" x14ac:dyDescent="0.25">
      <c r="A24" s="54">
        <v>44430</v>
      </c>
      <c r="B24" s="33">
        <v>177503</v>
      </c>
      <c r="C24" s="56">
        <v>140659</v>
      </c>
      <c r="D24" s="55">
        <v>218080</v>
      </c>
      <c r="E24" s="55">
        <v>250921</v>
      </c>
      <c r="F24" s="55">
        <v>66973</v>
      </c>
      <c r="G24" s="55">
        <v>112588</v>
      </c>
      <c r="H24" s="33">
        <v>55038</v>
      </c>
      <c r="I24" s="55">
        <v>65160</v>
      </c>
      <c r="J24" s="55">
        <v>20897</v>
      </c>
      <c r="K24" s="55">
        <v>1024</v>
      </c>
      <c r="L24" s="55">
        <v>17627</v>
      </c>
      <c r="M24" s="55">
        <v>24986</v>
      </c>
      <c r="N24" s="55">
        <v>7517</v>
      </c>
      <c r="O24" s="55">
        <v>1726</v>
      </c>
      <c r="P24" s="55">
        <v>27569</v>
      </c>
      <c r="Q24" s="33">
        <v>883</v>
      </c>
      <c r="R24" s="55">
        <v>6595</v>
      </c>
    </row>
    <row r="25" spans="1:22" x14ac:dyDescent="0.25">
      <c r="A25" s="54">
        <v>44431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44432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44433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44434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44435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44436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44437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44438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44439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44440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B33" sqref="B33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44409</v>
      </c>
      <c r="B4" s="65">
        <v>469</v>
      </c>
      <c r="C4" s="66">
        <f>('Water Reading'!B4-'Water Reading'!B3)+('Water Reading'!C4-'Water Reading'!C3)</f>
        <v>544</v>
      </c>
      <c r="D4" s="67">
        <f>C4/B4</f>
        <v>1.159914712153518</v>
      </c>
      <c r="E4" s="88">
        <f>'Water Reading'!H4-'Water Reading'!H3</f>
        <v>28</v>
      </c>
      <c r="F4" s="89">
        <f>E4/C4</f>
        <v>5.1470588235294115E-2</v>
      </c>
      <c r="G4" s="93">
        <f>('Water Reading'!D4-'Water Reading'!D3)-('Water Reading'!R4-'Water Reading'!R3)-('Water Reading'!Q4-'Water Reading'!Q3)</f>
        <v>189</v>
      </c>
      <c r="H4" s="89">
        <f>G4/C4</f>
        <v>0.34742647058823528</v>
      </c>
      <c r="I4" s="90">
        <f>'Water Reading'!P4-'Water Reading'!P3</f>
        <v>10</v>
      </c>
      <c r="J4" s="68">
        <f>I4/C4</f>
        <v>1.8382352941176471E-2</v>
      </c>
      <c r="K4" s="91">
        <f>('Water Reading'!I4-'Water Reading'!I3)-('Water Reading'!P4-'Water Reading'!P3)</f>
        <v>16</v>
      </c>
      <c r="L4" s="68">
        <f>K4/C4</f>
        <v>2.9411764705882353E-2</v>
      </c>
      <c r="M4" s="90">
        <f>'Water Reading'!R4-'Water Reading'!R3</f>
        <v>7</v>
      </c>
      <c r="N4" s="92">
        <f>M4/C4</f>
        <v>1.2867647058823529E-2</v>
      </c>
      <c r="O4" s="90">
        <f>'Water Reading'!Q4-'Water Reading'!Q3</f>
        <v>6</v>
      </c>
      <c r="P4" s="99">
        <f>O4/C4</f>
        <v>1.1029411764705883E-2</v>
      </c>
      <c r="Q4" s="91">
        <f>'Water Reading'!F4-'Water Reading'!F3</f>
        <v>1</v>
      </c>
      <c r="R4" s="100">
        <f>Q4/C4</f>
        <v>1.838235294117647E-3</v>
      </c>
      <c r="S4" s="90">
        <f>'Water Reading'!E4-'Water Reading'!E3</f>
        <v>60</v>
      </c>
      <c r="T4" s="100">
        <f>S4/C4</f>
        <v>0.11029411764705882</v>
      </c>
      <c r="U4" s="90">
        <f>'Water Reading'!G4-'Water Reading'!G3</f>
        <v>21</v>
      </c>
      <c r="V4" s="100">
        <f>U4/C4</f>
        <v>3.860294117647059E-2</v>
      </c>
      <c r="W4" s="90">
        <f>'Water Reading'!J4-'Water Reading'!J3</f>
        <v>11</v>
      </c>
      <c r="X4" s="100">
        <f>W4/C4</f>
        <v>2.0220588235294119E-2</v>
      </c>
      <c r="Y4" s="66">
        <f t="shared" ref="Y4:Y34" si="0">E4+I4+K4+M4+O4+G4+Q4+S4+U4+W4</f>
        <v>349</v>
      </c>
      <c r="Z4" s="67">
        <f t="shared" ref="Z4:Z35" si="1">Y4/B4</f>
        <v>0.74413646055437099</v>
      </c>
    </row>
    <row r="5" spans="1:26" x14ac:dyDescent="0.25">
      <c r="A5" s="8">
        <f>'Water Reading'!A4</f>
        <v>44410</v>
      </c>
      <c r="B5" s="65">
        <f>TOTAL!I3</f>
        <v>269</v>
      </c>
      <c r="C5" s="66">
        <f>('Water Reading'!B5-'Water Reading'!B4)+('Water Reading'!C5-'Water Reading'!C4)</f>
        <v>657</v>
      </c>
      <c r="D5" s="67">
        <f t="shared" ref="D5:D34" si="2">C5/B5</f>
        <v>2.442379182156134</v>
      </c>
      <c r="E5" s="88">
        <f>'Water Reading'!H5-'Water Reading'!H4</f>
        <v>26</v>
      </c>
      <c r="F5" s="89">
        <f t="shared" ref="F5:F34" si="3">E5/C5</f>
        <v>3.9573820395738202E-2</v>
      </c>
      <c r="G5" s="93">
        <f>('Water Reading'!D5-'Water Reading'!D4)-('Water Reading'!R5-'Water Reading'!R4)-('Water Reading'!Q5-'Water Reading'!Q4)</f>
        <v>160</v>
      </c>
      <c r="H5" s="89">
        <f t="shared" ref="H5:H34" si="4">G5/C5</f>
        <v>0.24353120243531201</v>
      </c>
      <c r="I5" s="90">
        <f>'Water Reading'!P5-'Water Reading'!P4</f>
        <v>14</v>
      </c>
      <c r="J5" s="68">
        <f t="shared" ref="J5:J34" si="5">I5/C5</f>
        <v>2.1308980213089801E-2</v>
      </c>
      <c r="K5" s="91">
        <f>('Water Reading'!I5-'Water Reading'!I4)-('Water Reading'!P5-'Water Reading'!P4)</f>
        <v>17</v>
      </c>
      <c r="L5" s="68">
        <f t="shared" ref="L5:L34" si="6">K5/C5</f>
        <v>2.5875190258751901E-2</v>
      </c>
      <c r="M5" s="90">
        <f>'Water Reading'!R5-'Water Reading'!R4</f>
        <v>6</v>
      </c>
      <c r="N5" s="92">
        <f t="shared" ref="N5:N34" si="7">M5/C5</f>
        <v>9.1324200913242004E-3</v>
      </c>
      <c r="O5" s="90">
        <f>'Water Reading'!Q5-'Water Reading'!Q4</f>
        <v>7</v>
      </c>
      <c r="P5" s="99">
        <f t="shared" ref="P5:P34" si="8">O5/C5</f>
        <v>1.06544901065449E-2</v>
      </c>
      <c r="Q5" s="91">
        <f>'Water Reading'!F5-'Water Reading'!F4</f>
        <v>1</v>
      </c>
      <c r="R5" s="100">
        <f t="shared" ref="R5:R34" si="9">Q5/C5</f>
        <v>1.5220700152207001E-3</v>
      </c>
      <c r="S5" s="90">
        <f>'Water Reading'!E5-'Water Reading'!E4</f>
        <v>58</v>
      </c>
      <c r="T5" s="100">
        <f t="shared" ref="T5:T34" si="10">S5/C5</f>
        <v>8.8280060882800604E-2</v>
      </c>
      <c r="U5" s="90">
        <f>'Water Reading'!G5-'Water Reading'!G4</f>
        <v>16</v>
      </c>
      <c r="V5" s="100">
        <f t="shared" ref="V5:V34" si="11">U5/C5</f>
        <v>2.4353120243531201E-2</v>
      </c>
      <c r="W5" s="90">
        <f>'Water Reading'!J5-'Water Reading'!J4</f>
        <v>11</v>
      </c>
      <c r="X5" s="100">
        <f t="shared" ref="X5:X34" si="12">W5/C5</f>
        <v>1.6742770167427701E-2</v>
      </c>
      <c r="Y5" s="66">
        <f t="shared" si="0"/>
        <v>316</v>
      </c>
      <c r="Z5" s="67">
        <f t="shared" si="1"/>
        <v>1.1747211895910781</v>
      </c>
    </row>
    <row r="6" spans="1:26" x14ac:dyDescent="0.25">
      <c r="A6" s="8">
        <f>'Water Reading'!A5</f>
        <v>44411</v>
      </c>
      <c r="B6" s="65">
        <f>TOTAL!I4</f>
        <v>435</v>
      </c>
      <c r="C6" s="66">
        <f>('Water Reading'!B6-'Water Reading'!B5)+('Water Reading'!C6-'Water Reading'!C5)</f>
        <v>529</v>
      </c>
      <c r="D6" s="67">
        <f t="shared" si="2"/>
        <v>1.2160919540229884</v>
      </c>
      <c r="E6" s="88">
        <f>'Water Reading'!H6-'Water Reading'!H5</f>
        <v>21</v>
      </c>
      <c r="F6" s="89">
        <f t="shared" si="3"/>
        <v>3.9697542533081283E-2</v>
      </c>
      <c r="G6" s="93">
        <f>('Water Reading'!D6-'Water Reading'!D5)-('Water Reading'!R6-'Water Reading'!R5)-('Water Reading'!Q6-'Water Reading'!Q5)</f>
        <v>243</v>
      </c>
      <c r="H6" s="89">
        <f t="shared" si="4"/>
        <v>0.45935727788279773</v>
      </c>
      <c r="I6" s="90">
        <f>'Water Reading'!P6-'Water Reading'!P5</f>
        <v>11</v>
      </c>
      <c r="J6" s="68">
        <f t="shared" si="5"/>
        <v>2.0793950850661626E-2</v>
      </c>
      <c r="K6" s="91">
        <f>('Water Reading'!I6-'Water Reading'!I5)-('Water Reading'!P6-'Water Reading'!P5)</f>
        <v>18</v>
      </c>
      <c r="L6" s="68">
        <f t="shared" si="6"/>
        <v>3.4026465028355386E-2</v>
      </c>
      <c r="M6" s="90">
        <f>'Water Reading'!R6-'Water Reading'!R5</f>
        <v>5</v>
      </c>
      <c r="N6" s="92">
        <f t="shared" si="7"/>
        <v>9.4517958412098299E-3</v>
      </c>
      <c r="O6" s="90">
        <f>'Water Reading'!Q6-'Water Reading'!Q5</f>
        <v>5</v>
      </c>
      <c r="P6" s="99">
        <f t="shared" si="8"/>
        <v>9.4517958412098299E-3</v>
      </c>
      <c r="Q6" s="91">
        <f>'Water Reading'!F6-'Water Reading'!F5</f>
        <v>1</v>
      </c>
      <c r="R6" s="100">
        <f t="shared" si="9"/>
        <v>1.890359168241966E-3</v>
      </c>
      <c r="S6" s="90">
        <f>'Water Reading'!E6-'Water Reading'!E5</f>
        <v>53</v>
      </c>
      <c r="T6" s="100">
        <f t="shared" si="10"/>
        <v>0.1001890359168242</v>
      </c>
      <c r="U6" s="90">
        <f>'Water Reading'!G6-'Water Reading'!G5</f>
        <v>14</v>
      </c>
      <c r="V6" s="100">
        <f t="shared" si="11"/>
        <v>2.6465028355387523E-2</v>
      </c>
      <c r="W6" s="90">
        <f>'Water Reading'!J6-'Water Reading'!J5</f>
        <v>10</v>
      </c>
      <c r="X6" s="100">
        <f t="shared" si="12"/>
        <v>1.890359168241966E-2</v>
      </c>
      <c r="Y6" s="66">
        <f t="shared" si="0"/>
        <v>381</v>
      </c>
      <c r="Z6" s="67">
        <f t="shared" si="1"/>
        <v>0.87586206896551722</v>
      </c>
    </row>
    <row r="7" spans="1:26" x14ac:dyDescent="0.25">
      <c r="A7" s="8">
        <f>'Water Reading'!A6</f>
        <v>44412</v>
      </c>
      <c r="B7" s="65">
        <f>TOTAL!I5</f>
        <v>400</v>
      </c>
      <c r="C7" s="66">
        <f>('Water Reading'!B7-'Water Reading'!B6)+('Water Reading'!C7-'Water Reading'!C6)</f>
        <v>436</v>
      </c>
      <c r="D7" s="67">
        <f t="shared" si="2"/>
        <v>1.0900000000000001</v>
      </c>
      <c r="E7" s="88">
        <f>'Water Reading'!H7-'Water Reading'!H6</f>
        <v>42</v>
      </c>
      <c r="F7" s="89">
        <f t="shared" si="3"/>
        <v>9.6330275229357804E-2</v>
      </c>
      <c r="G7" s="93">
        <f>('Water Reading'!D7-'Water Reading'!D6)-('Water Reading'!R7-'Water Reading'!R6)-('Water Reading'!Q7-'Water Reading'!Q6)</f>
        <v>232</v>
      </c>
      <c r="H7" s="89">
        <f t="shared" si="4"/>
        <v>0.5321100917431193</v>
      </c>
      <c r="I7" s="90">
        <f>'Water Reading'!P7-'Water Reading'!P6</f>
        <v>0</v>
      </c>
      <c r="J7" s="68">
        <f t="shared" si="5"/>
        <v>0</v>
      </c>
      <c r="K7" s="91">
        <f>('Water Reading'!I7-'Water Reading'!I6)-('Water Reading'!P7-'Water Reading'!P6)</f>
        <v>19</v>
      </c>
      <c r="L7" s="68">
        <f t="shared" si="6"/>
        <v>4.3577981651376149E-2</v>
      </c>
      <c r="M7" s="90">
        <f>'Water Reading'!R7-'Water Reading'!R6</f>
        <v>11</v>
      </c>
      <c r="N7" s="92">
        <f t="shared" si="7"/>
        <v>2.5229357798165139E-2</v>
      </c>
      <c r="O7" s="90">
        <f>'Water Reading'!Q7-'Water Reading'!Q6</f>
        <v>6</v>
      </c>
      <c r="P7" s="99">
        <f t="shared" si="8"/>
        <v>1.3761467889908258E-2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50</v>
      </c>
      <c r="T7" s="100">
        <f t="shared" si="10"/>
        <v>0.11467889908256881</v>
      </c>
      <c r="U7" s="90">
        <f>'Water Reading'!G7-'Water Reading'!G6</f>
        <v>17</v>
      </c>
      <c r="V7" s="100">
        <f t="shared" si="11"/>
        <v>3.8990825688073397E-2</v>
      </c>
      <c r="W7" s="90">
        <f>'Water Reading'!J7-'Water Reading'!J6</f>
        <v>11</v>
      </c>
      <c r="X7" s="100">
        <f t="shared" si="12"/>
        <v>2.5229357798165139E-2</v>
      </c>
      <c r="Y7" s="66">
        <f t="shared" si="0"/>
        <v>388</v>
      </c>
      <c r="Z7" s="67">
        <f t="shared" si="1"/>
        <v>0.97</v>
      </c>
    </row>
    <row r="8" spans="1:26" x14ac:dyDescent="0.25">
      <c r="A8" s="8">
        <f>'Water Reading'!A7</f>
        <v>44413</v>
      </c>
      <c r="B8" s="65">
        <f>TOTAL!I6</f>
        <v>371</v>
      </c>
      <c r="C8" s="66">
        <f>('Water Reading'!B8-'Water Reading'!B7)+('Water Reading'!C8-'Water Reading'!C7)</f>
        <v>338</v>
      </c>
      <c r="D8" s="67">
        <f t="shared" si="2"/>
        <v>0.91105121293800539</v>
      </c>
      <c r="E8" s="88">
        <f>'Water Reading'!H8-'Water Reading'!H7</f>
        <v>46</v>
      </c>
      <c r="F8" s="89">
        <f t="shared" si="3"/>
        <v>0.13609467455621302</v>
      </c>
      <c r="G8" s="93">
        <f>('Water Reading'!D8-'Water Reading'!D7)-('Water Reading'!R8-'Water Reading'!R7)-('Water Reading'!Q8-'Water Reading'!Q7)</f>
        <v>188</v>
      </c>
      <c r="H8" s="89">
        <f t="shared" si="4"/>
        <v>0.55621301775147924</v>
      </c>
      <c r="I8" s="90">
        <f>'Water Reading'!P8-'Water Reading'!P7</f>
        <v>16</v>
      </c>
      <c r="J8" s="68">
        <f t="shared" si="5"/>
        <v>4.7337278106508875E-2</v>
      </c>
      <c r="K8" s="91">
        <f>('Water Reading'!I8-'Water Reading'!I7)-('Water Reading'!P8-'Water Reading'!P7)</f>
        <v>20</v>
      </c>
      <c r="L8" s="68">
        <f t="shared" si="6"/>
        <v>5.9171597633136092E-2</v>
      </c>
      <c r="M8" s="90">
        <f>'Water Reading'!R8-'Water Reading'!R7</f>
        <v>7</v>
      </c>
      <c r="N8" s="92">
        <f t="shared" si="7"/>
        <v>2.0710059171597635E-2</v>
      </c>
      <c r="O8" s="90">
        <f>'Water Reading'!Q8-'Water Reading'!Q7</f>
        <v>5</v>
      </c>
      <c r="P8" s="99">
        <f t="shared" si="8"/>
        <v>1.4792899408284023E-2</v>
      </c>
      <c r="Q8" s="91">
        <f>'Water Reading'!F8-'Water Reading'!F7</f>
        <v>1</v>
      </c>
      <c r="R8" s="100">
        <f t="shared" si="9"/>
        <v>2.9585798816568047E-3</v>
      </c>
      <c r="S8" s="90">
        <f>'Water Reading'!E8-'Water Reading'!E7</f>
        <v>60</v>
      </c>
      <c r="T8" s="100">
        <f t="shared" si="10"/>
        <v>0.17751479289940827</v>
      </c>
      <c r="U8" s="90">
        <f>'Water Reading'!G8-'Water Reading'!G7</f>
        <v>17</v>
      </c>
      <c r="V8" s="100">
        <f t="shared" si="11"/>
        <v>5.0295857988165681E-2</v>
      </c>
      <c r="W8" s="90">
        <f>'Water Reading'!J8-'Water Reading'!J7</f>
        <v>12</v>
      </c>
      <c r="X8" s="100">
        <f t="shared" si="12"/>
        <v>3.5502958579881658E-2</v>
      </c>
      <c r="Y8" s="66">
        <f t="shared" si="0"/>
        <v>372</v>
      </c>
      <c r="Z8" s="67">
        <f t="shared" si="1"/>
        <v>1.0026954177897573</v>
      </c>
    </row>
    <row r="9" spans="1:26" x14ac:dyDescent="0.25">
      <c r="A9" s="8">
        <f>'Water Reading'!A8</f>
        <v>44414</v>
      </c>
      <c r="B9" s="65">
        <f>TOTAL!I7</f>
        <v>256</v>
      </c>
      <c r="C9" s="66">
        <f>('Water Reading'!B9-'Water Reading'!B8)+('Water Reading'!C9-'Water Reading'!C8)</f>
        <v>108</v>
      </c>
      <c r="D9" s="67">
        <f t="shared" si="2"/>
        <v>0.421875</v>
      </c>
      <c r="E9" s="88">
        <f>'Water Reading'!H9-'Water Reading'!H8</f>
        <v>39</v>
      </c>
      <c r="F9" s="89">
        <f t="shared" si="3"/>
        <v>0.3611111111111111</v>
      </c>
      <c r="G9" s="93">
        <f>('Water Reading'!D9-'Water Reading'!D8)-('Water Reading'!R9-'Water Reading'!R8)-('Water Reading'!Q9-'Water Reading'!Q8)</f>
        <v>185</v>
      </c>
      <c r="H9" s="89">
        <f t="shared" si="4"/>
        <v>1.712962962962963</v>
      </c>
      <c r="I9" s="90">
        <f>'Water Reading'!P9-'Water Reading'!P8</f>
        <v>0</v>
      </c>
      <c r="J9" s="68">
        <f t="shared" si="5"/>
        <v>0</v>
      </c>
      <c r="K9" s="91">
        <f>('Water Reading'!I9-'Water Reading'!I8)-('Water Reading'!P9-'Water Reading'!P8)</f>
        <v>20</v>
      </c>
      <c r="L9" s="68">
        <f t="shared" si="6"/>
        <v>0.18518518518518517</v>
      </c>
      <c r="M9" s="90">
        <f>'Water Reading'!R9-'Water Reading'!R8</f>
        <v>3</v>
      </c>
      <c r="N9" s="92">
        <f t="shared" si="7"/>
        <v>2.7777777777777776E-2</v>
      </c>
      <c r="O9" s="90">
        <f>'Water Reading'!Q9-'Water Reading'!Q8</f>
        <v>2</v>
      </c>
      <c r="P9" s="99">
        <f t="shared" si="8"/>
        <v>1.8518518518518517E-2</v>
      </c>
      <c r="Q9" s="91">
        <f>'Water Reading'!F9-'Water Reading'!F8</f>
        <v>1</v>
      </c>
      <c r="R9" s="100">
        <f t="shared" si="9"/>
        <v>9.2592592592592587E-3</v>
      </c>
      <c r="S9" s="90">
        <f>'Water Reading'!E9-'Water Reading'!E8</f>
        <v>60</v>
      </c>
      <c r="T9" s="100">
        <f t="shared" si="10"/>
        <v>0.55555555555555558</v>
      </c>
      <c r="U9" s="90">
        <f>'Water Reading'!G9-'Water Reading'!G8</f>
        <v>22</v>
      </c>
      <c r="V9" s="100">
        <f t="shared" si="11"/>
        <v>0.20370370370370369</v>
      </c>
      <c r="W9" s="90">
        <f>'Water Reading'!J9-'Water Reading'!J8</f>
        <v>11</v>
      </c>
      <c r="X9" s="100">
        <f t="shared" si="12"/>
        <v>0.10185185185185185</v>
      </c>
      <c r="Y9" s="66">
        <f t="shared" si="0"/>
        <v>343</v>
      </c>
      <c r="Z9" s="67">
        <f t="shared" si="1"/>
        <v>1.33984375</v>
      </c>
    </row>
    <row r="10" spans="1:26" x14ac:dyDescent="0.25">
      <c r="A10" s="8">
        <f>'Water Reading'!A9</f>
        <v>44415</v>
      </c>
      <c r="B10" s="65">
        <f>TOTAL!I8</f>
        <v>366</v>
      </c>
      <c r="C10" s="66">
        <f>('Water Reading'!B10-'Water Reading'!B9)+('Water Reading'!C10-'Water Reading'!C9)</f>
        <v>849</v>
      </c>
      <c r="D10" s="67">
        <f t="shared" si="2"/>
        <v>2.319672131147541</v>
      </c>
      <c r="E10" s="88">
        <f>'Water Reading'!H10-'Water Reading'!H9</f>
        <v>30</v>
      </c>
      <c r="F10" s="89">
        <f t="shared" si="3"/>
        <v>3.5335689045936397E-2</v>
      </c>
      <c r="G10" s="93">
        <f>('Water Reading'!D10-'Water Reading'!D9)-('Water Reading'!R10-'Water Reading'!R9)-('Water Reading'!Q10-'Water Reading'!Q9)</f>
        <v>250</v>
      </c>
      <c r="H10" s="89">
        <f t="shared" si="4"/>
        <v>0.29446407538280328</v>
      </c>
      <c r="I10" s="90">
        <f>'Water Reading'!P10-'Water Reading'!P9</f>
        <v>12</v>
      </c>
      <c r="J10" s="68">
        <f t="shared" si="5"/>
        <v>1.4134275618374558E-2</v>
      </c>
      <c r="K10" s="91">
        <f>('Water Reading'!I10-'Water Reading'!I9)-('Water Reading'!P10-'Water Reading'!P9)</f>
        <v>21</v>
      </c>
      <c r="L10" s="68">
        <f t="shared" si="6"/>
        <v>2.4734982332155476E-2</v>
      </c>
      <c r="M10" s="90">
        <f>'Water Reading'!R10-'Water Reading'!R9</f>
        <v>7</v>
      </c>
      <c r="N10" s="92">
        <f t="shared" si="7"/>
        <v>8.2449941107184919E-3</v>
      </c>
      <c r="O10" s="90">
        <f>'Water Reading'!Q10-'Water Reading'!Q9</f>
        <v>9</v>
      </c>
      <c r="P10" s="99">
        <f t="shared" si="8"/>
        <v>1.0600706713780919E-2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57</v>
      </c>
      <c r="T10" s="100">
        <f t="shared" si="10"/>
        <v>6.7137809187279157E-2</v>
      </c>
      <c r="U10" s="90">
        <f>'Water Reading'!G10-'Water Reading'!G9</f>
        <v>16</v>
      </c>
      <c r="V10" s="100">
        <f t="shared" si="11"/>
        <v>1.884570082449941E-2</v>
      </c>
      <c r="W10" s="90">
        <f>'Water Reading'!J10-'Water Reading'!J9</f>
        <v>11</v>
      </c>
      <c r="X10" s="100">
        <f t="shared" si="12"/>
        <v>1.2956419316843345E-2</v>
      </c>
      <c r="Y10" s="66">
        <f t="shared" si="0"/>
        <v>413</v>
      </c>
      <c r="Z10" s="67">
        <f t="shared" si="1"/>
        <v>1.1284153005464481</v>
      </c>
    </row>
    <row r="11" spans="1:26" x14ac:dyDescent="0.25">
      <c r="A11" s="8">
        <f>'Water Reading'!A10</f>
        <v>44416</v>
      </c>
      <c r="B11" s="65">
        <f>TOTAL!I9</f>
        <v>369</v>
      </c>
      <c r="C11" s="66">
        <f>('Water Reading'!B11-'Water Reading'!B10)+('Water Reading'!C11-'Water Reading'!C10)</f>
        <v>381</v>
      </c>
      <c r="D11" s="67">
        <f t="shared" si="2"/>
        <v>1.032520325203252</v>
      </c>
      <c r="E11" s="88">
        <f>'Water Reading'!H11-'Water Reading'!H10</f>
        <v>28</v>
      </c>
      <c r="F11" s="89">
        <f t="shared" si="3"/>
        <v>7.3490813648293962E-2</v>
      </c>
      <c r="G11" s="93">
        <f>('Water Reading'!D11-'Water Reading'!D10)-('Water Reading'!R11-'Water Reading'!R10)-('Water Reading'!Q11-'Water Reading'!Q10)</f>
        <v>190</v>
      </c>
      <c r="H11" s="89">
        <f t="shared" si="4"/>
        <v>0.49868766404199477</v>
      </c>
      <c r="I11" s="90">
        <f>'Water Reading'!P11-'Water Reading'!P10</f>
        <v>8</v>
      </c>
      <c r="J11" s="68">
        <f t="shared" si="5"/>
        <v>2.0997375328083989E-2</v>
      </c>
      <c r="K11" s="91">
        <f>('Water Reading'!I11-'Water Reading'!I10)-('Water Reading'!P11-'Water Reading'!P10)</f>
        <v>20</v>
      </c>
      <c r="L11" s="68">
        <f t="shared" si="6"/>
        <v>5.2493438320209973E-2</v>
      </c>
      <c r="M11" s="90">
        <f>'Water Reading'!R11-'Water Reading'!R10</f>
        <v>10</v>
      </c>
      <c r="N11" s="92">
        <f t="shared" si="7"/>
        <v>2.6246719160104987E-2</v>
      </c>
      <c r="O11" s="98">
        <f>'Water Reading'!Q11-'Water Reading'!Q10</f>
        <v>0</v>
      </c>
      <c r="P11" s="99">
        <f t="shared" si="8"/>
        <v>0</v>
      </c>
      <c r="Q11" s="91">
        <f>'Water Reading'!F11-'Water Reading'!F10</f>
        <v>1</v>
      </c>
      <c r="R11" s="100">
        <f t="shared" si="9"/>
        <v>2.6246719160104987E-3</v>
      </c>
      <c r="S11" s="90">
        <f>'Water Reading'!E11-'Water Reading'!E10</f>
        <v>55</v>
      </c>
      <c r="T11" s="100">
        <f t="shared" si="10"/>
        <v>0.14435695538057744</v>
      </c>
      <c r="U11" s="90">
        <f>'Water Reading'!G11-'Water Reading'!G10</f>
        <v>20</v>
      </c>
      <c r="V11" s="100">
        <f t="shared" si="11"/>
        <v>5.2493438320209973E-2</v>
      </c>
      <c r="W11" s="90">
        <f>'Water Reading'!J11-'Water Reading'!J10</f>
        <v>11</v>
      </c>
      <c r="X11" s="100">
        <f t="shared" si="12"/>
        <v>2.8871391076115485E-2</v>
      </c>
      <c r="Y11" s="66">
        <f t="shared" si="0"/>
        <v>343</v>
      </c>
      <c r="Z11" s="67">
        <f t="shared" si="1"/>
        <v>0.92953929539295388</v>
      </c>
    </row>
    <row r="12" spans="1:26" x14ac:dyDescent="0.25">
      <c r="A12" s="8">
        <f>'Water Reading'!A11</f>
        <v>44417</v>
      </c>
      <c r="B12" s="65">
        <f>TOTAL!I10</f>
        <v>579</v>
      </c>
      <c r="C12" s="66">
        <f>('Water Reading'!B12-'Water Reading'!B11)+('Water Reading'!C12-'Water Reading'!C11)</f>
        <v>315</v>
      </c>
      <c r="D12" s="67">
        <f t="shared" si="2"/>
        <v>0.54404145077720212</v>
      </c>
      <c r="E12" s="88">
        <f>'Water Reading'!H12-'Water Reading'!H11</f>
        <v>30</v>
      </c>
      <c r="F12" s="89">
        <f t="shared" si="3"/>
        <v>9.5238095238095233E-2</v>
      </c>
      <c r="G12" s="93">
        <f>('Water Reading'!D12-'Water Reading'!D11)-('Water Reading'!R12-'Water Reading'!R11)-('Water Reading'!Q12-'Water Reading'!Q11)</f>
        <v>318</v>
      </c>
      <c r="H12" s="89">
        <f t="shared" si="4"/>
        <v>1.0095238095238095</v>
      </c>
      <c r="I12" s="90">
        <f>'Water Reading'!P12-'Water Reading'!P11</f>
        <v>11</v>
      </c>
      <c r="J12" s="68">
        <f t="shared" si="5"/>
        <v>3.4920634920634921E-2</v>
      </c>
      <c r="K12" s="91">
        <f>('Water Reading'!I12-'Water Reading'!I11)-('Water Reading'!P12-'Water Reading'!P11)</f>
        <v>16</v>
      </c>
      <c r="L12" s="68">
        <f t="shared" si="6"/>
        <v>5.0793650793650794E-2</v>
      </c>
      <c r="M12" s="90">
        <f>'Water Reading'!R12-'Water Reading'!R11</f>
        <v>4</v>
      </c>
      <c r="N12" s="92">
        <f t="shared" si="7"/>
        <v>1.2698412698412698E-2</v>
      </c>
      <c r="O12" s="98">
        <f>'Water Reading'!Q12-'Water Reading'!Q11</f>
        <v>10</v>
      </c>
      <c r="P12" s="99">
        <f t="shared" si="8"/>
        <v>3.1746031746031744E-2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54</v>
      </c>
      <c r="T12" s="100">
        <f t="shared" si="10"/>
        <v>0.17142857142857143</v>
      </c>
      <c r="U12" s="90">
        <f>'Water Reading'!G12-'Water Reading'!G11</f>
        <v>20</v>
      </c>
      <c r="V12" s="100">
        <f t="shared" si="11"/>
        <v>6.3492063492063489E-2</v>
      </c>
      <c r="W12" s="90">
        <f>'Water Reading'!J12-'Water Reading'!J11</f>
        <v>11</v>
      </c>
      <c r="X12" s="100">
        <f t="shared" si="12"/>
        <v>3.4920634920634921E-2</v>
      </c>
      <c r="Y12" s="66">
        <f t="shared" si="0"/>
        <v>474</v>
      </c>
      <c r="Z12" s="67">
        <f t="shared" si="1"/>
        <v>0.81865284974093266</v>
      </c>
    </row>
    <row r="13" spans="1:26" x14ac:dyDescent="0.25">
      <c r="A13" s="8">
        <f>'Water Reading'!A12</f>
        <v>44418</v>
      </c>
      <c r="B13" s="65">
        <f>TOTAL!I11</f>
        <v>179</v>
      </c>
      <c r="C13" s="66">
        <f>('Water Reading'!B13-'Water Reading'!B12)+('Water Reading'!C13-'Water Reading'!C12)</f>
        <v>324</v>
      </c>
      <c r="D13" s="67">
        <f t="shared" si="2"/>
        <v>1.8100558659217878</v>
      </c>
      <c r="E13" s="87">
        <f>'Water Reading'!H13-'Water Reading'!H12</f>
        <v>32</v>
      </c>
      <c r="F13" s="89">
        <f t="shared" si="3"/>
        <v>9.8765432098765427E-2</v>
      </c>
      <c r="G13" s="93">
        <f>('Water Reading'!D13-'Water Reading'!D12)-('Water Reading'!R13-'Water Reading'!R12)-('Water Reading'!Q13-'Water Reading'!Q12)</f>
        <v>240</v>
      </c>
      <c r="H13" s="89">
        <f t="shared" si="4"/>
        <v>0.7407407407407407</v>
      </c>
      <c r="I13" s="90">
        <f>'Water Reading'!P13-'Water Reading'!P12</f>
        <v>0</v>
      </c>
      <c r="J13" s="68">
        <f t="shared" si="5"/>
        <v>0</v>
      </c>
      <c r="K13" s="91">
        <f>('Water Reading'!I13-'Water Reading'!I12)-('Water Reading'!P13-'Water Reading'!P12)</f>
        <v>19</v>
      </c>
      <c r="L13" s="68">
        <f t="shared" si="6"/>
        <v>5.8641975308641972E-2</v>
      </c>
      <c r="M13" s="90">
        <f>'Water Reading'!R13-'Water Reading'!R12</f>
        <v>10</v>
      </c>
      <c r="N13" s="92">
        <f t="shared" si="7"/>
        <v>3.0864197530864196E-2</v>
      </c>
      <c r="O13" s="90">
        <f>'Water Reading'!Q13-'Water Reading'!Q12</f>
        <v>5</v>
      </c>
      <c r="P13" s="99">
        <f t="shared" si="8"/>
        <v>1.5432098765432098E-2</v>
      </c>
      <c r="Q13" s="91">
        <f>'Water Reading'!F13-'Water Reading'!F12</f>
        <v>1</v>
      </c>
      <c r="R13" s="100">
        <f t="shared" si="9"/>
        <v>3.0864197530864196E-3</v>
      </c>
      <c r="S13" s="94">
        <f>'Water Reading'!E13-'Water Reading'!E12</f>
        <v>52</v>
      </c>
      <c r="T13" s="100">
        <f t="shared" si="10"/>
        <v>0.16049382716049382</v>
      </c>
      <c r="U13" s="90">
        <f>'Water Reading'!G13-'Water Reading'!G12</f>
        <v>16</v>
      </c>
      <c r="V13" s="100">
        <f t="shared" si="11"/>
        <v>4.9382716049382713E-2</v>
      </c>
      <c r="W13" s="90">
        <f>'Water Reading'!J13-'Water Reading'!J12</f>
        <v>11</v>
      </c>
      <c r="X13" s="100">
        <f t="shared" si="12"/>
        <v>3.3950617283950615E-2</v>
      </c>
      <c r="Y13" s="66">
        <f t="shared" si="0"/>
        <v>386</v>
      </c>
      <c r="Z13" s="67">
        <f t="shared" si="1"/>
        <v>2.1564245810055866</v>
      </c>
    </row>
    <row r="14" spans="1:26" x14ac:dyDescent="0.25">
      <c r="A14" s="8">
        <f>'Water Reading'!A13</f>
        <v>44419</v>
      </c>
      <c r="B14" s="65">
        <f>TOTAL!I12</f>
        <v>442</v>
      </c>
      <c r="C14" s="66">
        <f>('Water Reading'!B14-'Water Reading'!B13)+('Water Reading'!C14-'Water Reading'!C13)</f>
        <v>1409</v>
      </c>
      <c r="D14" s="67">
        <f t="shared" si="2"/>
        <v>3.1877828054298645</v>
      </c>
      <c r="E14" s="88">
        <f>'Water Reading'!H14-'Water Reading'!H13</f>
        <v>38</v>
      </c>
      <c r="F14" s="89">
        <f t="shared" si="3"/>
        <v>2.6969481902058199E-2</v>
      </c>
      <c r="G14" s="93">
        <f>('Water Reading'!D14-'Water Reading'!D13)-('Water Reading'!R14-'Water Reading'!R13)-('Water Reading'!Q14-'Water Reading'!Q13)</f>
        <v>288</v>
      </c>
      <c r="H14" s="89">
        <f t="shared" si="4"/>
        <v>0.20440028388928319</v>
      </c>
      <c r="I14" s="90">
        <f>'Water Reading'!P14-'Water Reading'!P13</f>
        <v>21</v>
      </c>
      <c r="J14" s="68">
        <f t="shared" si="5"/>
        <v>1.4904187366926898E-2</v>
      </c>
      <c r="K14" s="91">
        <f>('Water Reading'!I14-'Water Reading'!I13)-('Water Reading'!P14-'Water Reading'!P13)</f>
        <v>21</v>
      </c>
      <c r="L14" s="68">
        <f t="shared" si="6"/>
        <v>1.4904187366926898E-2</v>
      </c>
      <c r="M14" s="90">
        <f>'Water Reading'!R14-'Water Reading'!R13</f>
        <v>9</v>
      </c>
      <c r="N14" s="92">
        <f t="shared" si="7"/>
        <v>6.3875088715400997E-3</v>
      </c>
      <c r="O14" s="90">
        <f>'Water Reading'!Q14-'Water Reading'!Q13</f>
        <v>6</v>
      </c>
      <c r="P14" s="99">
        <f t="shared" si="8"/>
        <v>4.2583392476933995E-3</v>
      </c>
      <c r="Q14" s="91">
        <f>'Water Reading'!F14-'Water Reading'!F13</f>
        <v>1</v>
      </c>
      <c r="R14" s="100">
        <f t="shared" si="9"/>
        <v>7.0972320794889996E-4</v>
      </c>
      <c r="S14" s="94">
        <f>'Water Reading'!E14-'Water Reading'!E13</f>
        <v>58</v>
      </c>
      <c r="T14" s="100">
        <f t="shared" si="10"/>
        <v>4.1163946061036197E-2</v>
      </c>
      <c r="U14" s="90">
        <f>'Water Reading'!G14-'Water Reading'!G13</f>
        <v>18</v>
      </c>
      <c r="V14" s="100">
        <f t="shared" si="11"/>
        <v>1.2775017743080199E-2</v>
      </c>
      <c r="W14" s="90">
        <f>'Water Reading'!J14-'Water Reading'!J13</f>
        <v>11</v>
      </c>
      <c r="X14" s="100">
        <f t="shared" si="12"/>
        <v>7.806955287437899E-3</v>
      </c>
      <c r="Y14" s="66">
        <f t="shared" si="0"/>
        <v>471</v>
      </c>
      <c r="Z14" s="67">
        <f t="shared" si="1"/>
        <v>1.0656108597285068</v>
      </c>
    </row>
    <row r="15" spans="1:26" x14ac:dyDescent="0.25">
      <c r="A15" s="8">
        <f>'Water Reading'!A14</f>
        <v>44420</v>
      </c>
      <c r="B15" s="65">
        <f>TOTAL!I13</f>
        <v>384</v>
      </c>
      <c r="C15" s="66">
        <f>('Water Reading'!B15-'Water Reading'!B14)+('Water Reading'!C15-'Water Reading'!C14)</f>
        <v>223</v>
      </c>
      <c r="D15" s="67">
        <f t="shared" si="2"/>
        <v>0.58072916666666663</v>
      </c>
      <c r="E15" s="87">
        <f>'Water Reading'!H15-'Water Reading'!H14</f>
        <v>27</v>
      </c>
      <c r="F15" s="89">
        <f t="shared" si="3"/>
        <v>0.1210762331838565</v>
      </c>
      <c r="G15" s="93">
        <f>('Water Reading'!D15-'Water Reading'!D14)-('Water Reading'!R15-'Water Reading'!R14)-('Water Reading'!Q15-'Water Reading'!Q14)</f>
        <v>218</v>
      </c>
      <c r="H15" s="89">
        <f t="shared" si="4"/>
        <v>0.97757847533632292</v>
      </c>
      <c r="I15" s="90">
        <f>'Water Reading'!P15-'Water Reading'!P14</f>
        <v>8</v>
      </c>
      <c r="J15" s="68">
        <f t="shared" si="5"/>
        <v>3.5874439461883408E-2</v>
      </c>
      <c r="K15" s="91">
        <f>('Water Reading'!I15-'Water Reading'!I14)-('Water Reading'!P15-'Water Reading'!P14)</f>
        <v>21</v>
      </c>
      <c r="L15" s="68">
        <f t="shared" si="6"/>
        <v>9.417040358744394E-2</v>
      </c>
      <c r="M15" s="90">
        <f>'Water Reading'!R15-'Water Reading'!R14</f>
        <v>5</v>
      </c>
      <c r="N15" s="92">
        <f t="shared" si="7"/>
        <v>2.2421524663677129E-2</v>
      </c>
      <c r="O15" s="90">
        <f>'Water Reading'!Q15-'Water Reading'!Q14</f>
        <v>4</v>
      </c>
      <c r="P15" s="99">
        <f t="shared" si="8"/>
        <v>1.7937219730941704E-2</v>
      </c>
      <c r="Q15" s="91">
        <f>'Water Reading'!F15-'Water Reading'!F14</f>
        <v>1</v>
      </c>
      <c r="R15" s="100">
        <f t="shared" si="9"/>
        <v>4.4843049327354259E-3</v>
      </c>
      <c r="S15" s="94">
        <f>'Water Reading'!E15-'Water Reading'!E14</f>
        <v>60</v>
      </c>
      <c r="T15" s="100">
        <f t="shared" si="10"/>
        <v>0.26905829596412556</v>
      </c>
      <c r="U15" s="90">
        <f>'Water Reading'!G15-'Water Reading'!G14</f>
        <v>18</v>
      </c>
      <c r="V15" s="100">
        <f t="shared" si="11"/>
        <v>8.0717488789237665E-2</v>
      </c>
      <c r="W15" s="90">
        <f>'Water Reading'!J15-'Water Reading'!J14</f>
        <v>12</v>
      </c>
      <c r="X15" s="100">
        <f t="shared" si="12"/>
        <v>5.3811659192825115E-2</v>
      </c>
      <c r="Y15" s="66">
        <f t="shared" si="0"/>
        <v>374</v>
      </c>
      <c r="Z15" s="67">
        <f t="shared" si="1"/>
        <v>0.97395833333333337</v>
      </c>
    </row>
    <row r="16" spans="1:26" x14ac:dyDescent="0.25">
      <c r="A16" s="8">
        <f>'Water Reading'!A15</f>
        <v>44421</v>
      </c>
      <c r="B16" s="65">
        <f>TOTAL!I14</f>
        <v>327</v>
      </c>
      <c r="C16" s="66">
        <f>('Water Reading'!B16-'Water Reading'!B15)+('Water Reading'!C16-'Water Reading'!C15)</f>
        <v>169</v>
      </c>
      <c r="D16" s="67">
        <f t="shared" si="2"/>
        <v>0.51681957186544347</v>
      </c>
      <c r="E16" s="87">
        <f>'Water Reading'!H16-'Water Reading'!H15</f>
        <v>38</v>
      </c>
      <c r="F16" s="89">
        <f t="shared" si="3"/>
        <v>0.22485207100591717</v>
      </c>
      <c r="G16" s="93">
        <f>('Water Reading'!D16-'Water Reading'!D15)-('Water Reading'!R16-'Water Reading'!R15)-('Water Reading'!Q16-'Water Reading'!Q15)</f>
        <v>133</v>
      </c>
      <c r="H16" s="89">
        <f t="shared" si="4"/>
        <v>0.78698224852071008</v>
      </c>
      <c r="I16" s="90">
        <f>'Water Reading'!P16-'Water Reading'!P15</f>
        <v>104</v>
      </c>
      <c r="J16" s="68">
        <f t="shared" si="5"/>
        <v>0.61538461538461542</v>
      </c>
      <c r="K16" s="91">
        <f>('Water Reading'!I16-'Water Reading'!I15)-('Water Reading'!P16-'Water Reading'!P15)</f>
        <v>37</v>
      </c>
      <c r="L16" s="68">
        <f t="shared" si="6"/>
        <v>0.21893491124260356</v>
      </c>
      <c r="M16" s="90">
        <f>'Water Reading'!R16-'Water Reading'!R15</f>
        <v>2</v>
      </c>
      <c r="N16" s="92">
        <f t="shared" si="7"/>
        <v>1.1834319526627219E-2</v>
      </c>
      <c r="O16" s="90">
        <f>'Water Reading'!Q16-'Water Reading'!Q15</f>
        <v>2</v>
      </c>
      <c r="P16" s="99">
        <f t="shared" si="8"/>
        <v>1.1834319526627219E-2</v>
      </c>
      <c r="Q16" s="91">
        <f>'Water Reading'!F16-'Water Reading'!F15</f>
        <v>1</v>
      </c>
      <c r="R16" s="100">
        <f t="shared" si="9"/>
        <v>5.9171597633136093E-3</v>
      </c>
      <c r="S16" s="94">
        <f>'Water Reading'!E16-'Water Reading'!E15</f>
        <v>67</v>
      </c>
      <c r="T16" s="100">
        <f t="shared" si="10"/>
        <v>0.39644970414201186</v>
      </c>
      <c r="U16" s="90">
        <f>'Water Reading'!G16-'Water Reading'!G15</f>
        <v>17</v>
      </c>
      <c r="V16" s="100">
        <f t="shared" si="11"/>
        <v>0.10059171597633136</v>
      </c>
      <c r="W16" s="90">
        <f>'Water Reading'!J16-'Water Reading'!J15</f>
        <v>11</v>
      </c>
      <c r="X16" s="100">
        <f t="shared" si="12"/>
        <v>6.5088757396449703E-2</v>
      </c>
      <c r="Y16" s="66">
        <f t="shared" si="0"/>
        <v>412</v>
      </c>
      <c r="Z16" s="67">
        <f t="shared" si="1"/>
        <v>1.2599388379204892</v>
      </c>
    </row>
    <row r="17" spans="1:26" x14ac:dyDescent="0.25">
      <c r="A17" s="8">
        <f>'Water Reading'!A16</f>
        <v>44422</v>
      </c>
      <c r="B17" s="65">
        <f>TOTAL!I15</f>
        <v>317</v>
      </c>
      <c r="C17" s="66">
        <f>('Water Reading'!B17-'Water Reading'!B16)+('Water Reading'!C17-'Water Reading'!C16)</f>
        <v>324</v>
      </c>
      <c r="D17" s="67">
        <f t="shared" si="2"/>
        <v>1.0220820189274449</v>
      </c>
      <c r="E17" s="87">
        <f>'Water Reading'!H17-'Water Reading'!H16</f>
        <v>35</v>
      </c>
      <c r="F17" s="89">
        <f t="shared" si="3"/>
        <v>0.10802469135802469</v>
      </c>
      <c r="G17" s="93">
        <f>('Water Reading'!D17-'Water Reading'!D16)-('Water Reading'!R17-'Water Reading'!R16)-('Water Reading'!Q17-'Water Reading'!Q16)</f>
        <v>153</v>
      </c>
      <c r="H17" s="89">
        <f t="shared" si="4"/>
        <v>0.47222222222222221</v>
      </c>
      <c r="I17" s="90">
        <f>'Water Reading'!P17-'Water Reading'!P16</f>
        <v>0</v>
      </c>
      <c r="J17" s="68">
        <f t="shared" si="5"/>
        <v>0</v>
      </c>
      <c r="K17" s="91">
        <f>('Water Reading'!I17-'Water Reading'!I16)-('Water Reading'!P17-'Water Reading'!P16)</f>
        <v>20</v>
      </c>
      <c r="L17" s="68">
        <f t="shared" si="6"/>
        <v>6.1728395061728392E-2</v>
      </c>
      <c r="M17" s="90">
        <f>'Water Reading'!R17-'Water Reading'!R16</f>
        <v>9</v>
      </c>
      <c r="N17" s="92">
        <f t="shared" si="7"/>
        <v>2.7777777777777776E-2</v>
      </c>
      <c r="O17" s="90">
        <f>'Water Reading'!Q17-'Water Reading'!Q16</f>
        <v>7</v>
      </c>
      <c r="P17" s="99">
        <f t="shared" si="8"/>
        <v>2.1604938271604937E-2</v>
      </c>
      <c r="Q17" s="91">
        <f>'Water Reading'!F17-'Water Reading'!F16</f>
        <v>1</v>
      </c>
      <c r="R17" s="100">
        <f t="shared" si="9"/>
        <v>3.0864197530864196E-3</v>
      </c>
      <c r="S17" s="94">
        <f>'Water Reading'!E17-'Water Reading'!E16</f>
        <v>55</v>
      </c>
      <c r="T17" s="100">
        <f t="shared" si="10"/>
        <v>0.16975308641975309</v>
      </c>
      <c r="U17" s="90">
        <f>'Water Reading'!G17-'Water Reading'!G16</f>
        <v>19</v>
      </c>
      <c r="V17" s="100">
        <f t="shared" si="11"/>
        <v>5.8641975308641972E-2</v>
      </c>
      <c r="W17" s="90">
        <f>'Water Reading'!J17-'Water Reading'!J16</f>
        <v>11</v>
      </c>
      <c r="X17" s="100">
        <f t="shared" si="12"/>
        <v>3.3950617283950615E-2</v>
      </c>
      <c r="Y17" s="66">
        <f t="shared" si="0"/>
        <v>310</v>
      </c>
      <c r="Z17" s="67">
        <f t="shared" si="1"/>
        <v>0.97791798107255523</v>
      </c>
    </row>
    <row r="18" spans="1:26" x14ac:dyDescent="0.25">
      <c r="A18" s="8">
        <f>'Water Reading'!A17</f>
        <v>44423</v>
      </c>
      <c r="B18" s="65">
        <f>TOTAL!I16</f>
        <v>333</v>
      </c>
      <c r="C18" s="66">
        <f>('Water Reading'!B18-'Water Reading'!B17)+('Water Reading'!C18-'Water Reading'!C17)</f>
        <v>219</v>
      </c>
      <c r="D18" s="67">
        <f t="shared" si="2"/>
        <v>0.65765765765765771</v>
      </c>
      <c r="E18" s="87">
        <f>'Water Reading'!H18-'Water Reading'!H17</f>
        <v>39</v>
      </c>
      <c r="F18" s="89">
        <f t="shared" si="3"/>
        <v>0.17808219178082191</v>
      </c>
      <c r="G18" s="93">
        <f>('Water Reading'!D18-'Water Reading'!D17)-('Water Reading'!R18-'Water Reading'!R17)-('Water Reading'!Q18-'Water Reading'!Q17)</f>
        <v>177</v>
      </c>
      <c r="H18" s="89">
        <f t="shared" si="4"/>
        <v>0.80821917808219179</v>
      </c>
      <c r="I18" s="90">
        <f>'Water Reading'!P18-'Water Reading'!P17</f>
        <v>13</v>
      </c>
      <c r="J18" s="68">
        <f t="shared" si="5"/>
        <v>5.9360730593607303E-2</v>
      </c>
      <c r="K18" s="91">
        <f>('Water Reading'!I18-'Water Reading'!I17)-('Water Reading'!P18-'Water Reading'!P17)</f>
        <v>29</v>
      </c>
      <c r="L18" s="68">
        <f t="shared" si="6"/>
        <v>0.13242009132420091</v>
      </c>
      <c r="M18" s="90">
        <f>'Water Reading'!R18-'Water Reading'!R17</f>
        <v>9</v>
      </c>
      <c r="N18" s="92">
        <f t="shared" si="7"/>
        <v>4.1095890410958902E-2</v>
      </c>
      <c r="O18" s="90">
        <f>'Water Reading'!Q18-'Water Reading'!Q17</f>
        <v>9</v>
      </c>
      <c r="P18" s="99">
        <f t="shared" si="8"/>
        <v>4.1095890410958902E-2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66</v>
      </c>
      <c r="T18" s="100">
        <f t="shared" si="10"/>
        <v>0.30136986301369861</v>
      </c>
      <c r="U18" s="90">
        <f>'Water Reading'!G18-'Water Reading'!G17</f>
        <v>25</v>
      </c>
      <c r="V18" s="100">
        <f t="shared" si="11"/>
        <v>0.11415525114155251</v>
      </c>
      <c r="W18" s="90">
        <f>'Water Reading'!J18-'Water Reading'!J17</f>
        <v>13</v>
      </c>
      <c r="X18" s="100">
        <f t="shared" si="12"/>
        <v>5.9360730593607303E-2</v>
      </c>
      <c r="Y18" s="66">
        <f t="shared" si="0"/>
        <v>380</v>
      </c>
      <c r="Z18" s="67">
        <f t="shared" si="1"/>
        <v>1.1411411411411412</v>
      </c>
    </row>
    <row r="19" spans="1:26" x14ac:dyDescent="0.25">
      <c r="A19" s="8">
        <f>'Water Reading'!A18</f>
        <v>44424</v>
      </c>
      <c r="B19" s="65">
        <f>TOTAL!I17</f>
        <v>374</v>
      </c>
      <c r="C19" s="66">
        <f>('Water Reading'!B19-'Water Reading'!B18)+('Water Reading'!C19-'Water Reading'!C18)</f>
        <v>205</v>
      </c>
      <c r="D19" s="67">
        <f t="shared" si="2"/>
        <v>0.54812834224598928</v>
      </c>
      <c r="E19" s="87">
        <f>'Water Reading'!H19-'Water Reading'!H18</f>
        <v>39</v>
      </c>
      <c r="F19" s="89">
        <f t="shared" si="3"/>
        <v>0.19024390243902439</v>
      </c>
      <c r="G19" s="93">
        <f>('Water Reading'!D19-'Water Reading'!D18)-('Water Reading'!R19-'Water Reading'!R18)-('Water Reading'!Q19-'Water Reading'!Q18)</f>
        <v>195</v>
      </c>
      <c r="H19" s="89">
        <f t="shared" si="4"/>
        <v>0.95121951219512191</v>
      </c>
      <c r="I19" s="90">
        <f>'Water Reading'!P19-'Water Reading'!P18</f>
        <v>9</v>
      </c>
      <c r="J19" s="68">
        <f t="shared" si="5"/>
        <v>4.3902439024390241E-2</v>
      </c>
      <c r="K19" s="91">
        <f>('Water Reading'!I19-'Water Reading'!I18)-('Water Reading'!P19-'Water Reading'!P18)</f>
        <v>21</v>
      </c>
      <c r="L19" s="68">
        <f t="shared" si="6"/>
        <v>0.1024390243902439</v>
      </c>
      <c r="M19" s="90">
        <f>'Water Reading'!R19-'Water Reading'!R18</f>
        <v>6</v>
      </c>
      <c r="N19" s="92">
        <f t="shared" si="7"/>
        <v>2.9268292682926831E-2</v>
      </c>
      <c r="O19" s="90">
        <f>'Water Reading'!Q19-'Water Reading'!Q18</f>
        <v>4</v>
      </c>
      <c r="P19" s="99">
        <f t="shared" si="8"/>
        <v>1.9512195121951219E-2</v>
      </c>
      <c r="Q19" s="91">
        <f>'Water Reading'!F19-'Water Reading'!F18</f>
        <v>1</v>
      </c>
      <c r="R19" s="100">
        <f t="shared" si="9"/>
        <v>4.8780487804878049E-3</v>
      </c>
      <c r="S19" s="94">
        <f>'Water Reading'!E19-'Water Reading'!E18</f>
        <v>62</v>
      </c>
      <c r="T19" s="100">
        <f t="shared" si="10"/>
        <v>0.30243902439024389</v>
      </c>
      <c r="U19" s="90">
        <f>'Water Reading'!G19-'Water Reading'!G18</f>
        <v>22</v>
      </c>
      <c r="V19" s="100">
        <f t="shared" si="11"/>
        <v>0.10731707317073171</v>
      </c>
      <c r="W19" s="90">
        <f>'Water Reading'!J19-'Water Reading'!J18</f>
        <v>11</v>
      </c>
      <c r="X19" s="100">
        <f t="shared" si="12"/>
        <v>5.3658536585365853E-2</v>
      </c>
      <c r="Y19" s="66">
        <f t="shared" si="0"/>
        <v>370</v>
      </c>
      <c r="Z19" s="67">
        <f t="shared" si="1"/>
        <v>0.98930481283422456</v>
      </c>
    </row>
    <row r="20" spans="1:26" x14ac:dyDescent="0.25">
      <c r="A20" s="8">
        <f>'Water Reading'!A19</f>
        <v>44425</v>
      </c>
      <c r="B20" s="65">
        <f>TOTAL!I18</f>
        <v>262</v>
      </c>
      <c r="C20" s="66">
        <f>('Water Reading'!B20-'Water Reading'!B19)+('Water Reading'!C20-'Water Reading'!C19)</f>
        <v>117</v>
      </c>
      <c r="D20" s="67">
        <f t="shared" si="2"/>
        <v>0.44656488549618323</v>
      </c>
      <c r="E20" s="87">
        <f>'Water Reading'!H20-'Water Reading'!H19</f>
        <v>32</v>
      </c>
      <c r="F20" s="89">
        <f t="shared" si="3"/>
        <v>0.27350427350427353</v>
      </c>
      <c r="G20" s="93">
        <f>('Water Reading'!D20-'Water Reading'!D19)-('Water Reading'!R20-'Water Reading'!R19)-('Water Reading'!Q20-'Water Reading'!Q19)</f>
        <v>120</v>
      </c>
      <c r="H20" s="89">
        <f t="shared" si="4"/>
        <v>1.0256410256410255</v>
      </c>
      <c r="I20" s="90">
        <f>'Water Reading'!P20-'Water Reading'!P19</f>
        <v>8</v>
      </c>
      <c r="J20" s="68">
        <f t="shared" si="5"/>
        <v>6.8376068376068383E-2</v>
      </c>
      <c r="K20" s="91">
        <f>('Water Reading'!I20-'Water Reading'!I19)-('Water Reading'!P20-'Water Reading'!P19)</f>
        <v>24</v>
      </c>
      <c r="L20" s="68">
        <f t="shared" si="6"/>
        <v>0.20512820512820512</v>
      </c>
      <c r="M20" s="90">
        <f>'Water Reading'!R20-'Water Reading'!R19</f>
        <v>10</v>
      </c>
      <c r="N20" s="92">
        <f t="shared" si="7"/>
        <v>8.5470085470085472E-2</v>
      </c>
      <c r="O20" s="90">
        <f>'Water Reading'!Q20-'Water Reading'!Q19</f>
        <v>5</v>
      </c>
      <c r="P20" s="99">
        <f t="shared" si="8"/>
        <v>4.2735042735042736E-2</v>
      </c>
      <c r="Q20" s="91">
        <f>'Water Reading'!F20-'Water Reading'!F19</f>
        <v>2</v>
      </c>
      <c r="R20" s="100">
        <f t="shared" si="9"/>
        <v>1.7094017094017096E-2</v>
      </c>
      <c r="S20" s="94">
        <f>'Water Reading'!E20-'Water Reading'!E19</f>
        <v>58</v>
      </c>
      <c r="T20" s="100">
        <f t="shared" si="10"/>
        <v>0.49572649572649574</v>
      </c>
      <c r="U20" s="90">
        <f>'Water Reading'!G20-'Water Reading'!G19</f>
        <v>16</v>
      </c>
      <c r="V20" s="100">
        <f t="shared" si="11"/>
        <v>0.13675213675213677</v>
      </c>
      <c r="W20" s="90">
        <f>'Water Reading'!J20-'Water Reading'!J19</f>
        <v>10</v>
      </c>
      <c r="X20" s="100">
        <f t="shared" si="12"/>
        <v>8.5470085470085472E-2</v>
      </c>
      <c r="Y20" s="66">
        <f t="shared" si="0"/>
        <v>285</v>
      </c>
      <c r="Z20" s="67">
        <f t="shared" si="1"/>
        <v>1.0877862595419847</v>
      </c>
    </row>
    <row r="21" spans="1:26" x14ac:dyDescent="0.25">
      <c r="A21" s="8">
        <f>'Water Reading'!A20</f>
        <v>44426</v>
      </c>
      <c r="B21" s="65">
        <f>TOTAL!I19</f>
        <v>314</v>
      </c>
      <c r="C21" s="66">
        <f>('Water Reading'!B21-'Water Reading'!B20)+('Water Reading'!C21-'Water Reading'!C20)</f>
        <v>976</v>
      </c>
      <c r="D21" s="67">
        <f t="shared" si="2"/>
        <v>3.1082802547770703</v>
      </c>
      <c r="E21" s="87">
        <f>'Water Reading'!H21-'Water Reading'!H20</f>
        <v>29</v>
      </c>
      <c r="F21" s="89">
        <f t="shared" si="3"/>
        <v>2.9713114754098359E-2</v>
      </c>
      <c r="G21" s="93">
        <f>('Water Reading'!D21-'Water Reading'!D20)-('Water Reading'!R21-'Water Reading'!R20)-('Water Reading'!Q21-'Water Reading'!Q20)</f>
        <v>170</v>
      </c>
      <c r="H21" s="89">
        <f t="shared" si="4"/>
        <v>0.17418032786885246</v>
      </c>
      <c r="I21" s="90">
        <f>'Water Reading'!P21-'Water Reading'!P20</f>
        <v>7</v>
      </c>
      <c r="J21" s="68">
        <f t="shared" si="5"/>
        <v>7.1721311475409838E-3</v>
      </c>
      <c r="K21" s="91">
        <f>('Water Reading'!I21-'Water Reading'!I20)-('Water Reading'!P21-'Water Reading'!P20)</f>
        <v>19</v>
      </c>
      <c r="L21" s="68">
        <f t="shared" si="6"/>
        <v>1.9467213114754099E-2</v>
      </c>
      <c r="M21" s="90">
        <f>'Water Reading'!R21-'Water Reading'!R20</f>
        <v>9</v>
      </c>
      <c r="N21" s="92">
        <f t="shared" si="7"/>
        <v>9.2213114754098359E-3</v>
      </c>
      <c r="O21" s="90">
        <f>'Water Reading'!Q21-'Water Reading'!Q20</f>
        <v>4</v>
      </c>
      <c r="P21" s="99">
        <f t="shared" si="8"/>
        <v>4.0983606557377051E-3</v>
      </c>
      <c r="Q21" s="91">
        <f>'Water Reading'!F21-'Water Reading'!F20</f>
        <v>1</v>
      </c>
      <c r="R21" s="100">
        <f t="shared" si="9"/>
        <v>1.0245901639344263E-3</v>
      </c>
      <c r="S21" s="94">
        <f>'Water Reading'!E21-'Water Reading'!E20</f>
        <v>59</v>
      </c>
      <c r="T21" s="100">
        <f t="shared" si="10"/>
        <v>6.0450819672131145E-2</v>
      </c>
      <c r="U21" s="90">
        <f>'Water Reading'!G21-'Water Reading'!G20</f>
        <v>21</v>
      </c>
      <c r="V21" s="100">
        <f t="shared" si="11"/>
        <v>2.151639344262295E-2</v>
      </c>
      <c r="W21" s="90">
        <f>'Water Reading'!J21-'Water Reading'!J20</f>
        <v>11</v>
      </c>
      <c r="X21" s="100">
        <f t="shared" si="12"/>
        <v>1.1270491803278689E-2</v>
      </c>
      <c r="Y21" s="66">
        <f t="shared" si="0"/>
        <v>330</v>
      </c>
      <c r="Z21" s="67">
        <f t="shared" si="1"/>
        <v>1.0509554140127388</v>
      </c>
    </row>
    <row r="22" spans="1:26" x14ac:dyDescent="0.25">
      <c r="A22" s="8">
        <f>'Water Reading'!A21</f>
        <v>44427</v>
      </c>
      <c r="B22" s="65">
        <f>TOTAL!I20</f>
        <v>329</v>
      </c>
      <c r="C22" s="66">
        <f>('Water Reading'!B22-'Water Reading'!B21)+('Water Reading'!C22-'Water Reading'!C21)</f>
        <v>295</v>
      </c>
      <c r="D22" s="67">
        <f t="shared" si="2"/>
        <v>0.89665653495440734</v>
      </c>
      <c r="E22" s="87">
        <f>'Water Reading'!H22-'Water Reading'!H21</f>
        <v>41</v>
      </c>
      <c r="F22" s="89">
        <f t="shared" si="3"/>
        <v>0.13898305084745763</v>
      </c>
      <c r="G22" s="93">
        <f>('Water Reading'!D22-'Water Reading'!D21)-('Water Reading'!R22-'Water Reading'!R21)-('Water Reading'!Q22-'Water Reading'!Q21)</f>
        <v>187</v>
      </c>
      <c r="H22" s="89">
        <f t="shared" si="4"/>
        <v>0.63389830508474576</v>
      </c>
      <c r="I22" s="90">
        <f>'Water Reading'!P22-'Water Reading'!P21</f>
        <v>16</v>
      </c>
      <c r="J22" s="68">
        <f t="shared" si="5"/>
        <v>5.4237288135593219E-2</v>
      </c>
      <c r="K22" s="91">
        <f>('Water Reading'!I22-'Water Reading'!I21)-('Water Reading'!P22-'Water Reading'!P21)</f>
        <v>24</v>
      </c>
      <c r="L22" s="68">
        <f t="shared" si="6"/>
        <v>8.1355932203389825E-2</v>
      </c>
      <c r="M22" s="90">
        <f>'Water Reading'!R22-'Water Reading'!R21</f>
        <v>6</v>
      </c>
      <c r="N22" s="92">
        <f t="shared" si="7"/>
        <v>2.0338983050847456E-2</v>
      </c>
      <c r="O22" s="90">
        <f>'Water Reading'!Q22-'Water Reading'!Q21</f>
        <v>5</v>
      </c>
      <c r="P22" s="99">
        <f t="shared" si="8"/>
        <v>1.6949152542372881E-2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164</v>
      </c>
      <c r="T22" s="100">
        <f t="shared" si="10"/>
        <v>0.55593220338983051</v>
      </c>
      <c r="U22" s="90">
        <f>'Water Reading'!G22-'Water Reading'!G21</f>
        <v>26</v>
      </c>
      <c r="V22" s="100">
        <f t="shared" si="11"/>
        <v>8.8135593220338981E-2</v>
      </c>
      <c r="W22" s="90">
        <f>'Water Reading'!J22-'Water Reading'!J21</f>
        <v>11</v>
      </c>
      <c r="X22" s="100">
        <f t="shared" si="12"/>
        <v>3.7288135593220341E-2</v>
      </c>
      <c r="Y22" s="66">
        <f t="shared" si="0"/>
        <v>480</v>
      </c>
      <c r="Z22" s="67">
        <f t="shared" si="1"/>
        <v>1.4589665653495441</v>
      </c>
    </row>
    <row r="23" spans="1:26" x14ac:dyDescent="0.25">
      <c r="A23" s="8">
        <f>'Water Reading'!A22</f>
        <v>44428</v>
      </c>
      <c r="B23" s="65">
        <f>TOTAL!I21</f>
        <v>242</v>
      </c>
      <c r="C23" s="66">
        <f>('Water Reading'!B23-'Water Reading'!B22)+('Water Reading'!C23-'Water Reading'!C22)</f>
        <v>180</v>
      </c>
      <c r="D23" s="67">
        <f t="shared" si="2"/>
        <v>0.74380165289256195</v>
      </c>
      <c r="E23" s="87">
        <f>'Water Reading'!H23-'Water Reading'!H22</f>
        <v>39</v>
      </c>
      <c r="F23" s="89">
        <f t="shared" si="3"/>
        <v>0.21666666666666667</v>
      </c>
      <c r="G23" s="93">
        <f>('Water Reading'!D23-'Water Reading'!D22)-('Water Reading'!R23-'Water Reading'!R22)-('Water Reading'!Q23-'Water Reading'!Q22)</f>
        <v>70</v>
      </c>
      <c r="H23" s="89">
        <f t="shared" si="4"/>
        <v>0.3888888888888889</v>
      </c>
      <c r="I23" s="90">
        <f>'Water Reading'!P23-'Water Reading'!P22</f>
        <v>0</v>
      </c>
      <c r="J23" s="68">
        <f t="shared" si="5"/>
        <v>0</v>
      </c>
      <c r="K23" s="91">
        <f>('Water Reading'!I23-'Water Reading'!I22)-('Water Reading'!P23-'Water Reading'!P22)</f>
        <v>13</v>
      </c>
      <c r="L23" s="68">
        <f t="shared" si="6"/>
        <v>7.2222222222222215E-2</v>
      </c>
      <c r="M23" s="90">
        <f>'Water Reading'!R23-'Water Reading'!R22</f>
        <v>12</v>
      </c>
      <c r="N23" s="92">
        <f t="shared" si="7"/>
        <v>6.6666666666666666E-2</v>
      </c>
      <c r="O23" s="90">
        <f>'Water Reading'!Q23-'Water Reading'!Q22</f>
        <v>1</v>
      </c>
      <c r="P23" s="99">
        <f t="shared" si="8"/>
        <v>5.5555555555555558E-3</v>
      </c>
      <c r="Q23" s="91">
        <f>'Water Reading'!F23-'Water Reading'!F22</f>
        <v>1</v>
      </c>
      <c r="R23" s="100">
        <f t="shared" si="9"/>
        <v>5.5555555555555558E-3</v>
      </c>
      <c r="S23" s="94">
        <f>'Water Reading'!E23-'Water Reading'!E22</f>
        <v>56</v>
      </c>
      <c r="T23" s="100">
        <f t="shared" si="10"/>
        <v>0.31111111111111112</v>
      </c>
      <c r="U23" s="90">
        <f>'Water Reading'!G23-'Water Reading'!G22</f>
        <v>17</v>
      </c>
      <c r="V23" s="100">
        <f t="shared" si="11"/>
        <v>9.4444444444444442E-2</v>
      </c>
      <c r="W23" s="90">
        <f>'Water Reading'!J23-'Water Reading'!J22</f>
        <v>11</v>
      </c>
      <c r="X23" s="100">
        <f t="shared" si="12"/>
        <v>6.1111111111111109E-2</v>
      </c>
      <c r="Y23" s="66">
        <f t="shared" si="0"/>
        <v>220</v>
      </c>
      <c r="Z23" s="67">
        <f t="shared" si="1"/>
        <v>0.90909090909090906</v>
      </c>
    </row>
    <row r="24" spans="1:26" x14ac:dyDescent="0.25">
      <c r="A24" s="8">
        <f>'Water Reading'!A23</f>
        <v>44429</v>
      </c>
      <c r="B24" s="65">
        <f>TOTAL!I22</f>
        <v>233</v>
      </c>
      <c r="C24" s="66">
        <f>('Water Reading'!B24-'Water Reading'!B23)+('Water Reading'!C24-'Water Reading'!C23)</f>
        <v>490</v>
      </c>
      <c r="D24" s="67">
        <f t="shared" si="2"/>
        <v>2.1030042918454934</v>
      </c>
      <c r="E24" s="87">
        <f>'Water Reading'!H24-'Water Reading'!H23</f>
        <v>31</v>
      </c>
      <c r="F24" s="89">
        <f t="shared" si="3"/>
        <v>6.3265306122448975E-2</v>
      </c>
      <c r="G24" s="93">
        <f>('Water Reading'!D24-'Water Reading'!D23)-('Water Reading'!R24-'Water Reading'!R23)-('Water Reading'!Q24-'Water Reading'!Q23)</f>
        <v>32</v>
      </c>
      <c r="H24" s="89">
        <f t="shared" si="4"/>
        <v>6.5306122448979598E-2</v>
      </c>
      <c r="I24" s="90">
        <f>'Water Reading'!P24-'Water Reading'!P23</f>
        <v>13</v>
      </c>
      <c r="J24" s="68">
        <f t="shared" si="5"/>
        <v>2.6530612244897958E-2</v>
      </c>
      <c r="K24" s="91">
        <f>('Water Reading'!I24-'Water Reading'!I23)-('Water Reading'!P24-'Water Reading'!P23)</f>
        <v>24</v>
      </c>
      <c r="L24" s="68">
        <f t="shared" si="6"/>
        <v>4.8979591836734691E-2</v>
      </c>
      <c r="M24" s="90">
        <f>'Water Reading'!R24-'Water Reading'!R23</f>
        <v>54</v>
      </c>
      <c r="N24" s="92">
        <f t="shared" si="7"/>
        <v>0.11020408163265306</v>
      </c>
      <c r="O24" s="90">
        <f>'Water Reading'!Q24-'Water Reading'!Q23</f>
        <v>6</v>
      </c>
      <c r="P24" s="99">
        <f t="shared" si="8"/>
        <v>1.2244897959183673E-2</v>
      </c>
      <c r="Q24" s="91">
        <f>'Water Reading'!F24-'Water Reading'!F23</f>
        <v>1</v>
      </c>
      <c r="R24" s="100">
        <f t="shared" si="9"/>
        <v>2.0408163265306124E-3</v>
      </c>
      <c r="S24" s="94">
        <f>'Water Reading'!E24-'Water Reading'!E23</f>
        <v>-39</v>
      </c>
      <c r="T24" s="100">
        <f t="shared" si="10"/>
        <v>-7.9591836734693874E-2</v>
      </c>
      <c r="U24" s="90">
        <f>'Water Reading'!G24-'Water Reading'!G23</f>
        <v>20</v>
      </c>
      <c r="V24" s="100">
        <f t="shared" si="11"/>
        <v>4.0816326530612242E-2</v>
      </c>
      <c r="W24" s="90">
        <f>'Water Reading'!J24-'Water Reading'!J23</f>
        <v>10</v>
      </c>
      <c r="X24" s="100">
        <f t="shared" si="12"/>
        <v>2.0408163265306121E-2</v>
      </c>
      <c r="Y24" s="66">
        <f t="shared" si="0"/>
        <v>152</v>
      </c>
      <c r="Z24" s="67">
        <f t="shared" si="1"/>
        <v>0.6523605150214592</v>
      </c>
    </row>
    <row r="25" spans="1:26" x14ac:dyDescent="0.25">
      <c r="A25" s="8">
        <f>'Water Reading'!A24</f>
        <v>44430</v>
      </c>
      <c r="B25" s="65">
        <f>TOTAL!I23</f>
        <v>0</v>
      </c>
      <c r="C25" s="66">
        <f>('Water Reading'!B25-'Water Reading'!B24)+('Water Reading'!C25-'Water Reading'!C24)</f>
        <v>-318162</v>
      </c>
      <c r="D25" s="67" t="e">
        <f t="shared" si="2"/>
        <v>#DIV/0!</v>
      </c>
      <c r="E25" s="87">
        <f>'Water Reading'!H25-'Water Reading'!H24</f>
        <v>-55038</v>
      </c>
      <c r="F25" s="89">
        <f t="shared" si="3"/>
        <v>0.17298734606898372</v>
      </c>
      <c r="G25" s="93">
        <f>('Water Reading'!D25-'Water Reading'!D24)-('Water Reading'!R25-'Water Reading'!R24)-('Water Reading'!Q25-'Water Reading'!Q24)</f>
        <v>-210602</v>
      </c>
      <c r="H25" s="89">
        <f t="shared" si="4"/>
        <v>0.66193322898397666</v>
      </c>
      <c r="I25" s="90">
        <f>'Water Reading'!P25-'Water Reading'!P24</f>
        <v>-27569</v>
      </c>
      <c r="J25" s="68">
        <f t="shared" si="5"/>
        <v>8.6650825679999502E-2</v>
      </c>
      <c r="K25" s="91">
        <f>('Water Reading'!I25-'Water Reading'!I24)-('Water Reading'!P25-'Water Reading'!P24)</f>
        <v>-37591</v>
      </c>
      <c r="L25" s="68">
        <f t="shared" si="6"/>
        <v>0.11815050194554975</v>
      </c>
      <c r="M25" s="90">
        <f>'Water Reading'!R25-'Water Reading'!R24</f>
        <v>-6595</v>
      </c>
      <c r="N25" s="92">
        <f t="shared" si="7"/>
        <v>2.0728433942456988E-2</v>
      </c>
      <c r="O25" s="90">
        <f>'Water Reading'!Q25-'Water Reading'!Q24</f>
        <v>-883</v>
      </c>
      <c r="P25" s="99">
        <f t="shared" si="8"/>
        <v>2.7753157196648247E-3</v>
      </c>
      <c r="Q25" s="91">
        <f>'Water Reading'!F25-'Water Reading'!F24</f>
        <v>-66973</v>
      </c>
      <c r="R25" s="100">
        <f t="shared" si="9"/>
        <v>0.21049968255165608</v>
      </c>
      <c r="S25" s="94">
        <f>'Water Reading'!E25-'Water Reading'!E24</f>
        <v>-250921</v>
      </c>
      <c r="T25" s="100">
        <f t="shared" si="10"/>
        <v>0.78865797926842296</v>
      </c>
      <c r="U25" s="90">
        <f>'Water Reading'!G25-'Water Reading'!G24</f>
        <v>-112588</v>
      </c>
      <c r="V25" s="100">
        <f t="shared" si="11"/>
        <v>0.35387004104827102</v>
      </c>
      <c r="W25" s="90">
        <f>'Water Reading'!J25-'Water Reading'!J24</f>
        <v>-20897</v>
      </c>
      <c r="X25" s="100">
        <f t="shared" si="12"/>
        <v>6.5680376663460757E-2</v>
      </c>
      <c r="Y25" s="66">
        <f t="shared" si="0"/>
        <v>-789657</v>
      </c>
      <c r="Z25" s="67" t="e">
        <f t="shared" si="1"/>
        <v>#DIV/0!</v>
      </c>
    </row>
    <row r="26" spans="1:26" x14ac:dyDescent="0.25">
      <c r="A26" s="8">
        <f>'Water Reading'!A25</f>
        <v>44431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44432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44433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44434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44435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44436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44437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44438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44439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7250</v>
      </c>
      <c r="C35" s="75">
        <f>SUM(C4:C34)</f>
        <v>-309074</v>
      </c>
      <c r="D35" s="96">
        <f>C35/B35</f>
        <v>-42.630896551724135</v>
      </c>
      <c r="E35" s="7">
        <f>SUM(E4:E34)</f>
        <v>-54328</v>
      </c>
      <c r="F35" s="95">
        <f>E35/C35</f>
        <v>0.17577667484162368</v>
      </c>
      <c r="G35" s="75">
        <f>SUM(G4:G34)</f>
        <v>-206664</v>
      </c>
      <c r="H35" s="95">
        <f>G35/C35</f>
        <v>0.66865540291321823</v>
      </c>
      <c r="I35" s="7">
        <f>SUM(I4:I34)</f>
        <v>-27288</v>
      </c>
      <c r="J35" s="95">
        <f>I35/C35</f>
        <v>8.8289535839313565E-2</v>
      </c>
      <c r="K35" s="7">
        <f>SUM(K4:K34)</f>
        <v>-37152</v>
      </c>
      <c r="L35" s="95">
        <f>K35/C35</f>
        <v>0.12020422293690185</v>
      </c>
      <c r="M35" s="7">
        <f>SUM(M4:M34)</f>
        <v>-6394</v>
      </c>
      <c r="N35" s="95">
        <f>M35/C35</f>
        <v>2.0687602321774072E-2</v>
      </c>
      <c r="O35" s="7">
        <f>SUM(O4:O34)</f>
        <v>-775</v>
      </c>
      <c r="P35" s="95">
        <f>O35/C35</f>
        <v>2.5074901156357378E-3</v>
      </c>
      <c r="Q35" s="7">
        <f>SUM(Q4:Q34)</f>
        <v>-66956</v>
      </c>
      <c r="R35" s="95">
        <f>Q35/C35</f>
        <v>0.21663420410645995</v>
      </c>
      <c r="S35" s="75">
        <f>SUM(S4:S34)</f>
        <v>-249696</v>
      </c>
      <c r="T35" s="95">
        <f>S35/C35</f>
        <v>0.80788419601778216</v>
      </c>
      <c r="U35" s="7">
        <f>SUM(U4:U34)</f>
        <v>-112190</v>
      </c>
      <c r="V35" s="95">
        <f>U35/C35</f>
        <v>0.36298750461054635</v>
      </c>
      <c r="W35" s="7">
        <f>SUM(W4:W34)</f>
        <v>-20665</v>
      </c>
      <c r="X35" s="95">
        <f>W35/C35</f>
        <v>6.6861010631758089E-2</v>
      </c>
      <c r="Y35" s="75">
        <f>SUM(Y4:Y34)</f>
        <v>-782108</v>
      </c>
      <c r="Z35" s="95">
        <f t="shared" si="1"/>
        <v>-107.87696551724137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2021-08-22T06:06:21Z</dcterms:modified>
  <cp:category/>
  <cp:contentStatus/>
</cp:coreProperties>
</file>