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0"/>
  <workbookPr filterPrivacy="1" defaultThemeVersion="124226"/>
  <xr:revisionPtr revIDLastSave="0" documentId="13_ncr:1_{AE96FE61-FDC5-4723-AF63-4C7ED3F70F98}" xr6:coauthVersionLast="36" xr6:coauthVersionMax="36" xr10:uidLastSave="{00000000-0000-0000-0000-000000000000}"/>
  <bookViews>
    <workbookView xWindow="0" yWindow="0" windowWidth="1944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B9" i="4" l="1"/>
  <c r="B10" i="4"/>
  <c r="B11" i="4"/>
  <c r="B12" i="4"/>
  <c r="B10" i="2"/>
  <c r="B11" i="2"/>
  <c r="B12" i="2"/>
  <c r="B13" i="2"/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S5" i="8"/>
  <c r="S6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4" i="8"/>
  <c r="Y6" i="8" l="1"/>
  <c r="Y7" i="8"/>
  <c r="Y8" i="8"/>
  <c r="Y5" i="8"/>
  <c r="K33" i="6" l="1"/>
  <c r="B16" i="2" l="1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 l="1"/>
  <c r="B32" i="2"/>
  <c r="B33" i="2"/>
  <c r="B34" i="2"/>
  <c r="B8" i="2" l="1"/>
  <c r="B9" i="2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D32" i="8" s="1"/>
  <c r="U23" i="2"/>
  <c r="K22" i="4" s="1"/>
  <c r="T23" i="2"/>
  <c r="S23" i="2"/>
  <c r="J22" i="4" s="1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B9" i="8"/>
  <c r="D9" i="8" s="1"/>
  <c r="C17" i="2"/>
  <c r="C16" i="4" s="1"/>
  <c r="C18" i="2"/>
  <c r="C17" i="4" s="1"/>
  <c r="C19" i="2"/>
  <c r="B8" i="8"/>
  <c r="D8" i="8" s="1"/>
  <c r="B10" i="8"/>
  <c r="D10" i="8" s="1"/>
  <c r="S27" i="2"/>
  <c r="B20" i="4"/>
  <c r="B3" i="4"/>
  <c r="H21" i="2"/>
  <c r="C21" i="2"/>
  <c r="C20" i="4" s="1"/>
  <c r="C22" i="2"/>
  <c r="C24" i="2"/>
  <c r="C23" i="4" s="1"/>
  <c r="B5" i="8"/>
  <c r="D5" i="8" s="1"/>
  <c r="B6" i="8"/>
  <c r="D6" i="8" s="1"/>
  <c r="B7" i="8"/>
  <c r="D7" i="8" s="1"/>
  <c r="B11" i="8"/>
  <c r="D11" i="8" s="1"/>
  <c r="B12" i="8"/>
  <c r="D12" i="8" s="1"/>
  <c r="B13" i="8"/>
  <c r="D13" i="8" s="1"/>
  <c r="B14" i="8"/>
  <c r="D14" i="8" s="1"/>
  <c r="B15" i="8"/>
  <c r="D15" i="8" s="1"/>
  <c r="B16" i="8"/>
  <c r="D16" i="8" s="1"/>
  <c r="B17" i="8"/>
  <c r="D17" i="8" s="1"/>
  <c r="B18" i="8"/>
  <c r="D18" i="8" s="1"/>
  <c r="B19" i="8"/>
  <c r="D19" i="8" s="1"/>
  <c r="B20" i="8"/>
  <c r="D20" i="8" s="1"/>
  <c r="B21" i="8"/>
  <c r="D21" i="8" s="1"/>
  <c r="B22" i="8"/>
  <c r="D22" i="8" s="1"/>
  <c r="B23" i="8"/>
  <c r="D23" i="8" s="1"/>
  <c r="B24" i="8"/>
  <c r="D24" i="8" s="1"/>
  <c r="B25" i="8"/>
  <c r="D25" i="8" s="1"/>
  <c r="B26" i="8"/>
  <c r="D26" i="8" s="1"/>
  <c r="B27" i="8"/>
  <c r="D27" i="8" s="1"/>
  <c r="B28" i="8"/>
  <c r="D28" i="8" s="1"/>
  <c r="B29" i="8"/>
  <c r="D29" i="8" s="1"/>
  <c r="B30" i="8"/>
  <c r="D30" i="8" s="1"/>
  <c r="B31" i="8"/>
  <c r="D31" i="8" s="1"/>
  <c r="B33" i="8"/>
  <c r="D33" i="8" s="1"/>
  <c r="B34" i="8"/>
  <c r="D34" i="8" s="1"/>
  <c r="G33" i="6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14" i="2"/>
  <c r="B15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A34" i="8"/>
  <c r="C33" i="4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S4" i="8"/>
  <c r="Q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J7" i="4" l="1"/>
  <c r="D16" i="3"/>
  <c r="D7" i="3"/>
  <c r="L10" i="3"/>
  <c r="D22" i="3"/>
  <c r="V4" i="8"/>
  <c r="G8" i="4"/>
  <c r="G7" i="4"/>
  <c r="L8" i="3"/>
  <c r="V25" i="2"/>
  <c r="M24" i="3" s="1"/>
  <c r="V34" i="2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L3" i="3"/>
  <c r="I21" i="4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E8" i="3"/>
  <c r="F8" i="4"/>
  <c r="J23" i="3"/>
  <c r="I31" i="4"/>
  <c r="L32" i="8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V32" i="8"/>
  <c r="Y32" i="8"/>
  <c r="Z32" i="8" s="1"/>
  <c r="H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<sst xmlns="http://schemas.openxmlformats.org/spreadsheetml/2006/main" count="203" uniqueCount="130">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</sst>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-477210</c:v>
                </c:pt>
                <c:pt idx="1">
                  <c:v>-2682200</c:v>
                </c:pt>
                <c:pt idx="2">
                  <c:v>-259910.00000000003</c:v>
                </c:pt>
                <c:pt idx="3">
                  <c:v>-985210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-57642</c:v>
                </c:pt>
                <c:pt idx="1">
                  <c:v>0.16722221738714196</c:v>
                </c:pt>
                <c:pt idx="2" formatCode="_(* #,##0.00_);_(* \(#,##0.00\);_(* &quot;-&quot;??_);_(@_)">
                  <c:v>-219232</c:v>
                </c:pt>
                <c:pt idx="3">
                  <c:v>0.63600258773494867</c:v>
                </c:pt>
                <c:pt idx="4" formatCode="0.00">
                  <c:v>-28505</c:v>
                </c:pt>
                <c:pt idx="5">
                  <c:v>8.2694377478583006E-2</c:v>
                </c:pt>
                <c:pt idx="6" formatCode="0.00">
                  <c:v>-39115</c:v>
                </c:pt>
                <c:pt idx="7">
                  <c:v>0.11347449833624888</c:v>
                </c:pt>
                <c:pt idx="8" formatCode="0.00">
                  <c:v>-6919</c:v>
                </c:pt>
                <c:pt idx="9">
                  <c:v>2.0072352140828482E-2</c:v>
                </c:pt>
                <c:pt idx="10" formatCode="0.00">
                  <c:v>-1088</c:v>
                </c:pt>
                <c:pt idx="11">
                  <c:v>3.1563403857813826E-3</c:v>
                </c:pt>
                <c:pt idx="12" formatCode="0.00">
                  <c:v>-8025</c:v>
                </c:pt>
                <c:pt idx="13">
                  <c:v>2.3280911393286394E-2</c:v>
                </c:pt>
                <c:pt idx="14" formatCode="_(* #,##0.00_);_(* \(#,##0.00\);_(* &quot;-&quot;??_);_(@_)">
                  <c:v>-25946</c:v>
                </c:pt>
                <c:pt idx="15">
                  <c:v>7.5270595266069634E-2</c:v>
                </c:pt>
                <c:pt idx="16" formatCode="0.00">
                  <c:v>-1801</c:v>
                </c:pt>
                <c:pt idx="17">
                  <c:v>5.2247877158017189E-3</c:v>
                </c:pt>
                <c:pt idx="18" formatCode="0.00">
                  <c:v>-6919</c:v>
                </c:pt>
                <c:pt idx="19">
                  <c:v>2.0072352140828482E-2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3413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-344703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-395192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9584640"/>
        <c:axId val="139586176"/>
      </c:barChart>
      <c:catAx>
        <c:axId val="1395846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39586176"/>
        <c:crosses val="autoZero"/>
        <c:auto val="1"/>
        <c:lblAlgn val="ctr"/>
        <c:lblOffset val="100"/>
        <c:noMultiLvlLbl val="0"/>
      </c:catAx>
      <c:valAx>
        <c:axId val="1395861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39584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M2" sqref="M2:O12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21" t="s">
        <v>4</v>
      </c>
      <c r="F1" s="115" t="s">
        <v>5</v>
      </c>
      <c r="G1" s="40" t="s">
        <v>129</v>
      </c>
      <c r="H1" s="116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11</v>
      </c>
      <c r="D2" s="119">
        <v>2021</v>
      </c>
      <c r="E2" s="104">
        <v>22899.999999999862</v>
      </c>
      <c r="F2" s="120">
        <v>0.18</v>
      </c>
      <c r="G2" s="104">
        <v>5856</v>
      </c>
      <c r="H2" s="117">
        <v>0.63500000000000001</v>
      </c>
      <c r="I2" s="63">
        <v>281</v>
      </c>
      <c r="J2" s="73">
        <v>1.8</v>
      </c>
      <c r="K2" s="101"/>
      <c r="L2" s="73">
        <v>0.9</v>
      </c>
      <c r="M2" s="69">
        <v>45</v>
      </c>
      <c r="N2" s="69">
        <v>117</v>
      </c>
      <c r="O2" s="69">
        <v>324</v>
      </c>
    </row>
    <row r="3" spans="1:15" ht="15" x14ac:dyDescent="0.25">
      <c r="A3" s="44" t="s">
        <v>9</v>
      </c>
      <c r="B3" s="45">
        <f>B2+1</f>
        <v>2</v>
      </c>
      <c r="C3" s="46">
        <v>11</v>
      </c>
      <c r="D3" s="119">
        <v>2021</v>
      </c>
      <c r="E3" s="104">
        <v>22119.999999998297</v>
      </c>
      <c r="F3" s="120">
        <v>0.18</v>
      </c>
      <c r="G3" s="104">
        <v>6334</v>
      </c>
      <c r="H3" s="117">
        <v>0.63500000000000001</v>
      </c>
      <c r="I3" s="63">
        <v>285</v>
      </c>
      <c r="J3" s="73">
        <v>1.8</v>
      </c>
      <c r="K3" s="101"/>
      <c r="L3" s="73">
        <v>0.9</v>
      </c>
      <c r="M3" s="69">
        <v>49</v>
      </c>
      <c r="N3" s="69">
        <v>125</v>
      </c>
      <c r="O3" s="69">
        <v>360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11</v>
      </c>
      <c r="D4" s="119">
        <v>2021</v>
      </c>
      <c r="E4" s="104">
        <v>17889.999999999643</v>
      </c>
      <c r="F4" s="120">
        <v>0.18</v>
      </c>
      <c r="G4" s="104">
        <v>4984</v>
      </c>
      <c r="H4" s="117">
        <v>0.63500000000000001</v>
      </c>
      <c r="I4" s="63">
        <v>270</v>
      </c>
      <c r="J4" s="73">
        <v>1.8</v>
      </c>
      <c r="K4" s="101"/>
      <c r="L4" s="73">
        <v>0.9</v>
      </c>
      <c r="M4" s="69">
        <v>51</v>
      </c>
      <c r="N4" s="69">
        <v>126</v>
      </c>
      <c r="O4" s="69">
        <v>330</v>
      </c>
    </row>
    <row r="5" spans="1:15" ht="15" x14ac:dyDescent="0.25">
      <c r="A5" s="44" t="s">
        <v>9</v>
      </c>
      <c r="B5" s="45">
        <f t="shared" si="0"/>
        <v>4</v>
      </c>
      <c r="C5" s="46">
        <v>11</v>
      </c>
      <c r="D5" s="119">
        <v>2021</v>
      </c>
      <c r="E5" s="104">
        <v>18870.000000001935</v>
      </c>
      <c r="F5" s="120">
        <v>0.18</v>
      </c>
      <c r="G5" s="104">
        <v>5030</v>
      </c>
      <c r="H5" s="117">
        <v>0.63500000000000001</v>
      </c>
      <c r="I5" s="63">
        <v>235</v>
      </c>
      <c r="J5" s="73">
        <v>1.8</v>
      </c>
      <c r="K5" s="101"/>
      <c r="L5" s="73">
        <v>0.9</v>
      </c>
      <c r="M5" s="69">
        <v>50</v>
      </c>
      <c r="N5" s="69">
        <v>127</v>
      </c>
      <c r="O5" s="69">
        <v>352</v>
      </c>
    </row>
    <row r="6" spans="1:15" ht="15" x14ac:dyDescent="0.25">
      <c r="A6" s="44" t="s">
        <v>9</v>
      </c>
      <c r="B6" s="45">
        <f t="shared" si="0"/>
        <v>5</v>
      </c>
      <c r="C6" s="46">
        <v>11</v>
      </c>
      <c r="D6" s="119">
        <v>2021</v>
      </c>
      <c r="E6" s="104">
        <v>20169.999999999389</v>
      </c>
      <c r="F6" s="120">
        <v>0.18</v>
      </c>
      <c r="G6" s="104">
        <v>5475</v>
      </c>
      <c r="H6" s="117">
        <v>0.63500000000000001</v>
      </c>
      <c r="I6" s="63">
        <v>330</v>
      </c>
      <c r="J6" s="73">
        <v>1.8</v>
      </c>
      <c r="K6" s="101"/>
      <c r="L6" s="73">
        <v>0.9</v>
      </c>
      <c r="M6" s="69">
        <v>52</v>
      </c>
      <c r="N6" s="69">
        <v>124</v>
      </c>
      <c r="O6" s="69">
        <v>372</v>
      </c>
    </row>
    <row r="7" spans="1:15" ht="15" x14ac:dyDescent="0.25">
      <c r="A7" s="44" t="s">
        <v>9</v>
      </c>
      <c r="B7" s="45">
        <f t="shared" si="0"/>
        <v>6</v>
      </c>
      <c r="C7" s="46">
        <v>11</v>
      </c>
      <c r="D7" s="119">
        <v>2021</v>
      </c>
      <c r="E7" s="104">
        <v>21860.000000001037</v>
      </c>
      <c r="F7" s="120">
        <v>0.18</v>
      </c>
      <c r="G7" s="104">
        <v>5959</v>
      </c>
      <c r="H7" s="117">
        <v>0.63500000000000001</v>
      </c>
      <c r="I7" s="63">
        <v>308</v>
      </c>
      <c r="J7" s="73">
        <v>1.8</v>
      </c>
      <c r="K7" s="101"/>
      <c r="L7" s="73">
        <v>0.9</v>
      </c>
      <c r="M7" s="69">
        <v>47</v>
      </c>
      <c r="N7" s="69">
        <v>103</v>
      </c>
      <c r="O7" s="69">
        <v>371</v>
      </c>
    </row>
    <row r="8" spans="1:15" ht="15" x14ac:dyDescent="0.25">
      <c r="A8" s="44" t="s">
        <v>9</v>
      </c>
      <c r="B8" s="45">
        <f t="shared" si="0"/>
        <v>7</v>
      </c>
      <c r="C8" s="46">
        <v>11</v>
      </c>
      <c r="D8" s="119">
        <v>2021</v>
      </c>
      <c r="E8" s="104">
        <v>21589.99999999992</v>
      </c>
      <c r="F8" s="120">
        <v>0.18</v>
      </c>
      <c r="G8" s="104">
        <v>5198</v>
      </c>
      <c r="H8" s="117">
        <v>0.63500000000000001</v>
      </c>
      <c r="I8" s="63">
        <v>267</v>
      </c>
      <c r="J8" s="73">
        <v>1.8</v>
      </c>
      <c r="K8" s="101"/>
      <c r="L8" s="73">
        <v>0.9</v>
      </c>
      <c r="M8" s="69">
        <v>44</v>
      </c>
      <c r="N8" s="69">
        <v>101</v>
      </c>
      <c r="O8" s="69">
        <v>277</v>
      </c>
    </row>
    <row r="9" spans="1:15" ht="15" x14ac:dyDescent="0.25">
      <c r="A9" s="44" t="s">
        <v>9</v>
      </c>
      <c r="B9" s="45">
        <f t="shared" si="0"/>
        <v>8</v>
      </c>
      <c r="C9" s="46">
        <v>11</v>
      </c>
      <c r="D9" s="119">
        <v>2021</v>
      </c>
      <c r="E9" s="104">
        <v>23069.999999998574</v>
      </c>
      <c r="F9" s="120">
        <v>0.18</v>
      </c>
      <c r="G9" s="104">
        <v>6515</v>
      </c>
      <c r="H9" s="117">
        <v>0.63500000000000001</v>
      </c>
      <c r="I9" s="63">
        <v>324</v>
      </c>
      <c r="J9" s="73">
        <v>1.8</v>
      </c>
      <c r="K9" s="101"/>
      <c r="L9" s="73">
        <v>0.9</v>
      </c>
      <c r="M9" s="69">
        <v>38</v>
      </c>
      <c r="N9" s="69">
        <v>90</v>
      </c>
      <c r="O9" s="69">
        <v>238</v>
      </c>
    </row>
    <row r="10" spans="1:15" ht="15" x14ac:dyDescent="0.25">
      <c r="A10" s="44" t="s">
        <v>9</v>
      </c>
      <c r="B10" s="45">
        <f t="shared" si="0"/>
        <v>9</v>
      </c>
      <c r="C10" s="46">
        <v>11</v>
      </c>
      <c r="D10" s="119">
        <v>2021</v>
      </c>
      <c r="E10" s="104">
        <v>22010.000000000673</v>
      </c>
      <c r="F10" s="120">
        <v>0.18</v>
      </c>
      <c r="G10" s="104">
        <v>5886</v>
      </c>
      <c r="H10" s="117">
        <v>0.63500000000000001</v>
      </c>
      <c r="I10" s="63">
        <v>290</v>
      </c>
      <c r="J10" s="73">
        <v>1.8</v>
      </c>
      <c r="K10" s="101"/>
      <c r="L10" s="73">
        <v>0.9</v>
      </c>
      <c r="M10" s="69">
        <v>39</v>
      </c>
      <c r="N10" s="69">
        <v>91</v>
      </c>
      <c r="O10" s="69">
        <v>272</v>
      </c>
    </row>
    <row r="11" spans="1:15" ht="15" x14ac:dyDescent="0.25">
      <c r="A11" s="44" t="s">
        <v>9</v>
      </c>
      <c r="B11" s="45">
        <f t="shared" si="0"/>
        <v>10</v>
      </c>
      <c r="C11" s="46">
        <v>11</v>
      </c>
      <c r="D11" s="119">
        <v>2021</v>
      </c>
      <c r="E11" s="104">
        <v>23249.999999999316</v>
      </c>
      <c r="F11" s="120">
        <v>0.18</v>
      </c>
      <c r="G11" s="104">
        <v>6805</v>
      </c>
      <c r="H11" s="117">
        <v>0.63500000000000001</v>
      </c>
      <c r="I11" s="63">
        <v>307</v>
      </c>
      <c r="J11" s="73">
        <v>1.8</v>
      </c>
      <c r="K11" s="101"/>
      <c r="L11" s="73">
        <v>0.9</v>
      </c>
      <c r="M11" s="69">
        <v>48</v>
      </c>
      <c r="N11" s="69">
        <v>110</v>
      </c>
      <c r="O11" s="69">
        <v>307</v>
      </c>
    </row>
    <row r="12" spans="1:15" ht="15" x14ac:dyDescent="0.25">
      <c r="A12" s="44" t="s">
        <v>9</v>
      </c>
      <c r="B12" s="45">
        <f t="shared" si="0"/>
        <v>11</v>
      </c>
      <c r="C12" s="46">
        <v>11</v>
      </c>
      <c r="D12" s="119">
        <v>2021</v>
      </c>
      <c r="E12" s="104">
        <v>23820.000000000393</v>
      </c>
      <c r="F12" s="120">
        <v>0.18</v>
      </c>
      <c r="G12" s="104">
        <v>6537</v>
      </c>
      <c r="H12" s="117">
        <v>0.63500000000000001</v>
      </c>
      <c r="I12" s="63">
        <v>328</v>
      </c>
      <c r="J12" s="73">
        <v>1.8</v>
      </c>
      <c r="K12" s="101"/>
      <c r="L12" s="73">
        <v>0.9</v>
      </c>
      <c r="M12" s="69">
        <v>49</v>
      </c>
      <c r="N12" s="69">
        <v>125</v>
      </c>
      <c r="O12" s="69">
        <v>330</v>
      </c>
    </row>
    <row r="13" spans="1:15" ht="15" x14ac:dyDescent="0.25">
      <c r="A13" s="44" t="s">
        <v>9</v>
      </c>
      <c r="B13" s="45">
        <f t="shared" si="0"/>
        <v>12</v>
      </c>
      <c r="C13" s="46">
        <v>11</v>
      </c>
      <c r="D13" s="119">
        <v>2021</v>
      </c>
      <c r="E13" s="104"/>
      <c r="F13" s="120">
        <v>0.18</v>
      </c>
      <c r="G13" s="104"/>
      <c r="H13" s="117">
        <v>0.63500000000000001</v>
      </c>
      <c r="I13" s="63"/>
      <c r="J13" s="73">
        <v>1.8</v>
      </c>
      <c r="K13" s="101"/>
      <c r="L13" s="73">
        <v>0.9</v>
      </c>
      <c r="M13" s="69"/>
      <c r="N13" s="69"/>
      <c r="O13" s="69"/>
    </row>
    <row r="14" spans="1:15" ht="15" x14ac:dyDescent="0.25">
      <c r="A14" s="44" t="s">
        <v>9</v>
      </c>
      <c r="B14" s="45">
        <f t="shared" si="0"/>
        <v>13</v>
      </c>
      <c r="C14" s="46">
        <v>11</v>
      </c>
      <c r="D14" s="119">
        <v>2021</v>
      </c>
      <c r="E14" s="104"/>
      <c r="F14" s="120">
        <v>0.18</v>
      </c>
      <c r="G14" s="104"/>
      <c r="H14" s="117">
        <v>0.63500000000000001</v>
      </c>
      <c r="I14" s="63"/>
      <c r="J14" s="73">
        <v>1.8</v>
      </c>
      <c r="K14" s="101"/>
      <c r="L14" s="73">
        <v>0.9</v>
      </c>
      <c r="M14" s="69"/>
      <c r="N14" s="69"/>
      <c r="O14" s="69"/>
    </row>
    <row r="15" spans="1:15" ht="15" x14ac:dyDescent="0.25">
      <c r="A15" s="44" t="s">
        <v>9</v>
      </c>
      <c r="B15" s="45">
        <f t="shared" si="0"/>
        <v>14</v>
      </c>
      <c r="C15" s="46">
        <v>11</v>
      </c>
      <c r="D15" s="119">
        <v>2021</v>
      </c>
      <c r="E15" s="104"/>
      <c r="F15" s="120">
        <v>0.18</v>
      </c>
      <c r="G15" s="104"/>
      <c r="H15" s="117">
        <v>0.63500000000000001</v>
      </c>
      <c r="I15" s="63"/>
      <c r="J15" s="73">
        <v>1.8</v>
      </c>
      <c r="K15" s="101"/>
      <c r="L15" s="73">
        <v>0.9</v>
      </c>
      <c r="M15" s="69"/>
      <c r="N15" s="69"/>
      <c r="O15" s="69"/>
    </row>
    <row r="16" spans="1:15" ht="15" x14ac:dyDescent="0.25">
      <c r="A16" s="44" t="s">
        <v>9</v>
      </c>
      <c r="B16" s="45">
        <f t="shared" si="0"/>
        <v>15</v>
      </c>
      <c r="C16" s="46">
        <v>11</v>
      </c>
      <c r="D16" s="119">
        <v>2021</v>
      </c>
      <c r="E16" s="104"/>
      <c r="F16" s="120">
        <v>0.18</v>
      </c>
      <c r="G16" s="104"/>
      <c r="H16" s="117">
        <v>0.63500000000000001</v>
      </c>
      <c r="I16" s="63"/>
      <c r="J16" s="73">
        <v>1.8</v>
      </c>
      <c r="K16" s="101"/>
      <c r="L16" s="73">
        <v>0.9</v>
      </c>
      <c r="M16" s="69"/>
      <c r="N16" s="69"/>
      <c r="O16" s="69"/>
    </row>
    <row r="17" spans="1:15" ht="15" x14ac:dyDescent="0.25">
      <c r="A17" s="44" t="s">
        <v>9</v>
      </c>
      <c r="B17" s="45">
        <f t="shared" si="0"/>
        <v>16</v>
      </c>
      <c r="C17" s="46">
        <v>11</v>
      </c>
      <c r="D17" s="119">
        <v>2021</v>
      </c>
      <c r="E17" s="104"/>
      <c r="F17" s="120">
        <v>0.18</v>
      </c>
      <c r="G17" s="104"/>
      <c r="H17" s="117">
        <v>0.63500000000000001</v>
      </c>
      <c r="I17" s="63"/>
      <c r="J17" s="73">
        <v>1.8</v>
      </c>
      <c r="K17" s="101"/>
      <c r="L17" s="73">
        <v>0.9</v>
      </c>
      <c r="M17" s="69"/>
      <c r="N17" s="69"/>
      <c r="O17" s="69"/>
    </row>
    <row r="18" spans="1:15" ht="15" x14ac:dyDescent="0.25">
      <c r="A18" s="44" t="s">
        <v>9</v>
      </c>
      <c r="B18" s="45">
        <f t="shared" si="0"/>
        <v>17</v>
      </c>
      <c r="C18" s="46">
        <v>11</v>
      </c>
      <c r="D18" s="119">
        <v>2021</v>
      </c>
      <c r="E18" s="104"/>
      <c r="F18" s="120">
        <v>0.18</v>
      </c>
      <c r="G18" s="104"/>
      <c r="H18" s="117">
        <v>0.63500000000000001</v>
      </c>
      <c r="I18" s="63"/>
      <c r="J18" s="73">
        <v>1.8</v>
      </c>
      <c r="K18" s="101"/>
      <c r="L18" s="73">
        <v>0.9</v>
      </c>
      <c r="M18" s="69"/>
      <c r="N18" s="69"/>
      <c r="O18" s="69"/>
    </row>
    <row r="19" spans="1:15" ht="15" x14ac:dyDescent="0.25">
      <c r="A19" s="44" t="s">
        <v>9</v>
      </c>
      <c r="B19" s="45">
        <f t="shared" si="0"/>
        <v>18</v>
      </c>
      <c r="C19" s="46">
        <v>11</v>
      </c>
      <c r="D19" s="119">
        <v>2021</v>
      </c>
      <c r="E19" s="104"/>
      <c r="F19" s="120">
        <v>0.18</v>
      </c>
      <c r="G19" s="104"/>
      <c r="H19" s="117">
        <v>0.63500000000000001</v>
      </c>
      <c r="I19" s="63"/>
      <c r="J19" s="73">
        <v>1.8</v>
      </c>
      <c r="K19" s="101"/>
      <c r="L19" s="73">
        <v>0.9</v>
      </c>
      <c r="M19" s="69"/>
      <c r="N19" s="69"/>
      <c r="O19" s="69"/>
    </row>
    <row r="20" spans="1:15" ht="15" x14ac:dyDescent="0.25">
      <c r="A20" s="44" t="s">
        <v>9</v>
      </c>
      <c r="B20" s="45">
        <f t="shared" si="0"/>
        <v>19</v>
      </c>
      <c r="C20" s="46">
        <v>11</v>
      </c>
      <c r="D20" s="119">
        <v>2021</v>
      </c>
      <c r="E20" s="104"/>
      <c r="F20" s="120">
        <v>0.18</v>
      </c>
      <c r="G20" s="104"/>
      <c r="H20" s="117">
        <v>0.63500000000000001</v>
      </c>
      <c r="I20" s="63"/>
      <c r="J20" s="73">
        <v>1.8</v>
      </c>
      <c r="K20" s="101"/>
      <c r="L20" s="73">
        <v>0.9</v>
      </c>
      <c r="M20" s="69"/>
      <c r="N20" s="69"/>
      <c r="O20" s="69"/>
    </row>
    <row r="21" spans="1:15" ht="15" x14ac:dyDescent="0.25">
      <c r="A21" s="44" t="s">
        <v>9</v>
      </c>
      <c r="B21" s="45">
        <f t="shared" si="0"/>
        <v>20</v>
      </c>
      <c r="C21" s="46">
        <v>11</v>
      </c>
      <c r="D21" s="119">
        <v>2021</v>
      </c>
      <c r="E21" s="104"/>
      <c r="F21" s="120">
        <v>0.18</v>
      </c>
      <c r="G21" s="104"/>
      <c r="H21" s="117">
        <v>0.63500000000000001</v>
      </c>
      <c r="I21" s="63"/>
      <c r="J21" s="73">
        <v>1.8</v>
      </c>
      <c r="K21" s="101"/>
      <c r="L21" s="73">
        <v>0.9</v>
      </c>
      <c r="M21" s="69"/>
      <c r="N21" s="69"/>
      <c r="O21" s="69"/>
    </row>
    <row r="22" spans="1:15" ht="15" x14ac:dyDescent="0.25">
      <c r="A22" s="44" t="s">
        <v>9</v>
      </c>
      <c r="B22" s="45">
        <f t="shared" si="0"/>
        <v>21</v>
      </c>
      <c r="C22" s="46">
        <v>11</v>
      </c>
      <c r="D22" s="119">
        <v>2021</v>
      </c>
      <c r="E22" s="104"/>
      <c r="F22" s="120">
        <v>0.18</v>
      </c>
      <c r="G22" s="104"/>
      <c r="H22" s="117">
        <v>0.63500000000000001</v>
      </c>
      <c r="I22" s="63"/>
      <c r="J22" s="73">
        <v>1.8</v>
      </c>
      <c r="K22" s="101"/>
      <c r="L22" s="73">
        <v>0.9</v>
      </c>
      <c r="M22" s="69"/>
      <c r="N22" s="69"/>
      <c r="O22" s="69"/>
    </row>
    <row r="23" spans="1:15" ht="15" x14ac:dyDescent="0.25">
      <c r="A23" s="44" t="s">
        <v>9</v>
      </c>
      <c r="B23" s="45">
        <f t="shared" si="0"/>
        <v>22</v>
      </c>
      <c r="C23" s="46">
        <v>11</v>
      </c>
      <c r="D23" s="119">
        <v>2021</v>
      </c>
      <c r="E23" s="104"/>
      <c r="F23" s="120">
        <v>0.18</v>
      </c>
      <c r="G23" s="104"/>
      <c r="H23" s="117">
        <v>0.63500000000000001</v>
      </c>
      <c r="I23" s="63"/>
      <c r="J23" s="73">
        <v>1.8</v>
      </c>
      <c r="K23" s="101"/>
      <c r="L23" s="73">
        <v>0.9</v>
      </c>
      <c r="M23" s="69"/>
      <c r="N23" s="69"/>
      <c r="O23" s="69"/>
    </row>
    <row r="24" spans="1:15" ht="15" x14ac:dyDescent="0.25">
      <c r="A24" s="44" t="s">
        <v>9</v>
      </c>
      <c r="B24" s="45">
        <f t="shared" si="0"/>
        <v>23</v>
      </c>
      <c r="C24" s="46">
        <v>11</v>
      </c>
      <c r="D24" s="119">
        <v>2021</v>
      </c>
      <c r="E24" s="104"/>
      <c r="F24" s="120">
        <v>0.18</v>
      </c>
      <c r="G24" s="104"/>
      <c r="H24" s="117">
        <v>0.63500000000000001</v>
      </c>
      <c r="I24" s="63"/>
      <c r="J24" s="73">
        <v>1.8</v>
      </c>
      <c r="K24" s="101"/>
      <c r="L24" s="73">
        <v>0.9</v>
      </c>
      <c r="M24" s="69"/>
      <c r="N24" s="69"/>
      <c r="O24" s="69"/>
    </row>
    <row r="25" spans="1:15" ht="15" x14ac:dyDescent="0.25">
      <c r="A25" s="44" t="s">
        <v>9</v>
      </c>
      <c r="B25" s="45">
        <f t="shared" si="0"/>
        <v>24</v>
      </c>
      <c r="C25" s="46">
        <v>11</v>
      </c>
      <c r="D25" s="119">
        <v>2021</v>
      </c>
      <c r="E25" s="104"/>
      <c r="F25" s="120">
        <v>0.18</v>
      </c>
      <c r="G25" s="104"/>
      <c r="H25" s="117">
        <v>0.63500000000000001</v>
      </c>
      <c r="I25" s="63"/>
      <c r="J25" s="73">
        <v>1.8</v>
      </c>
      <c r="K25" s="101"/>
      <c r="L25" s="73">
        <v>0.9</v>
      </c>
      <c r="M25" s="69"/>
      <c r="N25" s="69"/>
      <c r="O25" s="69"/>
    </row>
    <row r="26" spans="1:15" ht="15" x14ac:dyDescent="0.25">
      <c r="A26" s="44" t="s">
        <v>9</v>
      </c>
      <c r="B26" s="45">
        <f>B25+1</f>
        <v>25</v>
      </c>
      <c r="C26" s="46">
        <v>11</v>
      </c>
      <c r="D26" s="119">
        <v>2021</v>
      </c>
      <c r="E26" s="104"/>
      <c r="F26" s="120">
        <v>0.18</v>
      </c>
      <c r="G26" s="104"/>
      <c r="H26" s="117">
        <v>0.63500000000000001</v>
      </c>
      <c r="I26" s="63"/>
      <c r="J26" s="73">
        <v>1.8</v>
      </c>
      <c r="K26" s="101"/>
      <c r="L26" s="73">
        <v>0.9</v>
      </c>
      <c r="M26" s="69"/>
      <c r="N26" s="69"/>
      <c r="O26" s="69"/>
    </row>
    <row r="27" spans="1:15" ht="15" x14ac:dyDescent="0.25">
      <c r="A27" s="44" t="s">
        <v>9</v>
      </c>
      <c r="B27" s="45">
        <f t="shared" si="0"/>
        <v>26</v>
      </c>
      <c r="C27" s="46">
        <v>11</v>
      </c>
      <c r="D27" s="119">
        <v>2021</v>
      </c>
      <c r="E27" s="104"/>
      <c r="F27" s="120">
        <v>0.18</v>
      </c>
      <c r="G27" s="104"/>
      <c r="H27" s="117">
        <v>0.63500000000000001</v>
      </c>
      <c r="I27" s="63"/>
      <c r="J27" s="73">
        <v>1.8</v>
      </c>
      <c r="K27" s="101"/>
      <c r="L27" s="73">
        <v>0.9</v>
      </c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11</v>
      </c>
      <c r="D28" s="119">
        <v>2021</v>
      </c>
      <c r="E28" s="104"/>
      <c r="F28" s="120">
        <v>0.18</v>
      </c>
      <c r="G28" s="104"/>
      <c r="H28" s="117">
        <v>0.63500000000000001</v>
      </c>
      <c r="I28" s="63"/>
      <c r="J28" s="73">
        <v>1.8</v>
      </c>
      <c r="K28" s="101"/>
      <c r="L28" s="73">
        <v>0.9</v>
      </c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11</v>
      </c>
      <c r="D29" s="119">
        <v>2021</v>
      </c>
      <c r="E29" s="104"/>
      <c r="F29" s="120">
        <v>0.18</v>
      </c>
      <c r="G29" s="104"/>
      <c r="H29" s="117">
        <v>0.63500000000000001</v>
      </c>
      <c r="I29" s="63"/>
      <c r="J29" s="73">
        <v>1.8</v>
      </c>
      <c r="K29" s="101"/>
      <c r="L29" s="73">
        <v>0.9</v>
      </c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11</v>
      </c>
      <c r="D30" s="119">
        <v>2021</v>
      </c>
      <c r="E30" s="104"/>
      <c r="F30" s="120">
        <v>0.18</v>
      </c>
      <c r="G30" s="104"/>
      <c r="H30" s="117">
        <v>0.63500000000000001</v>
      </c>
      <c r="I30" s="63"/>
      <c r="J30" s="73">
        <v>1.8</v>
      </c>
      <c r="K30" s="101"/>
      <c r="L30" s="73">
        <v>0.9</v>
      </c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11</v>
      </c>
      <c r="D31" s="119">
        <v>2021</v>
      </c>
      <c r="E31" s="100"/>
      <c r="F31" s="120">
        <v>0.18</v>
      </c>
      <c r="G31" s="100"/>
      <c r="H31" s="117">
        <v>0.63500000000000001</v>
      </c>
      <c r="I31" s="63"/>
      <c r="J31" s="73">
        <v>1.8</v>
      </c>
      <c r="K31" s="101"/>
      <c r="L31" s="73">
        <v>0.9</v>
      </c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11</v>
      </c>
      <c r="D32" s="119">
        <v>2021</v>
      </c>
      <c r="E32" s="100"/>
      <c r="F32" s="120">
        <v>0.18</v>
      </c>
      <c r="G32" s="100"/>
      <c r="H32" s="117">
        <v>0.63500000000000001</v>
      </c>
      <c r="I32" s="63"/>
      <c r="J32" s="73">
        <v>1.8</v>
      </c>
      <c r="K32" s="101"/>
      <c r="L32" s="73">
        <v>0.9</v>
      </c>
      <c r="M32" s="69"/>
      <c r="N32" s="69"/>
      <c r="O32" s="69"/>
    </row>
    <row r="33" spans="1:15" ht="18.75" customHeight="1" x14ac:dyDescent="0.2">
      <c r="A33" s="123" t="s">
        <v>52</v>
      </c>
      <c r="B33" s="123"/>
      <c r="C33" s="123"/>
      <c r="D33" s="123"/>
      <c r="E33" s="118">
        <f>SUM(E2:E32)</f>
        <v>237549.99999999907</v>
      </c>
      <c r="F33" s="97">
        <v>0</v>
      </c>
      <c r="G33" s="118">
        <f>SUM(G2:G32)</f>
        <v>64579</v>
      </c>
      <c r="H33" s="95">
        <v>0</v>
      </c>
      <c r="I33" s="96">
        <f>SUM(I2:I32)</f>
        <v>3225</v>
      </c>
      <c r="J33" s="97">
        <v>0</v>
      </c>
      <c r="K33" s="98">
        <f>SUM(K2:K32)</f>
        <v>0</v>
      </c>
      <c r="L33" s="95">
        <v>0</v>
      </c>
      <c r="M33" s="99">
        <f t="shared" ref="M33:O33" si="1">SUM(M2:M32)</f>
        <v>512</v>
      </c>
      <c r="N33" s="99">
        <f t="shared" si="1"/>
        <v>1239</v>
      </c>
      <c r="O33" s="99">
        <f t="shared" si="1"/>
        <v>3533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1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7" t="s">
        <v>10</v>
      </c>
      <c r="B1" s="128"/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  <c r="U1" s="74"/>
      <c r="V1" s="74"/>
    </row>
    <row r="2" spans="1:25" s="17" customFormat="1" ht="33" customHeight="1" x14ac:dyDescent="0.25">
      <c r="A2" s="28" t="s">
        <v>2</v>
      </c>
      <c r="B2" s="124" t="s">
        <v>126</v>
      </c>
      <c r="C2" s="124" t="s">
        <v>11</v>
      </c>
      <c r="D2" s="124" t="s">
        <v>12</v>
      </c>
      <c r="E2" s="124" t="s">
        <v>13</v>
      </c>
      <c r="F2" s="124" t="s">
        <v>14</v>
      </c>
      <c r="G2" s="129" t="s">
        <v>15</v>
      </c>
      <c r="H2" s="131" t="s">
        <v>16</v>
      </c>
      <c r="I2" s="124" t="s">
        <v>17</v>
      </c>
      <c r="J2" s="134" t="s">
        <v>18</v>
      </c>
      <c r="K2" s="135"/>
      <c r="L2" s="136"/>
      <c r="M2" s="129" t="s">
        <v>19</v>
      </c>
      <c r="N2" s="131" t="s">
        <v>20</v>
      </c>
      <c r="O2" s="132" t="s">
        <v>21</v>
      </c>
      <c r="P2" s="131" t="s">
        <v>22</v>
      </c>
      <c r="Q2" s="137" t="s">
        <v>23</v>
      </c>
      <c r="R2" s="124" t="s">
        <v>24</v>
      </c>
      <c r="S2" s="124" t="s">
        <v>25</v>
      </c>
      <c r="T2" s="124" t="s">
        <v>26</v>
      </c>
      <c r="V2" s="126" t="s">
        <v>6</v>
      </c>
      <c r="W2" s="126" t="s">
        <v>7</v>
      </c>
      <c r="X2" s="126" t="s">
        <v>8</v>
      </c>
    </row>
    <row r="3" spans="1:25" s="17" customFormat="1" ht="45" customHeight="1" x14ac:dyDescent="0.25">
      <c r="A3" s="29"/>
      <c r="B3" s="125"/>
      <c r="C3" s="125"/>
      <c r="D3" s="125"/>
      <c r="E3" s="125"/>
      <c r="F3" s="125"/>
      <c r="G3" s="130"/>
      <c r="H3" s="131"/>
      <c r="I3" s="125"/>
      <c r="J3" s="18" t="s">
        <v>27</v>
      </c>
      <c r="K3" s="18" t="s">
        <v>28</v>
      </c>
      <c r="L3" s="18" t="s">
        <v>29</v>
      </c>
      <c r="M3" s="130"/>
      <c r="N3" s="131"/>
      <c r="O3" s="133"/>
      <c r="P3" s="131"/>
      <c r="Q3" s="138"/>
      <c r="R3" s="125"/>
      <c r="S3" s="125"/>
      <c r="T3" s="125"/>
      <c r="V3" s="126"/>
      <c r="W3" s="126"/>
      <c r="X3" s="126"/>
    </row>
    <row r="4" spans="1:25" ht="21" customHeight="1" x14ac:dyDescent="0.25">
      <c r="A4" s="8">
        <v>44501</v>
      </c>
      <c r="B4" s="106">
        <v>1.1428</v>
      </c>
      <c r="C4" s="107">
        <v>259.91000000000003</v>
      </c>
      <c r="D4" s="107">
        <v>7761780.0300000003</v>
      </c>
      <c r="E4" s="107">
        <v>8551552.0500000007</v>
      </c>
      <c r="F4" s="107">
        <v>2.6821999999999999</v>
      </c>
      <c r="G4" s="107">
        <v>850.09</v>
      </c>
      <c r="H4" s="107">
        <v>697.49</v>
      </c>
      <c r="I4" s="107">
        <v>271.94</v>
      </c>
      <c r="J4" s="107">
        <v>350.57</v>
      </c>
      <c r="K4" s="107">
        <v>375.97</v>
      </c>
      <c r="L4" s="107">
        <v>258.67</v>
      </c>
      <c r="M4" s="107">
        <v>612.53</v>
      </c>
      <c r="N4" s="107">
        <v>565.23</v>
      </c>
      <c r="O4" s="107">
        <v>178.93</v>
      </c>
      <c r="P4" s="107">
        <v>738.09</v>
      </c>
      <c r="Q4" s="107">
        <v>545.91999999999996</v>
      </c>
      <c r="R4" s="107">
        <v>189.14</v>
      </c>
      <c r="S4" s="107">
        <v>129.93</v>
      </c>
      <c r="T4" s="107">
        <v>477.21</v>
      </c>
      <c r="V4" s="103">
        <v>45</v>
      </c>
      <c r="W4" s="103">
        <v>117</v>
      </c>
      <c r="X4" s="103">
        <v>324</v>
      </c>
      <c r="Y4" s="17"/>
    </row>
    <row r="5" spans="1:25" ht="21" customHeight="1" x14ac:dyDescent="0.25">
      <c r="A5" s="8">
        <v>44502</v>
      </c>
      <c r="B5" s="108">
        <v>1.1438999999999999</v>
      </c>
      <c r="C5" s="109">
        <v>260.19</v>
      </c>
      <c r="D5" s="109">
        <v>7763758.2199999997</v>
      </c>
      <c r="E5" s="109">
        <v>8554431.5199999996</v>
      </c>
      <c r="F5" s="109">
        <v>2.6850000000000001</v>
      </c>
      <c r="G5" s="109">
        <v>850.87</v>
      </c>
      <c r="H5" s="109">
        <v>698.18</v>
      </c>
      <c r="I5" s="109">
        <v>272.18</v>
      </c>
      <c r="J5" s="109">
        <v>351.09</v>
      </c>
      <c r="K5" s="109">
        <v>376.31</v>
      </c>
      <c r="L5" s="109">
        <v>258.93</v>
      </c>
      <c r="M5" s="109">
        <v>613.41</v>
      </c>
      <c r="N5" s="109">
        <v>566.01</v>
      </c>
      <c r="O5" s="109">
        <v>179.16</v>
      </c>
      <c r="P5" s="109">
        <v>739.17</v>
      </c>
      <c r="Q5" s="109">
        <v>546.73</v>
      </c>
      <c r="R5" s="109">
        <v>189.23</v>
      </c>
      <c r="S5" s="109">
        <v>130.07</v>
      </c>
      <c r="T5" s="109">
        <v>477.69</v>
      </c>
      <c r="V5" s="103">
        <v>49</v>
      </c>
      <c r="W5" s="103">
        <v>125</v>
      </c>
      <c r="X5" s="103">
        <v>360</v>
      </c>
      <c r="Y5" s="17"/>
    </row>
    <row r="6" spans="1:25" ht="21" customHeight="1" x14ac:dyDescent="0.25">
      <c r="A6" s="8">
        <v>44503</v>
      </c>
      <c r="B6" s="108">
        <v>1.145</v>
      </c>
      <c r="C6" s="109">
        <v>260.43</v>
      </c>
      <c r="D6" s="109">
        <v>7765747.6699999999</v>
      </c>
      <c r="E6" s="109">
        <v>8557237.2300000004</v>
      </c>
      <c r="F6" s="109">
        <v>2.6876000000000002</v>
      </c>
      <c r="G6" s="109">
        <v>851.59</v>
      </c>
      <c r="H6" s="109">
        <v>698.82</v>
      </c>
      <c r="I6" s="109">
        <v>272.38</v>
      </c>
      <c r="J6" s="109">
        <v>351.52</v>
      </c>
      <c r="K6" s="109">
        <v>376.62</v>
      </c>
      <c r="L6" s="109">
        <v>259.13</v>
      </c>
      <c r="M6" s="109">
        <v>614.17999999999995</v>
      </c>
      <c r="N6" s="109">
        <v>566.82000000000005</v>
      </c>
      <c r="O6" s="109">
        <v>179.31</v>
      </c>
      <c r="P6" s="109">
        <v>740.22</v>
      </c>
      <c r="Q6" s="109">
        <v>547.41999999999996</v>
      </c>
      <c r="R6" s="109">
        <v>189.45</v>
      </c>
      <c r="S6" s="109">
        <v>130.19999999999999</v>
      </c>
      <c r="T6" s="109">
        <v>478.27</v>
      </c>
      <c r="V6" s="103">
        <v>51</v>
      </c>
      <c r="W6" s="103">
        <v>126</v>
      </c>
      <c r="X6" s="103">
        <v>330</v>
      </c>
      <c r="Y6" s="17"/>
    </row>
    <row r="7" spans="1:25" ht="21" customHeight="1" x14ac:dyDescent="0.25">
      <c r="A7" s="8">
        <v>44504</v>
      </c>
      <c r="B7" s="108">
        <v>1.1459999999999999</v>
      </c>
      <c r="C7" s="109">
        <v>260.70999999999998</v>
      </c>
      <c r="D7" s="109">
        <v>7767251.8600000003</v>
      </c>
      <c r="E7" s="109">
        <v>8559521.8399999999</v>
      </c>
      <c r="F7" s="109">
        <v>2.6901999999999999</v>
      </c>
      <c r="G7" s="109">
        <v>852.28</v>
      </c>
      <c r="H7" s="109">
        <v>699.27</v>
      </c>
      <c r="I7" s="109">
        <v>272.55</v>
      </c>
      <c r="J7" s="109">
        <v>352.04</v>
      </c>
      <c r="K7" s="109">
        <v>376.94</v>
      </c>
      <c r="L7" s="109">
        <v>259.36</v>
      </c>
      <c r="M7" s="109">
        <v>614.82000000000005</v>
      </c>
      <c r="N7" s="109">
        <v>567.42999999999995</v>
      </c>
      <c r="O7" s="109">
        <v>179.47</v>
      </c>
      <c r="P7" s="109">
        <v>741.04</v>
      </c>
      <c r="Q7" s="109">
        <v>547.84</v>
      </c>
      <c r="R7" s="109">
        <v>189.69</v>
      </c>
      <c r="S7" s="109">
        <v>130.33000000000001</v>
      </c>
      <c r="T7" s="109">
        <v>478.7</v>
      </c>
      <c r="V7" s="103">
        <v>50</v>
      </c>
      <c r="W7" s="103">
        <v>127</v>
      </c>
      <c r="X7" s="103">
        <v>352</v>
      </c>
      <c r="Y7" s="17"/>
    </row>
    <row r="8" spans="1:25" ht="21" customHeight="1" x14ac:dyDescent="0.25">
      <c r="A8" s="8">
        <v>44505</v>
      </c>
      <c r="B8" s="108">
        <v>1.147</v>
      </c>
      <c r="C8" s="109">
        <v>260.97000000000003</v>
      </c>
      <c r="D8" s="109">
        <v>7768679.5899999999</v>
      </c>
      <c r="E8" s="109">
        <v>8561347.8499999996</v>
      </c>
      <c r="F8" s="109">
        <v>2.6928999999999998</v>
      </c>
      <c r="G8" s="109">
        <v>852.97</v>
      </c>
      <c r="H8" s="109">
        <v>699.78</v>
      </c>
      <c r="I8" s="109">
        <v>272.74</v>
      </c>
      <c r="J8" s="109">
        <v>352.5</v>
      </c>
      <c r="K8" s="109">
        <v>377.28</v>
      </c>
      <c r="L8" s="109">
        <v>259.60000000000002</v>
      </c>
      <c r="M8" s="109">
        <v>615.47</v>
      </c>
      <c r="N8" s="109">
        <v>568.07000000000005</v>
      </c>
      <c r="O8" s="109">
        <v>179.62</v>
      </c>
      <c r="P8" s="109">
        <v>741.85</v>
      </c>
      <c r="Q8" s="109">
        <v>548.36</v>
      </c>
      <c r="R8" s="109">
        <v>189.85</v>
      </c>
      <c r="S8" s="109">
        <v>130.44999999999999</v>
      </c>
      <c r="T8" s="109">
        <v>478.97</v>
      </c>
      <c r="V8" s="103">
        <v>52</v>
      </c>
      <c r="W8" s="103">
        <v>124</v>
      </c>
      <c r="X8" s="103">
        <v>372</v>
      </c>
      <c r="Y8" s="17"/>
    </row>
    <row r="9" spans="1:25" ht="21" customHeight="1" x14ac:dyDescent="0.25">
      <c r="A9" s="8">
        <v>44506</v>
      </c>
      <c r="B9" s="110">
        <v>1.1480999999999999</v>
      </c>
      <c r="C9" s="111">
        <v>261.22000000000003</v>
      </c>
      <c r="D9" s="110">
        <v>7770392.75</v>
      </c>
      <c r="E9" s="112">
        <v>8563716.2300000004</v>
      </c>
      <c r="F9" s="111">
        <v>2.6953999999999998</v>
      </c>
      <c r="G9" s="110">
        <v>853.71</v>
      </c>
      <c r="H9" s="112">
        <v>700.45</v>
      </c>
      <c r="I9" s="112">
        <v>272.91000000000003</v>
      </c>
      <c r="J9" s="109">
        <v>352.94</v>
      </c>
      <c r="K9" s="109">
        <v>377.6</v>
      </c>
      <c r="L9" s="109">
        <v>259.82</v>
      </c>
      <c r="M9" s="109">
        <v>616.15</v>
      </c>
      <c r="N9" s="109">
        <v>568.84</v>
      </c>
      <c r="O9" s="109">
        <v>179.77</v>
      </c>
      <c r="P9" s="109">
        <v>742.72</v>
      </c>
      <c r="Q9" s="109">
        <v>548.94000000000005</v>
      </c>
      <c r="R9" s="109">
        <v>189.95</v>
      </c>
      <c r="S9" s="109">
        <v>130.57</v>
      </c>
      <c r="T9" s="109">
        <v>479.46</v>
      </c>
      <c r="V9" s="103">
        <v>47</v>
      </c>
      <c r="W9" s="103">
        <v>103</v>
      </c>
      <c r="X9" s="103">
        <v>371</v>
      </c>
      <c r="Y9" s="17"/>
    </row>
    <row r="10" spans="1:25" ht="21" customHeight="1" x14ac:dyDescent="0.25">
      <c r="A10" s="8">
        <v>44507</v>
      </c>
      <c r="B10" s="106">
        <v>1.1491</v>
      </c>
      <c r="C10" s="107">
        <v>261.51</v>
      </c>
      <c r="D10" s="107">
        <v>7772120.6500000004</v>
      </c>
      <c r="E10" s="107">
        <v>8566582.2599999998</v>
      </c>
      <c r="F10" s="107">
        <v>2.6981999999999999</v>
      </c>
      <c r="G10" s="107">
        <v>854.5</v>
      </c>
      <c r="H10" s="107">
        <v>701.15</v>
      </c>
      <c r="I10" s="107">
        <v>273.13</v>
      </c>
      <c r="J10" s="109">
        <v>353.34</v>
      </c>
      <c r="K10" s="109">
        <v>377.97</v>
      </c>
      <c r="L10" s="109">
        <v>260.06</v>
      </c>
      <c r="M10" s="109">
        <v>616.97</v>
      </c>
      <c r="N10" s="109">
        <v>569.75</v>
      </c>
      <c r="O10" s="109">
        <v>179.89</v>
      </c>
      <c r="P10" s="109">
        <v>743.72</v>
      </c>
      <c r="Q10" s="109">
        <v>549.67999999999995</v>
      </c>
      <c r="R10" s="109">
        <v>190.05</v>
      </c>
      <c r="S10" s="109">
        <v>130.69</v>
      </c>
      <c r="T10" s="109">
        <v>479.98</v>
      </c>
      <c r="V10" s="103">
        <v>44</v>
      </c>
      <c r="W10" s="103">
        <v>101</v>
      </c>
      <c r="X10" s="103">
        <v>277</v>
      </c>
      <c r="Y10" s="17"/>
    </row>
    <row r="11" spans="1:25" ht="21" customHeight="1" x14ac:dyDescent="0.25">
      <c r="A11" s="8">
        <v>44508</v>
      </c>
      <c r="B11" s="108">
        <v>1.1500999999999999</v>
      </c>
      <c r="C11" s="109">
        <v>261.75</v>
      </c>
      <c r="D11" s="109">
        <v>7773990.6200000001</v>
      </c>
      <c r="E11" s="109">
        <v>8569279.6799999997</v>
      </c>
      <c r="F11" s="109">
        <v>2.7008000000000001</v>
      </c>
      <c r="G11" s="109">
        <v>855.28</v>
      </c>
      <c r="H11" s="109">
        <v>701.81</v>
      </c>
      <c r="I11" s="109">
        <v>273.37</v>
      </c>
      <c r="J11" s="109">
        <v>353.74</v>
      </c>
      <c r="K11" s="109">
        <v>378.29</v>
      </c>
      <c r="L11" s="109">
        <v>260.27999999999997</v>
      </c>
      <c r="M11" s="109">
        <v>617.65</v>
      </c>
      <c r="N11" s="109">
        <v>570.67999999999995</v>
      </c>
      <c r="O11" s="109">
        <v>180.01</v>
      </c>
      <c r="P11" s="109">
        <v>744.73</v>
      </c>
      <c r="Q11" s="109">
        <v>550.37</v>
      </c>
      <c r="R11" s="109">
        <v>190.14</v>
      </c>
      <c r="S11" s="109">
        <v>130.80000000000001</v>
      </c>
      <c r="T11" s="109">
        <v>480.46</v>
      </c>
      <c r="V11" s="103">
        <v>38</v>
      </c>
      <c r="W11" s="103">
        <v>90</v>
      </c>
      <c r="X11" s="103">
        <v>238</v>
      </c>
      <c r="Y11" s="17"/>
    </row>
    <row r="12" spans="1:25" ht="21" customHeight="1" x14ac:dyDescent="0.25">
      <c r="A12" s="8">
        <v>44509</v>
      </c>
      <c r="B12" s="108">
        <v>1.1511</v>
      </c>
      <c r="C12" s="109">
        <v>262</v>
      </c>
      <c r="D12" s="109">
        <v>7776185.3899999997</v>
      </c>
      <c r="E12" s="109">
        <v>8572511.0899999999</v>
      </c>
      <c r="F12" s="109">
        <v>2.7033999999999998</v>
      </c>
      <c r="G12" s="109">
        <v>856.06</v>
      </c>
      <c r="H12" s="109">
        <v>702.76</v>
      </c>
      <c r="I12" s="109">
        <v>273.62</v>
      </c>
      <c r="J12" s="109">
        <v>354.21</v>
      </c>
      <c r="K12" s="109">
        <v>378.69</v>
      </c>
      <c r="L12" s="109">
        <v>260.49</v>
      </c>
      <c r="M12" s="109">
        <v>618.36</v>
      </c>
      <c r="N12" s="109">
        <v>571.64</v>
      </c>
      <c r="O12" s="109">
        <v>180.09</v>
      </c>
      <c r="P12" s="109">
        <v>745.98</v>
      </c>
      <c r="Q12" s="109">
        <v>551.16999999999996</v>
      </c>
      <c r="R12" s="109">
        <v>190.15</v>
      </c>
      <c r="S12" s="109">
        <v>130.91999999999999</v>
      </c>
      <c r="T12" s="109">
        <v>480.92</v>
      </c>
      <c r="V12" s="103">
        <v>39</v>
      </c>
      <c r="W12" s="103">
        <v>91</v>
      </c>
      <c r="X12" s="103">
        <v>272</v>
      </c>
      <c r="Y12" s="17"/>
    </row>
    <row r="13" spans="1:25" ht="21" customHeight="1" x14ac:dyDescent="0.25">
      <c r="A13" s="8">
        <v>44510</v>
      </c>
      <c r="B13" s="108">
        <v>1.1520999999999999</v>
      </c>
      <c r="C13" s="109">
        <v>262.23</v>
      </c>
      <c r="D13" s="109">
        <v>7778437.4800000004</v>
      </c>
      <c r="E13" s="109">
        <v>8575634.7599999998</v>
      </c>
      <c r="F13" s="109">
        <v>2.7057000000000002</v>
      </c>
      <c r="G13" s="109">
        <v>856.97</v>
      </c>
      <c r="H13" s="109">
        <v>703.69</v>
      </c>
      <c r="I13" s="109">
        <v>273.86</v>
      </c>
      <c r="J13" s="109">
        <v>354.58</v>
      </c>
      <c r="K13" s="109">
        <v>379.04</v>
      </c>
      <c r="L13" s="109">
        <v>260.70999999999998</v>
      </c>
      <c r="M13" s="109">
        <v>618.98</v>
      </c>
      <c r="N13" s="109">
        <v>572.51</v>
      </c>
      <c r="O13" s="109">
        <v>180.17</v>
      </c>
      <c r="P13" s="109">
        <v>747.13</v>
      </c>
      <c r="Q13" s="109">
        <v>551.91999999999996</v>
      </c>
      <c r="R13" s="109">
        <v>190.15</v>
      </c>
      <c r="S13" s="109">
        <v>131.09</v>
      </c>
      <c r="T13" s="109">
        <v>481.42</v>
      </c>
      <c r="V13" s="103">
        <v>48</v>
      </c>
      <c r="W13" s="103">
        <v>110</v>
      </c>
      <c r="X13" s="103">
        <v>307</v>
      </c>
      <c r="Y13" s="17"/>
    </row>
    <row r="14" spans="1:25" ht="21" customHeight="1" x14ac:dyDescent="0.25">
      <c r="A14" s="8">
        <v>44511</v>
      </c>
      <c r="B14" s="108">
        <v>1.1531</v>
      </c>
      <c r="C14" s="109">
        <v>262.48</v>
      </c>
      <c r="D14" s="109">
        <v>7780769.1399999997</v>
      </c>
      <c r="E14" s="109">
        <v>8578677.6999999993</v>
      </c>
      <c r="F14" s="109">
        <v>2.7082999999999999</v>
      </c>
      <c r="G14" s="109">
        <v>857.91</v>
      </c>
      <c r="H14" s="109">
        <v>704.6</v>
      </c>
      <c r="I14" s="109">
        <v>274.14</v>
      </c>
      <c r="J14" s="109">
        <v>354.95</v>
      </c>
      <c r="K14" s="109">
        <v>379.38</v>
      </c>
      <c r="L14" s="109">
        <v>260.92</v>
      </c>
      <c r="M14" s="109">
        <v>619.77</v>
      </c>
      <c r="N14" s="109">
        <v>573.44000000000005</v>
      </c>
      <c r="O14" s="109">
        <v>180.26</v>
      </c>
      <c r="P14" s="109">
        <v>748.34</v>
      </c>
      <c r="Q14" s="109">
        <v>552.77</v>
      </c>
      <c r="R14" s="109">
        <v>190.15</v>
      </c>
      <c r="S14" s="109">
        <v>131.22999999999999</v>
      </c>
      <c r="T14" s="109">
        <v>481.92</v>
      </c>
      <c r="V14" s="103">
        <v>49</v>
      </c>
      <c r="W14" s="103">
        <v>125</v>
      </c>
      <c r="X14" s="103">
        <v>330</v>
      </c>
      <c r="Y14" s="17"/>
    </row>
    <row r="15" spans="1:25" ht="21" customHeight="1" x14ac:dyDescent="0.25">
      <c r="A15" s="8">
        <v>44512</v>
      </c>
      <c r="B15" s="108">
        <v>1.1541999999999999</v>
      </c>
      <c r="C15" s="109">
        <v>262.72000000000003</v>
      </c>
      <c r="D15" s="109">
        <v>7783275.1299999999</v>
      </c>
      <c r="E15" s="109">
        <v>8581616.3699999992</v>
      </c>
      <c r="F15" s="109">
        <v>2.7109000000000001</v>
      </c>
      <c r="G15" s="109">
        <v>858.91</v>
      </c>
      <c r="H15" s="109">
        <v>705.54</v>
      </c>
      <c r="I15" s="109">
        <v>274.43</v>
      </c>
      <c r="J15" s="109">
        <v>355.38</v>
      </c>
      <c r="K15" s="109">
        <v>379.74</v>
      </c>
      <c r="L15" s="109">
        <v>261.14999999999998</v>
      </c>
      <c r="M15" s="109">
        <v>620.59</v>
      </c>
      <c r="N15" s="109">
        <v>574.41999999999996</v>
      </c>
      <c r="O15" s="109">
        <v>180.38</v>
      </c>
      <c r="P15" s="109">
        <v>749.49</v>
      </c>
      <c r="Q15" s="109">
        <v>553.6</v>
      </c>
      <c r="R15" s="109">
        <v>190.15</v>
      </c>
      <c r="S15" s="109">
        <v>131.4</v>
      </c>
      <c r="T15" s="109">
        <v>482.39</v>
      </c>
      <c r="V15" s="103"/>
      <c r="W15" s="103"/>
      <c r="X15" s="103"/>
      <c r="Y15" s="17"/>
    </row>
    <row r="16" spans="1:25" ht="21" customHeight="1" x14ac:dyDescent="0.25">
      <c r="A16" s="8">
        <v>44513</v>
      </c>
      <c r="B16" s="108">
        <v>1.1553</v>
      </c>
      <c r="C16" s="109">
        <v>263</v>
      </c>
      <c r="D16" s="109">
        <v>7785691.7699999996</v>
      </c>
      <c r="E16" s="109">
        <v>8584174.4600000009</v>
      </c>
      <c r="F16" s="109">
        <v>2.7136</v>
      </c>
      <c r="G16" s="109">
        <v>859.91</v>
      </c>
      <c r="H16" s="109">
        <v>706.45</v>
      </c>
      <c r="I16" s="109">
        <v>274.72000000000003</v>
      </c>
      <c r="J16" s="109">
        <v>355.74</v>
      </c>
      <c r="K16" s="109">
        <v>380.02</v>
      </c>
      <c r="L16" s="109">
        <v>261.36</v>
      </c>
      <c r="M16" s="109">
        <v>621.41</v>
      </c>
      <c r="N16" s="109">
        <v>575.39</v>
      </c>
      <c r="O16" s="109">
        <v>180.51</v>
      </c>
      <c r="P16" s="109">
        <v>750.5</v>
      </c>
      <c r="Q16" s="109">
        <v>554.42999999999995</v>
      </c>
      <c r="R16" s="109">
        <v>190.15</v>
      </c>
      <c r="S16" s="109">
        <v>131.54</v>
      </c>
      <c r="T16" s="109">
        <v>482.65</v>
      </c>
      <c r="V16" s="103"/>
      <c r="W16" s="103"/>
      <c r="X16" s="103"/>
      <c r="Y16" s="17"/>
    </row>
    <row r="17" spans="1:25" ht="21" customHeight="1" x14ac:dyDescent="0.25">
      <c r="A17" s="8">
        <v>44514</v>
      </c>
      <c r="B17" s="108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V17" s="103"/>
      <c r="W17" s="103"/>
      <c r="X17" s="103"/>
      <c r="Y17" s="17"/>
    </row>
    <row r="18" spans="1:25" ht="21" customHeight="1" x14ac:dyDescent="0.25">
      <c r="A18" s="8">
        <v>44515</v>
      </c>
      <c r="B18" s="108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V18" s="103"/>
      <c r="W18" s="103"/>
      <c r="X18" s="103"/>
      <c r="Y18" s="17"/>
    </row>
    <row r="19" spans="1:25" ht="21" customHeight="1" x14ac:dyDescent="0.25">
      <c r="A19" s="8">
        <v>44516</v>
      </c>
      <c r="B19" s="108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V19" s="103"/>
      <c r="W19" s="103"/>
      <c r="X19" s="103"/>
      <c r="Y19" s="17"/>
    </row>
    <row r="20" spans="1:25" ht="21" customHeight="1" x14ac:dyDescent="0.25">
      <c r="A20" s="8">
        <v>44517</v>
      </c>
      <c r="B20" s="108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V20" s="103"/>
      <c r="W20" s="103"/>
      <c r="X20" s="103"/>
      <c r="Y20" s="17"/>
    </row>
    <row r="21" spans="1:25" ht="21" customHeight="1" x14ac:dyDescent="0.25">
      <c r="A21" s="8">
        <v>44518</v>
      </c>
      <c r="B21" s="108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V21" s="103"/>
      <c r="W21" s="103"/>
      <c r="X21" s="103"/>
      <c r="Y21" s="17"/>
    </row>
    <row r="22" spans="1:25" ht="21" customHeight="1" x14ac:dyDescent="0.25">
      <c r="A22" s="8">
        <v>44519</v>
      </c>
      <c r="B22" s="108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13"/>
      <c r="S22" s="109"/>
      <c r="T22" s="109"/>
      <c r="V22" s="103"/>
      <c r="W22" s="103"/>
      <c r="X22" s="103"/>
      <c r="Y22" s="17"/>
    </row>
    <row r="23" spans="1:25" ht="21" customHeight="1" x14ac:dyDescent="0.25">
      <c r="A23" s="8">
        <v>44520</v>
      </c>
      <c r="B23" s="108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V23" s="103"/>
      <c r="W23" s="103"/>
      <c r="X23" s="103"/>
      <c r="Y23" s="17"/>
    </row>
    <row r="24" spans="1:25" ht="21" customHeight="1" x14ac:dyDescent="0.25">
      <c r="A24" s="8">
        <v>44521</v>
      </c>
      <c r="B24" s="108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V24" s="103"/>
      <c r="W24" s="103"/>
      <c r="X24" s="103"/>
      <c r="Y24" s="17"/>
    </row>
    <row r="25" spans="1:25" ht="21" customHeight="1" x14ac:dyDescent="0.25">
      <c r="A25" s="8">
        <v>44522</v>
      </c>
      <c r="B25" s="108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V25" s="103"/>
      <c r="W25" s="103"/>
      <c r="X25" s="103"/>
      <c r="Y25" s="17"/>
    </row>
    <row r="26" spans="1:25" ht="21" customHeight="1" x14ac:dyDescent="0.25">
      <c r="A26" s="8">
        <v>44523</v>
      </c>
      <c r="B26" s="108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V26" s="103"/>
      <c r="W26" s="103"/>
      <c r="X26" s="103"/>
      <c r="Y26" s="17"/>
    </row>
    <row r="27" spans="1:25" ht="21" customHeight="1" x14ac:dyDescent="0.25">
      <c r="A27" s="8">
        <v>44524</v>
      </c>
      <c r="B27" s="108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V27" s="103"/>
      <c r="W27" s="103"/>
      <c r="X27" s="103"/>
      <c r="Y27" s="17"/>
    </row>
    <row r="28" spans="1:25" ht="21" customHeight="1" x14ac:dyDescent="0.25">
      <c r="A28" s="8">
        <v>44525</v>
      </c>
      <c r="B28" s="108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V28" s="103"/>
      <c r="W28" s="103"/>
      <c r="X28" s="103"/>
      <c r="Y28" s="17"/>
    </row>
    <row r="29" spans="1:25" ht="21" customHeight="1" x14ac:dyDescent="0.25">
      <c r="A29" s="8">
        <v>44526</v>
      </c>
      <c r="B29" s="108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V29" s="103"/>
      <c r="W29" s="103"/>
      <c r="X29" s="103"/>
      <c r="Y29" s="17"/>
    </row>
    <row r="30" spans="1:25" ht="21" customHeight="1" x14ac:dyDescent="0.25">
      <c r="A30" s="8">
        <v>44527</v>
      </c>
      <c r="B30" s="108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V30" s="103"/>
      <c r="W30" s="103"/>
      <c r="X30" s="103"/>
      <c r="Y30" s="17"/>
    </row>
    <row r="31" spans="1:25" ht="21" customHeight="1" x14ac:dyDescent="0.25">
      <c r="A31" s="8">
        <v>44528</v>
      </c>
      <c r="B31" s="108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V31" s="103"/>
      <c r="W31" s="103"/>
      <c r="X31" s="103"/>
      <c r="Y31" s="17"/>
    </row>
    <row r="32" spans="1:25" ht="21" customHeight="1" x14ac:dyDescent="0.25">
      <c r="A32" s="8">
        <v>44529</v>
      </c>
      <c r="B32" s="106"/>
      <c r="C32" s="106"/>
      <c r="D32" s="106"/>
      <c r="E32" s="114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14"/>
      <c r="T32" s="106"/>
      <c r="V32" s="103"/>
      <c r="W32" s="103"/>
      <c r="X32" s="103"/>
      <c r="Y32" s="17"/>
    </row>
    <row r="33" spans="1:25" ht="19.5" customHeight="1" x14ac:dyDescent="0.25">
      <c r="A33" s="8">
        <v>44530</v>
      </c>
      <c r="B33" s="106"/>
      <c r="C33" s="114"/>
      <c r="D33" s="106"/>
      <c r="E33" s="114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14"/>
      <c r="T33" s="106"/>
      <c r="V33" s="103"/>
      <c r="W33" s="103"/>
      <c r="X33" s="103"/>
      <c r="Y33" s="17"/>
    </row>
    <row r="34" spans="1:25" ht="19.5" customHeight="1" x14ac:dyDescent="0.25">
      <c r="A34" s="8">
        <v>44531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103"/>
      <c r="W34" s="103"/>
      <c r="X34" s="103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512</v>
      </c>
      <c r="W35" s="75">
        <f>SUM(W4:W34)</f>
        <v>1239</v>
      </c>
      <c r="X35" s="75">
        <f>SUM(X4:X34)</f>
        <v>3533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8" sqref="B48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2" t="s">
        <v>31</v>
      </c>
      <c r="B2" s="124" t="s">
        <v>32</v>
      </c>
      <c r="C2" s="124" t="s">
        <v>33</v>
      </c>
      <c r="D2" s="124" t="s">
        <v>119</v>
      </c>
      <c r="E2" s="132" t="s">
        <v>34</v>
      </c>
      <c r="F2" s="139" t="s">
        <v>35</v>
      </c>
      <c r="G2" s="140"/>
      <c r="H2" s="141"/>
      <c r="I2" s="142" t="s">
        <v>36</v>
      </c>
      <c r="J2" s="142" t="s">
        <v>37</v>
      </c>
      <c r="K2" s="142" t="s">
        <v>38</v>
      </c>
      <c r="L2" s="142" t="s">
        <v>39</v>
      </c>
      <c r="M2" s="143" t="s">
        <v>40</v>
      </c>
      <c r="N2" s="143"/>
      <c r="O2" s="143"/>
      <c r="P2" s="143"/>
      <c r="Q2" s="143"/>
      <c r="R2" s="143"/>
      <c r="S2" s="142" t="s">
        <v>41</v>
      </c>
      <c r="T2" s="142"/>
      <c r="U2" s="144" t="s">
        <v>42</v>
      </c>
      <c r="V2" s="142" t="s">
        <v>43</v>
      </c>
    </row>
    <row r="3" spans="1:22" x14ac:dyDescent="0.25">
      <c r="A3" s="133"/>
      <c r="B3" s="125"/>
      <c r="C3" s="125"/>
      <c r="D3" s="125"/>
      <c r="E3" s="133"/>
      <c r="F3" s="6" t="s">
        <v>27</v>
      </c>
      <c r="G3" s="6" t="s">
        <v>28</v>
      </c>
      <c r="H3" s="6" t="s">
        <v>29</v>
      </c>
      <c r="I3" s="142"/>
      <c r="J3" s="142"/>
      <c r="K3" s="142"/>
      <c r="L3" s="142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4"/>
      <c r="V3" s="142"/>
    </row>
    <row r="4" spans="1:22" x14ac:dyDescent="0.25">
      <c r="A4" s="3">
        <f>'Kwh Reading'!A4</f>
        <v>44501</v>
      </c>
      <c r="B4" s="26">
        <v>25520</v>
      </c>
      <c r="C4" s="4">
        <f>('Kwh Reading'!T5-'Kwh Reading'!T4)*1000</f>
        <v>480.00000000001819</v>
      </c>
      <c r="D4" s="2">
        <f>('Kwh Reading'!F5-'Kwh Reading'!F4)*1000000</f>
        <v>2800.0000000001355</v>
      </c>
      <c r="E4" s="2">
        <f>('Kwh Reading'!C5-'Kwh Reading'!C4)*1000</f>
        <v>279.99999999997272</v>
      </c>
      <c r="F4" s="2">
        <f>('Kwh Reading'!J5-'Kwh Reading'!J4)*1000</f>
        <v>519.99999999998181</v>
      </c>
      <c r="G4" s="2">
        <f>('Kwh Reading'!K5-'Kwh Reading'!K4)*1000</f>
        <v>339.99999999997499</v>
      </c>
      <c r="H4" s="2">
        <f>('Kwh Reading'!L5-'Kwh Reading'!L4)*1000</f>
        <v>259.99999999999091</v>
      </c>
      <c r="I4" s="2">
        <f>('Kwh Reading'!R5-'Kwh Reading'!R4)*1000</f>
        <v>90.000000000003411</v>
      </c>
      <c r="J4" s="2">
        <f>('Kwh Reading'!S5-'Kwh Reading'!S4)*1000</f>
        <v>139.99999999998636</v>
      </c>
      <c r="K4" s="2">
        <f>('Kwh Reading'!I5-'Kwh Reading'!I4)*1000</f>
        <v>240.00000000000909</v>
      </c>
      <c r="L4" s="2">
        <f>('Kwh Reading'!B5-'Kwh Reading'!B4)*1000000</f>
        <v>1099.9999999998788</v>
      </c>
      <c r="M4" s="2">
        <f>('Kwh Reading'!M5-'Kwh Reading'!M4)*1000</f>
        <v>879.99999999999545</v>
      </c>
      <c r="N4" s="2">
        <f>('Kwh Reading'!H5-'Kwh Reading'!H4)*1000</f>
        <v>689.99999999994088</v>
      </c>
      <c r="O4" s="2">
        <f>('Kwh Reading'!P5-'Kwh Reading'!P4)*1000</f>
        <v>1079.9999999999272</v>
      </c>
      <c r="P4" s="2">
        <f>('Kwh Reading'!G5-'Kwh Reading'!G4)*1000</f>
        <v>779.99999999997272</v>
      </c>
      <c r="Q4" s="2">
        <f>('Kwh Reading'!Q5-'Kwh Reading'!Q4)*1000</f>
        <v>810.00000000005912</v>
      </c>
      <c r="R4" s="2">
        <f>('Kwh Reading'!N5-'Kwh Reading'!N4)*1000</f>
        <v>779.99999999997272</v>
      </c>
      <c r="S4" s="2">
        <f>'Kwh Reading'!E5-'Kwh Reading'!E4</f>
        <v>2879.4699999988079</v>
      </c>
      <c r="T4" s="2">
        <f>'Kwh Reading'!D5-'Kwh Reading'!D4</f>
        <v>1978.1899999994785</v>
      </c>
      <c r="U4" s="27">
        <f>('Kwh Reading'!O5-'Kwh Reading'!O4)*1000</f>
        <v>229.99999999998977</v>
      </c>
      <c r="V4" s="16">
        <f>B4-(SUM(C4:U4))</f>
        <v>9162.3400000019046</v>
      </c>
    </row>
    <row r="5" spans="1:22" x14ac:dyDescent="0.25">
      <c r="A5" s="3">
        <f>'Kwh Reading'!A5</f>
        <v>44502</v>
      </c>
      <c r="B5" s="26">
        <f>TOTAL!E3</f>
        <v>22119.999999998297</v>
      </c>
      <c r="C5" s="4">
        <f>('Kwh Reading'!T6-'Kwh Reading'!T5)*1000</f>
        <v>579.99999999998408</v>
      </c>
      <c r="D5" s="2">
        <f>('Kwh Reading'!F6-'Kwh Reading'!F5)*1000000</f>
        <v>2600.0000000001578</v>
      </c>
      <c r="E5" s="2">
        <f>('Kwh Reading'!C6-'Kwh Reading'!C5)*1000</f>
        <v>240.00000000000909</v>
      </c>
      <c r="F5" s="2">
        <f>('Kwh Reading'!J6-'Kwh Reading'!J5)*1000</f>
        <v>430.00000000000682</v>
      </c>
      <c r="G5" s="2">
        <f>('Kwh Reading'!K6-'Kwh Reading'!K5)*1000</f>
        <v>310.00000000000227</v>
      </c>
      <c r="H5" s="2">
        <f>('Kwh Reading'!L6-'Kwh Reading'!L5)*1000</f>
        <v>199.99999999998863</v>
      </c>
      <c r="I5" s="2">
        <f>('Kwh Reading'!R6-'Kwh Reading'!R5)*1000</f>
        <v>219.99999999999886</v>
      </c>
      <c r="J5" s="2">
        <f>('Kwh Reading'!S6-'Kwh Reading'!S5)*1000</f>
        <v>129.99999999999545</v>
      </c>
      <c r="K5" s="2">
        <f>('Kwh Reading'!I6-'Kwh Reading'!I5)*1000</f>
        <v>199.99999999998863</v>
      </c>
      <c r="L5" s="2">
        <f>('Kwh Reading'!B6-'Kwh Reading'!B5)*1000000</f>
        <v>1100.000000000101</v>
      </c>
      <c r="M5" s="2">
        <f>('Kwh Reading'!M6-'Kwh Reading'!M5)*1000</f>
        <v>769.99999999998181</v>
      </c>
      <c r="N5" s="2">
        <f>('Kwh Reading'!H6-'Kwh Reading'!H5)*1000</f>
        <v>640.00000000010004</v>
      </c>
      <c r="O5" s="2">
        <f>('Kwh Reading'!P6-'Kwh Reading'!P5)*1000</f>
        <v>1050.0000000000682</v>
      </c>
      <c r="P5" s="2">
        <f>('Kwh Reading'!G6-'Kwh Reading'!G5)*1000</f>
        <v>720.00000000002728</v>
      </c>
      <c r="Q5" s="2">
        <f>('Kwh Reading'!Q6-'Kwh Reading'!Q5)*1000</f>
        <v>689.99999999994088</v>
      </c>
      <c r="R5" s="2">
        <f>('Kwh Reading'!N6-'Kwh Reading'!N5)*1000</f>
        <v>810.00000000005912</v>
      </c>
      <c r="S5" s="2">
        <f>'Kwh Reading'!E6-'Kwh Reading'!E5</f>
        <v>2805.7100000008941</v>
      </c>
      <c r="T5" s="2">
        <f>'Kwh Reading'!D6-'Kwh Reading'!D5</f>
        <v>1989.4500000001863</v>
      </c>
      <c r="U5" s="27">
        <f>('Kwh Reading'!O6-'Kwh Reading'!O5)*1000</f>
        <v>150.00000000000568</v>
      </c>
      <c r="V5" s="16">
        <f t="shared" ref="V5:V11" si="0">B5-(SUM(C5:U5))</f>
        <v>6484.8399999968005</v>
      </c>
    </row>
    <row r="6" spans="1:22" x14ac:dyDescent="0.25">
      <c r="A6" s="3">
        <f>'Kwh Reading'!A6</f>
        <v>44503</v>
      </c>
      <c r="B6" s="26">
        <f>TOTAL!E4</f>
        <v>17889.999999999643</v>
      </c>
      <c r="C6" s="4">
        <f>('Kwh Reading'!T7-'Kwh Reading'!T6)*1000</f>
        <v>430.00000000000682</v>
      </c>
      <c r="D6" s="2">
        <f>('Kwh Reading'!F7-'Kwh Reading'!F6)*1000000</f>
        <v>2599.9999999997135</v>
      </c>
      <c r="E6" s="2">
        <f>('Kwh Reading'!C7-'Kwh Reading'!C6)*1000</f>
        <v>279.99999999997272</v>
      </c>
      <c r="F6" s="2">
        <f>('Kwh Reading'!J7-'Kwh Reading'!J6)*1000</f>
        <v>520.00000000003865</v>
      </c>
      <c r="G6" s="2">
        <f>('Kwh Reading'!K7-'Kwh Reading'!K6)*1000</f>
        <v>319.99999999999318</v>
      </c>
      <c r="H6" s="2">
        <f>('Kwh Reading'!L7-'Kwh Reading'!L6)*1000</f>
        <v>230.00000000001819</v>
      </c>
      <c r="I6" s="2">
        <f>('Kwh Reading'!R7-'Kwh Reading'!R6)*1000</f>
        <v>240.00000000000909</v>
      </c>
      <c r="J6" s="2">
        <f>('Kwh Reading'!S7-'Kwh Reading'!S6)*1000</f>
        <v>130.00000000002387</v>
      </c>
      <c r="K6" s="2">
        <f>('Kwh Reading'!I7-'Kwh Reading'!I6)*1000</f>
        <v>170.00000000001592</v>
      </c>
      <c r="L6" s="2">
        <f>('Kwh Reading'!B7-'Kwh Reading'!B6)*1000000</f>
        <v>999.99999999988984</v>
      </c>
      <c r="M6" s="2">
        <f>('Kwh Reading'!M7-'Kwh Reading'!M6)*1000</f>
        <v>640.00000000010004</v>
      </c>
      <c r="N6" s="2">
        <f>('Kwh Reading'!H7-'Kwh Reading'!H6)*1000</f>
        <v>449.99999999993179</v>
      </c>
      <c r="O6" s="2">
        <f>('Kwh Reading'!P7-'Kwh Reading'!P6)*1000</f>
        <v>819.99999999993634</v>
      </c>
      <c r="P6" s="2">
        <f>('Kwh Reading'!G7-'Kwh Reading'!G6)*1000</f>
        <v>689.99999999994088</v>
      </c>
      <c r="Q6" s="2">
        <f>('Kwh Reading'!Q7-'Kwh Reading'!Q6)*1000</f>
        <v>420.00000000007276</v>
      </c>
      <c r="R6" s="2">
        <f>('Kwh Reading'!N7-'Kwh Reading'!N6)*1000</f>
        <v>609.99999999989996</v>
      </c>
      <c r="S6" s="2">
        <f>'Kwh Reading'!E7-'Kwh Reading'!E6</f>
        <v>2284.609999999404</v>
      </c>
      <c r="T6" s="2">
        <f>'Kwh Reading'!D7-'Kwh Reading'!D6</f>
        <v>1504.1900000004098</v>
      </c>
      <c r="U6" s="27">
        <f>('Kwh Reading'!O7-'Kwh Reading'!O6)*1000</f>
        <v>159.99999999999659</v>
      </c>
      <c r="V6" s="16">
        <f t="shared" si="0"/>
        <v>4391.2000000002681</v>
      </c>
    </row>
    <row r="7" spans="1:22" x14ac:dyDescent="0.25">
      <c r="A7" s="3">
        <f>'Kwh Reading'!A7</f>
        <v>44504</v>
      </c>
      <c r="B7" s="26">
        <v>18870</v>
      </c>
      <c r="C7" s="4">
        <f>('Kwh Reading'!T8-'Kwh Reading'!T7)*1000</f>
        <v>270.00000000003865</v>
      </c>
      <c r="D7" s="2">
        <f>('Kwh Reading'!F8-'Kwh Reading'!F7)*1000000</f>
        <v>2699.9999999999245</v>
      </c>
      <c r="E7" s="2">
        <f>('Kwh Reading'!C8-'Kwh Reading'!C7)*1000</f>
        <v>260.00000000004775</v>
      </c>
      <c r="F7" s="2">
        <f>('Kwh Reading'!J8-'Kwh Reading'!J7)*1000</f>
        <v>459.99999999997954</v>
      </c>
      <c r="G7" s="2">
        <f>('Kwh Reading'!K8-'Kwh Reading'!K7)*1000</f>
        <v>339.99999999997499</v>
      </c>
      <c r="H7" s="2">
        <f>('Kwh Reading'!L8-'Kwh Reading'!L7)*1000</f>
        <v>240.00000000000909</v>
      </c>
      <c r="I7" s="2">
        <f>('Kwh Reading'!R8-'Kwh Reading'!R7)*1000</f>
        <v>159.99999999999659</v>
      </c>
      <c r="J7" s="2">
        <f>('Kwh Reading'!S8-'Kwh Reading'!S7)*1000</f>
        <v>119.99999999997613</v>
      </c>
      <c r="K7" s="2">
        <f>('Kwh Reading'!I8-'Kwh Reading'!I7)*1000</f>
        <v>189.99999999999773</v>
      </c>
      <c r="L7" s="2">
        <f>('Kwh Reading'!B8-'Kwh Reading'!B7)*1000000</f>
        <v>1000.0000000001119</v>
      </c>
      <c r="M7" s="2">
        <f>('Kwh Reading'!M8-'Kwh Reading'!M7)*1000</f>
        <v>649.99999999997726</v>
      </c>
      <c r="N7" s="2">
        <f>('Kwh Reading'!H8-'Kwh Reading'!H7)*1000</f>
        <v>509.99999999999091</v>
      </c>
      <c r="O7" s="2">
        <f>('Kwh Reading'!P8-'Kwh Reading'!P7)*1000</f>
        <v>810.00000000005912</v>
      </c>
      <c r="P7" s="2">
        <f>('Kwh Reading'!G8-'Kwh Reading'!G7)*1000</f>
        <v>690.00000000005457</v>
      </c>
      <c r="Q7" s="2">
        <f>('Kwh Reading'!Q8-'Kwh Reading'!Q7)*1000</f>
        <v>519.99999999998181</v>
      </c>
      <c r="R7" s="2">
        <f>('Kwh Reading'!N8-'Kwh Reading'!N7)*1000</f>
        <v>640.00000000010004</v>
      </c>
      <c r="S7" s="2">
        <f>'Kwh Reading'!E8-'Kwh Reading'!E7</f>
        <v>1826.0099999997765</v>
      </c>
      <c r="T7" s="2">
        <f>'Kwh Reading'!D8-'Kwh Reading'!D7</f>
        <v>1427.7299999995157</v>
      </c>
      <c r="U7" s="27">
        <f>('Kwh Reading'!O8-'Kwh Reading'!O7)*1000</f>
        <v>150.00000000000568</v>
      </c>
      <c r="V7" s="16">
        <f t="shared" si="0"/>
        <v>5906.2600000004823</v>
      </c>
    </row>
    <row r="8" spans="1:22" x14ac:dyDescent="0.25">
      <c r="A8" s="3">
        <f>'Kwh Reading'!A8</f>
        <v>44505</v>
      </c>
      <c r="B8" s="26">
        <f>TOTAL!E6</f>
        <v>20169.999999999389</v>
      </c>
      <c r="C8" s="4">
        <f>('Kwh Reading'!T9-'Kwh Reading'!T8)*1000</f>
        <v>489.99999999995225</v>
      </c>
      <c r="D8" s="2">
        <f>('Kwh Reading'!F9-'Kwh Reading'!F8)*1000000</f>
        <v>2499.9999999999468</v>
      </c>
      <c r="E8" s="2">
        <f>('Kwh Reading'!C9-'Kwh Reading'!C8)*1000</f>
        <v>250</v>
      </c>
      <c r="F8" s="2">
        <f>('Kwh Reading'!J9-'Kwh Reading'!J8)*1000</f>
        <v>439.99999999999773</v>
      </c>
      <c r="G8" s="2">
        <f>('Kwh Reading'!K9-'Kwh Reading'!K8)*1000</f>
        <v>320.00000000005002</v>
      </c>
      <c r="H8" s="2">
        <f>('Kwh Reading'!L9-'Kwh Reading'!L8)*1000</f>
        <v>219.99999999997044</v>
      </c>
      <c r="I8" s="2">
        <f>('Kwh Reading'!R9-'Kwh Reading'!R8)*1000</f>
        <v>99.999999999994316</v>
      </c>
      <c r="J8" s="2">
        <f>('Kwh Reading'!S9-'Kwh Reading'!S8)*1000</f>
        <v>120.00000000000455</v>
      </c>
      <c r="K8" s="2">
        <f>('Kwh Reading'!I9-'Kwh Reading'!I8)*1000</f>
        <v>170.00000000001592</v>
      </c>
      <c r="L8" s="2">
        <f>('Kwh Reading'!B9-'Kwh Reading'!B8)*1000000</f>
        <v>1099.9999999998788</v>
      </c>
      <c r="M8" s="2">
        <f>('Kwh Reading'!M9-'Kwh Reading'!M8)*1000</f>
        <v>679.99999999994998</v>
      </c>
      <c r="N8" s="2">
        <f>('Kwh Reading'!H9-'Kwh Reading'!H8)*1000</f>
        <v>670.00000000007276</v>
      </c>
      <c r="O8" s="2">
        <f>('Kwh Reading'!P9-'Kwh Reading'!P8)*1000</f>
        <v>870.00000000000455</v>
      </c>
      <c r="P8" s="2">
        <f>('Kwh Reading'!G9-'Kwh Reading'!G8)*1000</f>
        <v>740.00000000000909</v>
      </c>
      <c r="Q8" s="2">
        <f>('Kwh Reading'!Q9-'Kwh Reading'!Q8)*1000</f>
        <v>580.00000000004093</v>
      </c>
      <c r="R8" s="2">
        <f>('Kwh Reading'!N9-'Kwh Reading'!N8)*1000</f>
        <v>769.99999999998181</v>
      </c>
      <c r="S8" s="2">
        <f>'Kwh Reading'!E9-'Kwh Reading'!E8</f>
        <v>2368.3800000008196</v>
      </c>
      <c r="T8" s="2">
        <f>'Kwh Reading'!D9-'Kwh Reading'!D8</f>
        <v>1713.160000000149</v>
      </c>
      <c r="U8" s="27">
        <f>('Kwh Reading'!O9-'Kwh Reading'!O8)*1000</f>
        <v>150.00000000000568</v>
      </c>
      <c r="V8" s="16">
        <f t="shared" si="0"/>
        <v>5918.4599999985458</v>
      </c>
    </row>
    <row r="9" spans="1:22" x14ac:dyDescent="0.25">
      <c r="A9" s="3">
        <f>'Kwh Reading'!A9</f>
        <v>44506</v>
      </c>
      <c r="B9" s="26">
        <f>TOTAL!E7</f>
        <v>21860.000000001037</v>
      </c>
      <c r="C9" s="4">
        <f>('Kwh Reading'!T10-'Kwh Reading'!T9)*1000</f>
        <v>520.00000000003865</v>
      </c>
      <c r="D9" s="2">
        <f>('Kwh Reading'!F10-'Kwh Reading'!F9)*1000000</f>
        <v>2800.0000000001355</v>
      </c>
      <c r="E9" s="2">
        <f>('Kwh Reading'!C10-'Kwh Reading'!C9)*1000</f>
        <v>289.99999999996362</v>
      </c>
      <c r="F9" s="2">
        <f>('Kwh Reading'!J10-'Kwh Reading'!J9)*1000</f>
        <v>399.99999999997726</v>
      </c>
      <c r="G9" s="2">
        <f>('Kwh Reading'!K10-'Kwh Reading'!K9)*1000</f>
        <v>370.00000000000455</v>
      </c>
      <c r="H9" s="2">
        <f>('Kwh Reading'!L10-'Kwh Reading'!L9)*1000</f>
        <v>240.00000000000909</v>
      </c>
      <c r="I9" s="2">
        <f>('Kwh Reading'!R10-'Kwh Reading'!R9)*1000</f>
        <v>100.00000000002274</v>
      </c>
      <c r="J9" s="2">
        <f>('Kwh Reading'!S10-'Kwh Reading'!S9)*1000</f>
        <v>120.00000000000455</v>
      </c>
      <c r="K9" s="2">
        <f>('Kwh Reading'!I10-'Kwh Reading'!I9)*1000</f>
        <v>219.99999999997044</v>
      </c>
      <c r="L9" s="2">
        <f>('Kwh Reading'!B10-'Kwh Reading'!B9)*1000000</f>
        <v>1000.0000000001119</v>
      </c>
      <c r="M9" s="2">
        <f>('Kwh Reading'!M10-'Kwh Reading'!M9)*1000</f>
        <v>820.00000000005002</v>
      </c>
      <c r="N9" s="2">
        <f>('Kwh Reading'!H10-'Kwh Reading'!H9)*1000</f>
        <v>699.99999999993179</v>
      </c>
      <c r="O9" s="2">
        <f>('Kwh Reading'!P10-'Kwh Reading'!P9)*1000</f>
        <v>1000</v>
      </c>
      <c r="P9" s="2">
        <f>('Kwh Reading'!G10-'Kwh Reading'!G9)*1000</f>
        <v>789.99999999996362</v>
      </c>
      <c r="Q9" s="2">
        <f>('Kwh Reading'!Q10-'Kwh Reading'!Q9)*1000</f>
        <v>739.99999999989541</v>
      </c>
      <c r="R9" s="2">
        <f>('Kwh Reading'!N10-'Kwh Reading'!N9)*1000</f>
        <v>909.99999999996817</v>
      </c>
      <c r="S9" s="2">
        <f>'Kwh Reading'!E10-'Kwh Reading'!E9</f>
        <v>2866.0299999993294</v>
      </c>
      <c r="T9" s="2">
        <f>'Kwh Reading'!D10-'Kwh Reading'!D9</f>
        <v>1727.9000000003725</v>
      </c>
      <c r="U9" s="27">
        <f>('Kwh Reading'!O10-'Kwh Reading'!O9)*1000</f>
        <v>119.99999999997613</v>
      </c>
      <c r="V9" s="16">
        <f t="shared" si="0"/>
        <v>6126.0700000013112</v>
      </c>
    </row>
    <row r="10" spans="1:22" x14ac:dyDescent="0.25">
      <c r="A10" s="3">
        <f>'Kwh Reading'!A10</f>
        <v>44507</v>
      </c>
      <c r="B10" s="26">
        <f>TOTAL!E8</f>
        <v>21589.99999999992</v>
      </c>
      <c r="C10" s="4">
        <f>('Kwh Reading'!T11-'Kwh Reading'!T10)*1000</f>
        <v>479.99999999996135</v>
      </c>
      <c r="D10" s="2">
        <f>('Kwh Reading'!F11-'Kwh Reading'!F10)*1000000</f>
        <v>2600.0000000001578</v>
      </c>
      <c r="E10" s="2">
        <f>('Kwh Reading'!C11-'Kwh Reading'!C10)*1000</f>
        <v>240.00000000000909</v>
      </c>
      <c r="F10" s="2">
        <f>('Kwh Reading'!J11-'Kwh Reading'!J10)*1000</f>
        <v>400.00000000003411</v>
      </c>
      <c r="G10" s="2">
        <f>('Kwh Reading'!K11-'Kwh Reading'!K10)*1000</f>
        <v>319.99999999999318</v>
      </c>
      <c r="H10" s="2">
        <f>('Kwh Reading'!L11-'Kwh Reading'!L10)*1000</f>
        <v>219.99999999997044</v>
      </c>
      <c r="I10" s="2">
        <f>('Kwh Reading'!R11-'Kwh Reading'!R10)*1000</f>
        <v>89.999999999974989</v>
      </c>
      <c r="J10" s="2">
        <f>('Kwh Reading'!S11-'Kwh Reading'!S10)*1000</f>
        <v>110.00000000001364</v>
      </c>
      <c r="K10" s="2">
        <f>('Kwh Reading'!I11-'Kwh Reading'!I10)*1000</f>
        <v>240.00000000000909</v>
      </c>
      <c r="L10" s="2">
        <f>('Kwh Reading'!B11-'Kwh Reading'!B10)*1000000</f>
        <v>999.99999999988984</v>
      </c>
      <c r="M10" s="2">
        <f>('Kwh Reading'!M11-'Kwh Reading'!M10)*1000</f>
        <v>679.99999999994998</v>
      </c>
      <c r="N10" s="2">
        <f>('Kwh Reading'!H11-'Kwh Reading'!H10)*1000</f>
        <v>659.99999999996817</v>
      </c>
      <c r="O10" s="2">
        <f>('Kwh Reading'!P11-'Kwh Reading'!P10)*1000</f>
        <v>1009.9999999999909</v>
      </c>
      <c r="P10" s="2">
        <f>('Kwh Reading'!G11-'Kwh Reading'!G10)*1000</f>
        <v>779.99999999997272</v>
      </c>
      <c r="Q10" s="2">
        <f>('Kwh Reading'!Q11-'Kwh Reading'!Q10)*1000</f>
        <v>690.00000000005457</v>
      </c>
      <c r="R10" s="2">
        <f>('Kwh Reading'!N11-'Kwh Reading'!N10)*1000</f>
        <v>929.99999999994998</v>
      </c>
      <c r="S10" s="33">
        <f>'Kwh Reading'!E11-'Kwh Reading'!E10</f>
        <v>2697.4199999999255</v>
      </c>
      <c r="T10" s="33">
        <f>'Kwh Reading'!D11-'Kwh Reading'!D10</f>
        <v>1869.9699999997392</v>
      </c>
      <c r="U10" s="27">
        <f>('Kwh Reading'!O11-'Kwh Reading'!O10)*1000</f>
        <v>120.00000000000455</v>
      </c>
      <c r="V10" s="16">
        <f t="shared" si="0"/>
        <v>6452.6100000003535</v>
      </c>
    </row>
    <row r="11" spans="1:22" x14ac:dyDescent="0.25">
      <c r="A11" s="3">
        <f>'Kwh Reading'!A11</f>
        <v>44508</v>
      </c>
      <c r="B11" s="26">
        <f>TOTAL!E9</f>
        <v>23069.999999998574</v>
      </c>
      <c r="C11" s="4">
        <f>('Kwh Reading'!T12-'Kwh Reading'!T11)*1000</f>
        <v>460.00000000003638</v>
      </c>
      <c r="D11" s="2">
        <f>('Kwh Reading'!F12-'Kwh Reading'!F11)*1000000</f>
        <v>2599.9999999997135</v>
      </c>
      <c r="E11" s="2">
        <f>('Kwh Reading'!C12-'Kwh Reading'!C11)*1000</f>
        <v>250</v>
      </c>
      <c r="F11" s="2">
        <f>('Kwh Reading'!J12-'Kwh Reading'!J11)*1000</f>
        <v>469.99999999997044</v>
      </c>
      <c r="G11" s="2">
        <f>('Kwh Reading'!K12-'Kwh Reading'!K11)*1000</f>
        <v>399.99999999997726</v>
      </c>
      <c r="H11" s="2">
        <f>('Kwh Reading'!L12-'Kwh Reading'!L11)*1000</f>
        <v>210.00000000003638</v>
      </c>
      <c r="I11" s="2">
        <f>('Kwh Reading'!R12-'Kwh Reading'!R11)*1000</f>
        <v>10.000000000019327</v>
      </c>
      <c r="J11" s="2">
        <f>('Kwh Reading'!S12-'Kwh Reading'!S11)*1000</f>
        <v>119.99999999997613</v>
      </c>
      <c r="K11" s="2">
        <f>('Kwh Reading'!I12-'Kwh Reading'!I11)*1000</f>
        <v>250</v>
      </c>
      <c r="L11" s="2">
        <f>('Kwh Reading'!B12-'Kwh Reading'!B11)*1000000</f>
        <v>1000.0000000001119</v>
      </c>
      <c r="M11" s="2">
        <f>('Kwh Reading'!M12-'Kwh Reading'!M11)*1000</f>
        <v>710.00000000003638</v>
      </c>
      <c r="N11" s="2">
        <f>('Kwh Reading'!H12-'Kwh Reading'!H11)*1000</f>
        <v>950.00000000004547</v>
      </c>
      <c r="O11" s="2">
        <f>('Kwh Reading'!P12-'Kwh Reading'!P11)*1000</f>
        <v>1250</v>
      </c>
      <c r="P11" s="2">
        <f>('Kwh Reading'!G12-'Kwh Reading'!G11)*1000</f>
        <v>779.99999999997272</v>
      </c>
      <c r="Q11" s="2">
        <f>('Kwh Reading'!Q12-'Kwh Reading'!Q11)*1000</f>
        <v>799.99999999995453</v>
      </c>
      <c r="R11" s="2">
        <f>('Kwh Reading'!N12-'Kwh Reading'!N11)*1000</f>
        <v>960.00000000003638</v>
      </c>
      <c r="S11" s="33">
        <f>'Kwh Reading'!E12-'Kwh Reading'!E11</f>
        <v>3231.410000000149</v>
      </c>
      <c r="T11" s="33">
        <f>'Kwh Reading'!D12-'Kwh Reading'!D11</f>
        <v>2194.769999999553</v>
      </c>
      <c r="U11" s="27">
        <f>('Kwh Reading'!O12-'Kwh Reading'!O11)*1000</f>
        <v>80.000000000012506</v>
      </c>
      <c r="V11" s="16">
        <f t="shared" si="0"/>
        <v>6343.8199999989738</v>
      </c>
    </row>
    <row r="12" spans="1:22" x14ac:dyDescent="0.25">
      <c r="A12" s="3">
        <f>'Kwh Reading'!A12</f>
        <v>44509</v>
      </c>
      <c r="B12" s="26">
        <f>TOTAL!E10</f>
        <v>22010.000000000673</v>
      </c>
      <c r="C12" s="4">
        <f>('Kwh Reading'!T13-'Kwh Reading'!T12)*1000</f>
        <v>500</v>
      </c>
      <c r="D12" s="2">
        <f>('Kwh Reading'!F13-'Kwh Reading'!F12)*1000000</f>
        <v>2300.0000000004129</v>
      </c>
      <c r="E12" s="2">
        <f>('Kwh Reading'!C13-'Kwh Reading'!C12)*1000</f>
        <v>230.00000000001819</v>
      </c>
      <c r="F12" s="2">
        <f>('Kwh Reading'!J13-'Kwh Reading'!J12)*1000</f>
        <v>370.00000000000455</v>
      </c>
      <c r="G12" s="2">
        <f>('Kwh Reading'!K13-'Kwh Reading'!K12)*1000</f>
        <v>350.00000000002274</v>
      </c>
      <c r="H12" s="2">
        <f>('Kwh Reading'!L13-'Kwh Reading'!L12)*1000</f>
        <v>219.99999999997044</v>
      </c>
      <c r="I12" s="2">
        <f>('Kwh Reading'!R13-'Kwh Reading'!R12)*1000</f>
        <v>0</v>
      </c>
      <c r="J12" s="2">
        <f>('Kwh Reading'!S13-'Kwh Reading'!S12)*1000</f>
        <v>170.00000000001592</v>
      </c>
      <c r="K12" s="2">
        <f>('Kwh Reading'!I13-'Kwh Reading'!I12)*1000</f>
        <v>240.00000000000909</v>
      </c>
      <c r="L12" s="2">
        <f>('Kwh Reading'!B13-'Kwh Reading'!B12)*1000000</f>
        <v>999.99999999988984</v>
      </c>
      <c r="M12" s="2">
        <f>('Kwh Reading'!M13-'Kwh Reading'!M12)*1000</f>
        <v>620.00000000000455</v>
      </c>
      <c r="N12" s="2">
        <f>('Kwh Reading'!H13-'Kwh Reading'!H12)*1000</f>
        <v>930.00000000006366</v>
      </c>
      <c r="O12" s="2">
        <f>('Kwh Reading'!P13-'Kwh Reading'!P12)*1000</f>
        <v>1149.9999999999773</v>
      </c>
      <c r="P12" s="2">
        <f>('Kwh Reading'!G13-'Kwh Reading'!G12)*1000</f>
        <v>910.00000000008185</v>
      </c>
      <c r="Q12" s="2">
        <f>('Kwh Reading'!Q13-'Kwh Reading'!Q12)*1000</f>
        <v>750</v>
      </c>
      <c r="R12" s="2">
        <f>('Kwh Reading'!N13-'Kwh Reading'!N12)*1000</f>
        <v>870.00000000000455</v>
      </c>
      <c r="S12" s="33">
        <f>'Kwh Reading'!E13-'Kwh Reading'!E12</f>
        <v>3123.6699999999255</v>
      </c>
      <c r="T12" s="33">
        <f>'Kwh Reading'!D13-'Kwh Reading'!D12</f>
        <v>2252.0900000007823</v>
      </c>
      <c r="U12" s="27">
        <f>('Kwh Reading'!O13-'Kwh Reading'!O12)*1000</f>
        <v>79.999999999984084</v>
      </c>
      <c r="V12" s="16">
        <f t="shared" ref="V12:V34" si="1">B12-(SUM(C12:U12))</f>
        <v>5944.239999999505</v>
      </c>
    </row>
    <row r="13" spans="1:22" x14ac:dyDescent="0.25">
      <c r="A13" s="3">
        <f>'Kwh Reading'!A13</f>
        <v>44510</v>
      </c>
      <c r="B13" s="26">
        <f>TOTAL!E11</f>
        <v>23249.999999999316</v>
      </c>
      <c r="C13" s="4">
        <f>('Kwh Reading'!T14-'Kwh Reading'!T13)*1000</f>
        <v>500</v>
      </c>
      <c r="D13" s="2">
        <f>('Kwh Reading'!F14-'Kwh Reading'!F13)*1000000</f>
        <v>2599.9999999997135</v>
      </c>
      <c r="E13" s="2">
        <f>('Kwh Reading'!C14-'Kwh Reading'!C13)*1000</f>
        <v>250</v>
      </c>
      <c r="F13" s="2">
        <f>('Kwh Reading'!J14-'Kwh Reading'!J13)*1000</f>
        <v>370.00000000000455</v>
      </c>
      <c r="G13" s="2">
        <f>('Kwh Reading'!K14-'Kwh Reading'!K13)*1000</f>
        <v>339.99999999997499</v>
      </c>
      <c r="H13" s="2">
        <f>('Kwh Reading'!L14-'Kwh Reading'!L13)*1000</f>
        <v>210.00000000003638</v>
      </c>
      <c r="I13" s="2">
        <f>('Kwh Reading'!R14-'Kwh Reading'!R13)*1000</f>
        <v>0</v>
      </c>
      <c r="J13" s="2">
        <f>('Kwh Reading'!S14-'Kwh Reading'!S13)*1000</f>
        <v>139.99999999998636</v>
      </c>
      <c r="K13" s="2">
        <f>('Kwh Reading'!I14-'Kwh Reading'!I13)*1000</f>
        <v>279.99999999997272</v>
      </c>
      <c r="L13" s="2">
        <f>('Kwh Reading'!B14-'Kwh Reading'!B13)*1000000</f>
        <v>1000.0000000001119</v>
      </c>
      <c r="M13" s="2">
        <f>('Kwh Reading'!M14-'Kwh Reading'!M13)*1000</f>
        <v>789.99999999996362</v>
      </c>
      <c r="N13" s="2">
        <f>('Kwh Reading'!H14-'Kwh Reading'!H13)*1000</f>
        <v>909.99999999996817</v>
      </c>
      <c r="O13" s="2">
        <f>('Kwh Reading'!P14-'Kwh Reading'!P13)*1000</f>
        <v>1210.0000000000364</v>
      </c>
      <c r="P13" s="2">
        <f>('Kwh Reading'!G14-'Kwh Reading'!G13)*1000</f>
        <v>939.99999999994088</v>
      </c>
      <c r="Q13" s="2">
        <f>('Kwh Reading'!Q14-'Kwh Reading'!Q13)*1000</f>
        <v>850.00000000002274</v>
      </c>
      <c r="R13" s="2">
        <f>('Kwh Reading'!N14-'Kwh Reading'!N13)*1000</f>
        <v>930.00000000006366</v>
      </c>
      <c r="S13" s="33">
        <f>'Kwh Reading'!E14-'Kwh Reading'!E13</f>
        <v>3042.9399999994785</v>
      </c>
      <c r="T13" s="33">
        <f>'Kwh Reading'!D14-'Kwh Reading'!D13</f>
        <v>2331.6599999992177</v>
      </c>
      <c r="U13" s="27">
        <f>('Kwh Reading'!O14-'Kwh Reading'!O13)*1000</f>
        <v>90.000000000003411</v>
      </c>
      <c r="V13" s="16">
        <f t="shared" si="1"/>
        <v>6465.40000000082</v>
      </c>
    </row>
    <row r="14" spans="1:22" x14ac:dyDescent="0.25">
      <c r="A14" s="3">
        <f>'Kwh Reading'!A14</f>
        <v>44511</v>
      </c>
      <c r="B14" s="26">
        <f>TOTAL!E12</f>
        <v>23820.000000000393</v>
      </c>
      <c r="C14" s="4">
        <f>('Kwh Reading'!T15-'Kwh Reading'!T14)*1000</f>
        <v>469.99999999997044</v>
      </c>
      <c r="D14" s="2">
        <f>('Kwh Reading'!F15-'Kwh Reading'!F14)*1000000</f>
        <v>2600.0000000001578</v>
      </c>
      <c r="E14" s="2">
        <f>('Kwh Reading'!C15-'Kwh Reading'!C14)*1000</f>
        <v>240.00000000000909</v>
      </c>
      <c r="F14" s="2">
        <f>('Kwh Reading'!J15-'Kwh Reading'!J14)*1000</f>
        <v>430.00000000000682</v>
      </c>
      <c r="G14" s="2">
        <f>('Kwh Reading'!K15-'Kwh Reading'!K14)*1000</f>
        <v>360.00000000001364</v>
      </c>
      <c r="H14" s="2">
        <f>('Kwh Reading'!L15-'Kwh Reading'!L14)*1000</f>
        <v>229.99999999996135</v>
      </c>
      <c r="I14" s="2">
        <f>('Kwh Reading'!R15-'Kwh Reading'!R14)*1000</f>
        <v>0</v>
      </c>
      <c r="J14" s="2">
        <f>('Kwh Reading'!S15-'Kwh Reading'!S14)*1000</f>
        <v>170.00000000001592</v>
      </c>
      <c r="K14" s="2">
        <f>('Kwh Reading'!I15-'Kwh Reading'!I14)*1000</f>
        <v>290.00000000002046</v>
      </c>
      <c r="L14" s="2">
        <f>('Kwh Reading'!B15-'Kwh Reading'!B14)*1000000</f>
        <v>1099.9999999998788</v>
      </c>
      <c r="M14" s="2">
        <f>('Kwh Reading'!M15-'Kwh Reading'!M14)*1000</f>
        <v>820.00000000005002</v>
      </c>
      <c r="N14" s="2">
        <f>('Kwh Reading'!H15-'Kwh Reading'!H14)*1000</f>
        <v>939.99999999994088</v>
      </c>
      <c r="O14" s="2">
        <f>('Kwh Reading'!P15-'Kwh Reading'!P14)*1000</f>
        <v>1149.9999999999773</v>
      </c>
      <c r="P14" s="2">
        <f>('Kwh Reading'!G15-'Kwh Reading'!G14)*1000</f>
        <v>1000</v>
      </c>
      <c r="Q14" s="2">
        <f>('Kwh Reading'!Q15-'Kwh Reading'!Q14)*1000</f>
        <v>830.00000000004093</v>
      </c>
      <c r="R14" s="2">
        <f>('Kwh Reading'!N15-'Kwh Reading'!N14)*1000</f>
        <v>979.9999999999045</v>
      </c>
      <c r="S14" s="33">
        <f>'Kwh Reading'!E15-'Kwh Reading'!E14</f>
        <v>2938.6699999999255</v>
      </c>
      <c r="T14" s="33">
        <f>'Kwh Reading'!D15-'Kwh Reading'!D14</f>
        <v>2505.9900000002235</v>
      </c>
      <c r="U14" s="27">
        <f>('Kwh Reading'!O15-'Kwh Reading'!O14)*1000</f>
        <v>120.00000000000455</v>
      </c>
      <c r="V14" s="16">
        <f t="shared" si="1"/>
        <v>6645.3400000002912</v>
      </c>
    </row>
    <row r="15" spans="1:22" x14ac:dyDescent="0.25">
      <c r="A15" s="3">
        <f>'Kwh Reading'!A15</f>
        <v>44512</v>
      </c>
      <c r="B15" s="26">
        <f>TOTAL!E13</f>
        <v>0</v>
      </c>
      <c r="C15" s="4">
        <f>('Kwh Reading'!T16-'Kwh Reading'!T15)*1000</f>
        <v>259.99999999999091</v>
      </c>
      <c r="D15" s="2">
        <f>('Kwh Reading'!F16-'Kwh Reading'!F15)*1000000</f>
        <v>2699.9999999999245</v>
      </c>
      <c r="E15" s="2">
        <f>('Kwh Reading'!C16-'Kwh Reading'!C15)*1000</f>
        <v>279.99999999997272</v>
      </c>
      <c r="F15" s="2">
        <f>('Kwh Reading'!J16-'Kwh Reading'!J15)*1000</f>
        <v>360.00000000001364</v>
      </c>
      <c r="G15" s="2">
        <f>('Kwh Reading'!K16-'Kwh Reading'!K15)*1000</f>
        <v>279.99999999997272</v>
      </c>
      <c r="H15" s="2">
        <f>('Kwh Reading'!L16-'Kwh Reading'!L15)*1000</f>
        <v>210.00000000003638</v>
      </c>
      <c r="I15" s="2">
        <f>('Kwh Reading'!R16-'Kwh Reading'!R15)*1000</f>
        <v>0</v>
      </c>
      <c r="J15" s="2">
        <f>('Kwh Reading'!S16-'Kwh Reading'!S15)*1000</f>
        <v>139.99999999998636</v>
      </c>
      <c r="K15" s="2">
        <f>('Kwh Reading'!I16-'Kwh Reading'!I15)*1000</f>
        <v>290.00000000002046</v>
      </c>
      <c r="L15" s="2">
        <f>('Kwh Reading'!B16-'Kwh Reading'!B15)*1000000</f>
        <v>1100.000000000101</v>
      </c>
      <c r="M15" s="2">
        <f>('Kwh Reading'!M16-'Kwh Reading'!M15)*1000</f>
        <v>819.99999999993634</v>
      </c>
      <c r="N15" s="2">
        <f>('Kwh Reading'!H16-'Kwh Reading'!H15)*1000</f>
        <v>910.00000000008185</v>
      </c>
      <c r="O15" s="2">
        <f>('Kwh Reading'!P16-'Kwh Reading'!P15)*1000</f>
        <v>1009.9999999999909</v>
      </c>
      <c r="P15" s="2">
        <f>('Kwh Reading'!G16-'Kwh Reading'!G15)*1000</f>
        <v>1000</v>
      </c>
      <c r="Q15" s="2">
        <f>('Kwh Reading'!Q16-'Kwh Reading'!Q15)*1000</f>
        <v>829.99999999992724</v>
      </c>
      <c r="R15" s="2">
        <f>('Kwh Reading'!N16-'Kwh Reading'!N15)*1000</f>
        <v>970.00000000002728</v>
      </c>
      <c r="S15" s="33">
        <f>'Kwh Reading'!E16-'Kwh Reading'!E15</f>
        <v>2558.0900000017136</v>
      </c>
      <c r="T15" s="33">
        <f>'Kwh Reading'!D16-'Kwh Reading'!D15</f>
        <v>2416.6399999996647</v>
      </c>
      <c r="U15" s="27">
        <f>('Kwh Reading'!O16-'Kwh Reading'!O15)*1000</f>
        <v>129.99999999999545</v>
      </c>
      <c r="V15" s="16">
        <f t="shared" si="1"/>
        <v>-16264.730000001357</v>
      </c>
    </row>
    <row r="16" spans="1:22" x14ac:dyDescent="0.25">
      <c r="A16" s="3">
        <f>'Kwh Reading'!A16</f>
        <v>44513</v>
      </c>
      <c r="B16" s="26">
        <f>TOTAL!E14</f>
        <v>0</v>
      </c>
      <c r="C16" s="4">
        <f>('Kwh Reading'!T17-'Kwh Reading'!T16)*1000</f>
        <v>-482650</v>
      </c>
      <c r="D16" s="2">
        <f>('Kwh Reading'!F17-'Kwh Reading'!F16)*1000000</f>
        <v>-2713600</v>
      </c>
      <c r="E16" s="2">
        <f>('Kwh Reading'!C17-'Kwh Reading'!C16)*1000</f>
        <v>-263000</v>
      </c>
      <c r="F16" s="2">
        <f>('Kwh Reading'!J17-'Kwh Reading'!J16)*1000</f>
        <v>-355740</v>
      </c>
      <c r="G16" s="2">
        <f>('Kwh Reading'!K17-'Kwh Reading'!K16)*1000</f>
        <v>-380020</v>
      </c>
      <c r="H16" s="2">
        <f>('Kwh Reading'!L17-'Kwh Reading'!L16)*1000</f>
        <v>-261360</v>
      </c>
      <c r="I16" s="2">
        <f>('Kwh Reading'!R17-'Kwh Reading'!R16)*1000</f>
        <v>-190150</v>
      </c>
      <c r="J16" s="2">
        <f>('Kwh Reading'!S17-'Kwh Reading'!S16)*1000</f>
        <v>-131540</v>
      </c>
      <c r="K16" s="2">
        <f>('Kwh Reading'!I17-'Kwh Reading'!I16)*1000</f>
        <v>-274720</v>
      </c>
      <c r="L16" s="2">
        <f>('Kwh Reading'!B17-'Kwh Reading'!B16)*1000000</f>
        <v>-1155300</v>
      </c>
      <c r="M16" s="2">
        <f>('Kwh Reading'!M17-'Kwh Reading'!M16)*1000</f>
        <v>-621410</v>
      </c>
      <c r="N16" s="2">
        <f>('Kwh Reading'!H17-'Kwh Reading'!H16)*1000</f>
        <v>-706450</v>
      </c>
      <c r="O16" s="2">
        <f>('Kwh Reading'!P17-'Kwh Reading'!P16)*1000</f>
        <v>-750500</v>
      </c>
      <c r="P16" s="2">
        <f>('Kwh Reading'!G17-'Kwh Reading'!G16)*1000</f>
        <v>-859910</v>
      </c>
      <c r="Q16" s="2">
        <f>('Kwh Reading'!Q17-'Kwh Reading'!Q16)*1000</f>
        <v>-554430</v>
      </c>
      <c r="R16" s="2">
        <f>('Kwh Reading'!N17-'Kwh Reading'!N16)*1000</f>
        <v>-575390</v>
      </c>
      <c r="S16" s="33">
        <f>'Kwh Reading'!E17-'Kwh Reading'!E16</f>
        <v>-8584174.4600000009</v>
      </c>
      <c r="T16" s="33">
        <f>'Kwh Reading'!D17-'Kwh Reading'!D16</f>
        <v>-7785691.7699999996</v>
      </c>
      <c r="U16" s="27">
        <f>('Kwh Reading'!O17-'Kwh Reading'!O16)*1000</f>
        <v>-180510</v>
      </c>
      <c r="V16" s="16">
        <f t="shared" si="1"/>
        <v>26826546.23</v>
      </c>
    </row>
    <row r="17" spans="1:22" x14ac:dyDescent="0.25">
      <c r="A17" s="3">
        <f>'Kwh Reading'!A17</f>
        <v>44514</v>
      </c>
      <c r="B17" s="26">
        <f>TOTAL!E15</f>
        <v>0</v>
      </c>
      <c r="C17" s="4">
        <f>('Kwh Reading'!T18-'Kwh Reading'!T17)*1000</f>
        <v>0</v>
      </c>
      <c r="D17" s="2">
        <f>('Kwh Reading'!F18-'Kwh Reading'!F17)*1000000</f>
        <v>0</v>
      </c>
      <c r="E17" s="2">
        <f>('Kwh Reading'!C18-'Kwh Reading'!C17)*1000</f>
        <v>0</v>
      </c>
      <c r="F17" s="2">
        <f>('Kwh Reading'!J18-'Kwh Reading'!J17)*1000</f>
        <v>0</v>
      </c>
      <c r="G17" s="2">
        <f>('Kwh Reading'!K18-'Kwh Reading'!K17)*1000</f>
        <v>0</v>
      </c>
      <c r="H17" s="2">
        <f>('Kwh Reading'!L18-'Kwh Reading'!L17)*1000</f>
        <v>0</v>
      </c>
      <c r="I17" s="2">
        <f>('Kwh Reading'!R18-'Kwh Reading'!R17)*1000</f>
        <v>0</v>
      </c>
      <c r="J17" s="2">
        <f>('Kwh Reading'!S18-'Kwh Reading'!S17)*1000</f>
        <v>0</v>
      </c>
      <c r="K17" s="2">
        <f>('Kwh Reading'!I18-'Kwh Reading'!I17)*1000</f>
        <v>0</v>
      </c>
      <c r="L17" s="2">
        <f>('Kwh Reading'!B18-'Kwh Reading'!B17)*1000000</f>
        <v>0</v>
      </c>
      <c r="M17" s="2">
        <f>('Kwh Reading'!M18-'Kwh Reading'!M17)*1000</f>
        <v>0</v>
      </c>
      <c r="N17" s="2">
        <f>('Kwh Reading'!H18-'Kwh Reading'!H17)*1000</f>
        <v>0</v>
      </c>
      <c r="O17" s="2">
        <f>('Kwh Reading'!P18-'Kwh Reading'!P17)*1000</f>
        <v>0</v>
      </c>
      <c r="P17" s="2">
        <f>('Kwh Reading'!G18-'Kwh Reading'!G17)*1000</f>
        <v>0</v>
      </c>
      <c r="Q17" s="2">
        <f>('Kwh Reading'!Q18-'Kwh Reading'!Q17)*1000</f>
        <v>0</v>
      </c>
      <c r="R17" s="2">
        <f>('Kwh Reading'!N18-'Kwh Reading'!N17)*1000</f>
        <v>0</v>
      </c>
      <c r="S17" s="33">
        <f>'Kwh Reading'!E18-'Kwh Reading'!E17</f>
        <v>0</v>
      </c>
      <c r="T17" s="33">
        <f>'Kwh Reading'!D18-'Kwh Reading'!D17</f>
        <v>0</v>
      </c>
      <c r="U17" s="27">
        <f>('Kwh Reading'!O18-'Kwh Reading'!O17)*1000</f>
        <v>0</v>
      </c>
      <c r="V17" s="16">
        <f t="shared" si="1"/>
        <v>0</v>
      </c>
    </row>
    <row r="18" spans="1:22" x14ac:dyDescent="0.25">
      <c r="A18" s="3">
        <f>'Kwh Reading'!A18</f>
        <v>44515</v>
      </c>
      <c r="B18" s="26">
        <f>TOTAL!E16</f>
        <v>0</v>
      </c>
      <c r="C18" s="4">
        <f>('Kwh Reading'!T19-'Kwh Reading'!T18)*1000</f>
        <v>0</v>
      </c>
      <c r="D18" s="2">
        <f>('Kwh Reading'!F19-'Kwh Reading'!F18)*1000000</f>
        <v>0</v>
      </c>
      <c r="E18" s="2">
        <f>('Kwh Reading'!C19-'Kwh Reading'!C18)*1000</f>
        <v>0</v>
      </c>
      <c r="F18" s="2">
        <f>('Kwh Reading'!J19-'Kwh Reading'!J18)*1000</f>
        <v>0</v>
      </c>
      <c r="G18" s="2">
        <f>('Kwh Reading'!K19-'Kwh Reading'!K18)*1000</f>
        <v>0</v>
      </c>
      <c r="H18" s="2">
        <f>('Kwh Reading'!L19-'Kwh Reading'!L18)*1000</f>
        <v>0</v>
      </c>
      <c r="I18" s="2">
        <f>('Kwh Reading'!R19-'Kwh Reading'!R18)*1000</f>
        <v>0</v>
      </c>
      <c r="J18" s="2">
        <f>('Kwh Reading'!S19-'Kwh Reading'!S18)*1000</f>
        <v>0</v>
      </c>
      <c r="K18" s="2">
        <f>('Kwh Reading'!I19-'Kwh Reading'!I18)*1000</f>
        <v>0</v>
      </c>
      <c r="L18" s="2">
        <f>('Kwh Reading'!B19-'Kwh Reading'!B18)*1000000</f>
        <v>0</v>
      </c>
      <c r="M18" s="2">
        <f>('Kwh Reading'!M19-'Kwh Reading'!M18)*1000</f>
        <v>0</v>
      </c>
      <c r="N18" s="2">
        <f>('Kwh Reading'!H19-'Kwh Reading'!H18)*1000</f>
        <v>0</v>
      </c>
      <c r="O18" s="2">
        <f>('Kwh Reading'!P19-'Kwh Reading'!P18)*1000</f>
        <v>0</v>
      </c>
      <c r="P18" s="2">
        <f>('Kwh Reading'!G19-'Kwh Reading'!G18)*1000</f>
        <v>0</v>
      </c>
      <c r="Q18" s="2">
        <f>('Kwh Reading'!Q19-'Kwh Reading'!Q18)*1000</f>
        <v>0</v>
      </c>
      <c r="R18" s="2">
        <f>('Kwh Reading'!N19-'Kwh Reading'!N18)*1000</f>
        <v>0</v>
      </c>
      <c r="S18" s="33">
        <f>'Kwh Reading'!E19-'Kwh Reading'!E18</f>
        <v>0</v>
      </c>
      <c r="T18" s="33">
        <f>'Kwh Reading'!D19-'Kwh Reading'!D18</f>
        <v>0</v>
      </c>
      <c r="U18" s="27">
        <f>('Kwh Reading'!O19-'Kwh Reading'!O18)*1000</f>
        <v>0</v>
      </c>
      <c r="V18" s="16">
        <f t="shared" si="1"/>
        <v>0</v>
      </c>
    </row>
    <row r="19" spans="1:22" x14ac:dyDescent="0.25">
      <c r="A19" s="3">
        <f>'Kwh Reading'!A19</f>
        <v>44516</v>
      </c>
      <c r="B19" s="26">
        <f>TOTAL!E17</f>
        <v>0</v>
      </c>
      <c r="C19" s="4">
        <f>('Kwh Reading'!T20-'Kwh Reading'!T19)*1000</f>
        <v>0</v>
      </c>
      <c r="D19" s="2">
        <f>('Kwh Reading'!F20-'Kwh Reading'!F19)*1000000</f>
        <v>0</v>
      </c>
      <c r="E19" s="2">
        <f>('Kwh Reading'!C20-'Kwh Reading'!C19)*1000</f>
        <v>0</v>
      </c>
      <c r="F19" s="2">
        <f>('Kwh Reading'!J20-'Kwh Reading'!J19)*1000</f>
        <v>0</v>
      </c>
      <c r="G19" s="2">
        <f>('Kwh Reading'!K20-'Kwh Reading'!K19)*1000</f>
        <v>0</v>
      </c>
      <c r="H19" s="2">
        <f>('Kwh Reading'!L20-'Kwh Reading'!L19)*1000</f>
        <v>0</v>
      </c>
      <c r="I19" s="2">
        <f>('Kwh Reading'!R20-'Kwh Reading'!R19)*1000</f>
        <v>0</v>
      </c>
      <c r="J19" s="2">
        <f>('Kwh Reading'!S20-'Kwh Reading'!S19)*1000</f>
        <v>0</v>
      </c>
      <c r="K19" s="2">
        <f>('Kwh Reading'!I20-'Kwh Reading'!I19)*1000</f>
        <v>0</v>
      </c>
      <c r="L19" s="2">
        <f>('Kwh Reading'!B20-'Kwh Reading'!B19)*1000000</f>
        <v>0</v>
      </c>
      <c r="M19" s="2">
        <f>('Kwh Reading'!M20-'Kwh Reading'!M19)*1000</f>
        <v>0</v>
      </c>
      <c r="N19" s="2">
        <f>('Kwh Reading'!H20-'Kwh Reading'!H19)*1000</f>
        <v>0</v>
      </c>
      <c r="O19" s="2">
        <f>('Kwh Reading'!P20-'Kwh Reading'!P19)*1000</f>
        <v>0</v>
      </c>
      <c r="P19" s="2">
        <f>('Kwh Reading'!G20-'Kwh Reading'!G19)*1000</f>
        <v>0</v>
      </c>
      <c r="Q19" s="2">
        <f>('Kwh Reading'!Q20-'Kwh Reading'!Q19)*1000</f>
        <v>0</v>
      </c>
      <c r="R19" s="2">
        <f>('Kwh Reading'!N20-'Kwh Reading'!N19)*1000</f>
        <v>0</v>
      </c>
      <c r="S19" s="33">
        <f>'Kwh Reading'!E20-'Kwh Reading'!E19</f>
        <v>0</v>
      </c>
      <c r="T19" s="33">
        <f>'Kwh Reading'!D20-'Kwh Reading'!D19</f>
        <v>0</v>
      </c>
      <c r="U19" s="27">
        <f>('Kwh Reading'!O20-'Kwh Reading'!O19)*1000</f>
        <v>0</v>
      </c>
      <c r="V19" s="16">
        <f t="shared" si="1"/>
        <v>0</v>
      </c>
    </row>
    <row r="20" spans="1:22" x14ac:dyDescent="0.25">
      <c r="A20" s="3">
        <f>'Kwh Reading'!A20</f>
        <v>44517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3">
        <f>'Kwh Reading'!E21-'Kwh Reading'!E20</f>
        <v>0</v>
      </c>
      <c r="T20" s="33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44518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3">
        <f>'Kwh Reading'!E22-'Kwh Reading'!E21</f>
        <v>0</v>
      </c>
      <c r="T21" s="33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44519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3">
        <f>'Kwh Reading'!E23-'Kwh Reading'!E22</f>
        <v>0</v>
      </c>
      <c r="T22" s="33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44520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3">
        <f>'Kwh Reading'!E24-'Kwh Reading'!E23</f>
        <v>0</v>
      </c>
      <c r="T23" s="33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44521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44522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44523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44524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44525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44526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44527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44528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44529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44530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44531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52</v>
      </c>
      <c r="B35" s="76">
        <f>SUM(B4:B34)</f>
        <v>240169.99999999726</v>
      </c>
      <c r="C35" s="72">
        <f t="shared" ref="C35" si="2">SUM(C4:C34)</f>
        <v>-477210</v>
      </c>
      <c r="D35" s="72">
        <f t="shared" ref="D35" si="3">SUM(D4:D34)</f>
        <v>-2682200</v>
      </c>
      <c r="E35" s="72">
        <f t="shared" ref="E35" si="4">SUM(E4:E34)</f>
        <v>-259910.00000000003</v>
      </c>
      <c r="F35" s="72">
        <f t="shared" ref="F35" si="5">SUM(F4:F34)</f>
        <v>-350570</v>
      </c>
      <c r="G35" s="72">
        <f t="shared" ref="G35:U35" si="6">SUM(G4:G34)</f>
        <v>-375970.00000000006</v>
      </c>
      <c r="H35" s="72">
        <f t="shared" si="6"/>
        <v>-258670</v>
      </c>
      <c r="I35" s="72">
        <f t="shared" si="6"/>
        <v>-189139.99999999997</v>
      </c>
      <c r="J35" s="72">
        <f t="shared" si="6"/>
        <v>-129930.00000000001</v>
      </c>
      <c r="K35" s="72">
        <f t="shared" si="6"/>
        <v>-271939.99999999994</v>
      </c>
      <c r="L35" s="72">
        <f t="shared" si="6"/>
        <v>-1142800</v>
      </c>
      <c r="M35" s="72">
        <f t="shared" si="6"/>
        <v>-612530</v>
      </c>
      <c r="N35" s="72">
        <f t="shared" si="6"/>
        <v>-697490</v>
      </c>
      <c r="O35" s="72">
        <f t="shared" si="6"/>
        <v>-738090</v>
      </c>
      <c r="P35" s="72">
        <f t="shared" si="6"/>
        <v>-850090.00000000012</v>
      </c>
      <c r="Q35" s="72">
        <f t="shared" si="6"/>
        <v>-545920</v>
      </c>
      <c r="R35" s="72">
        <f t="shared" si="6"/>
        <v>-565230</v>
      </c>
      <c r="S35" s="72">
        <f t="shared" si="6"/>
        <v>-8551552.0500000007</v>
      </c>
      <c r="T35" s="72">
        <f t="shared" si="6"/>
        <v>-7761780.0300000003</v>
      </c>
      <c r="U35" s="72">
        <f t="shared" si="6"/>
        <v>-178930.00000000003</v>
      </c>
      <c r="V35" s="72">
        <f>SUM(V4:V34)</f>
        <v>26880122.079999998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9" sqref="D2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44501</v>
      </c>
      <c r="B3" s="80">
        <f>TOTAL!E2</f>
        <v>22899.999999999862</v>
      </c>
      <c r="C3" s="1">
        <f>'Kwh Consumption'!C4</f>
        <v>480.00000000001819</v>
      </c>
      <c r="D3" s="1">
        <f>'Kwh Consumption'!D4</f>
        <v>2800.0000000001355</v>
      </c>
      <c r="E3" s="1">
        <f>'Kwh Consumption'!E4</f>
        <v>279.99999999997272</v>
      </c>
      <c r="F3" s="1">
        <f>('Kwh Consumption'!F4+'Kwh Consumption'!G4+'Kwh Consumption'!H4)</f>
        <v>1119.9999999999477</v>
      </c>
      <c r="G3" s="16">
        <f>('Kwh Consumption'!I4+'Kwh Consumption'!J4)</f>
        <v>229.99999999998977</v>
      </c>
      <c r="H3" s="1">
        <f>('Kwh Consumption'!K4+'Kwh Consumption'!L4)</f>
        <v>1339.9999999998879</v>
      </c>
      <c r="I3" s="1">
        <f>('Kwh Consumption'!M4+'Kwh Consumption'!N4+'Kwh Consumption'!O4+'Kwh Consumption'!P4+'Kwh Consumption'!Q4+'Kwh Consumption'!R4)</f>
        <v>5019.9999999998681</v>
      </c>
      <c r="J3" s="1">
        <f>('Kwh Consumption'!S4+'Kwh Consumption'!T4)</f>
        <v>4857.6599999982864</v>
      </c>
      <c r="K3" s="1">
        <f>'Kwh Consumption'!U4</f>
        <v>229.99999999998977</v>
      </c>
      <c r="L3" s="31">
        <f t="shared" ref="L3:L33" si="0">B3-C3-D3-E3-F3-G3-H3-I3-J3-K3</f>
        <v>6542.3400000017673</v>
      </c>
    </row>
    <row r="4" spans="1:12" x14ac:dyDescent="0.25">
      <c r="A4" s="14">
        <f>'Kwh Reading'!A5</f>
        <v>44502</v>
      </c>
      <c r="B4" s="80">
        <f>TOTAL!E3</f>
        <v>22119.999999998297</v>
      </c>
      <c r="C4" s="1">
        <f>'Kwh Consumption'!C5</f>
        <v>579.99999999998408</v>
      </c>
      <c r="D4" s="1">
        <f>'Kwh Consumption'!D5</f>
        <v>2600.0000000001578</v>
      </c>
      <c r="E4" s="1">
        <f>'Kwh Consumption'!E5</f>
        <v>240.00000000000909</v>
      </c>
      <c r="F4" s="1">
        <f>('Kwh Consumption'!F5+'Kwh Consumption'!G5+'Kwh Consumption'!H5)</f>
        <v>939.99999999999773</v>
      </c>
      <c r="G4" s="16">
        <f>('Kwh Consumption'!I5+'Kwh Consumption'!J5)</f>
        <v>349.99999999999432</v>
      </c>
      <c r="H4" s="1">
        <f>('Kwh Consumption'!K5+'Kwh Consumption'!L5)</f>
        <v>1300.0000000000896</v>
      </c>
      <c r="I4" s="1">
        <f>('Kwh Consumption'!M5+'Kwh Consumption'!N5+'Kwh Consumption'!O5+'Kwh Consumption'!P5+'Kwh Consumption'!Q5+'Kwh Consumption'!R5)</f>
        <v>4680.0000000001774</v>
      </c>
      <c r="J4" s="1">
        <f>('Kwh Consumption'!S5+'Kwh Consumption'!T5)</f>
        <v>4795.1600000010803</v>
      </c>
      <c r="K4" s="1">
        <f>'Kwh Consumption'!U5</f>
        <v>150.00000000000568</v>
      </c>
      <c r="L4" s="31">
        <f t="shared" si="0"/>
        <v>6484.8399999968042</v>
      </c>
    </row>
    <row r="5" spans="1:12" x14ac:dyDescent="0.25">
      <c r="A5" s="14">
        <f>'Kwh Reading'!A6</f>
        <v>44503</v>
      </c>
      <c r="B5" s="80">
        <f>TOTAL!E4</f>
        <v>17889.999999999643</v>
      </c>
      <c r="C5" s="1">
        <f>'Kwh Consumption'!C6</f>
        <v>430.00000000000682</v>
      </c>
      <c r="D5" s="1">
        <f>'Kwh Consumption'!D6</f>
        <v>2599.9999999997135</v>
      </c>
      <c r="E5" s="1">
        <f>'Kwh Consumption'!E6</f>
        <v>279.99999999997272</v>
      </c>
      <c r="F5" s="1">
        <f>('Kwh Consumption'!F6+'Kwh Consumption'!G6+'Kwh Consumption'!H6)</f>
        <v>1070.00000000005</v>
      </c>
      <c r="G5" s="16">
        <f>('Kwh Consumption'!I6+'Kwh Consumption'!J6)</f>
        <v>370.00000000003297</v>
      </c>
      <c r="H5" s="1">
        <f>('Kwh Consumption'!K6+'Kwh Consumption'!L6)</f>
        <v>1169.9999999999059</v>
      </c>
      <c r="I5" s="1">
        <f>('Kwh Consumption'!M6+'Kwh Consumption'!N6+'Kwh Consumption'!O6+'Kwh Consumption'!P6+'Kwh Consumption'!Q6+'Kwh Consumption'!R6)</f>
        <v>3629.9999999998818</v>
      </c>
      <c r="J5" s="1">
        <f>('Kwh Consumption'!S6+'Kwh Consumption'!T6)</f>
        <v>3788.7999999998137</v>
      </c>
      <c r="K5" s="1">
        <f>'Kwh Consumption'!U6</f>
        <v>159.99999999999659</v>
      </c>
      <c r="L5" s="31">
        <f t="shared" si="0"/>
        <v>4391.2000000002718</v>
      </c>
    </row>
    <row r="6" spans="1:12" x14ac:dyDescent="0.25">
      <c r="A6" s="14">
        <f>'Kwh Reading'!A7</f>
        <v>44504</v>
      </c>
      <c r="B6" s="80">
        <f>TOTAL!E5</f>
        <v>18870.000000001935</v>
      </c>
      <c r="C6" s="1">
        <f>'Kwh Consumption'!C7</f>
        <v>270.00000000003865</v>
      </c>
      <c r="D6" s="1">
        <f>'Kwh Consumption'!D7</f>
        <v>2699.9999999999245</v>
      </c>
      <c r="E6" s="1">
        <f>'Kwh Consumption'!E7</f>
        <v>260.00000000004775</v>
      </c>
      <c r="F6" s="1">
        <f>('Kwh Consumption'!F7+'Kwh Consumption'!G7+'Kwh Consumption'!H7)</f>
        <v>1039.9999999999636</v>
      </c>
      <c r="G6" s="16">
        <f>('Kwh Consumption'!I7+'Kwh Consumption'!J7)</f>
        <v>279.99999999997272</v>
      </c>
      <c r="H6" s="1">
        <f>('Kwh Consumption'!K7+'Kwh Consumption'!L7)</f>
        <v>1190.0000000001096</v>
      </c>
      <c r="I6" s="1">
        <f>('Kwh Consumption'!M7+'Kwh Consumption'!N7+'Kwh Consumption'!O7+'Kwh Consumption'!P7+'Kwh Consumption'!Q7+'Kwh Consumption'!R7)</f>
        <v>3820.0000000001637</v>
      </c>
      <c r="J6" s="1">
        <f>('Kwh Consumption'!S7+'Kwh Consumption'!T7)</f>
        <v>3253.7399999992922</v>
      </c>
      <c r="K6" s="1">
        <f>'Kwh Consumption'!U7</f>
        <v>150.00000000000568</v>
      </c>
      <c r="L6" s="31">
        <f t="shared" si="0"/>
        <v>5906.2600000024177</v>
      </c>
    </row>
    <row r="7" spans="1:12" x14ac:dyDescent="0.25">
      <c r="A7" s="14">
        <f>'Kwh Reading'!A8</f>
        <v>44505</v>
      </c>
      <c r="B7" s="80">
        <f>TOTAL!E6</f>
        <v>20169.999999999389</v>
      </c>
      <c r="C7" s="1">
        <f>'Kwh Consumption'!C8</f>
        <v>489.99999999995225</v>
      </c>
      <c r="D7" s="1">
        <f>'Kwh Consumption'!D8</f>
        <v>2499.9999999999468</v>
      </c>
      <c r="E7" s="1">
        <f>'Kwh Consumption'!E8</f>
        <v>250</v>
      </c>
      <c r="F7" s="1">
        <f>('Kwh Consumption'!F8+'Kwh Consumption'!G8+'Kwh Consumption'!H8)</f>
        <v>980.00000000001819</v>
      </c>
      <c r="G7" s="16">
        <f>('Kwh Consumption'!I8+'Kwh Consumption'!J8)</f>
        <v>219.99999999999886</v>
      </c>
      <c r="H7" s="1">
        <f>('Kwh Consumption'!K8+'Kwh Consumption'!L8)</f>
        <v>1269.9999999998947</v>
      </c>
      <c r="I7" s="1">
        <f>('Kwh Consumption'!M8+'Kwh Consumption'!N8+'Kwh Consumption'!O8+'Kwh Consumption'!P8+'Kwh Consumption'!Q8+'Kwh Consumption'!R8)</f>
        <v>4310.0000000000591</v>
      </c>
      <c r="J7" s="1">
        <f>('Kwh Consumption'!S8+'Kwh Consumption'!T8)</f>
        <v>4081.5400000009686</v>
      </c>
      <c r="K7" s="1">
        <f>'Kwh Consumption'!U8</f>
        <v>150.00000000000568</v>
      </c>
      <c r="L7" s="31">
        <f t="shared" si="0"/>
        <v>5918.4599999985458</v>
      </c>
    </row>
    <row r="8" spans="1:12" x14ac:dyDescent="0.25">
      <c r="A8" s="14">
        <f>'Kwh Reading'!A9</f>
        <v>44506</v>
      </c>
      <c r="B8" s="80">
        <f>TOTAL!E7</f>
        <v>21860.000000001037</v>
      </c>
      <c r="C8" s="1">
        <f>'Kwh Consumption'!C9</f>
        <v>520.00000000003865</v>
      </c>
      <c r="D8" s="1">
        <f>'Kwh Consumption'!D9</f>
        <v>2800.0000000001355</v>
      </c>
      <c r="E8" s="1">
        <f>'Kwh Consumption'!E9</f>
        <v>289.99999999996362</v>
      </c>
      <c r="F8" s="1">
        <f>('Kwh Consumption'!F9+'Kwh Consumption'!G9+'Kwh Consumption'!H9)</f>
        <v>1009.9999999999909</v>
      </c>
      <c r="G8" s="16">
        <f>('Kwh Consumption'!I9+'Kwh Consumption'!J9)</f>
        <v>220.00000000002728</v>
      </c>
      <c r="H8" s="1">
        <f>('Kwh Consumption'!K9+'Kwh Consumption'!L9)</f>
        <v>1220.0000000000823</v>
      </c>
      <c r="I8" s="1">
        <f>('Kwh Consumption'!M9+'Kwh Consumption'!N9+'Kwh Consumption'!O9+'Kwh Consumption'!P9+'Kwh Consumption'!Q9+'Kwh Consumption'!R9)</f>
        <v>4959.999999999809</v>
      </c>
      <c r="J8" s="1">
        <f>('Kwh Consumption'!S9+'Kwh Consumption'!T9)</f>
        <v>4593.929999999702</v>
      </c>
      <c r="K8" s="1">
        <f>'Kwh Consumption'!U9</f>
        <v>119.99999999997613</v>
      </c>
      <c r="L8" s="31">
        <f t="shared" si="0"/>
        <v>6126.0700000013112</v>
      </c>
    </row>
    <row r="9" spans="1:12" x14ac:dyDescent="0.25">
      <c r="A9" s="14">
        <f>'Kwh Reading'!A10</f>
        <v>44507</v>
      </c>
      <c r="B9" s="80">
        <f>TOTAL!E8</f>
        <v>21589.99999999992</v>
      </c>
      <c r="C9" s="1">
        <f>'Kwh Consumption'!C10</f>
        <v>479.99999999996135</v>
      </c>
      <c r="D9" s="1">
        <f>'Kwh Consumption'!D10</f>
        <v>2600.0000000001578</v>
      </c>
      <c r="E9" s="1">
        <f>'Kwh Consumption'!E10</f>
        <v>240.00000000000909</v>
      </c>
      <c r="F9" s="1">
        <f>('Kwh Consumption'!F10+'Kwh Consumption'!G10+'Kwh Consumption'!H10)</f>
        <v>939.99999999999773</v>
      </c>
      <c r="G9" s="16">
        <f>('Kwh Consumption'!I10+'Kwh Consumption'!J10)</f>
        <v>199.99999999998863</v>
      </c>
      <c r="H9" s="1">
        <f>('Kwh Consumption'!K10+'Kwh Consumption'!L10)</f>
        <v>1239.999999999899</v>
      </c>
      <c r="I9" s="1">
        <f>('Kwh Consumption'!M10+'Kwh Consumption'!N10+'Kwh Consumption'!O10+'Kwh Consumption'!P10+'Kwh Consumption'!Q10+'Kwh Consumption'!R10)</f>
        <v>4749.9999999998863</v>
      </c>
      <c r="J9" s="1">
        <f>('Kwh Consumption'!S10+'Kwh Consumption'!T10)</f>
        <v>4567.3899999996647</v>
      </c>
      <c r="K9" s="1">
        <f>'Kwh Consumption'!U10</f>
        <v>120.00000000000455</v>
      </c>
      <c r="L9" s="31">
        <f t="shared" si="0"/>
        <v>6452.6100000003562</v>
      </c>
    </row>
    <row r="10" spans="1:12" x14ac:dyDescent="0.25">
      <c r="A10" s="14">
        <f>'Kwh Reading'!A11</f>
        <v>44508</v>
      </c>
      <c r="B10" s="80">
        <f>TOTAL!E9</f>
        <v>23069.999999998574</v>
      </c>
      <c r="C10" s="1">
        <f>'Kwh Consumption'!C11</f>
        <v>460.00000000003638</v>
      </c>
      <c r="D10" s="1">
        <f>'Kwh Consumption'!D11</f>
        <v>2599.9999999997135</v>
      </c>
      <c r="E10" s="1">
        <f>'Kwh Consumption'!E11</f>
        <v>250</v>
      </c>
      <c r="F10" s="1">
        <f>('Kwh Consumption'!F11+'Kwh Consumption'!G11+'Kwh Consumption'!H11)</f>
        <v>1079.9999999999841</v>
      </c>
      <c r="G10" s="16">
        <f>('Kwh Consumption'!I11+'Kwh Consumption'!J11)</f>
        <v>129.99999999999545</v>
      </c>
      <c r="H10" s="1">
        <f>('Kwh Consumption'!K11+'Kwh Consumption'!L11)</f>
        <v>1250.0000000001119</v>
      </c>
      <c r="I10" s="1">
        <f>('Kwh Consumption'!M11+'Kwh Consumption'!N11+'Kwh Consumption'!O11+'Kwh Consumption'!P11+'Kwh Consumption'!Q11+'Kwh Consumption'!R11)</f>
        <v>5450.0000000000455</v>
      </c>
      <c r="J10" s="1">
        <f>('Kwh Consumption'!S11+'Kwh Consumption'!T11)</f>
        <v>5426.179999999702</v>
      </c>
      <c r="K10" s="1">
        <f>'Kwh Consumption'!U11</f>
        <v>80.000000000012506</v>
      </c>
      <c r="L10" s="31">
        <f t="shared" si="0"/>
        <v>6343.8199999989702</v>
      </c>
    </row>
    <row r="11" spans="1:12" x14ac:dyDescent="0.25">
      <c r="A11" s="14">
        <f>'Kwh Reading'!A12</f>
        <v>44509</v>
      </c>
      <c r="B11" s="80">
        <f>TOTAL!E10</f>
        <v>22010.000000000673</v>
      </c>
      <c r="C11" s="1">
        <f>'Kwh Consumption'!C12</f>
        <v>500</v>
      </c>
      <c r="D11" s="1">
        <f>'Kwh Consumption'!D12</f>
        <v>2300.0000000004129</v>
      </c>
      <c r="E11" s="1">
        <f>'Kwh Consumption'!E12</f>
        <v>230.00000000001819</v>
      </c>
      <c r="F11" s="1">
        <f>('Kwh Consumption'!F12+'Kwh Consumption'!G12+'Kwh Consumption'!H12)</f>
        <v>939.99999999999773</v>
      </c>
      <c r="G11" s="16">
        <f>('Kwh Consumption'!I12+'Kwh Consumption'!J12)</f>
        <v>170.00000000001592</v>
      </c>
      <c r="H11" s="1">
        <f>('Kwh Consumption'!K12+'Kwh Consumption'!L12)</f>
        <v>1239.999999999899</v>
      </c>
      <c r="I11" s="1">
        <f>('Kwh Consumption'!M12+'Kwh Consumption'!N12+'Kwh Consumption'!O12+'Kwh Consumption'!P12+'Kwh Consumption'!Q12+'Kwh Consumption'!R12)</f>
        <v>5230.0000000001319</v>
      </c>
      <c r="J11" s="1">
        <f>('Kwh Consumption'!S12+'Kwh Consumption'!T12)</f>
        <v>5375.7600000007078</v>
      </c>
      <c r="K11" s="1">
        <f>'Kwh Consumption'!U12</f>
        <v>79.999999999984084</v>
      </c>
      <c r="L11" s="31">
        <f t="shared" si="0"/>
        <v>5944.2399999995123</v>
      </c>
    </row>
    <row r="12" spans="1:12" x14ac:dyDescent="0.25">
      <c r="A12" s="14">
        <f>'Kwh Reading'!A13</f>
        <v>44510</v>
      </c>
      <c r="B12" s="80">
        <f>TOTAL!E11</f>
        <v>23249.999999999316</v>
      </c>
      <c r="C12" s="1">
        <f>'Kwh Consumption'!C13</f>
        <v>500</v>
      </c>
      <c r="D12" s="1">
        <f>'Kwh Consumption'!D13</f>
        <v>2599.9999999997135</v>
      </c>
      <c r="E12" s="1">
        <f>'Kwh Consumption'!E13</f>
        <v>250</v>
      </c>
      <c r="F12" s="1">
        <f>('Kwh Consumption'!F13+'Kwh Consumption'!G13+'Kwh Consumption'!H13)</f>
        <v>920.00000000001592</v>
      </c>
      <c r="G12" s="16">
        <f>('Kwh Consumption'!I13+'Kwh Consumption'!J13)</f>
        <v>139.99999999998636</v>
      </c>
      <c r="H12" s="1">
        <f>('Kwh Consumption'!K13+'Kwh Consumption'!L13)</f>
        <v>1280.0000000000846</v>
      </c>
      <c r="I12" s="1">
        <f>('Kwh Consumption'!M13+'Kwh Consumption'!N13+'Kwh Consumption'!O13+'Kwh Consumption'!P13+'Kwh Consumption'!Q13+'Kwh Consumption'!R13)</f>
        <v>5629.9999999999955</v>
      </c>
      <c r="J12" s="1">
        <f>('Kwh Consumption'!S13+'Kwh Consumption'!T13)</f>
        <v>5374.5999999986961</v>
      </c>
      <c r="K12" s="1">
        <f>'Kwh Consumption'!U13</f>
        <v>90.000000000003411</v>
      </c>
      <c r="L12" s="31">
        <f t="shared" si="0"/>
        <v>6465.4000000008236</v>
      </c>
    </row>
    <row r="13" spans="1:12" x14ac:dyDescent="0.25">
      <c r="A13" s="14">
        <f>'Kwh Reading'!A14</f>
        <v>44511</v>
      </c>
      <c r="B13" s="80">
        <f>TOTAL!E12</f>
        <v>23820.000000000393</v>
      </c>
      <c r="C13" s="1">
        <f>'Kwh Consumption'!C14</f>
        <v>469.99999999997044</v>
      </c>
      <c r="D13" s="1">
        <f>'Kwh Consumption'!D14</f>
        <v>2600.0000000001578</v>
      </c>
      <c r="E13" s="1">
        <f>'Kwh Consumption'!E14</f>
        <v>240.00000000000909</v>
      </c>
      <c r="F13" s="1">
        <f>('Kwh Consumption'!F14+'Kwh Consumption'!G14+'Kwh Consumption'!H14)</f>
        <v>1019.9999999999818</v>
      </c>
      <c r="G13" s="16">
        <f>('Kwh Consumption'!I14+'Kwh Consumption'!J14)</f>
        <v>170.00000000001592</v>
      </c>
      <c r="H13" s="1">
        <f>('Kwh Consumption'!K14+'Kwh Consumption'!L14)</f>
        <v>1389.9999999998993</v>
      </c>
      <c r="I13" s="1">
        <f>('Kwh Consumption'!M14+'Kwh Consumption'!N14+'Kwh Consumption'!O14+'Kwh Consumption'!P14+'Kwh Consumption'!Q14+'Kwh Consumption'!R14)</f>
        <v>5719.9999999999136</v>
      </c>
      <c r="J13" s="1">
        <f>('Kwh Consumption'!S14+'Kwh Consumption'!T14)</f>
        <v>5444.660000000149</v>
      </c>
      <c r="K13" s="1">
        <f>'Kwh Consumption'!U14</f>
        <v>120.00000000000455</v>
      </c>
      <c r="L13" s="31">
        <f t="shared" si="0"/>
        <v>6645.3400000002939</v>
      </c>
    </row>
    <row r="14" spans="1:12" x14ac:dyDescent="0.25">
      <c r="A14" s="14">
        <f>'Kwh Reading'!A15</f>
        <v>44512</v>
      </c>
      <c r="B14" s="80">
        <f>TOTAL!E13</f>
        <v>0</v>
      </c>
      <c r="C14" s="1">
        <f>'Kwh Consumption'!C15</f>
        <v>259.99999999999091</v>
      </c>
      <c r="D14" s="1">
        <f>'Kwh Consumption'!D15</f>
        <v>2699.9999999999245</v>
      </c>
      <c r="E14" s="1">
        <f>'Kwh Consumption'!E15</f>
        <v>279.99999999997272</v>
      </c>
      <c r="F14" s="1">
        <f>('Kwh Consumption'!F15+'Kwh Consumption'!G15+'Kwh Consumption'!H15)</f>
        <v>850.00000000002274</v>
      </c>
      <c r="G14" s="16">
        <f>('Kwh Consumption'!I15+'Kwh Consumption'!J15)</f>
        <v>139.99999999998636</v>
      </c>
      <c r="H14" s="1">
        <f>('Kwh Consumption'!K15+'Kwh Consumption'!L15)</f>
        <v>1390.0000000001214</v>
      </c>
      <c r="I14" s="1">
        <f>('Kwh Consumption'!M15+'Kwh Consumption'!N15+'Kwh Consumption'!O15+'Kwh Consumption'!P15+'Kwh Consumption'!Q15+'Kwh Consumption'!R15)</f>
        <v>5539.9999999999636</v>
      </c>
      <c r="J14" s="1">
        <f>('Kwh Consumption'!S15+'Kwh Consumption'!T15)</f>
        <v>4974.7300000013784</v>
      </c>
      <c r="K14" s="1">
        <f>'Kwh Consumption'!U15</f>
        <v>129.99999999999545</v>
      </c>
      <c r="L14" s="31">
        <f t="shared" si="0"/>
        <v>-16264.730000001357</v>
      </c>
    </row>
    <row r="15" spans="1:12" x14ac:dyDescent="0.25">
      <c r="A15" s="14">
        <f>'Kwh Reading'!A16</f>
        <v>44513</v>
      </c>
      <c r="B15" s="80">
        <f>TOTAL!E14</f>
        <v>0</v>
      </c>
      <c r="C15" s="1">
        <f>'Kwh Consumption'!C16</f>
        <v>-482650</v>
      </c>
      <c r="D15" s="1">
        <f>'Kwh Consumption'!D16</f>
        <v>-2713600</v>
      </c>
      <c r="E15" s="1">
        <f>'Kwh Consumption'!E16</f>
        <v>-263000</v>
      </c>
      <c r="F15" s="1">
        <f>('Kwh Consumption'!F16+'Kwh Consumption'!G16+'Kwh Consumption'!H16)</f>
        <v>-997120</v>
      </c>
      <c r="G15" s="16">
        <f>('Kwh Consumption'!I16+'Kwh Consumption'!J16)</f>
        <v>-321690</v>
      </c>
      <c r="H15" s="1">
        <f>('Kwh Consumption'!K16+'Kwh Consumption'!L16)</f>
        <v>-1430020</v>
      </c>
      <c r="I15" s="1">
        <f>('Kwh Consumption'!M16+'Kwh Consumption'!N16+'Kwh Consumption'!O16+'Kwh Consumption'!P16+'Kwh Consumption'!Q16+'Kwh Consumption'!R16)</f>
        <v>-4068090</v>
      </c>
      <c r="J15" s="1">
        <f>('Kwh Consumption'!S16+'Kwh Consumption'!T16)</f>
        <v>-16369866.23</v>
      </c>
      <c r="K15" s="1">
        <f>'Kwh Consumption'!U16</f>
        <v>-180510</v>
      </c>
      <c r="L15" s="31">
        <f t="shared" si="0"/>
        <v>26826546.23</v>
      </c>
    </row>
    <row r="16" spans="1:12" x14ac:dyDescent="0.25">
      <c r="A16" s="14">
        <f>'Kwh Reading'!A17</f>
        <v>44514</v>
      </c>
      <c r="B16" s="80">
        <f>TOTAL!E15</f>
        <v>0</v>
      </c>
      <c r="C16" s="1">
        <f>'Kwh Consumption'!C17</f>
        <v>0</v>
      </c>
      <c r="D16" s="1">
        <f>'Kwh Consumption'!D17</f>
        <v>0</v>
      </c>
      <c r="E16" s="1">
        <f>'Kwh Consumption'!E17</f>
        <v>0</v>
      </c>
      <c r="F16" s="1">
        <f>('Kwh Consumption'!F17+'Kwh Consumption'!G17+'Kwh Consumption'!H17)</f>
        <v>0</v>
      </c>
      <c r="G16" s="16">
        <f>('Kwh Consumption'!I17+'Kwh Consumption'!J17)</f>
        <v>0</v>
      </c>
      <c r="H16" s="1">
        <f>('Kwh Consumption'!K17+'Kwh Consumption'!L17)</f>
        <v>0</v>
      </c>
      <c r="I16" s="1">
        <f>('Kwh Consumption'!M17+'Kwh Consumption'!N17+'Kwh Consumption'!O17+'Kwh Consumption'!P17+'Kwh Consumption'!Q17+'Kwh Consumption'!R17)</f>
        <v>0</v>
      </c>
      <c r="J16" s="1">
        <f>('Kwh Consumption'!S17+'Kwh Consumption'!T17)</f>
        <v>0</v>
      </c>
      <c r="K16" s="1">
        <f>'Kwh Consumption'!U17</f>
        <v>0</v>
      </c>
      <c r="L16" s="31">
        <f t="shared" si="0"/>
        <v>0</v>
      </c>
    </row>
    <row r="17" spans="1:12" x14ac:dyDescent="0.25">
      <c r="A17" s="14">
        <f>'Kwh Reading'!A18</f>
        <v>44515</v>
      </c>
      <c r="B17" s="80">
        <f>TOTAL!E16</f>
        <v>0</v>
      </c>
      <c r="C17" s="1">
        <f>'Kwh Consumption'!C18</f>
        <v>0</v>
      </c>
      <c r="D17" s="1">
        <f>'Kwh Consumption'!D18</f>
        <v>0</v>
      </c>
      <c r="E17" s="1">
        <f>'Kwh Consumption'!E18</f>
        <v>0</v>
      </c>
      <c r="F17" s="1">
        <f>('Kwh Consumption'!F18+'Kwh Consumption'!G18+'Kwh Consumption'!H18)</f>
        <v>0</v>
      </c>
      <c r="G17" s="16">
        <f>('Kwh Consumption'!I18+'Kwh Consumption'!J18)</f>
        <v>0</v>
      </c>
      <c r="H17" s="1">
        <f>('Kwh Consumption'!K18+'Kwh Consumption'!L18)</f>
        <v>0</v>
      </c>
      <c r="I17" s="1">
        <f>('Kwh Consumption'!M18+'Kwh Consumption'!N18+'Kwh Consumption'!O18+'Kwh Consumption'!P18+'Kwh Consumption'!Q18+'Kwh Consumption'!R18)</f>
        <v>0</v>
      </c>
      <c r="J17" s="1">
        <f>('Kwh Consumption'!S18+'Kwh Consumption'!T18)</f>
        <v>0</v>
      </c>
      <c r="K17" s="30">
        <f>'Kwh Consumption'!U18</f>
        <v>0</v>
      </c>
      <c r="L17" s="31">
        <f t="shared" si="0"/>
        <v>0</v>
      </c>
    </row>
    <row r="18" spans="1:12" x14ac:dyDescent="0.25">
      <c r="A18" s="14">
        <f>'Kwh Reading'!A19</f>
        <v>44516</v>
      </c>
      <c r="B18" s="80">
        <f>TOTAL!E17</f>
        <v>0</v>
      </c>
      <c r="C18" s="1">
        <f>'Kwh Consumption'!C19</f>
        <v>0</v>
      </c>
      <c r="D18" s="1">
        <f>'Kwh Consumption'!D19</f>
        <v>0</v>
      </c>
      <c r="E18" s="1">
        <f>'Kwh Consumption'!E19</f>
        <v>0</v>
      </c>
      <c r="F18" s="1">
        <f>('Kwh Consumption'!F19+'Kwh Consumption'!G19+'Kwh Consumption'!H19)</f>
        <v>0</v>
      </c>
      <c r="G18" s="16">
        <f>('Kwh Consumption'!I19+'Kwh Consumption'!J19)</f>
        <v>0</v>
      </c>
      <c r="H18" s="1">
        <f>('Kwh Consumption'!K19+'Kwh Consumption'!L19)</f>
        <v>0</v>
      </c>
      <c r="I18" s="1">
        <f>('Kwh Consumption'!M19+'Kwh Consumption'!N19+'Kwh Consumption'!O19+'Kwh Consumption'!P19+'Kwh Consumption'!Q19+'Kwh Consumption'!R19)</f>
        <v>0</v>
      </c>
      <c r="J18" s="1">
        <f>('Kwh Consumption'!S19+'Kwh Consumption'!T19)</f>
        <v>0</v>
      </c>
      <c r="K18" s="30">
        <f>'Kwh Consumption'!U19</f>
        <v>0</v>
      </c>
      <c r="L18" s="31">
        <f t="shared" si="0"/>
        <v>0</v>
      </c>
    </row>
    <row r="19" spans="1:12" x14ac:dyDescent="0.25">
      <c r="A19" s="14">
        <f>'Kwh Reading'!A20</f>
        <v>44517</v>
      </c>
      <c r="B19" s="80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1">
        <f t="shared" si="0"/>
        <v>0</v>
      </c>
    </row>
    <row r="20" spans="1:12" x14ac:dyDescent="0.25">
      <c r="A20" s="14">
        <f>'Kwh Reading'!A21</f>
        <v>44518</v>
      </c>
      <c r="B20" s="80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1">
        <f t="shared" si="0"/>
        <v>0</v>
      </c>
    </row>
    <row r="21" spans="1:12" x14ac:dyDescent="0.25">
      <c r="A21" s="14">
        <f>'Kwh Reading'!A22</f>
        <v>44519</v>
      </c>
      <c r="B21" s="80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1">
        <f t="shared" si="0"/>
        <v>0</v>
      </c>
    </row>
    <row r="22" spans="1:12" x14ac:dyDescent="0.25">
      <c r="A22" s="14">
        <f>'Kwh Reading'!A23</f>
        <v>44520</v>
      </c>
      <c r="B22" s="80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1">
        <f t="shared" si="0"/>
        <v>0</v>
      </c>
    </row>
    <row r="23" spans="1:12" x14ac:dyDescent="0.25">
      <c r="A23" s="14">
        <f>'Kwh Reading'!A24</f>
        <v>44521</v>
      </c>
      <c r="B23" s="80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1">
        <f t="shared" si="0"/>
        <v>0</v>
      </c>
    </row>
    <row r="24" spans="1:12" x14ac:dyDescent="0.25">
      <c r="A24" s="14">
        <f>'Kwh Reading'!A25</f>
        <v>44522</v>
      </c>
      <c r="B24" s="80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1">
        <f t="shared" si="0"/>
        <v>0</v>
      </c>
    </row>
    <row r="25" spans="1:12" x14ac:dyDescent="0.25">
      <c r="A25" s="14">
        <f>'Kwh Reading'!A26</f>
        <v>44523</v>
      </c>
      <c r="B25" s="80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1">
        <f t="shared" si="0"/>
        <v>0</v>
      </c>
    </row>
    <row r="26" spans="1:12" x14ac:dyDescent="0.25">
      <c r="A26" s="14">
        <f>'Kwh Reading'!A27</f>
        <v>44524</v>
      </c>
      <c r="B26" s="80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1">
        <f t="shared" si="0"/>
        <v>0</v>
      </c>
    </row>
    <row r="27" spans="1:12" x14ac:dyDescent="0.25">
      <c r="A27" s="14">
        <f>'Kwh Reading'!A28</f>
        <v>44525</v>
      </c>
      <c r="B27" s="80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1">
        <f t="shared" si="0"/>
        <v>0</v>
      </c>
    </row>
    <row r="28" spans="1:12" x14ac:dyDescent="0.25">
      <c r="A28" s="14">
        <f>'Kwh Reading'!A29</f>
        <v>44526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44527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44528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44529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44530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44531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237549.99999999907</v>
      </c>
      <c r="C34" s="72">
        <f>SUM(C3:C33)</f>
        <v>-477210</v>
      </c>
      <c r="D34" s="72">
        <f t="shared" ref="D34:L34" si="1">SUM(D3:D33)</f>
        <v>-2682200</v>
      </c>
      <c r="E34" s="72">
        <f t="shared" si="1"/>
        <v>-259910.00000000003</v>
      </c>
      <c r="F34" s="72">
        <f t="shared" si="1"/>
        <v>-985210</v>
      </c>
      <c r="G34" s="72">
        <f t="shared" si="1"/>
        <v>-319070</v>
      </c>
      <c r="H34" s="72">
        <f t="shared" si="1"/>
        <v>-1414740</v>
      </c>
      <c r="I34" s="72">
        <f t="shared" si="1"/>
        <v>-4009350</v>
      </c>
      <c r="J34" s="72">
        <f t="shared" si="1"/>
        <v>-16313332.080000002</v>
      </c>
      <c r="K34" s="72">
        <f t="shared" si="1"/>
        <v>-178930.00000000003</v>
      </c>
      <c r="L34" s="72">
        <f t="shared" si="1"/>
        <v>26877502.080000002</v>
      </c>
      <c r="M34" s="81">
        <f>C34+D34+E34+F34+G34+H34+I34+J34+K34+L34</f>
        <v>237550</v>
      </c>
    </row>
    <row r="36" spans="1:13" ht="15.75" x14ac:dyDescent="0.25">
      <c r="A36" s="82" t="s">
        <v>63</v>
      </c>
      <c r="B36" s="83">
        <f>TOTAL!F2</f>
        <v>0.18</v>
      </c>
      <c r="C36" s="72">
        <f>C34*B36</f>
        <v>-85897.8</v>
      </c>
      <c r="D36" s="72">
        <f>D34*B36</f>
        <v>-482796</v>
      </c>
      <c r="E36" s="72">
        <f>E34*B36</f>
        <v>-46783.8</v>
      </c>
      <c r="F36" s="72">
        <f>F34*B36</f>
        <v>-177337.8</v>
      </c>
      <c r="G36" s="72">
        <f>G34*B36</f>
        <v>-57432.6</v>
      </c>
      <c r="H36" s="72">
        <f>H34*B36</f>
        <v>-254653.19999999998</v>
      </c>
      <c r="I36" s="72">
        <f>I34*B36</f>
        <v>-721683</v>
      </c>
      <c r="J36" s="72">
        <f>J34*B36</f>
        <v>-2936399.7744000005</v>
      </c>
      <c r="K36" s="72">
        <f>K34*B36</f>
        <v>-32207.400000000005</v>
      </c>
      <c r="L36" s="72">
        <f>L34*B36</f>
        <v>4837950.3744000001</v>
      </c>
      <c r="M36" s="81">
        <f>C36+D36+E36+F36+G36+H36+I36+J36+K36+L36</f>
        <v>42758.999999999069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44501</v>
      </c>
      <c r="B3" s="11">
        <f>TOTAL!F2</f>
        <v>0.18</v>
      </c>
      <c r="C3" s="11">
        <f>'Kwh Consumption'!B4*' Kwh area wise $ '!B3</f>
        <v>4593.5999999999995</v>
      </c>
      <c r="D3" s="1">
        <f>'Kwh Consumption'!C4*' Kwh area wise $ '!B3</f>
        <v>86.400000000003274</v>
      </c>
      <c r="E3" s="1">
        <f>'Kwh Consumption'!D4*' Kwh area wise $ '!B3</f>
        <v>504.00000000002439</v>
      </c>
      <c r="F3" s="1">
        <f>'Kwh Consumption'!E4*' Kwh area wise $ '!B3</f>
        <v>50.399999999995089</v>
      </c>
      <c r="G3" s="1">
        <f>('Kwh Consumption'!F4+'Kwh Consumption'!G4+'Kwh Consumption'!H4)*' Kwh area wise $ '!B3</f>
        <v>201.59999999999059</v>
      </c>
      <c r="H3" s="16">
        <f>('Kwh Consumption'!I4+'Kwh Consumption'!J4)*' Kwh area wise $ '!B3</f>
        <v>41.399999999998158</v>
      </c>
      <c r="I3" s="1">
        <f>('Kwh Consumption'!K4+'Kwh Consumption'!L4)*' Kwh area wise $ '!B3</f>
        <v>241.19999999997981</v>
      </c>
      <c r="J3" s="1">
        <f>('Kwh Consumption'!M4+'Kwh Consumption'!N4+'Kwh Consumption'!O4+'Kwh Consumption'!P4+'Kwh Consumption'!Q4+'Kwh Consumption'!R4)*' Kwh area wise $ '!B3</f>
        <v>903.59999999997626</v>
      </c>
      <c r="K3" s="1">
        <f>('Kwh Consumption'!S4+'Kwh Consumption'!T4)*' Kwh area wise $ '!B3</f>
        <v>874.37879999969152</v>
      </c>
      <c r="L3" s="1">
        <f>'Kwh Consumption'!U4*' Kwh area wise $ '!B3</f>
        <v>41.399999999998158</v>
      </c>
      <c r="M3" s="1">
        <f>'Kwh Consumption'!V4*' Kwh area wise $ '!B3</f>
        <v>1649.2212000003428</v>
      </c>
    </row>
    <row r="4" spans="1:13" x14ac:dyDescent="0.25">
      <c r="A4" s="14">
        <f>'Kwh Reading'!A5</f>
        <v>44502</v>
      </c>
      <c r="B4" s="11">
        <f>TOTAL!F3</f>
        <v>0.18</v>
      </c>
      <c r="C4" s="11">
        <f>'Kwh Consumption'!B5*' Kwh area wise $ '!B4</f>
        <v>3981.5999999996934</v>
      </c>
      <c r="D4" s="1">
        <f>'Kwh Consumption'!C5*' Kwh area wise $ '!B4</f>
        <v>104.39999999999714</v>
      </c>
      <c r="E4" s="1">
        <f>'Kwh Consumption'!D5*' Kwh area wise $ '!B4</f>
        <v>468.00000000002836</v>
      </c>
      <c r="F4" s="1">
        <f>'Kwh Consumption'!E5*' Kwh area wise $ '!B4</f>
        <v>43.200000000001637</v>
      </c>
      <c r="G4" s="1">
        <f>('Kwh Consumption'!F5+'Kwh Consumption'!G5+'Kwh Consumption'!H5)*' Kwh area wise $ '!B4</f>
        <v>169.19999999999959</v>
      </c>
      <c r="H4" s="16">
        <f>('Kwh Consumption'!I5+'Kwh Consumption'!J5)*' Kwh area wise $ '!B4</f>
        <v>62.999999999998977</v>
      </c>
      <c r="I4" s="1">
        <f>('Kwh Consumption'!K5+'Kwh Consumption'!L5)*' Kwh area wise $ '!B4</f>
        <v>234.00000000001612</v>
      </c>
      <c r="J4" s="1">
        <f>('Kwh Consumption'!M5+'Kwh Consumption'!N5+'Kwh Consumption'!O5+'Kwh Consumption'!P5+'Kwh Consumption'!Q5+'Kwh Consumption'!R5)*' Kwh area wise $ '!B4</f>
        <v>842.40000000003192</v>
      </c>
      <c r="K4" s="1">
        <f>('Kwh Consumption'!S5+'Kwh Consumption'!T5)*' Kwh area wise $ '!B4</f>
        <v>863.12880000019447</v>
      </c>
      <c r="L4" s="1">
        <f>'Kwh Consumption'!U5*' Kwh area wise $ '!B4</f>
        <v>27.000000000001023</v>
      </c>
      <c r="M4" s="1">
        <f>'Kwh Consumption'!V5*' Kwh area wise $ '!B4</f>
        <v>1167.271199999424</v>
      </c>
    </row>
    <row r="5" spans="1:13" x14ac:dyDescent="0.25">
      <c r="A5" s="14">
        <f>'Kwh Reading'!A6</f>
        <v>44503</v>
      </c>
      <c r="B5" s="11">
        <f>TOTAL!F4</f>
        <v>0.18</v>
      </c>
      <c r="C5" s="11">
        <f>'Kwh Consumption'!B6*' Kwh area wise $ '!B5</f>
        <v>3220.1999999999357</v>
      </c>
      <c r="D5" s="1">
        <f>'Kwh Consumption'!C6*' Kwh area wise $ '!B5</f>
        <v>77.400000000001228</v>
      </c>
      <c r="E5" s="1">
        <f>'Kwh Consumption'!D6*' Kwh area wise $ '!B5</f>
        <v>467.99999999994839</v>
      </c>
      <c r="F5" s="1">
        <f>'Kwh Consumption'!E6*' Kwh area wise $ '!B5</f>
        <v>50.399999999995089</v>
      </c>
      <c r="G5" s="1">
        <f>('Kwh Consumption'!F6+'Kwh Consumption'!G6+'Kwh Consumption'!H6)*' Kwh area wise $ '!B5</f>
        <v>192.600000000009</v>
      </c>
      <c r="H5" s="16">
        <f>('Kwh Consumption'!I6+'Kwh Consumption'!J6)*' Kwh area wise $ '!B5</f>
        <v>66.600000000005934</v>
      </c>
      <c r="I5" s="1">
        <f>('Kwh Consumption'!K6+'Kwh Consumption'!L6)*' Kwh area wise $ '!B5</f>
        <v>210.59999999998305</v>
      </c>
      <c r="J5" s="1">
        <f>('Kwh Consumption'!M6+'Kwh Consumption'!N6+'Kwh Consumption'!O6+'Kwh Consumption'!P6+'Kwh Consumption'!Q6+'Kwh Consumption'!R6)*' Kwh area wise $ '!B5</f>
        <v>653.39999999997872</v>
      </c>
      <c r="K5" s="1">
        <f>('Kwh Consumption'!S6+'Kwh Consumption'!T6)*' Kwh area wise $ '!B5</f>
        <v>681.9839999999665</v>
      </c>
      <c r="L5" s="1">
        <f>'Kwh Consumption'!U6*' Kwh area wise $ '!B5</f>
        <v>28.799999999999386</v>
      </c>
      <c r="M5" s="1">
        <f>'Kwh Consumption'!V6*' Kwh area wise $ '!B5</f>
        <v>790.41600000004826</v>
      </c>
    </row>
    <row r="6" spans="1:13" x14ac:dyDescent="0.25">
      <c r="A6" s="14">
        <f>'Kwh Reading'!A7</f>
        <v>44504</v>
      </c>
      <c r="B6" s="11">
        <f>TOTAL!F5</f>
        <v>0.18</v>
      </c>
      <c r="C6" s="11">
        <f>'Kwh Consumption'!B7*' Kwh area wise $ '!B6</f>
        <v>3396.6</v>
      </c>
      <c r="D6" s="1">
        <f>'Kwh Consumption'!C7*' Kwh area wise $ '!B6</f>
        <v>48.600000000006958</v>
      </c>
      <c r="E6" s="1">
        <f>'Kwh Consumption'!D7*' Kwh area wise $ '!B6</f>
        <v>485.99999999998641</v>
      </c>
      <c r="F6" s="1">
        <f>'Kwh Consumption'!E7*' Kwh area wise $ '!B6</f>
        <v>46.800000000008595</v>
      </c>
      <c r="G6" s="1">
        <f>('Kwh Consumption'!F7+'Kwh Consumption'!G7+'Kwh Consumption'!H7)*' Kwh area wise $ '!B6</f>
        <v>187.19999999999345</v>
      </c>
      <c r="H6" s="16">
        <f>('Kwh Consumption'!I7+'Kwh Consumption'!J7)*' Kwh area wise $ '!B6</f>
        <v>50.399999999995089</v>
      </c>
      <c r="I6" s="1">
        <f>('Kwh Consumption'!K7+'Kwh Consumption'!L7)*' Kwh area wise $ '!B6</f>
        <v>214.20000000001971</v>
      </c>
      <c r="J6" s="1">
        <f>('Kwh Consumption'!M7+'Kwh Consumption'!N7+'Kwh Consumption'!O7+'Kwh Consumption'!P7+'Kwh Consumption'!Q7+'Kwh Consumption'!R7)*' Kwh area wise $ '!B6</f>
        <v>687.60000000002947</v>
      </c>
      <c r="K6" s="1">
        <f>('Kwh Consumption'!S7+'Kwh Consumption'!T7)*' Kwh area wise $ '!B6</f>
        <v>585.67319999987262</v>
      </c>
      <c r="L6" s="1">
        <f>'Kwh Consumption'!U7*' Kwh area wise $ '!B6</f>
        <v>27.000000000001023</v>
      </c>
      <c r="M6" s="1">
        <f>'Kwh Consumption'!V7*' Kwh area wise $ '!B6</f>
        <v>1063.1268000000869</v>
      </c>
    </row>
    <row r="7" spans="1:13" x14ac:dyDescent="0.25">
      <c r="A7" s="14">
        <f>'Kwh Reading'!A8</f>
        <v>44505</v>
      </c>
      <c r="B7" s="11">
        <f>TOTAL!F6</f>
        <v>0.18</v>
      </c>
      <c r="C7" s="11">
        <f>'Kwh Consumption'!B8*' Kwh area wise $ '!B7</f>
        <v>3630.5999999998899</v>
      </c>
      <c r="D7" s="1">
        <f>'Kwh Consumption'!C8*' Kwh area wise $ '!B7</f>
        <v>88.199999999991405</v>
      </c>
      <c r="E7" s="1">
        <f>'Kwh Consumption'!D8*' Kwh area wise $ '!B7</f>
        <v>449.99999999999039</v>
      </c>
      <c r="F7" s="1">
        <f>'Kwh Consumption'!E8*' Kwh area wise $ '!B7</f>
        <v>45</v>
      </c>
      <c r="G7" s="1">
        <f>('Kwh Consumption'!F8+'Kwh Consumption'!G8+'Kwh Consumption'!H8)*' Kwh area wise $ '!B7</f>
        <v>176.40000000000327</v>
      </c>
      <c r="H7" s="16">
        <f>('Kwh Consumption'!I8+'Kwh Consumption'!J8)*' Kwh area wise $ '!B7</f>
        <v>39.599999999999795</v>
      </c>
      <c r="I7" s="1">
        <f>('Kwh Consumption'!K8+'Kwh Consumption'!L8)*' Kwh area wise $ '!B7</f>
        <v>228.59999999998104</v>
      </c>
      <c r="J7" s="1">
        <f>('Kwh Consumption'!M8+'Kwh Consumption'!N8+'Kwh Consumption'!O8+'Kwh Consumption'!P8+'Kwh Consumption'!Q8+'Kwh Consumption'!R8)*' Kwh area wise $ '!B7</f>
        <v>775.80000000001064</v>
      </c>
      <c r="K7" s="1">
        <f>('Kwh Consumption'!S8+'Kwh Consumption'!T8)*' Kwh area wise $ '!B7</f>
        <v>734.67720000017437</v>
      </c>
      <c r="L7" s="1">
        <f>'Kwh Consumption'!U8*' Kwh area wise $ '!B7</f>
        <v>27.000000000001023</v>
      </c>
      <c r="M7" s="1">
        <f>'Kwh Consumption'!V8*' Kwh area wise $ '!B7</f>
        <v>1065.3227999997382</v>
      </c>
    </row>
    <row r="8" spans="1:13" x14ac:dyDescent="0.25">
      <c r="A8" s="14">
        <f>'Kwh Reading'!A9</f>
        <v>44506</v>
      </c>
      <c r="B8" s="11">
        <f>TOTAL!F7</f>
        <v>0.18</v>
      </c>
      <c r="C8" s="11">
        <f>'Kwh Consumption'!B9*' Kwh area wise $ '!B8</f>
        <v>3934.8000000001866</v>
      </c>
      <c r="D8" s="1">
        <f>'Kwh Consumption'!C9*' Kwh area wise $ '!B8</f>
        <v>93.600000000006958</v>
      </c>
      <c r="E8" s="1">
        <f>'Kwh Consumption'!D9*' Kwh area wise $ '!B8</f>
        <v>504.00000000002439</v>
      </c>
      <c r="F8" s="1">
        <f>'Kwh Consumption'!E9*' Kwh area wise $ '!B8</f>
        <v>52.199999999993452</v>
      </c>
      <c r="G8" s="1">
        <f>('Kwh Consumption'!F9+'Kwh Consumption'!G9+'Kwh Consumption'!H9)*' Kwh area wise $ '!B8</f>
        <v>181.79999999999836</v>
      </c>
      <c r="H8" s="16">
        <f>('Kwh Consumption'!I9+'Kwh Consumption'!J9)*' Kwh area wise $ '!B8</f>
        <v>39.600000000004911</v>
      </c>
      <c r="I8" s="1">
        <f>('Kwh Consumption'!K9+'Kwh Consumption'!L9)*' Kwh area wise $ '!B8</f>
        <v>219.6000000000148</v>
      </c>
      <c r="J8" s="1">
        <f>('Kwh Consumption'!M9+'Kwh Consumption'!N9+'Kwh Consumption'!O9+'Kwh Consumption'!P9+'Kwh Consumption'!Q9+'Kwh Consumption'!R9)*' Kwh area wise $ '!B8</f>
        <v>892.79999999996562</v>
      </c>
      <c r="K8" s="1">
        <f>('Kwh Consumption'!S9+'Kwh Consumption'!T9)*' Kwh area wise $ '!B8</f>
        <v>826.90739999994628</v>
      </c>
      <c r="L8" s="1">
        <f>'Kwh Consumption'!U9*' Kwh area wise $ '!B8</f>
        <v>21.599999999995703</v>
      </c>
      <c r="M8" s="1">
        <f>'Kwh Consumption'!V9*' Kwh area wise $ '!B8</f>
        <v>1102.6926000002359</v>
      </c>
    </row>
    <row r="9" spans="1:13" x14ac:dyDescent="0.25">
      <c r="A9" s="14">
        <f>'Kwh Reading'!A10</f>
        <v>44507</v>
      </c>
      <c r="B9" s="11">
        <f>TOTAL!F8</f>
        <v>0.18</v>
      </c>
      <c r="C9" s="11">
        <f>'Kwh Consumption'!B10*' Kwh area wise $ '!B9</f>
        <v>3886.1999999999853</v>
      </c>
      <c r="D9" s="1">
        <f>'Kwh Consumption'!C10*' Kwh area wise $ '!B9</f>
        <v>86.399999999993042</v>
      </c>
      <c r="E9" s="1">
        <f>'Kwh Consumption'!D10*' Kwh area wise $ '!B9</f>
        <v>468.00000000002836</v>
      </c>
      <c r="F9" s="1">
        <f>'Kwh Consumption'!E10*' Kwh area wise $ '!B9</f>
        <v>43.200000000001637</v>
      </c>
      <c r="G9" s="1">
        <f>('Kwh Consumption'!F10+'Kwh Consumption'!G10+'Kwh Consumption'!H10)*' Kwh area wise $ '!B9</f>
        <v>169.19999999999959</v>
      </c>
      <c r="H9" s="16">
        <f>('Kwh Consumption'!I10+'Kwh Consumption'!J10)*' Kwh area wise $ '!B9</f>
        <v>35.999999999997954</v>
      </c>
      <c r="I9" s="1">
        <f>('Kwh Consumption'!K10+'Kwh Consumption'!L10)*' Kwh area wise $ '!B9</f>
        <v>223.19999999998183</v>
      </c>
      <c r="J9" s="1">
        <f>('Kwh Consumption'!M10+'Kwh Consumption'!N10+'Kwh Consumption'!O10+'Kwh Consumption'!P10+'Kwh Consumption'!Q10+'Kwh Consumption'!R10)*' Kwh area wise $ '!B9</f>
        <v>854.99999999997954</v>
      </c>
      <c r="K9" s="1">
        <f>('Kwh Consumption'!S10+'Kwh Consumption'!T10)*' Kwh area wise $ '!B9</f>
        <v>822.13019999993958</v>
      </c>
      <c r="L9" s="1">
        <f>'Kwh Consumption'!U10*' Kwh area wise $ '!B9</f>
        <v>21.600000000000819</v>
      </c>
      <c r="M9" s="1">
        <f>'Kwh Consumption'!V10*' Kwh area wise $ '!B9</f>
        <v>1161.4698000000635</v>
      </c>
    </row>
    <row r="10" spans="1:13" x14ac:dyDescent="0.25">
      <c r="A10" s="14">
        <f>'Kwh Reading'!A11</f>
        <v>44508</v>
      </c>
      <c r="B10" s="11">
        <f>TOTAL!F9</f>
        <v>0.18</v>
      </c>
      <c r="C10" s="11">
        <f>'Kwh Consumption'!B11*' Kwh area wise $ '!B10</f>
        <v>4152.599999999743</v>
      </c>
      <c r="D10" s="1">
        <f>'Kwh Consumption'!C11*' Kwh area wise $ '!B10</f>
        <v>82.800000000006548</v>
      </c>
      <c r="E10" s="1">
        <f>'Kwh Consumption'!D11*' Kwh area wise $ '!B10</f>
        <v>467.99999999994839</v>
      </c>
      <c r="F10" s="1">
        <f>'Kwh Consumption'!E11*' Kwh area wise $ '!B10</f>
        <v>45</v>
      </c>
      <c r="G10" s="1">
        <f>('Kwh Consumption'!F11+'Kwh Consumption'!G11+'Kwh Consumption'!H11)*' Kwh area wise $ '!B10</f>
        <v>194.39999999999714</v>
      </c>
      <c r="H10" s="16">
        <f>('Kwh Consumption'!I11+'Kwh Consumption'!J11)*' Kwh area wise $ '!B10</f>
        <v>23.399999999999181</v>
      </c>
      <c r="I10" s="1">
        <f>('Kwh Consumption'!K11+'Kwh Consumption'!L11)*' Kwh area wise $ '!B10</f>
        <v>225.00000000002012</v>
      </c>
      <c r="J10" s="1">
        <f>('Kwh Consumption'!M11+'Kwh Consumption'!N11+'Kwh Consumption'!O11+'Kwh Consumption'!P11+'Kwh Consumption'!Q11+'Kwh Consumption'!R11)*' Kwh area wise $ '!B10</f>
        <v>981.00000000000819</v>
      </c>
      <c r="K10" s="1">
        <f>('Kwh Consumption'!S11+'Kwh Consumption'!T11)*' Kwh area wise $ '!B10</f>
        <v>976.71239999994634</v>
      </c>
      <c r="L10" s="1">
        <f>'Kwh Consumption'!U11*' Kwh area wise $ '!B10</f>
        <v>14.400000000002251</v>
      </c>
      <c r="M10" s="1">
        <f>'Kwh Consumption'!V11*' Kwh area wise $ '!B10</f>
        <v>1141.8875999998152</v>
      </c>
    </row>
    <row r="11" spans="1:13" x14ac:dyDescent="0.25">
      <c r="A11" s="14">
        <f>'Kwh Reading'!A12</f>
        <v>44509</v>
      </c>
      <c r="B11" s="11">
        <f>TOTAL!F10</f>
        <v>0.18</v>
      </c>
      <c r="C11" s="11">
        <f>'Kwh Consumption'!B12*' Kwh area wise $ '!B11</f>
        <v>3961.8000000001211</v>
      </c>
      <c r="D11" s="1">
        <f>'Kwh Consumption'!C12*' Kwh area wise $ '!B11</f>
        <v>90</v>
      </c>
      <c r="E11" s="1">
        <f>'Kwh Consumption'!D12*' Kwh area wise $ '!B11</f>
        <v>414.00000000007429</v>
      </c>
      <c r="F11" s="1">
        <f>'Kwh Consumption'!E12*' Kwh area wise $ '!B11</f>
        <v>41.400000000003274</v>
      </c>
      <c r="G11" s="1">
        <f>('Kwh Consumption'!F12+'Kwh Consumption'!G12+'Kwh Consumption'!H12)*' Kwh area wise $ '!B11</f>
        <v>169.19999999999959</v>
      </c>
      <c r="H11" s="16">
        <f>('Kwh Consumption'!I12+'Kwh Consumption'!J12)*' Kwh area wise $ '!B11</f>
        <v>30.600000000002865</v>
      </c>
      <c r="I11" s="1">
        <f>('Kwh Consumption'!K12+'Kwh Consumption'!L12)*' Kwh area wise $ '!B11</f>
        <v>223.19999999998183</v>
      </c>
      <c r="J11" s="1">
        <f>('Kwh Consumption'!M12+'Kwh Consumption'!N12+'Kwh Consumption'!O12+'Kwh Consumption'!P12+'Kwh Consumption'!Q12+'Kwh Consumption'!R12)*' Kwh area wise $ '!B11</f>
        <v>941.40000000002374</v>
      </c>
      <c r="K11" s="1">
        <f>('Kwh Consumption'!S12+'Kwh Consumption'!T12)*' Kwh area wise $ '!B11</f>
        <v>967.63680000012732</v>
      </c>
      <c r="L11" s="1">
        <f>'Kwh Consumption'!U12*' Kwh area wise $ '!B11</f>
        <v>14.399999999997135</v>
      </c>
      <c r="M11" s="1">
        <f>'Kwh Consumption'!V12*' Kwh area wise $ '!B11</f>
        <v>1069.9631999999108</v>
      </c>
    </row>
    <row r="12" spans="1:13" x14ac:dyDescent="0.25">
      <c r="A12" s="14">
        <f>'Kwh Reading'!A13</f>
        <v>44510</v>
      </c>
      <c r="B12" s="11">
        <f>TOTAL!F11</f>
        <v>0.18</v>
      </c>
      <c r="C12" s="11">
        <f>'Kwh Consumption'!B13*' Kwh area wise $ '!B12</f>
        <v>4184.9999999998763</v>
      </c>
      <c r="D12" s="1">
        <f>'Kwh Consumption'!C13*' Kwh area wise $ '!B12</f>
        <v>90</v>
      </c>
      <c r="E12" s="1">
        <f>'Kwh Consumption'!D13*' Kwh area wise $ '!B12</f>
        <v>467.99999999994839</v>
      </c>
      <c r="F12" s="1">
        <f>'Kwh Consumption'!E13*' Kwh area wise $ '!B12</f>
        <v>45</v>
      </c>
      <c r="G12" s="1">
        <f>('Kwh Consumption'!F13+'Kwh Consumption'!G13+'Kwh Consumption'!H13)*' Kwh area wise $ '!B12</f>
        <v>165.60000000000286</v>
      </c>
      <c r="H12" s="16">
        <f>('Kwh Consumption'!I13+'Kwh Consumption'!J13)*' Kwh area wise $ '!B12</f>
        <v>25.199999999997544</v>
      </c>
      <c r="I12" s="1">
        <f>('Kwh Consumption'!K13+'Kwh Consumption'!L13)*' Kwh area wise $ '!B12</f>
        <v>230.40000000001521</v>
      </c>
      <c r="J12" s="1">
        <f>('Kwh Consumption'!M13+'Kwh Consumption'!N13+'Kwh Consumption'!O13+'Kwh Consumption'!P13+'Kwh Consumption'!Q13+'Kwh Consumption'!R13)*' Kwh area wise $ '!B12</f>
        <v>1013.3999999999992</v>
      </c>
      <c r="K12" s="1">
        <f>('Kwh Consumption'!S13+'Kwh Consumption'!T13)*' Kwh area wise $ '!B12</f>
        <v>967.42799999976523</v>
      </c>
      <c r="L12" s="1">
        <f>'Kwh Consumption'!U13*' Kwh area wise $ '!B12</f>
        <v>16.200000000000614</v>
      </c>
      <c r="M12" s="1">
        <f>'Kwh Consumption'!V13*' Kwh area wise $ '!B12</f>
        <v>1163.7720000001475</v>
      </c>
    </row>
    <row r="13" spans="1:13" x14ac:dyDescent="0.25">
      <c r="A13" s="14">
        <f>'Kwh Reading'!A14</f>
        <v>44511</v>
      </c>
      <c r="B13" s="11">
        <f>TOTAL!F12</f>
        <v>0.18</v>
      </c>
      <c r="C13" s="11">
        <f>'Kwh Consumption'!B14*' Kwh area wise $ '!B13</f>
        <v>4287.6000000000704</v>
      </c>
      <c r="D13" s="1">
        <f>'Kwh Consumption'!C14*' Kwh area wise $ '!B13</f>
        <v>84.599999999994679</v>
      </c>
      <c r="E13" s="1">
        <f>'Kwh Consumption'!D14*' Kwh area wise $ '!B13</f>
        <v>468.00000000002836</v>
      </c>
      <c r="F13" s="1">
        <f>'Kwh Consumption'!E14*' Kwh area wise $ '!B13</f>
        <v>43.200000000001637</v>
      </c>
      <c r="G13" s="1">
        <f>('Kwh Consumption'!F14+'Kwh Consumption'!G14+'Kwh Consumption'!H14)*' Kwh area wise $ '!B13</f>
        <v>183.59999999999673</v>
      </c>
      <c r="H13" s="16">
        <f>('Kwh Consumption'!I14+'Kwh Consumption'!J14)*' Kwh area wise $ '!B13</f>
        <v>30.600000000002865</v>
      </c>
      <c r="I13" s="1">
        <f>('Kwh Consumption'!K14+'Kwh Consumption'!L14)*' Kwh area wise $ '!B13</f>
        <v>250.19999999998186</v>
      </c>
      <c r="J13" s="1">
        <f>('Kwh Consumption'!M14+'Kwh Consumption'!N14+'Kwh Consumption'!O14+'Kwh Consumption'!P14+'Kwh Consumption'!Q14+'Kwh Consumption'!R14)*' Kwh area wise $ '!B13</f>
        <v>1029.5999999999844</v>
      </c>
      <c r="K13" s="1">
        <f>('Kwh Consumption'!S14+'Kwh Consumption'!T14)*' Kwh area wise $ '!B13</f>
        <v>980.03880000002675</v>
      </c>
      <c r="L13" s="1">
        <f>'Kwh Consumption'!U14*' Kwh area wise $ '!B13</f>
        <v>21.600000000000819</v>
      </c>
      <c r="M13" s="1">
        <f>'Kwh Consumption'!V14*' Kwh area wise $ '!B13</f>
        <v>1196.1612000000523</v>
      </c>
    </row>
    <row r="14" spans="1:13" x14ac:dyDescent="0.25">
      <c r="A14" s="14">
        <f>'Kwh Reading'!A15</f>
        <v>44512</v>
      </c>
      <c r="B14" s="11">
        <f>TOTAL!F13</f>
        <v>0.18</v>
      </c>
      <c r="C14" s="11">
        <f>'Kwh Consumption'!B15*' Kwh area wise $ '!B14</f>
        <v>0</v>
      </c>
      <c r="D14" s="1">
        <f>'Kwh Consumption'!C15*' Kwh area wise $ '!B14</f>
        <v>46.799999999998363</v>
      </c>
      <c r="E14" s="1">
        <f>'Kwh Consumption'!D15*' Kwh area wise $ '!B14</f>
        <v>485.99999999998641</v>
      </c>
      <c r="F14" s="1">
        <f>'Kwh Consumption'!E15*' Kwh area wise $ '!B14</f>
        <v>50.399999999995089</v>
      </c>
      <c r="G14" s="1">
        <f>('Kwh Consumption'!F15+'Kwh Consumption'!G15+'Kwh Consumption'!H15)*' Kwh area wise $ '!B14</f>
        <v>153.00000000000409</v>
      </c>
      <c r="H14" s="16">
        <f>('Kwh Consumption'!I15+'Kwh Consumption'!J15)*' Kwh area wise $ '!B14</f>
        <v>25.199999999997544</v>
      </c>
      <c r="I14" s="1">
        <f>('Kwh Consumption'!K15+'Kwh Consumption'!L15)*' Kwh area wise $ '!B14</f>
        <v>250.20000000002184</v>
      </c>
      <c r="J14" s="1">
        <f>('Kwh Consumption'!M15+'Kwh Consumption'!N15+'Kwh Consumption'!O15+'Kwh Consumption'!P15+'Kwh Consumption'!Q15+'Kwh Consumption'!R15)*' Kwh area wise $ '!B14</f>
        <v>997.19999999999345</v>
      </c>
      <c r="K14" s="1">
        <f>('Kwh Consumption'!S15+'Kwh Consumption'!T15)*' Kwh area wise $ '!B14</f>
        <v>895.4514000002481</v>
      </c>
      <c r="L14" s="1">
        <f>'Kwh Consumption'!U15*' Kwh area wise $ '!B14</f>
        <v>23.399999999999181</v>
      </c>
      <c r="M14" s="1">
        <f>'Kwh Consumption'!V15*' Kwh area wise $ '!B14</f>
        <v>-2927.6514000002439</v>
      </c>
    </row>
    <row r="15" spans="1:13" x14ac:dyDescent="0.25">
      <c r="A15" s="14">
        <f>'Kwh Reading'!A16</f>
        <v>44513</v>
      </c>
      <c r="B15" s="11">
        <f>TOTAL!F14</f>
        <v>0.18</v>
      </c>
      <c r="C15" s="11">
        <f>'Kwh Consumption'!B16*' Kwh area wise $ '!B15</f>
        <v>0</v>
      </c>
      <c r="D15" s="1">
        <f>'Kwh Consumption'!C16*' Kwh area wise $ '!B15</f>
        <v>-86877</v>
      </c>
      <c r="E15" s="1">
        <f>'Kwh Consumption'!D16*' Kwh area wise $ '!B15</f>
        <v>-488448</v>
      </c>
      <c r="F15" s="1">
        <f>'Kwh Consumption'!E16*' Kwh area wise $ '!B15</f>
        <v>-47340</v>
      </c>
      <c r="G15" s="1">
        <f>('Kwh Consumption'!F16+'Kwh Consumption'!G16+'Kwh Consumption'!H16)*' Kwh area wise $ '!B15</f>
        <v>-179481.60000000001</v>
      </c>
      <c r="H15" s="16">
        <f>('Kwh Consumption'!I16+'Kwh Consumption'!J16)*' Kwh area wise $ '!B15</f>
        <v>-57904.2</v>
      </c>
      <c r="I15" s="1">
        <f>('Kwh Consumption'!K16+'Kwh Consumption'!L16)*' Kwh area wise $ '!B15</f>
        <v>-257403.59999999998</v>
      </c>
      <c r="J15" s="1">
        <f>('Kwh Consumption'!M16+'Kwh Consumption'!N16+'Kwh Consumption'!O16+'Kwh Consumption'!P16+'Kwh Consumption'!Q16+'Kwh Consumption'!R16)*' Kwh area wise $ '!B15</f>
        <v>-732256.2</v>
      </c>
      <c r="K15" s="1">
        <f>('Kwh Consumption'!S16+'Kwh Consumption'!T16)*' Kwh area wise $ '!B15</f>
        <v>-2946575.9213999999</v>
      </c>
      <c r="L15" s="1">
        <f>'Kwh Consumption'!U16*' Kwh area wise $ '!B15</f>
        <v>-32491.8</v>
      </c>
      <c r="M15" s="1">
        <f>'Kwh Consumption'!V16*' Kwh area wise $ '!B15</f>
        <v>4828778.3213999998</v>
      </c>
    </row>
    <row r="16" spans="1:13" x14ac:dyDescent="0.25">
      <c r="A16" s="14">
        <f>'Kwh Reading'!A17</f>
        <v>44514</v>
      </c>
      <c r="B16" s="11">
        <f>TOTAL!F15</f>
        <v>0.18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1">
        <f>('Kwh Consumption'!S17+'Kwh Consumption'!T17)*' Kwh area wise $ '!B16</f>
        <v>0</v>
      </c>
      <c r="L16" s="1">
        <f>'Kwh Consumption'!U17*' Kwh area wise $ '!B16</f>
        <v>0</v>
      </c>
      <c r="M16" s="1">
        <f>'Kwh Consumption'!V17*' Kwh area wise $ '!B16</f>
        <v>0</v>
      </c>
    </row>
    <row r="17" spans="1:13" x14ac:dyDescent="0.25">
      <c r="A17" s="14">
        <f>'Kwh Reading'!A18</f>
        <v>44515</v>
      </c>
      <c r="B17" s="11">
        <f>TOTAL!F16</f>
        <v>0.18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1">
        <f>('Kwh Consumption'!S18+'Kwh Consumption'!T18)*' Kwh area wise $ '!B17</f>
        <v>0</v>
      </c>
      <c r="L17" s="1">
        <f>'Kwh Consumption'!U18*' Kwh area wise $ '!B17</f>
        <v>0</v>
      </c>
      <c r="M17" s="1">
        <f>'Kwh Consumption'!V18*' Kwh area wise $ '!B17</f>
        <v>0</v>
      </c>
    </row>
    <row r="18" spans="1:13" x14ac:dyDescent="0.25">
      <c r="A18" s="14">
        <f>'Kwh Reading'!A19</f>
        <v>44516</v>
      </c>
      <c r="B18" s="11">
        <f>TOTAL!F17</f>
        <v>0.18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1">
        <f>('Kwh Consumption'!S19+'Kwh Consumption'!T19)*' Kwh area wise $ '!B18</f>
        <v>0</v>
      </c>
      <c r="L18" s="1">
        <f>'Kwh Consumption'!U19*' Kwh area wise $ '!B18</f>
        <v>0</v>
      </c>
      <c r="M18" s="1">
        <f>'Kwh Consumption'!V19*' Kwh area wise $ '!B18</f>
        <v>0</v>
      </c>
    </row>
    <row r="19" spans="1:13" x14ac:dyDescent="0.25">
      <c r="A19" s="14">
        <f>'Kwh Reading'!A20</f>
        <v>44517</v>
      </c>
      <c r="B19" s="11">
        <f>TOTAL!F18</f>
        <v>0.18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44518</v>
      </c>
      <c r="B20" s="11">
        <f>TOTAL!F19</f>
        <v>0.18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44519</v>
      </c>
      <c r="B21" s="11">
        <f>TOTAL!F20</f>
        <v>0.18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44520</v>
      </c>
      <c r="B22" s="11">
        <f>TOTAL!F21</f>
        <v>0.18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44521</v>
      </c>
      <c r="B23" s="11">
        <f>TOTAL!F22</f>
        <v>0.18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44522</v>
      </c>
      <c r="B24" s="11">
        <f>TOTAL!F23</f>
        <v>0.18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44523</v>
      </c>
      <c r="B25" s="11">
        <f>TOTAL!F24</f>
        <v>0.18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44524</v>
      </c>
      <c r="B26" s="11">
        <f>TOTAL!F25</f>
        <v>0.18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44525</v>
      </c>
      <c r="B27" s="11">
        <f>TOTAL!F26</f>
        <v>0.18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44526</v>
      </c>
      <c r="B28" s="11">
        <f>TOTAL!F27</f>
        <v>0.18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44527</v>
      </c>
      <c r="B29" s="11">
        <f>TOTAL!F28</f>
        <v>0.18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44528</v>
      </c>
      <c r="B30" s="11">
        <f>TOTAL!F29</f>
        <v>0.18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44529</v>
      </c>
      <c r="B31" s="11">
        <f>TOTAL!F30</f>
        <v>0.18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44530</v>
      </c>
      <c r="B32" s="11">
        <f>TOTAL!F31</f>
        <v>0.18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44531</v>
      </c>
      <c r="B33" s="11">
        <f>TOTAL!F32</f>
        <v>0.18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5" t="s">
        <v>52</v>
      </c>
      <c r="B34" s="145"/>
      <c r="C34" s="72">
        <f t="shared" ref="C34:L34" si="0">SUM(C3:C33)</f>
        <v>43230.599999999504</v>
      </c>
      <c r="D34" s="72">
        <f t="shared" si="0"/>
        <v>-85897.8</v>
      </c>
      <c r="E34" s="72">
        <f t="shared" si="0"/>
        <v>-482796</v>
      </c>
      <c r="F34" s="72">
        <f t="shared" si="0"/>
        <v>-46783.8</v>
      </c>
      <c r="G34" s="72">
        <f t="shared" si="0"/>
        <v>-177337.80000000002</v>
      </c>
      <c r="H34" s="72">
        <f t="shared" si="0"/>
        <v>-57432.6</v>
      </c>
      <c r="I34" s="72">
        <f t="shared" si="0"/>
        <v>-254653.19999999998</v>
      </c>
      <c r="J34" s="72">
        <f t="shared" si="0"/>
        <v>-721683</v>
      </c>
      <c r="K34" s="72">
        <f t="shared" si="0"/>
        <v>-2936399.7744</v>
      </c>
      <c r="L34" s="72">
        <f t="shared" si="0"/>
        <v>-32207.4</v>
      </c>
      <c r="M34" s="72">
        <f>SUM(M3:M33)</f>
        <v>4838421.9743999997</v>
      </c>
      <c r="N34" s="81">
        <f>D34+E34+F34+G34+H34+I34+J34+K34+L34+M34</f>
        <v>43230.599999998696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C16" sqref="C16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22" t="s">
        <v>93</v>
      </c>
      <c r="E2" s="122" t="s">
        <v>94</v>
      </c>
      <c r="F2" s="122" t="s">
        <v>95</v>
      </c>
      <c r="G2" s="122" t="s">
        <v>96</v>
      </c>
      <c r="H2" s="122" t="s">
        <v>97</v>
      </c>
      <c r="I2" s="122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44501</v>
      </c>
      <c r="B3" s="32">
        <v>190269</v>
      </c>
      <c r="C3" s="32">
        <v>154434</v>
      </c>
      <c r="D3" s="32">
        <v>227239</v>
      </c>
      <c r="E3" s="32">
        <v>254920</v>
      </c>
      <c r="F3" s="32">
        <v>67013</v>
      </c>
      <c r="G3" s="32">
        <v>113887</v>
      </c>
      <c r="H3" s="32">
        <v>57642</v>
      </c>
      <c r="I3" s="32">
        <v>67620</v>
      </c>
      <c r="J3" s="32">
        <v>21563</v>
      </c>
      <c r="K3" s="54">
        <v>1024</v>
      </c>
      <c r="L3" s="104">
        <v>18117</v>
      </c>
      <c r="M3" s="104">
        <v>25946</v>
      </c>
      <c r="N3" s="104">
        <v>8025</v>
      </c>
      <c r="O3" s="104">
        <v>1801</v>
      </c>
      <c r="P3" s="104">
        <v>28505</v>
      </c>
      <c r="Q3" s="104">
        <v>1088</v>
      </c>
      <c r="R3" s="104">
        <v>6919</v>
      </c>
    </row>
    <row r="4" spans="1:21" x14ac:dyDescent="0.25">
      <c r="A4" s="52">
        <v>44502</v>
      </c>
      <c r="B4" s="32">
        <v>190418</v>
      </c>
      <c r="C4" s="32">
        <v>154575</v>
      </c>
      <c r="D4" s="32">
        <v>227394</v>
      </c>
      <c r="E4" s="32">
        <v>254989</v>
      </c>
      <c r="F4" s="32">
        <v>67014</v>
      </c>
      <c r="G4" s="32">
        <v>113920</v>
      </c>
      <c r="H4" s="32">
        <v>57662</v>
      </c>
      <c r="I4" s="32">
        <v>67661</v>
      </c>
      <c r="J4" s="54">
        <v>21577</v>
      </c>
      <c r="K4" s="54">
        <v>1024</v>
      </c>
      <c r="L4" s="104">
        <v>18123</v>
      </c>
      <c r="M4" s="104">
        <v>25957</v>
      </c>
      <c r="N4" s="104">
        <v>8028</v>
      </c>
      <c r="O4" s="104">
        <v>1802</v>
      </c>
      <c r="P4" s="104">
        <v>28512</v>
      </c>
      <c r="Q4" s="104">
        <v>1088</v>
      </c>
      <c r="R4" s="104">
        <v>6925</v>
      </c>
    </row>
    <row r="5" spans="1:21" x14ac:dyDescent="0.25">
      <c r="A5" s="52">
        <v>44503</v>
      </c>
      <c r="B5" s="32">
        <v>190522</v>
      </c>
      <c r="C5" s="32">
        <v>154647</v>
      </c>
      <c r="D5" s="32">
        <v>227512</v>
      </c>
      <c r="E5" s="32">
        <v>255039</v>
      </c>
      <c r="F5" s="32">
        <v>67014</v>
      </c>
      <c r="G5" s="32">
        <v>113936</v>
      </c>
      <c r="H5" s="32">
        <v>57708</v>
      </c>
      <c r="I5" s="32">
        <v>67684</v>
      </c>
      <c r="J5" s="53">
        <v>21577</v>
      </c>
      <c r="K5" s="32">
        <v>1024</v>
      </c>
      <c r="L5" s="104">
        <v>18128</v>
      </c>
      <c r="M5" s="104">
        <v>25968</v>
      </c>
      <c r="N5" s="104">
        <v>8029</v>
      </c>
      <c r="O5" s="104">
        <v>1802</v>
      </c>
      <c r="P5" s="104">
        <v>28514</v>
      </c>
      <c r="Q5" s="104">
        <v>1088</v>
      </c>
      <c r="R5" s="104">
        <v>6932</v>
      </c>
    </row>
    <row r="6" spans="1:21" x14ac:dyDescent="0.25">
      <c r="A6" s="52">
        <v>44504</v>
      </c>
      <c r="B6" s="32">
        <v>190645</v>
      </c>
      <c r="C6" s="32">
        <v>155145</v>
      </c>
      <c r="D6" s="32">
        <v>227634</v>
      </c>
      <c r="E6" s="32">
        <v>255103</v>
      </c>
      <c r="F6" s="32">
        <v>67015</v>
      </c>
      <c r="G6" s="32">
        <v>113963</v>
      </c>
      <c r="H6" s="32">
        <v>57742</v>
      </c>
      <c r="I6" s="32">
        <v>67712</v>
      </c>
      <c r="J6" s="54">
        <v>21584</v>
      </c>
      <c r="K6" s="54">
        <v>1024</v>
      </c>
      <c r="L6" s="104">
        <v>18133</v>
      </c>
      <c r="M6" s="104">
        <v>25981</v>
      </c>
      <c r="N6" s="104">
        <v>8031</v>
      </c>
      <c r="O6" s="104">
        <v>1805</v>
      </c>
      <c r="P6" s="104">
        <v>28514</v>
      </c>
      <c r="Q6" s="104">
        <v>1088</v>
      </c>
      <c r="R6" s="104">
        <v>6939</v>
      </c>
    </row>
    <row r="7" spans="1:21" x14ac:dyDescent="0.25">
      <c r="A7" s="52">
        <v>44505</v>
      </c>
      <c r="B7" s="54">
        <v>190759</v>
      </c>
      <c r="C7" s="32">
        <v>155246</v>
      </c>
      <c r="D7" s="104">
        <v>227737</v>
      </c>
      <c r="E7" s="104">
        <v>255160</v>
      </c>
      <c r="F7" s="104">
        <v>67016</v>
      </c>
      <c r="G7" s="104">
        <v>113984</v>
      </c>
      <c r="H7" s="104">
        <v>57775</v>
      </c>
      <c r="I7" s="104">
        <v>67758</v>
      </c>
      <c r="J7" s="104">
        <v>21590</v>
      </c>
      <c r="K7" s="104">
        <v>1024</v>
      </c>
      <c r="L7" s="104">
        <v>18137</v>
      </c>
      <c r="M7" s="104">
        <v>25995</v>
      </c>
      <c r="N7" s="104">
        <v>8033</v>
      </c>
      <c r="O7" s="104">
        <v>1806</v>
      </c>
      <c r="P7" s="104">
        <v>28514</v>
      </c>
      <c r="Q7" s="104">
        <v>1088</v>
      </c>
      <c r="R7" s="104">
        <v>6940</v>
      </c>
    </row>
    <row r="8" spans="1:21" x14ac:dyDescent="0.25">
      <c r="A8" s="52">
        <v>44506</v>
      </c>
      <c r="B8" s="32">
        <v>190895</v>
      </c>
      <c r="C8" s="54">
        <v>155353</v>
      </c>
      <c r="D8" s="104">
        <v>227853</v>
      </c>
      <c r="E8" s="104">
        <v>255261</v>
      </c>
      <c r="F8" s="104">
        <v>67616</v>
      </c>
      <c r="G8" s="104">
        <v>114009</v>
      </c>
      <c r="H8" s="104">
        <v>57801</v>
      </c>
      <c r="I8" s="104">
        <v>67785</v>
      </c>
      <c r="J8" s="104">
        <v>21596</v>
      </c>
      <c r="K8" s="104">
        <v>1024</v>
      </c>
      <c r="L8" s="104">
        <v>18141</v>
      </c>
      <c r="M8" s="104">
        <v>26006</v>
      </c>
      <c r="N8" s="104">
        <v>8034</v>
      </c>
      <c r="O8" s="104">
        <v>1806</v>
      </c>
      <c r="P8" s="104">
        <v>28514</v>
      </c>
      <c r="Q8" s="104">
        <v>1088</v>
      </c>
      <c r="R8" s="104">
        <v>6946</v>
      </c>
    </row>
    <row r="9" spans="1:21" x14ac:dyDescent="0.25">
      <c r="A9" s="52">
        <v>44507</v>
      </c>
      <c r="B9" s="54">
        <v>191018</v>
      </c>
      <c r="C9" s="32">
        <v>155451</v>
      </c>
      <c r="D9" s="104">
        <v>227976</v>
      </c>
      <c r="E9" s="104">
        <v>255318</v>
      </c>
      <c r="F9" s="104">
        <v>67017</v>
      </c>
      <c r="G9" s="104">
        <v>114035</v>
      </c>
      <c r="H9" s="104">
        <v>57842</v>
      </c>
      <c r="I9" s="104">
        <v>67818</v>
      </c>
      <c r="J9" s="104">
        <v>21603</v>
      </c>
      <c r="K9" s="104">
        <v>1024</v>
      </c>
      <c r="L9" s="104">
        <v>18143</v>
      </c>
      <c r="M9" s="104">
        <v>26013</v>
      </c>
      <c r="N9" s="104">
        <v>8044</v>
      </c>
      <c r="O9" s="104">
        <v>1809</v>
      </c>
      <c r="P9" s="104">
        <v>28521</v>
      </c>
      <c r="Q9" s="104">
        <v>1088</v>
      </c>
      <c r="R9" s="104">
        <v>6952</v>
      </c>
    </row>
    <row r="10" spans="1:21" x14ac:dyDescent="0.25">
      <c r="A10" s="52">
        <v>44508</v>
      </c>
      <c r="B10" s="32">
        <v>191150</v>
      </c>
      <c r="C10" s="54">
        <v>155510</v>
      </c>
      <c r="D10" s="104">
        <v>228106</v>
      </c>
      <c r="E10" s="104">
        <v>255386</v>
      </c>
      <c r="F10" s="104">
        <v>67018</v>
      </c>
      <c r="G10" s="104">
        <v>114085</v>
      </c>
      <c r="H10" s="104">
        <v>57881</v>
      </c>
      <c r="I10" s="104">
        <v>67872</v>
      </c>
      <c r="J10" s="104">
        <v>21609</v>
      </c>
      <c r="K10" s="104">
        <v>1024</v>
      </c>
      <c r="L10" s="104">
        <v>18145</v>
      </c>
      <c r="M10" s="104">
        <v>26019</v>
      </c>
      <c r="N10" s="104">
        <v>8078</v>
      </c>
      <c r="O10" s="104">
        <v>1811</v>
      </c>
      <c r="P10" s="104">
        <v>28545</v>
      </c>
      <c r="Q10" s="104">
        <v>1088</v>
      </c>
      <c r="R10" s="104">
        <v>6958</v>
      </c>
    </row>
    <row r="11" spans="1:21" x14ac:dyDescent="0.25">
      <c r="A11" s="52">
        <v>44509</v>
      </c>
      <c r="B11" s="54">
        <v>191296</v>
      </c>
      <c r="C11" s="32">
        <v>155623</v>
      </c>
      <c r="D11" s="104">
        <v>228262</v>
      </c>
      <c r="E11" s="104">
        <v>255446</v>
      </c>
      <c r="F11" s="104">
        <v>67019</v>
      </c>
      <c r="G11" s="104">
        <v>114085</v>
      </c>
      <c r="H11" s="104">
        <v>57945</v>
      </c>
      <c r="I11" s="104">
        <v>67909</v>
      </c>
      <c r="J11" s="104">
        <v>21615</v>
      </c>
      <c r="K11" s="104">
        <v>1024</v>
      </c>
      <c r="L11" s="104">
        <v>18146</v>
      </c>
      <c r="M11" s="104">
        <v>26023</v>
      </c>
      <c r="N11" s="104">
        <v>8078</v>
      </c>
      <c r="O11" s="104">
        <v>1813</v>
      </c>
      <c r="P11" s="104">
        <v>28559</v>
      </c>
      <c r="Q11" s="104">
        <v>1092</v>
      </c>
      <c r="R11" s="104">
        <v>6964</v>
      </c>
    </row>
    <row r="12" spans="1:21" x14ac:dyDescent="0.25">
      <c r="A12" s="52">
        <v>44510</v>
      </c>
      <c r="B12" s="32">
        <v>191420</v>
      </c>
      <c r="C12" s="54">
        <v>155711</v>
      </c>
      <c r="D12" s="104">
        <v>228391</v>
      </c>
      <c r="E12" s="104">
        <v>255507</v>
      </c>
      <c r="F12" s="104">
        <v>67019</v>
      </c>
      <c r="G12" s="104">
        <v>114108</v>
      </c>
      <c r="H12" s="104">
        <v>57993</v>
      </c>
      <c r="I12" s="104">
        <v>67946</v>
      </c>
      <c r="J12" s="104">
        <v>21622</v>
      </c>
      <c r="K12" s="104">
        <v>1024</v>
      </c>
      <c r="L12" s="104">
        <v>18148</v>
      </c>
      <c r="M12" s="104">
        <v>26027</v>
      </c>
      <c r="N12" s="104">
        <v>8078</v>
      </c>
      <c r="O12" s="104">
        <v>1814</v>
      </c>
      <c r="P12" s="104">
        <v>28569</v>
      </c>
      <c r="Q12" s="104">
        <v>1095</v>
      </c>
      <c r="R12" s="104">
        <v>6970</v>
      </c>
    </row>
    <row r="13" spans="1:21" x14ac:dyDescent="0.25">
      <c r="A13" s="52">
        <v>44511</v>
      </c>
      <c r="B13" s="54">
        <v>191566</v>
      </c>
      <c r="C13" s="32">
        <v>155801</v>
      </c>
      <c r="D13" s="104">
        <v>228581</v>
      </c>
      <c r="E13" s="104">
        <v>255547</v>
      </c>
      <c r="F13" s="104">
        <v>67020</v>
      </c>
      <c r="G13" s="104">
        <v>114131</v>
      </c>
      <c r="H13" s="104">
        <v>58042</v>
      </c>
      <c r="I13" s="104">
        <v>67996</v>
      </c>
      <c r="J13" s="104">
        <v>21628</v>
      </c>
      <c r="K13" s="104">
        <v>1024</v>
      </c>
      <c r="L13" s="104">
        <v>18150</v>
      </c>
      <c r="M13" s="104">
        <v>26034</v>
      </c>
      <c r="N13" s="104">
        <v>8078</v>
      </c>
      <c r="O13" s="104">
        <v>1816</v>
      </c>
      <c r="P13" s="104">
        <v>28593</v>
      </c>
      <c r="Q13" s="104">
        <v>1098</v>
      </c>
      <c r="R13" s="104">
        <v>6977</v>
      </c>
    </row>
    <row r="14" spans="1:21" x14ac:dyDescent="0.25">
      <c r="A14" s="52">
        <v>44512</v>
      </c>
      <c r="B14" s="32">
        <v>191715</v>
      </c>
      <c r="C14" s="32">
        <v>156195</v>
      </c>
      <c r="D14" s="104">
        <v>228722</v>
      </c>
      <c r="E14" s="104">
        <v>255640</v>
      </c>
      <c r="F14" s="104">
        <v>67021</v>
      </c>
      <c r="G14" s="104">
        <v>114156</v>
      </c>
      <c r="H14" s="104">
        <v>58091</v>
      </c>
      <c r="I14" s="104">
        <v>68030</v>
      </c>
      <c r="J14" s="104">
        <v>21635</v>
      </c>
      <c r="K14" s="104">
        <v>1024</v>
      </c>
      <c r="L14" s="104">
        <v>18152</v>
      </c>
      <c r="M14" s="104">
        <v>26040</v>
      </c>
      <c r="N14" s="104">
        <v>8083</v>
      </c>
      <c r="O14" s="104">
        <v>1817</v>
      </c>
      <c r="P14" s="104">
        <v>28605</v>
      </c>
      <c r="Q14" s="104">
        <v>1100</v>
      </c>
      <c r="R14" s="104">
        <v>6983</v>
      </c>
    </row>
    <row r="15" spans="1:21" x14ac:dyDescent="0.25">
      <c r="A15" s="52">
        <v>44513</v>
      </c>
      <c r="B15" s="32">
        <v>191849</v>
      </c>
      <c r="C15" s="32">
        <v>156259</v>
      </c>
      <c r="D15" s="104">
        <v>228861</v>
      </c>
      <c r="E15" s="104">
        <v>255709</v>
      </c>
      <c r="F15" s="104">
        <v>67021</v>
      </c>
      <c r="G15" s="104">
        <v>114177</v>
      </c>
      <c r="H15" s="104">
        <v>58147</v>
      </c>
      <c r="I15" s="104">
        <v>68055</v>
      </c>
      <c r="J15" s="104">
        <v>21641</v>
      </c>
      <c r="K15" s="104">
        <v>1024</v>
      </c>
      <c r="L15" s="104">
        <v>18154</v>
      </c>
      <c r="M15" s="104">
        <v>26044</v>
      </c>
      <c r="N15" s="104">
        <v>8086</v>
      </c>
      <c r="O15" s="104">
        <v>1820</v>
      </c>
      <c r="P15" s="104">
        <v>28605</v>
      </c>
      <c r="Q15" s="104">
        <v>1104</v>
      </c>
      <c r="R15" s="104">
        <v>6984</v>
      </c>
      <c r="T15" s="102"/>
      <c r="U15" s="102"/>
    </row>
    <row r="16" spans="1:21" x14ac:dyDescent="0.25">
      <c r="A16" s="52">
        <v>44514</v>
      </c>
      <c r="B16" s="32"/>
      <c r="C16" s="5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</row>
    <row r="17" spans="1:22" x14ac:dyDescent="0.25">
      <c r="A17" s="52">
        <v>44515</v>
      </c>
      <c r="B17" s="32"/>
      <c r="C17" s="32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104"/>
    </row>
    <row r="18" spans="1:22" x14ac:dyDescent="0.25">
      <c r="A18" s="52">
        <v>44516</v>
      </c>
      <c r="B18" s="32"/>
      <c r="C18" s="5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  <c r="P18" s="104"/>
      <c r="Q18" s="104"/>
      <c r="R18" s="104"/>
      <c r="U18" s="102"/>
    </row>
    <row r="19" spans="1:22" x14ac:dyDescent="0.25">
      <c r="A19" s="52">
        <v>44517</v>
      </c>
      <c r="B19" s="32"/>
      <c r="C19" s="32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</row>
    <row r="20" spans="1:22" x14ac:dyDescent="0.25">
      <c r="A20" s="52">
        <v>44518</v>
      </c>
      <c r="B20" s="32"/>
      <c r="C20" s="54"/>
      <c r="D20" s="105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104"/>
    </row>
    <row r="21" spans="1:22" x14ac:dyDescent="0.25">
      <c r="A21" s="52">
        <v>44519</v>
      </c>
      <c r="B21" s="32"/>
      <c r="C21" s="32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</row>
    <row r="22" spans="1:22" x14ac:dyDescent="0.25">
      <c r="A22" s="52">
        <v>44520</v>
      </c>
      <c r="B22" s="32"/>
      <c r="C22" s="5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</row>
    <row r="23" spans="1:22" x14ac:dyDescent="0.25">
      <c r="A23" s="52">
        <v>44521</v>
      </c>
      <c r="B23" s="32"/>
      <c r="C23" s="32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104"/>
      <c r="S23" s="10" t="s">
        <v>127</v>
      </c>
    </row>
    <row r="24" spans="1:22" x14ac:dyDescent="0.25">
      <c r="A24" s="52">
        <v>44522</v>
      </c>
      <c r="B24" s="32"/>
      <c r="C24" s="54"/>
      <c r="D24" s="104"/>
      <c r="E24" s="104"/>
      <c r="F24" s="104"/>
      <c r="G24" s="104"/>
      <c r="H24" s="104"/>
      <c r="I24" s="104"/>
      <c r="J24" s="104"/>
      <c r="K24" s="104"/>
      <c r="L24" s="104"/>
      <c r="M24" s="104"/>
      <c r="N24" s="104"/>
      <c r="O24" s="104"/>
      <c r="P24" s="104"/>
      <c r="Q24" s="104"/>
      <c r="R24" s="104"/>
    </row>
    <row r="25" spans="1:22" x14ac:dyDescent="0.25">
      <c r="A25" s="52">
        <v>44523</v>
      </c>
      <c r="B25" s="32"/>
      <c r="C25" s="32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</row>
    <row r="26" spans="1:22" x14ac:dyDescent="0.25">
      <c r="A26" s="52">
        <v>44524</v>
      </c>
      <c r="B26" s="32"/>
      <c r="C26" s="5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</row>
    <row r="27" spans="1:22" x14ac:dyDescent="0.25">
      <c r="A27" s="52">
        <v>44525</v>
      </c>
      <c r="B27" s="32"/>
      <c r="C27" s="32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</row>
    <row r="28" spans="1:22" x14ac:dyDescent="0.25">
      <c r="A28" s="52">
        <v>44526</v>
      </c>
      <c r="B28" s="32"/>
      <c r="C28" s="5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</row>
    <row r="29" spans="1:22" x14ac:dyDescent="0.25">
      <c r="A29" s="52">
        <v>44527</v>
      </c>
      <c r="B29" s="32"/>
      <c r="C29" s="32"/>
      <c r="D29" s="104"/>
      <c r="E29" s="104"/>
      <c r="F29" s="104"/>
      <c r="G29" s="104"/>
      <c r="H29" s="104"/>
      <c r="I29" s="105"/>
      <c r="J29" s="104"/>
      <c r="K29" s="104"/>
      <c r="L29" s="104"/>
      <c r="M29" s="104"/>
      <c r="N29" s="104"/>
      <c r="O29" s="104"/>
      <c r="P29" s="104"/>
      <c r="Q29" s="104"/>
      <c r="R29" s="104"/>
    </row>
    <row r="30" spans="1:22" x14ac:dyDescent="0.25">
      <c r="A30" s="52">
        <v>44528</v>
      </c>
      <c r="B30" s="32"/>
      <c r="C30" s="5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</row>
    <row r="31" spans="1:22" x14ac:dyDescent="0.25">
      <c r="A31" s="52">
        <v>44529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44530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44531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/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2"/>
      <c r="C37" s="10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M10" sqref="M10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0" t="s">
        <v>31</v>
      </c>
      <c r="B2" s="151" t="s">
        <v>108</v>
      </c>
      <c r="C2" s="151" t="s">
        <v>109</v>
      </c>
      <c r="D2" s="151"/>
      <c r="E2" s="152" t="s">
        <v>97</v>
      </c>
      <c r="F2" s="149"/>
      <c r="G2" s="146" t="s">
        <v>112</v>
      </c>
      <c r="H2" s="149"/>
      <c r="I2" s="146" t="s">
        <v>110</v>
      </c>
      <c r="J2" s="149"/>
      <c r="K2" s="146" t="s">
        <v>111</v>
      </c>
      <c r="L2" s="149"/>
      <c r="M2" s="146" t="s">
        <v>107</v>
      </c>
      <c r="N2" s="149"/>
      <c r="O2" s="146" t="s">
        <v>106</v>
      </c>
      <c r="P2" s="149"/>
      <c r="Q2" s="146" t="s">
        <v>113</v>
      </c>
      <c r="R2" s="149"/>
      <c r="S2" s="146" t="s">
        <v>114</v>
      </c>
      <c r="T2" s="149"/>
      <c r="U2" s="146" t="s">
        <v>115</v>
      </c>
      <c r="V2" s="149"/>
      <c r="W2" s="146" t="s">
        <v>99</v>
      </c>
      <c r="X2" s="147"/>
      <c r="Y2" s="148" t="s">
        <v>52</v>
      </c>
      <c r="Z2" s="148"/>
    </row>
    <row r="3" spans="1:26" ht="30" x14ac:dyDescent="0.35">
      <c r="A3" s="150"/>
      <c r="B3" s="151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44501</v>
      </c>
      <c r="B4" s="63">
        <v>469</v>
      </c>
      <c r="C4" s="64">
        <f>('Water Reading'!B4-'Water Reading'!B3)+('Water Reading'!C4-'Water Reading'!C3)</f>
        <v>290</v>
      </c>
      <c r="D4" s="65">
        <f>C4/B4</f>
        <v>0.61833688699360345</v>
      </c>
      <c r="E4" s="84">
        <f>'Water Reading'!H4-'Water Reading'!H3</f>
        <v>20</v>
      </c>
      <c r="F4" s="85">
        <f>E4/C4</f>
        <v>6.8965517241379309E-2</v>
      </c>
      <c r="G4" s="89">
        <f>('Water Reading'!D4-'Water Reading'!D3)-('Water Reading'!R4-'Water Reading'!R3)-('Water Reading'!Q4-'Water Reading'!Q3)</f>
        <v>149</v>
      </c>
      <c r="H4" s="85">
        <f>G4/C4</f>
        <v>0.51379310344827589</v>
      </c>
      <c r="I4" s="86">
        <f>'Water Reading'!P4-'Water Reading'!P3</f>
        <v>7</v>
      </c>
      <c r="J4" s="66">
        <f>I4/C4</f>
        <v>2.4137931034482758E-2</v>
      </c>
      <c r="K4" s="87">
        <f>('Water Reading'!I4-'Water Reading'!I3)-('Water Reading'!P4-'Water Reading'!P3)</f>
        <v>34</v>
      </c>
      <c r="L4" s="66">
        <f>K4/C4</f>
        <v>0.11724137931034483</v>
      </c>
      <c r="M4" s="86">
        <f>'Water Reading'!R4-'Water Reading'!R3</f>
        <v>6</v>
      </c>
      <c r="N4" s="88">
        <f>M4/C4</f>
        <v>2.0689655172413793E-2</v>
      </c>
      <c r="O4" s="86">
        <f>'Water Reading'!Q4-'Water Reading'!Q3</f>
        <v>0</v>
      </c>
      <c r="P4" s="93">
        <f>O4/C4</f>
        <v>0</v>
      </c>
      <c r="Q4" s="87">
        <f>'Water Reading'!N4-'Water Reading'!N3</f>
        <v>3</v>
      </c>
      <c r="R4" s="94">
        <f>Q4/C4</f>
        <v>1.0344827586206896E-2</v>
      </c>
      <c r="S4" s="86">
        <f>'Water Reading'!M4-'Water Reading'!M3</f>
        <v>11</v>
      </c>
      <c r="T4" s="94">
        <f>S4/C4</f>
        <v>3.793103448275862E-2</v>
      </c>
      <c r="U4" s="86">
        <f>'Water Reading'!O4-'Water Reading'!O3</f>
        <v>1</v>
      </c>
      <c r="V4" s="94">
        <f>U4/C4</f>
        <v>3.4482758620689655E-3</v>
      </c>
      <c r="W4" s="86">
        <f>'Water Reading'!R4-'Water Reading'!R3</f>
        <v>6</v>
      </c>
      <c r="X4" s="94">
        <f>W4/C4</f>
        <v>2.0689655172413793E-2</v>
      </c>
      <c r="Y4" s="64">
        <f t="shared" ref="Y4:Y34" si="0">E4+I4+K4+M4+O4+G4+Q4+S4+U4+W4</f>
        <v>237</v>
      </c>
      <c r="Z4" s="65">
        <f t="shared" ref="Z4:Z35" si="1">Y4/B4</f>
        <v>0.50533049040511724</v>
      </c>
    </row>
    <row r="5" spans="1:26" x14ac:dyDescent="0.25">
      <c r="A5" s="8">
        <f>'Water Reading'!A4</f>
        <v>44502</v>
      </c>
      <c r="B5" s="63">
        <f>TOTAL!I3</f>
        <v>285</v>
      </c>
      <c r="C5" s="64">
        <f>('Water Reading'!B5-'Water Reading'!B4)+('Water Reading'!C5-'Water Reading'!C4)</f>
        <v>176</v>
      </c>
      <c r="D5" s="65">
        <f t="shared" ref="D5:D34" si="2">C5/B5</f>
        <v>0.61754385964912284</v>
      </c>
      <c r="E5" s="84">
        <f>'Water Reading'!H5-'Water Reading'!H4</f>
        <v>46</v>
      </c>
      <c r="F5" s="85">
        <f t="shared" ref="F5:F34" si="3">E5/C5</f>
        <v>0.26136363636363635</v>
      </c>
      <c r="G5" s="89">
        <f>('Water Reading'!D5-'Water Reading'!D4)-('Water Reading'!R5-'Water Reading'!R4)-('Water Reading'!Q5-'Water Reading'!Q4)</f>
        <v>111</v>
      </c>
      <c r="H5" s="85">
        <f t="shared" ref="H5:H34" si="4">G5/C5</f>
        <v>0.63068181818181823</v>
      </c>
      <c r="I5" s="86">
        <f>'Water Reading'!P5-'Water Reading'!P4</f>
        <v>2</v>
      </c>
      <c r="J5" s="66">
        <f t="shared" ref="J5:J34" si="5">I5/C5</f>
        <v>1.1363636363636364E-2</v>
      </c>
      <c r="K5" s="87">
        <f>('Water Reading'!I5-'Water Reading'!I4)-('Water Reading'!P5-'Water Reading'!P4)</f>
        <v>21</v>
      </c>
      <c r="L5" s="66">
        <f t="shared" ref="L5:L34" si="6">K5/C5</f>
        <v>0.11931818181818182</v>
      </c>
      <c r="M5" s="86">
        <f>'Water Reading'!R5-'Water Reading'!R4</f>
        <v>7</v>
      </c>
      <c r="N5" s="88">
        <f t="shared" ref="N5:N34" si="7">M5/C5</f>
        <v>3.9772727272727272E-2</v>
      </c>
      <c r="O5" s="86">
        <f>'Water Reading'!Q5-'Water Reading'!Q4</f>
        <v>0</v>
      </c>
      <c r="P5" s="93">
        <f t="shared" ref="P5:P34" si="8">O5/C5</f>
        <v>0</v>
      </c>
      <c r="Q5" s="87">
        <f>'Water Reading'!N5-'Water Reading'!N4</f>
        <v>1</v>
      </c>
      <c r="R5" s="94">
        <f t="shared" ref="R5:R34" si="9">Q5/C5</f>
        <v>5.681818181818182E-3</v>
      </c>
      <c r="S5" s="86">
        <f>'Water Reading'!M5-'Water Reading'!M4</f>
        <v>11</v>
      </c>
      <c r="T5" s="94">
        <f t="shared" ref="T5:T34" si="10">S5/C5</f>
        <v>6.25E-2</v>
      </c>
      <c r="U5" s="86">
        <f>'Water Reading'!O5-'Water Reading'!O4</f>
        <v>0</v>
      </c>
      <c r="V5" s="94">
        <f t="shared" ref="V5:V34" si="11">U5/C5</f>
        <v>0</v>
      </c>
      <c r="W5" s="86">
        <f>'Water Reading'!R5-'Water Reading'!R4</f>
        <v>7</v>
      </c>
      <c r="X5" s="94">
        <f t="shared" ref="X5:X34" si="12">W5/C5</f>
        <v>3.9772727272727272E-2</v>
      </c>
      <c r="Y5" s="64">
        <f t="shared" si="0"/>
        <v>206</v>
      </c>
      <c r="Z5" s="65">
        <f t="shared" si="1"/>
        <v>0.72280701754385968</v>
      </c>
    </row>
    <row r="6" spans="1:26" x14ac:dyDescent="0.25">
      <c r="A6" s="8">
        <f>'Water Reading'!A5</f>
        <v>44503</v>
      </c>
      <c r="B6" s="63">
        <f>TOTAL!I4</f>
        <v>270</v>
      </c>
      <c r="C6" s="64">
        <f>('Water Reading'!B6-'Water Reading'!B5)+('Water Reading'!C6-'Water Reading'!C5)</f>
        <v>621</v>
      </c>
      <c r="D6" s="65">
        <f t="shared" si="2"/>
        <v>2.2999999999999998</v>
      </c>
      <c r="E6" s="84">
        <f>'Water Reading'!H6-'Water Reading'!H5</f>
        <v>34</v>
      </c>
      <c r="F6" s="85">
        <f t="shared" si="3"/>
        <v>5.4750402576489533E-2</v>
      </c>
      <c r="G6" s="89">
        <f>('Water Reading'!D6-'Water Reading'!D5)-('Water Reading'!R6-'Water Reading'!R5)-('Water Reading'!Q6-'Water Reading'!Q5)</f>
        <v>115</v>
      </c>
      <c r="H6" s="85">
        <f t="shared" si="4"/>
        <v>0.18518518518518517</v>
      </c>
      <c r="I6" s="86">
        <f>'Water Reading'!P6-'Water Reading'!P5</f>
        <v>0</v>
      </c>
      <c r="J6" s="66">
        <f t="shared" si="5"/>
        <v>0</v>
      </c>
      <c r="K6" s="87">
        <f>('Water Reading'!I6-'Water Reading'!I5)-('Water Reading'!P6-'Water Reading'!P5)</f>
        <v>28</v>
      </c>
      <c r="L6" s="66">
        <f t="shared" si="6"/>
        <v>4.5088566827697261E-2</v>
      </c>
      <c r="M6" s="86">
        <f>'Water Reading'!R6-'Water Reading'!R5</f>
        <v>7</v>
      </c>
      <c r="N6" s="88">
        <f t="shared" si="7"/>
        <v>1.1272141706924315E-2</v>
      </c>
      <c r="O6" s="86">
        <f>'Water Reading'!Q6-'Water Reading'!Q5</f>
        <v>0</v>
      </c>
      <c r="P6" s="93">
        <f t="shared" si="8"/>
        <v>0</v>
      </c>
      <c r="Q6" s="87">
        <f>'Water Reading'!N6-'Water Reading'!N5</f>
        <v>2</v>
      </c>
      <c r="R6" s="94">
        <f t="shared" si="9"/>
        <v>3.2206119162640902E-3</v>
      </c>
      <c r="S6" s="86">
        <f>'Water Reading'!M6-'Water Reading'!M5</f>
        <v>13</v>
      </c>
      <c r="T6" s="94">
        <f t="shared" si="10"/>
        <v>2.0933977455716585E-2</v>
      </c>
      <c r="U6" s="86">
        <f>'Water Reading'!O6-'Water Reading'!O5</f>
        <v>3</v>
      </c>
      <c r="V6" s="94">
        <f t="shared" si="11"/>
        <v>4.830917874396135E-3</v>
      </c>
      <c r="W6" s="86">
        <f>'Water Reading'!R6-'Water Reading'!R5</f>
        <v>7</v>
      </c>
      <c r="X6" s="94">
        <f t="shared" si="12"/>
        <v>1.1272141706924315E-2</v>
      </c>
      <c r="Y6" s="64">
        <f t="shared" si="0"/>
        <v>209</v>
      </c>
      <c r="Z6" s="65">
        <f t="shared" si="1"/>
        <v>0.77407407407407403</v>
      </c>
    </row>
    <row r="7" spans="1:26" x14ac:dyDescent="0.25">
      <c r="A7" s="8">
        <f>'Water Reading'!A6</f>
        <v>44504</v>
      </c>
      <c r="B7" s="63">
        <f>TOTAL!I5</f>
        <v>235</v>
      </c>
      <c r="C7" s="64">
        <f>('Water Reading'!B7-'Water Reading'!B6)+('Water Reading'!C7-'Water Reading'!C6)</f>
        <v>215</v>
      </c>
      <c r="D7" s="65">
        <f t="shared" si="2"/>
        <v>0.91489361702127658</v>
      </c>
      <c r="E7" s="84">
        <f>'Water Reading'!H7-'Water Reading'!H6</f>
        <v>33</v>
      </c>
      <c r="F7" s="85">
        <f t="shared" si="3"/>
        <v>0.15348837209302327</v>
      </c>
      <c r="G7" s="89">
        <f>('Water Reading'!D7-'Water Reading'!D6)-('Water Reading'!R7-'Water Reading'!R6)-('Water Reading'!Q7-'Water Reading'!Q6)</f>
        <v>102</v>
      </c>
      <c r="H7" s="85">
        <f t="shared" si="4"/>
        <v>0.47441860465116281</v>
      </c>
      <c r="I7" s="86">
        <f>'Water Reading'!P7-'Water Reading'!P6</f>
        <v>0</v>
      </c>
      <c r="J7" s="66">
        <f t="shared" si="5"/>
        <v>0</v>
      </c>
      <c r="K7" s="87">
        <f>('Water Reading'!I7-'Water Reading'!I6)-('Water Reading'!P7-'Water Reading'!P6)</f>
        <v>46</v>
      </c>
      <c r="L7" s="66">
        <f t="shared" si="6"/>
        <v>0.21395348837209302</v>
      </c>
      <c r="M7" s="86">
        <f>'Water Reading'!R7-'Water Reading'!R6</f>
        <v>1</v>
      </c>
      <c r="N7" s="88">
        <f t="shared" si="7"/>
        <v>4.6511627906976744E-3</v>
      </c>
      <c r="O7" s="86">
        <f>'Water Reading'!Q7-'Water Reading'!Q6</f>
        <v>0</v>
      </c>
      <c r="P7" s="93">
        <f t="shared" si="8"/>
        <v>0</v>
      </c>
      <c r="Q7" s="87">
        <f>'Water Reading'!N7-'Water Reading'!N6</f>
        <v>2</v>
      </c>
      <c r="R7" s="94">
        <f t="shared" si="9"/>
        <v>9.3023255813953487E-3</v>
      </c>
      <c r="S7" s="86">
        <f>'Water Reading'!M7-'Water Reading'!M6</f>
        <v>14</v>
      </c>
      <c r="T7" s="94">
        <f t="shared" si="10"/>
        <v>6.5116279069767441E-2</v>
      </c>
      <c r="U7" s="86">
        <f>'Water Reading'!O7-'Water Reading'!O6</f>
        <v>1</v>
      </c>
      <c r="V7" s="94">
        <f t="shared" si="11"/>
        <v>4.6511627906976744E-3</v>
      </c>
      <c r="W7" s="86">
        <f>'Water Reading'!R7-'Water Reading'!R6</f>
        <v>1</v>
      </c>
      <c r="X7" s="94">
        <f t="shared" si="12"/>
        <v>4.6511627906976744E-3</v>
      </c>
      <c r="Y7" s="64">
        <f t="shared" si="0"/>
        <v>200</v>
      </c>
      <c r="Z7" s="65">
        <f t="shared" si="1"/>
        <v>0.85106382978723405</v>
      </c>
    </row>
    <row r="8" spans="1:26" x14ac:dyDescent="0.25">
      <c r="A8" s="8">
        <f>'Water Reading'!A7</f>
        <v>44505</v>
      </c>
      <c r="B8" s="63">
        <f>TOTAL!I6</f>
        <v>330</v>
      </c>
      <c r="C8" s="64">
        <f>('Water Reading'!B8-'Water Reading'!B7)+('Water Reading'!C8-'Water Reading'!C7)</f>
        <v>243</v>
      </c>
      <c r="D8" s="65">
        <f t="shared" si="2"/>
        <v>0.73636363636363633</v>
      </c>
      <c r="E8" s="84">
        <f>'Water Reading'!H8-'Water Reading'!H7</f>
        <v>26</v>
      </c>
      <c r="F8" s="85">
        <f t="shared" si="3"/>
        <v>0.10699588477366255</v>
      </c>
      <c r="G8" s="89">
        <f>('Water Reading'!D8-'Water Reading'!D7)-('Water Reading'!R8-'Water Reading'!R7)-('Water Reading'!Q8-'Water Reading'!Q7)</f>
        <v>110</v>
      </c>
      <c r="H8" s="85">
        <f t="shared" si="4"/>
        <v>0.45267489711934156</v>
      </c>
      <c r="I8" s="86">
        <f>'Water Reading'!P8-'Water Reading'!P7</f>
        <v>0</v>
      </c>
      <c r="J8" s="66">
        <f t="shared" si="5"/>
        <v>0</v>
      </c>
      <c r="K8" s="87">
        <f>('Water Reading'!I8-'Water Reading'!I7)-('Water Reading'!P8-'Water Reading'!P7)</f>
        <v>27</v>
      </c>
      <c r="L8" s="66">
        <f t="shared" si="6"/>
        <v>0.1111111111111111</v>
      </c>
      <c r="M8" s="86">
        <f>'Water Reading'!R8-'Water Reading'!R7</f>
        <v>6</v>
      </c>
      <c r="N8" s="88">
        <f t="shared" si="7"/>
        <v>2.4691358024691357E-2</v>
      </c>
      <c r="O8" s="86">
        <f>'Water Reading'!Q8-'Water Reading'!Q7</f>
        <v>0</v>
      </c>
      <c r="P8" s="93">
        <f t="shared" si="8"/>
        <v>0</v>
      </c>
      <c r="Q8" s="87">
        <f>'Water Reading'!N8-'Water Reading'!N7</f>
        <v>1</v>
      </c>
      <c r="R8" s="94">
        <f t="shared" si="9"/>
        <v>4.11522633744856E-3</v>
      </c>
      <c r="S8" s="86">
        <f>'Water Reading'!M8-'Water Reading'!M7</f>
        <v>11</v>
      </c>
      <c r="T8" s="94">
        <f t="shared" si="10"/>
        <v>4.5267489711934158E-2</v>
      </c>
      <c r="U8" s="86">
        <f>'Water Reading'!O8-'Water Reading'!O7</f>
        <v>0</v>
      </c>
      <c r="V8" s="94">
        <f t="shared" si="11"/>
        <v>0</v>
      </c>
      <c r="W8" s="86">
        <f>'Water Reading'!R8-'Water Reading'!R7</f>
        <v>6</v>
      </c>
      <c r="X8" s="94">
        <f t="shared" si="12"/>
        <v>2.4691358024691357E-2</v>
      </c>
      <c r="Y8" s="64">
        <f t="shared" si="0"/>
        <v>187</v>
      </c>
      <c r="Z8" s="65">
        <f t="shared" si="1"/>
        <v>0.56666666666666665</v>
      </c>
    </row>
    <row r="9" spans="1:26" x14ac:dyDescent="0.25">
      <c r="A9" s="8">
        <f>'Water Reading'!A8</f>
        <v>44506</v>
      </c>
      <c r="B9" s="63">
        <f>TOTAL!I7</f>
        <v>308</v>
      </c>
      <c r="C9" s="64">
        <f>('Water Reading'!B9-'Water Reading'!B8)+('Water Reading'!C9-'Water Reading'!C8)</f>
        <v>221</v>
      </c>
      <c r="D9" s="65">
        <f t="shared" si="2"/>
        <v>0.71753246753246758</v>
      </c>
      <c r="E9" s="84">
        <f>'Water Reading'!H9-'Water Reading'!H8</f>
        <v>41</v>
      </c>
      <c r="F9" s="85">
        <f t="shared" si="3"/>
        <v>0.18552036199095023</v>
      </c>
      <c r="G9" s="89">
        <f>('Water Reading'!D9-'Water Reading'!D8)-('Water Reading'!R9-'Water Reading'!R8)-('Water Reading'!Q9-'Water Reading'!Q8)</f>
        <v>117</v>
      </c>
      <c r="H9" s="85">
        <f t="shared" si="4"/>
        <v>0.52941176470588236</v>
      </c>
      <c r="I9" s="86">
        <f>'Water Reading'!P9-'Water Reading'!P8</f>
        <v>7</v>
      </c>
      <c r="J9" s="66">
        <f t="shared" si="5"/>
        <v>3.1674208144796379E-2</v>
      </c>
      <c r="K9" s="87">
        <f>('Water Reading'!I9-'Water Reading'!I8)-('Water Reading'!P9-'Water Reading'!P8)</f>
        <v>26</v>
      </c>
      <c r="L9" s="66">
        <f t="shared" si="6"/>
        <v>0.11764705882352941</v>
      </c>
      <c r="M9" s="86">
        <f>'Water Reading'!R9-'Water Reading'!R8</f>
        <v>6</v>
      </c>
      <c r="N9" s="88">
        <f t="shared" si="7"/>
        <v>2.7149321266968326E-2</v>
      </c>
      <c r="O9" s="86">
        <f>'Water Reading'!Q9-'Water Reading'!Q8</f>
        <v>0</v>
      </c>
      <c r="P9" s="93">
        <f t="shared" si="8"/>
        <v>0</v>
      </c>
      <c r="Q9" s="87">
        <f>'Water Reading'!N9-'Water Reading'!N8</f>
        <v>10</v>
      </c>
      <c r="R9" s="94">
        <f t="shared" si="9"/>
        <v>4.5248868778280542E-2</v>
      </c>
      <c r="S9" s="86">
        <f>'Water Reading'!M9-'Water Reading'!M8</f>
        <v>7</v>
      </c>
      <c r="T9" s="94">
        <f t="shared" si="10"/>
        <v>3.1674208144796379E-2</v>
      </c>
      <c r="U9" s="86">
        <f>'Water Reading'!O9-'Water Reading'!O8</f>
        <v>3</v>
      </c>
      <c r="V9" s="94">
        <f t="shared" si="11"/>
        <v>1.3574660633484163E-2</v>
      </c>
      <c r="W9" s="86">
        <f>'Water Reading'!R9-'Water Reading'!R8</f>
        <v>6</v>
      </c>
      <c r="X9" s="94">
        <f t="shared" si="12"/>
        <v>2.7149321266968326E-2</v>
      </c>
      <c r="Y9" s="64">
        <f t="shared" si="0"/>
        <v>223</v>
      </c>
      <c r="Z9" s="65">
        <f t="shared" si="1"/>
        <v>0.72402597402597402</v>
      </c>
    </row>
    <row r="10" spans="1:26" x14ac:dyDescent="0.25">
      <c r="A10" s="8">
        <f>'Water Reading'!A9</f>
        <v>44507</v>
      </c>
      <c r="B10" s="63">
        <f>TOTAL!I8</f>
        <v>267</v>
      </c>
      <c r="C10" s="64">
        <f>('Water Reading'!B10-'Water Reading'!B9)+('Water Reading'!C10-'Water Reading'!C9)</f>
        <v>191</v>
      </c>
      <c r="D10" s="65">
        <f t="shared" si="2"/>
        <v>0.71535580524344566</v>
      </c>
      <c r="E10" s="84">
        <f>'Water Reading'!H10-'Water Reading'!H9</f>
        <v>39</v>
      </c>
      <c r="F10" s="85">
        <f t="shared" si="3"/>
        <v>0.20418848167539266</v>
      </c>
      <c r="G10" s="89">
        <f>('Water Reading'!D10-'Water Reading'!D9)-('Water Reading'!R10-'Water Reading'!R9)-('Water Reading'!Q10-'Water Reading'!Q9)</f>
        <v>124</v>
      </c>
      <c r="H10" s="85">
        <f t="shared" si="4"/>
        <v>0.64921465968586389</v>
      </c>
      <c r="I10" s="86">
        <f>'Water Reading'!P10-'Water Reading'!P9</f>
        <v>24</v>
      </c>
      <c r="J10" s="66">
        <f t="shared" si="5"/>
        <v>0.1256544502617801</v>
      </c>
      <c r="K10" s="87">
        <f>('Water Reading'!I10-'Water Reading'!I9)-('Water Reading'!P10-'Water Reading'!P9)</f>
        <v>30</v>
      </c>
      <c r="L10" s="66">
        <f t="shared" si="6"/>
        <v>0.15706806282722513</v>
      </c>
      <c r="M10" s="86">
        <f>'Water Reading'!R10-'Water Reading'!R9</f>
        <v>6</v>
      </c>
      <c r="N10" s="88">
        <f t="shared" si="7"/>
        <v>3.1413612565445025E-2</v>
      </c>
      <c r="O10" s="86">
        <f>'Water Reading'!Q10-'Water Reading'!Q9</f>
        <v>0</v>
      </c>
      <c r="P10" s="93">
        <f t="shared" si="8"/>
        <v>0</v>
      </c>
      <c r="Q10" s="87">
        <f>'Water Reading'!N10-'Water Reading'!N9</f>
        <v>34</v>
      </c>
      <c r="R10" s="94">
        <f t="shared" si="9"/>
        <v>0.17801047120418848</v>
      </c>
      <c r="S10" s="86">
        <f>'Water Reading'!M10-'Water Reading'!M9</f>
        <v>6</v>
      </c>
      <c r="T10" s="94">
        <f t="shared" si="10"/>
        <v>3.1413612565445025E-2</v>
      </c>
      <c r="U10" s="86">
        <f>'Water Reading'!O10-'Water Reading'!O9</f>
        <v>2</v>
      </c>
      <c r="V10" s="94">
        <f t="shared" si="11"/>
        <v>1.0471204188481676E-2</v>
      </c>
      <c r="W10" s="86">
        <f>'Water Reading'!R10-'Water Reading'!R9</f>
        <v>6</v>
      </c>
      <c r="X10" s="94">
        <f t="shared" si="12"/>
        <v>3.1413612565445025E-2</v>
      </c>
      <c r="Y10" s="64">
        <f t="shared" si="0"/>
        <v>271</v>
      </c>
      <c r="Z10" s="65">
        <f t="shared" si="1"/>
        <v>1.0149812734082397</v>
      </c>
    </row>
    <row r="11" spans="1:26" x14ac:dyDescent="0.25">
      <c r="A11" s="8">
        <f>'Water Reading'!A10</f>
        <v>44508</v>
      </c>
      <c r="B11" s="63">
        <f>TOTAL!I9</f>
        <v>324</v>
      </c>
      <c r="C11" s="64">
        <f>('Water Reading'!B11-'Water Reading'!B10)+('Water Reading'!C11-'Water Reading'!C10)</f>
        <v>259</v>
      </c>
      <c r="D11" s="65">
        <f t="shared" si="2"/>
        <v>0.79938271604938271</v>
      </c>
      <c r="E11" s="84">
        <f>'Water Reading'!H11-'Water Reading'!H10</f>
        <v>64</v>
      </c>
      <c r="F11" s="85">
        <f t="shared" si="3"/>
        <v>0.24710424710424711</v>
      </c>
      <c r="G11" s="89">
        <f>('Water Reading'!D11-'Water Reading'!D10)-('Water Reading'!R11-'Water Reading'!R10)-('Water Reading'!Q11-'Water Reading'!Q10)</f>
        <v>146</v>
      </c>
      <c r="H11" s="85">
        <f t="shared" si="4"/>
        <v>0.56370656370656369</v>
      </c>
      <c r="I11" s="86">
        <f>'Water Reading'!P11-'Water Reading'!P10</f>
        <v>14</v>
      </c>
      <c r="J11" s="66">
        <f t="shared" si="5"/>
        <v>5.4054054054054057E-2</v>
      </c>
      <c r="K11" s="87">
        <f>('Water Reading'!I11-'Water Reading'!I10)-('Water Reading'!P11-'Water Reading'!P10)</f>
        <v>23</v>
      </c>
      <c r="L11" s="66">
        <f t="shared" si="6"/>
        <v>8.8803088803088806E-2</v>
      </c>
      <c r="M11" s="86">
        <f>'Water Reading'!R11-'Water Reading'!R10</f>
        <v>6</v>
      </c>
      <c r="N11" s="88">
        <f t="shared" si="7"/>
        <v>2.3166023166023165E-2</v>
      </c>
      <c r="O11" s="86">
        <f>'Water Reading'!Q11-'Water Reading'!Q10</f>
        <v>4</v>
      </c>
      <c r="P11" s="93">
        <f t="shared" si="8"/>
        <v>1.5444015444015444E-2</v>
      </c>
      <c r="Q11" s="87">
        <f>'Water Reading'!N11-'Water Reading'!N10</f>
        <v>0</v>
      </c>
      <c r="R11" s="94">
        <f t="shared" si="9"/>
        <v>0</v>
      </c>
      <c r="S11" s="86">
        <f>'Water Reading'!M11-'Water Reading'!M10</f>
        <v>4</v>
      </c>
      <c r="T11" s="94">
        <f t="shared" si="10"/>
        <v>1.5444015444015444E-2</v>
      </c>
      <c r="U11" s="86">
        <f>'Water Reading'!O11-'Water Reading'!O10</f>
        <v>2</v>
      </c>
      <c r="V11" s="94">
        <f t="shared" si="11"/>
        <v>7.7220077220077222E-3</v>
      </c>
      <c r="W11" s="86">
        <f>'Water Reading'!R11-'Water Reading'!R10</f>
        <v>6</v>
      </c>
      <c r="X11" s="94">
        <f t="shared" si="12"/>
        <v>2.3166023166023165E-2</v>
      </c>
      <c r="Y11" s="64">
        <f t="shared" si="0"/>
        <v>269</v>
      </c>
      <c r="Z11" s="65">
        <f t="shared" si="1"/>
        <v>0.83024691358024694</v>
      </c>
    </row>
    <row r="12" spans="1:26" x14ac:dyDescent="0.25">
      <c r="A12" s="8">
        <f>'Water Reading'!A11</f>
        <v>44509</v>
      </c>
      <c r="B12" s="63">
        <f>TOTAL!I10</f>
        <v>290</v>
      </c>
      <c r="C12" s="64">
        <f>('Water Reading'!B12-'Water Reading'!B11)+('Water Reading'!C12-'Water Reading'!C11)</f>
        <v>212</v>
      </c>
      <c r="D12" s="65">
        <f t="shared" si="2"/>
        <v>0.73103448275862071</v>
      </c>
      <c r="E12" s="84">
        <f>'Water Reading'!H12-'Water Reading'!H11</f>
        <v>48</v>
      </c>
      <c r="F12" s="85">
        <f t="shared" si="3"/>
        <v>0.22641509433962265</v>
      </c>
      <c r="G12" s="89">
        <f>('Water Reading'!D12-'Water Reading'!D11)-('Water Reading'!R12-'Water Reading'!R11)-('Water Reading'!Q12-'Water Reading'!Q11)</f>
        <v>120</v>
      </c>
      <c r="H12" s="85">
        <f t="shared" si="4"/>
        <v>0.56603773584905659</v>
      </c>
      <c r="I12" s="86">
        <f>'Water Reading'!P12-'Water Reading'!P11</f>
        <v>10</v>
      </c>
      <c r="J12" s="66">
        <f t="shared" si="5"/>
        <v>4.716981132075472E-2</v>
      </c>
      <c r="K12" s="87">
        <f>('Water Reading'!I12-'Water Reading'!I11)-('Water Reading'!P12-'Water Reading'!P11)</f>
        <v>27</v>
      </c>
      <c r="L12" s="66">
        <f t="shared" si="6"/>
        <v>0.12735849056603774</v>
      </c>
      <c r="M12" s="86">
        <f>'Water Reading'!R12-'Water Reading'!R11</f>
        <v>6</v>
      </c>
      <c r="N12" s="88">
        <f t="shared" si="7"/>
        <v>2.8301886792452831E-2</v>
      </c>
      <c r="O12" s="86">
        <f>'Water Reading'!Q12-'Water Reading'!Q11</f>
        <v>3</v>
      </c>
      <c r="P12" s="93">
        <f t="shared" si="8"/>
        <v>1.4150943396226415E-2</v>
      </c>
      <c r="Q12" s="87">
        <f>'Water Reading'!N12-'Water Reading'!N11</f>
        <v>0</v>
      </c>
      <c r="R12" s="94">
        <f t="shared" si="9"/>
        <v>0</v>
      </c>
      <c r="S12" s="86">
        <f>'Water Reading'!M12-'Water Reading'!M11</f>
        <v>4</v>
      </c>
      <c r="T12" s="94">
        <f t="shared" si="10"/>
        <v>1.8867924528301886E-2</v>
      </c>
      <c r="U12" s="86">
        <f>'Water Reading'!O12-'Water Reading'!O11</f>
        <v>1</v>
      </c>
      <c r="V12" s="94">
        <f t="shared" si="11"/>
        <v>4.7169811320754715E-3</v>
      </c>
      <c r="W12" s="86">
        <f>'Water Reading'!R12-'Water Reading'!R11</f>
        <v>6</v>
      </c>
      <c r="X12" s="94">
        <f t="shared" si="12"/>
        <v>2.8301886792452831E-2</v>
      </c>
      <c r="Y12" s="64">
        <f t="shared" si="0"/>
        <v>225</v>
      </c>
      <c r="Z12" s="65">
        <f t="shared" si="1"/>
        <v>0.77586206896551724</v>
      </c>
    </row>
    <row r="13" spans="1:26" x14ac:dyDescent="0.25">
      <c r="A13" s="8">
        <f>'Water Reading'!A12</f>
        <v>44510</v>
      </c>
      <c r="B13" s="63">
        <f>TOTAL!I11</f>
        <v>307</v>
      </c>
      <c r="C13" s="64">
        <f>('Water Reading'!B13-'Water Reading'!B12)+('Water Reading'!C13-'Water Reading'!C12)</f>
        <v>236</v>
      </c>
      <c r="D13" s="65">
        <f t="shared" si="2"/>
        <v>0.76872964169381108</v>
      </c>
      <c r="E13" s="84">
        <f>'Water Reading'!H13-'Water Reading'!H12</f>
        <v>49</v>
      </c>
      <c r="F13" s="85">
        <f t="shared" si="3"/>
        <v>0.2076271186440678</v>
      </c>
      <c r="G13" s="89">
        <f>('Water Reading'!D13-'Water Reading'!D12)-('Water Reading'!R13-'Water Reading'!R12)-('Water Reading'!Q13-'Water Reading'!Q12)</f>
        <v>180</v>
      </c>
      <c r="H13" s="85">
        <f t="shared" si="4"/>
        <v>0.76271186440677963</v>
      </c>
      <c r="I13" s="86">
        <f>'Water Reading'!P13-'Water Reading'!P12</f>
        <v>24</v>
      </c>
      <c r="J13" s="66">
        <f t="shared" si="5"/>
        <v>0.10169491525423729</v>
      </c>
      <c r="K13" s="87">
        <f>('Water Reading'!I13-'Water Reading'!I12)-('Water Reading'!P13-'Water Reading'!P12)</f>
        <v>26</v>
      </c>
      <c r="L13" s="66">
        <f t="shared" si="6"/>
        <v>0.11016949152542373</v>
      </c>
      <c r="M13" s="86">
        <f>'Water Reading'!R13-'Water Reading'!R12</f>
        <v>7</v>
      </c>
      <c r="N13" s="88">
        <f t="shared" si="7"/>
        <v>2.9661016949152543E-2</v>
      </c>
      <c r="O13" s="86">
        <f>'Water Reading'!Q13-'Water Reading'!Q12</f>
        <v>3</v>
      </c>
      <c r="P13" s="93">
        <f t="shared" si="8"/>
        <v>1.2711864406779662E-2</v>
      </c>
      <c r="Q13" s="87">
        <f>'Water Reading'!N13-'Water Reading'!N12</f>
        <v>0</v>
      </c>
      <c r="R13" s="94">
        <f t="shared" si="9"/>
        <v>0</v>
      </c>
      <c r="S13" s="86">
        <f>'Water Reading'!M13-'Water Reading'!M12</f>
        <v>7</v>
      </c>
      <c r="T13" s="94">
        <f t="shared" si="10"/>
        <v>2.9661016949152543E-2</v>
      </c>
      <c r="U13" s="86">
        <f>'Water Reading'!O13-'Water Reading'!O12</f>
        <v>2</v>
      </c>
      <c r="V13" s="94">
        <f t="shared" si="11"/>
        <v>8.4745762711864406E-3</v>
      </c>
      <c r="W13" s="86">
        <f>'Water Reading'!R13-'Water Reading'!R12</f>
        <v>7</v>
      </c>
      <c r="X13" s="94">
        <f t="shared" si="12"/>
        <v>2.9661016949152543E-2</v>
      </c>
      <c r="Y13" s="64">
        <f t="shared" si="0"/>
        <v>305</v>
      </c>
      <c r="Z13" s="65">
        <f t="shared" si="1"/>
        <v>0.99348534201954397</v>
      </c>
    </row>
    <row r="14" spans="1:26" x14ac:dyDescent="0.25">
      <c r="A14" s="8">
        <f>'Water Reading'!A13</f>
        <v>44511</v>
      </c>
      <c r="B14" s="63">
        <f>TOTAL!I12</f>
        <v>328</v>
      </c>
      <c r="C14" s="64">
        <f>('Water Reading'!B14-'Water Reading'!B13)+('Water Reading'!C14-'Water Reading'!C13)</f>
        <v>543</v>
      </c>
      <c r="D14" s="65">
        <f t="shared" si="2"/>
        <v>1.6554878048780488</v>
      </c>
      <c r="E14" s="84">
        <f>'Water Reading'!H14-'Water Reading'!H13</f>
        <v>49</v>
      </c>
      <c r="F14" s="85">
        <f t="shared" si="3"/>
        <v>9.0239410681399637E-2</v>
      </c>
      <c r="G14" s="89">
        <f>('Water Reading'!D14-'Water Reading'!D13)-('Water Reading'!R14-'Water Reading'!R13)-('Water Reading'!Q14-'Water Reading'!Q13)</f>
        <v>133</v>
      </c>
      <c r="H14" s="85">
        <f t="shared" si="4"/>
        <v>0.24493554327808473</v>
      </c>
      <c r="I14" s="86">
        <f>'Water Reading'!P14-'Water Reading'!P13</f>
        <v>12</v>
      </c>
      <c r="J14" s="66">
        <f t="shared" si="5"/>
        <v>2.2099447513812154E-2</v>
      </c>
      <c r="K14" s="87">
        <f>('Water Reading'!I14-'Water Reading'!I13)-('Water Reading'!P14-'Water Reading'!P13)</f>
        <v>22</v>
      </c>
      <c r="L14" s="66">
        <f t="shared" si="6"/>
        <v>4.0515653775322284E-2</v>
      </c>
      <c r="M14" s="86">
        <f>'Water Reading'!R14-'Water Reading'!R13</f>
        <v>6</v>
      </c>
      <c r="N14" s="88">
        <f t="shared" si="7"/>
        <v>1.1049723756906077E-2</v>
      </c>
      <c r="O14" s="86">
        <f>'Water Reading'!Q14-'Water Reading'!Q13</f>
        <v>2</v>
      </c>
      <c r="P14" s="93">
        <f t="shared" si="8"/>
        <v>3.6832412523020259E-3</v>
      </c>
      <c r="Q14" s="87">
        <f>'Water Reading'!N14-'Water Reading'!N13</f>
        <v>5</v>
      </c>
      <c r="R14" s="94">
        <f t="shared" si="9"/>
        <v>9.2081031307550652E-3</v>
      </c>
      <c r="S14" s="86">
        <f>'Water Reading'!M14-'Water Reading'!M13</f>
        <v>6</v>
      </c>
      <c r="T14" s="94">
        <f t="shared" si="10"/>
        <v>1.1049723756906077E-2</v>
      </c>
      <c r="U14" s="86">
        <f>'Water Reading'!O14-'Water Reading'!O13</f>
        <v>1</v>
      </c>
      <c r="V14" s="94">
        <f t="shared" si="11"/>
        <v>1.841620626151013E-3</v>
      </c>
      <c r="W14" s="86">
        <f>'Water Reading'!R14-'Water Reading'!R13</f>
        <v>6</v>
      </c>
      <c r="X14" s="94">
        <f t="shared" si="12"/>
        <v>1.1049723756906077E-2</v>
      </c>
      <c r="Y14" s="64">
        <f t="shared" si="0"/>
        <v>242</v>
      </c>
      <c r="Z14" s="65">
        <f t="shared" si="1"/>
        <v>0.73780487804878048</v>
      </c>
    </row>
    <row r="15" spans="1:26" x14ac:dyDescent="0.25">
      <c r="A15" s="8">
        <f>'Water Reading'!A14</f>
        <v>44512</v>
      </c>
      <c r="B15" s="63">
        <f>TOTAL!I13</f>
        <v>0</v>
      </c>
      <c r="C15" s="64">
        <f>('Water Reading'!B15-'Water Reading'!B14)+('Water Reading'!C15-'Water Reading'!C14)</f>
        <v>198</v>
      </c>
      <c r="D15" s="65" t="e">
        <f t="shared" si="2"/>
        <v>#DIV/0!</v>
      </c>
      <c r="E15" s="84">
        <f>'Water Reading'!H15-'Water Reading'!H14</f>
        <v>56</v>
      </c>
      <c r="F15" s="85">
        <f t="shared" si="3"/>
        <v>0.28282828282828282</v>
      </c>
      <c r="G15" s="89">
        <f>('Water Reading'!D15-'Water Reading'!D14)-('Water Reading'!R15-'Water Reading'!R14)-('Water Reading'!Q15-'Water Reading'!Q14)</f>
        <v>134</v>
      </c>
      <c r="H15" s="85">
        <f t="shared" si="4"/>
        <v>0.6767676767676768</v>
      </c>
      <c r="I15" s="86">
        <f>'Water Reading'!P15-'Water Reading'!P14</f>
        <v>0</v>
      </c>
      <c r="J15" s="66">
        <f t="shared" si="5"/>
        <v>0</v>
      </c>
      <c r="K15" s="87">
        <f>('Water Reading'!I15-'Water Reading'!I14)-('Water Reading'!P15-'Water Reading'!P14)</f>
        <v>25</v>
      </c>
      <c r="L15" s="66">
        <f t="shared" si="6"/>
        <v>0.12626262626262627</v>
      </c>
      <c r="M15" s="86">
        <f>'Water Reading'!R15-'Water Reading'!R14</f>
        <v>1</v>
      </c>
      <c r="N15" s="88">
        <f t="shared" si="7"/>
        <v>5.0505050505050509E-3</v>
      </c>
      <c r="O15" s="86">
        <f>'Water Reading'!Q15-'Water Reading'!Q14</f>
        <v>4</v>
      </c>
      <c r="P15" s="93">
        <f t="shared" si="8"/>
        <v>2.0202020202020204E-2</v>
      </c>
      <c r="Q15" s="87">
        <f>'Water Reading'!N15-'Water Reading'!N14</f>
        <v>3</v>
      </c>
      <c r="R15" s="94">
        <f t="shared" si="9"/>
        <v>1.5151515151515152E-2</v>
      </c>
      <c r="S15" s="86">
        <f>'Water Reading'!M15-'Water Reading'!M14</f>
        <v>4</v>
      </c>
      <c r="T15" s="94">
        <f t="shared" si="10"/>
        <v>2.0202020202020204E-2</v>
      </c>
      <c r="U15" s="86">
        <f>'Water Reading'!O15-'Water Reading'!O14</f>
        <v>3</v>
      </c>
      <c r="V15" s="94">
        <f t="shared" si="11"/>
        <v>1.5151515151515152E-2</v>
      </c>
      <c r="W15" s="86">
        <f>'Water Reading'!R15-'Water Reading'!R14</f>
        <v>1</v>
      </c>
      <c r="X15" s="94">
        <f t="shared" si="12"/>
        <v>5.0505050505050509E-3</v>
      </c>
      <c r="Y15" s="64">
        <f t="shared" si="0"/>
        <v>231</v>
      </c>
      <c r="Z15" s="65" t="e">
        <f t="shared" si="1"/>
        <v>#DIV/0!</v>
      </c>
    </row>
    <row r="16" spans="1:26" x14ac:dyDescent="0.25">
      <c r="A16" s="8">
        <f>'Water Reading'!A15</f>
        <v>44513</v>
      </c>
      <c r="B16" s="63">
        <f>TOTAL!I14</f>
        <v>0</v>
      </c>
      <c r="C16" s="64">
        <f>('Water Reading'!B16-'Water Reading'!B15)+('Water Reading'!C16-'Water Reading'!C15)</f>
        <v>-348108</v>
      </c>
      <c r="D16" s="65" t="e">
        <f t="shared" si="2"/>
        <v>#DIV/0!</v>
      </c>
      <c r="E16" s="84">
        <f>'Water Reading'!H16-'Water Reading'!H15</f>
        <v>-58147</v>
      </c>
      <c r="F16" s="85">
        <f t="shared" si="3"/>
        <v>0.16703724131591347</v>
      </c>
      <c r="G16" s="89">
        <f>('Water Reading'!D16-'Water Reading'!D15)-('Water Reading'!R16-'Water Reading'!R15)-('Water Reading'!Q16-'Water Reading'!Q15)</f>
        <v>-220773</v>
      </c>
      <c r="H16" s="85">
        <f t="shared" si="4"/>
        <v>0.6342083491330277</v>
      </c>
      <c r="I16" s="86">
        <f>'Water Reading'!P16-'Water Reading'!P15</f>
        <v>-28605</v>
      </c>
      <c r="J16" s="66">
        <f t="shared" si="5"/>
        <v>8.2172773966699988E-2</v>
      </c>
      <c r="K16" s="87">
        <f>('Water Reading'!I16-'Water Reading'!I15)-('Water Reading'!P16-'Water Reading'!P15)</f>
        <v>-39450</v>
      </c>
      <c r="L16" s="66">
        <f t="shared" si="6"/>
        <v>0.11332689854872625</v>
      </c>
      <c r="M16" s="86">
        <f>'Water Reading'!R16-'Water Reading'!R15</f>
        <v>-6984</v>
      </c>
      <c r="N16" s="88">
        <f t="shared" si="7"/>
        <v>2.006273914991899E-2</v>
      </c>
      <c r="O16" s="86">
        <f>'Water Reading'!Q16-'Water Reading'!Q15</f>
        <v>-1104</v>
      </c>
      <c r="P16" s="93">
        <f t="shared" si="8"/>
        <v>3.1714295563445827E-3</v>
      </c>
      <c r="Q16" s="87">
        <f>'Water Reading'!N16-'Water Reading'!N15</f>
        <v>-8086</v>
      </c>
      <c r="R16" s="94">
        <f t="shared" si="9"/>
        <v>2.32284233628644E-2</v>
      </c>
      <c r="S16" s="86">
        <f>'Water Reading'!M16-'Water Reading'!M15</f>
        <v>-26044</v>
      </c>
      <c r="T16" s="94">
        <f t="shared" si="10"/>
        <v>7.4815861744056439E-2</v>
      </c>
      <c r="U16" s="86">
        <f>'Water Reading'!O16-'Water Reading'!O15</f>
        <v>-1820</v>
      </c>
      <c r="V16" s="94">
        <f t="shared" si="11"/>
        <v>5.2282624932492219E-3</v>
      </c>
      <c r="W16" s="86">
        <f>'Water Reading'!R16-'Water Reading'!R15</f>
        <v>-6984</v>
      </c>
      <c r="X16" s="94">
        <f t="shared" si="12"/>
        <v>2.006273914991899E-2</v>
      </c>
      <c r="Y16" s="64">
        <f t="shared" si="0"/>
        <v>-397997</v>
      </c>
      <c r="Z16" s="65" t="e">
        <f t="shared" si="1"/>
        <v>#DIV/0!</v>
      </c>
    </row>
    <row r="17" spans="1:26" x14ac:dyDescent="0.25">
      <c r="A17" s="8">
        <f>'Water Reading'!A16</f>
        <v>44514</v>
      </c>
      <c r="B17" s="63">
        <f>TOTAL!I15</f>
        <v>0</v>
      </c>
      <c r="C17" s="64">
        <f>('Water Reading'!B17-'Water Reading'!B16)+('Water Reading'!C17-'Water Reading'!C16)</f>
        <v>0</v>
      </c>
      <c r="D17" s="65" t="e">
        <f t="shared" si="2"/>
        <v>#DIV/0!</v>
      </c>
      <c r="E17" s="84">
        <f>'Water Reading'!H17-'Water Reading'!H16</f>
        <v>0</v>
      </c>
      <c r="F17" s="85" t="e">
        <f t="shared" si="3"/>
        <v>#DIV/0!</v>
      </c>
      <c r="G17" s="89">
        <f>('Water Reading'!D17-'Water Reading'!D16)-('Water Reading'!R17-'Water Reading'!R16)-('Water Reading'!Q17-'Water Reading'!Q16)</f>
        <v>0</v>
      </c>
      <c r="H17" s="85" t="e">
        <f t="shared" si="4"/>
        <v>#DIV/0!</v>
      </c>
      <c r="I17" s="86">
        <f>'Water Reading'!P17-'Water Reading'!P16</f>
        <v>0</v>
      </c>
      <c r="J17" s="66" t="e">
        <f t="shared" si="5"/>
        <v>#DIV/0!</v>
      </c>
      <c r="K17" s="87">
        <f>('Water Reading'!I17-'Water Reading'!I16)-('Water Reading'!P17-'Water Reading'!P16)</f>
        <v>0</v>
      </c>
      <c r="L17" s="66" t="e">
        <f t="shared" si="6"/>
        <v>#DIV/0!</v>
      </c>
      <c r="M17" s="86">
        <f>'Water Reading'!R17-'Water Reading'!R16</f>
        <v>0</v>
      </c>
      <c r="N17" s="88" t="e">
        <f t="shared" si="7"/>
        <v>#DIV/0!</v>
      </c>
      <c r="O17" s="86">
        <f>'Water Reading'!Q17-'Water Reading'!Q16</f>
        <v>0</v>
      </c>
      <c r="P17" s="93" t="e">
        <f t="shared" si="8"/>
        <v>#DIV/0!</v>
      </c>
      <c r="Q17" s="87">
        <f>'Water Reading'!N17-'Water Reading'!N16</f>
        <v>0</v>
      </c>
      <c r="R17" s="94" t="e">
        <f t="shared" si="9"/>
        <v>#DIV/0!</v>
      </c>
      <c r="S17" s="86">
        <f>'Water Reading'!M17-'Water Reading'!M16</f>
        <v>0</v>
      </c>
      <c r="T17" s="94" t="e">
        <f t="shared" si="10"/>
        <v>#DIV/0!</v>
      </c>
      <c r="U17" s="86">
        <f>'Water Reading'!O17-'Water Reading'!O16</f>
        <v>0</v>
      </c>
      <c r="V17" s="94" t="e">
        <f t="shared" si="11"/>
        <v>#DIV/0!</v>
      </c>
      <c r="W17" s="86">
        <f>'Water Reading'!R17-'Water Reading'!R16</f>
        <v>0</v>
      </c>
      <c r="X17" s="94" t="e">
        <f t="shared" si="12"/>
        <v>#DIV/0!</v>
      </c>
      <c r="Y17" s="64">
        <f t="shared" si="0"/>
        <v>0</v>
      </c>
      <c r="Z17" s="65" t="e">
        <f t="shared" si="1"/>
        <v>#DIV/0!</v>
      </c>
    </row>
    <row r="18" spans="1:26" x14ac:dyDescent="0.25">
      <c r="A18" s="8">
        <f>'Water Reading'!A17</f>
        <v>44515</v>
      </c>
      <c r="B18" s="63">
        <f>TOTAL!I16</f>
        <v>0</v>
      </c>
      <c r="C18" s="64">
        <f>('Water Reading'!B18-'Water Reading'!B17)+('Water Reading'!C18-'Water Reading'!C17)</f>
        <v>0</v>
      </c>
      <c r="D18" s="65" t="e">
        <f t="shared" si="2"/>
        <v>#DIV/0!</v>
      </c>
      <c r="E18" s="84">
        <f>'Water Reading'!H18-'Water Reading'!H17</f>
        <v>0</v>
      </c>
      <c r="F18" s="85" t="e">
        <f t="shared" si="3"/>
        <v>#DIV/0!</v>
      </c>
      <c r="G18" s="89">
        <f>('Water Reading'!D18-'Water Reading'!D17)-('Water Reading'!R18-'Water Reading'!R17)-('Water Reading'!Q18-'Water Reading'!Q17)</f>
        <v>0</v>
      </c>
      <c r="H18" s="85" t="e">
        <f t="shared" si="4"/>
        <v>#DIV/0!</v>
      </c>
      <c r="I18" s="86">
        <f>'Water Reading'!P18-'Water Reading'!P17</f>
        <v>0</v>
      </c>
      <c r="J18" s="66" t="e">
        <f t="shared" si="5"/>
        <v>#DIV/0!</v>
      </c>
      <c r="K18" s="87">
        <f>('Water Reading'!I18-'Water Reading'!I17)-('Water Reading'!P18-'Water Reading'!P17)</f>
        <v>0</v>
      </c>
      <c r="L18" s="66" t="e">
        <f t="shared" si="6"/>
        <v>#DIV/0!</v>
      </c>
      <c r="M18" s="86">
        <f>'Water Reading'!R18-'Water Reading'!R17</f>
        <v>0</v>
      </c>
      <c r="N18" s="88" t="e">
        <f t="shared" si="7"/>
        <v>#DIV/0!</v>
      </c>
      <c r="O18" s="86">
        <f>'Water Reading'!Q18-'Water Reading'!Q17</f>
        <v>0</v>
      </c>
      <c r="P18" s="93" t="e">
        <f t="shared" si="8"/>
        <v>#DIV/0!</v>
      </c>
      <c r="Q18" s="87">
        <f>'Water Reading'!N18-'Water Reading'!N17</f>
        <v>0</v>
      </c>
      <c r="R18" s="94" t="e">
        <f t="shared" si="9"/>
        <v>#DIV/0!</v>
      </c>
      <c r="S18" s="86">
        <f>'Water Reading'!M18-'Water Reading'!M17</f>
        <v>0</v>
      </c>
      <c r="T18" s="94" t="e">
        <f t="shared" si="10"/>
        <v>#DIV/0!</v>
      </c>
      <c r="U18" s="86">
        <f>'Water Reading'!O18-'Water Reading'!O17</f>
        <v>0</v>
      </c>
      <c r="V18" s="94" t="e">
        <f t="shared" si="11"/>
        <v>#DIV/0!</v>
      </c>
      <c r="W18" s="86">
        <f>'Water Reading'!R18-'Water Reading'!R17</f>
        <v>0</v>
      </c>
      <c r="X18" s="94" t="e">
        <f t="shared" si="12"/>
        <v>#DIV/0!</v>
      </c>
      <c r="Y18" s="64">
        <f t="shared" si="0"/>
        <v>0</v>
      </c>
      <c r="Z18" s="65" t="e">
        <f t="shared" si="1"/>
        <v>#DIV/0!</v>
      </c>
    </row>
    <row r="19" spans="1:26" x14ac:dyDescent="0.25">
      <c r="A19" s="8">
        <f>'Water Reading'!A18</f>
        <v>44516</v>
      </c>
      <c r="B19" s="63">
        <f>TOTAL!I17</f>
        <v>0</v>
      </c>
      <c r="C19" s="64">
        <f>('Water Reading'!B19-'Water Reading'!B18)+('Water Reading'!C19-'Water Reading'!C18)</f>
        <v>0</v>
      </c>
      <c r="D19" s="65" t="e">
        <f t="shared" si="2"/>
        <v>#DIV/0!</v>
      </c>
      <c r="E19" s="84">
        <f>'Water Reading'!H19-'Water Reading'!H18</f>
        <v>0</v>
      </c>
      <c r="F19" s="85" t="e">
        <f t="shared" si="3"/>
        <v>#DIV/0!</v>
      </c>
      <c r="G19" s="89">
        <f>('Water Reading'!D19-'Water Reading'!D18)-('Water Reading'!R19-'Water Reading'!R18)-('Water Reading'!Q19-'Water Reading'!Q18)</f>
        <v>0</v>
      </c>
      <c r="H19" s="85" t="e">
        <f t="shared" si="4"/>
        <v>#DIV/0!</v>
      </c>
      <c r="I19" s="86">
        <f>'Water Reading'!P19-'Water Reading'!P18</f>
        <v>0</v>
      </c>
      <c r="J19" s="66" t="e">
        <f t="shared" si="5"/>
        <v>#DIV/0!</v>
      </c>
      <c r="K19" s="87">
        <f>('Water Reading'!I19-'Water Reading'!I18)-('Water Reading'!P19-'Water Reading'!P18)</f>
        <v>0</v>
      </c>
      <c r="L19" s="66" t="e">
        <f t="shared" si="6"/>
        <v>#DIV/0!</v>
      </c>
      <c r="M19" s="86">
        <f>'Water Reading'!R19-'Water Reading'!R18</f>
        <v>0</v>
      </c>
      <c r="N19" s="88" t="e">
        <f t="shared" si="7"/>
        <v>#DIV/0!</v>
      </c>
      <c r="O19" s="86">
        <f>'Water Reading'!Q19-'Water Reading'!Q18</f>
        <v>0</v>
      </c>
      <c r="P19" s="93" t="e">
        <f t="shared" si="8"/>
        <v>#DIV/0!</v>
      </c>
      <c r="Q19" s="87">
        <f>'Water Reading'!N19-'Water Reading'!N18</f>
        <v>0</v>
      </c>
      <c r="R19" s="94" t="e">
        <f t="shared" si="9"/>
        <v>#DIV/0!</v>
      </c>
      <c r="S19" s="86">
        <f>'Water Reading'!M19-'Water Reading'!M18</f>
        <v>0</v>
      </c>
      <c r="T19" s="94" t="e">
        <f t="shared" si="10"/>
        <v>#DIV/0!</v>
      </c>
      <c r="U19" s="86">
        <f>'Water Reading'!O19-'Water Reading'!O18</f>
        <v>0</v>
      </c>
      <c r="V19" s="94" t="e">
        <f t="shared" si="11"/>
        <v>#DIV/0!</v>
      </c>
      <c r="W19" s="86">
        <f>'Water Reading'!R19-'Water Reading'!R18</f>
        <v>0</v>
      </c>
      <c r="X19" s="94" t="e">
        <f t="shared" si="12"/>
        <v>#DIV/0!</v>
      </c>
      <c r="Y19" s="64">
        <f t="shared" si="0"/>
        <v>0</v>
      </c>
      <c r="Z19" s="65" t="e">
        <f t="shared" si="1"/>
        <v>#DIV/0!</v>
      </c>
    </row>
    <row r="20" spans="1:26" x14ac:dyDescent="0.25">
      <c r="A20" s="8">
        <f>'Water Reading'!A19</f>
        <v>44517</v>
      </c>
      <c r="B20" s="63">
        <f>TOTAL!I18</f>
        <v>0</v>
      </c>
      <c r="C20" s="64">
        <f>('Water Reading'!B20-'Water Reading'!B19)+('Water Reading'!C20-'Water Reading'!C19)</f>
        <v>0</v>
      </c>
      <c r="D20" s="65" t="e">
        <f t="shared" si="2"/>
        <v>#DIV/0!</v>
      </c>
      <c r="E20" s="84">
        <f>'Water Reading'!H20-'Water Reading'!H19</f>
        <v>0</v>
      </c>
      <c r="F20" s="85" t="e">
        <f t="shared" si="3"/>
        <v>#DIV/0!</v>
      </c>
      <c r="G20" s="89">
        <f>('Water Reading'!D20-'Water Reading'!D19)-('Water Reading'!R20-'Water Reading'!R19)-('Water Reading'!Q20-'Water Reading'!Q19)</f>
        <v>0</v>
      </c>
      <c r="H20" s="85" t="e">
        <f t="shared" si="4"/>
        <v>#DIV/0!</v>
      </c>
      <c r="I20" s="86">
        <f>'Water Reading'!P20-'Water Reading'!P19</f>
        <v>0</v>
      </c>
      <c r="J20" s="66" t="e">
        <f t="shared" si="5"/>
        <v>#DIV/0!</v>
      </c>
      <c r="K20" s="87">
        <f>('Water Reading'!I20-'Water Reading'!I19)-('Water Reading'!P20-'Water Reading'!P19)</f>
        <v>0</v>
      </c>
      <c r="L20" s="66" t="e">
        <f t="shared" si="6"/>
        <v>#DIV/0!</v>
      </c>
      <c r="M20" s="86">
        <f>'Water Reading'!R20-'Water Reading'!R19</f>
        <v>0</v>
      </c>
      <c r="N20" s="88" t="e">
        <f t="shared" si="7"/>
        <v>#DIV/0!</v>
      </c>
      <c r="O20" s="86">
        <f>'Water Reading'!Q20-'Water Reading'!Q19</f>
        <v>0</v>
      </c>
      <c r="P20" s="93" t="e">
        <f t="shared" si="8"/>
        <v>#DIV/0!</v>
      </c>
      <c r="Q20" s="87">
        <f>'Water Reading'!N20-'Water Reading'!N19</f>
        <v>0</v>
      </c>
      <c r="R20" s="94" t="e">
        <f t="shared" si="9"/>
        <v>#DIV/0!</v>
      </c>
      <c r="S20" s="86">
        <f>'Water Reading'!M20-'Water Reading'!M19</f>
        <v>0</v>
      </c>
      <c r="T20" s="94" t="e">
        <f t="shared" si="10"/>
        <v>#DIV/0!</v>
      </c>
      <c r="U20" s="86">
        <f>'Water Reading'!O20-'Water Reading'!O19</f>
        <v>0</v>
      </c>
      <c r="V20" s="94" t="e">
        <f t="shared" si="11"/>
        <v>#DIV/0!</v>
      </c>
      <c r="W20" s="86">
        <f>'Water Reading'!R20-'Water Reading'!R19</f>
        <v>0</v>
      </c>
      <c r="X20" s="94" t="e">
        <f t="shared" si="12"/>
        <v>#DIV/0!</v>
      </c>
      <c r="Y20" s="64">
        <f t="shared" si="0"/>
        <v>0</v>
      </c>
      <c r="Z20" s="65" t="e">
        <f t="shared" si="1"/>
        <v>#DIV/0!</v>
      </c>
    </row>
    <row r="21" spans="1:26" x14ac:dyDescent="0.25">
      <c r="A21" s="8">
        <f>'Water Reading'!A20</f>
        <v>44518</v>
      </c>
      <c r="B21" s="63">
        <f>TOTAL!I19</f>
        <v>0</v>
      </c>
      <c r="C21" s="64">
        <f>('Water Reading'!B21-'Water Reading'!B20)+('Water Reading'!C21-'Water Reading'!C20)</f>
        <v>0</v>
      </c>
      <c r="D21" s="65" t="e">
        <f t="shared" si="2"/>
        <v>#DIV/0!</v>
      </c>
      <c r="E21" s="84">
        <f>'Water Reading'!H21-'Water Reading'!H20</f>
        <v>0</v>
      </c>
      <c r="F21" s="85" t="e">
        <f t="shared" si="3"/>
        <v>#DIV/0!</v>
      </c>
      <c r="G21" s="89">
        <f>('Water Reading'!D21-'Water Reading'!D20)-('Water Reading'!R21-'Water Reading'!R20)-('Water Reading'!Q21-'Water Reading'!Q20)</f>
        <v>0</v>
      </c>
      <c r="H21" s="85" t="e">
        <f t="shared" si="4"/>
        <v>#DIV/0!</v>
      </c>
      <c r="I21" s="86">
        <f>'Water Reading'!P21-'Water Reading'!P20</f>
        <v>0</v>
      </c>
      <c r="J21" s="66" t="e">
        <f t="shared" si="5"/>
        <v>#DIV/0!</v>
      </c>
      <c r="K21" s="87">
        <f>('Water Reading'!I21-'Water Reading'!I20)-('Water Reading'!P21-'Water Reading'!P20)</f>
        <v>0</v>
      </c>
      <c r="L21" s="66" t="e">
        <f t="shared" si="6"/>
        <v>#DIV/0!</v>
      </c>
      <c r="M21" s="86">
        <f>'Water Reading'!R21-'Water Reading'!R20</f>
        <v>0</v>
      </c>
      <c r="N21" s="88" t="e">
        <f t="shared" si="7"/>
        <v>#DIV/0!</v>
      </c>
      <c r="O21" s="86">
        <f>'Water Reading'!Q21-'Water Reading'!Q20</f>
        <v>0</v>
      </c>
      <c r="P21" s="93" t="e">
        <f t="shared" si="8"/>
        <v>#DIV/0!</v>
      </c>
      <c r="Q21" s="87">
        <f>'Water Reading'!N21-'Water Reading'!N20</f>
        <v>0</v>
      </c>
      <c r="R21" s="94" t="e">
        <f t="shared" si="9"/>
        <v>#DIV/0!</v>
      </c>
      <c r="S21" s="86">
        <f>'Water Reading'!M21-'Water Reading'!M20</f>
        <v>0</v>
      </c>
      <c r="T21" s="94" t="e">
        <f t="shared" si="10"/>
        <v>#DIV/0!</v>
      </c>
      <c r="U21" s="86">
        <f>'Water Reading'!O21-'Water Reading'!O20</f>
        <v>0</v>
      </c>
      <c r="V21" s="94" t="e">
        <f t="shared" si="11"/>
        <v>#DIV/0!</v>
      </c>
      <c r="W21" s="86">
        <f>'Water Reading'!R21-'Water Reading'!R20</f>
        <v>0</v>
      </c>
      <c r="X21" s="94" t="e">
        <f t="shared" si="12"/>
        <v>#DIV/0!</v>
      </c>
      <c r="Y21" s="64">
        <f t="shared" si="0"/>
        <v>0</v>
      </c>
      <c r="Z21" s="65" t="e">
        <f t="shared" si="1"/>
        <v>#DIV/0!</v>
      </c>
    </row>
    <row r="22" spans="1:26" x14ac:dyDescent="0.25">
      <c r="A22" s="8">
        <f>'Water Reading'!A21</f>
        <v>44519</v>
      </c>
      <c r="B22" s="63">
        <f>TOTAL!I20</f>
        <v>0</v>
      </c>
      <c r="C22" s="64">
        <f>('Water Reading'!B22-'Water Reading'!B21)+('Water Reading'!C22-'Water Reading'!C21)</f>
        <v>0</v>
      </c>
      <c r="D22" s="65" t="e">
        <f t="shared" si="2"/>
        <v>#DIV/0!</v>
      </c>
      <c r="E22" s="84">
        <f>'Water Reading'!H22-'Water Reading'!H21</f>
        <v>0</v>
      </c>
      <c r="F22" s="85" t="e">
        <f t="shared" si="3"/>
        <v>#DIV/0!</v>
      </c>
      <c r="G22" s="89">
        <f>('Water Reading'!D22-'Water Reading'!D21)-('Water Reading'!R22-'Water Reading'!R21)-('Water Reading'!Q22-'Water Reading'!Q21)</f>
        <v>0</v>
      </c>
      <c r="H22" s="85" t="e">
        <f t="shared" si="4"/>
        <v>#DIV/0!</v>
      </c>
      <c r="I22" s="86">
        <f>'Water Reading'!P22-'Water Reading'!P21</f>
        <v>0</v>
      </c>
      <c r="J22" s="66" t="e">
        <f t="shared" si="5"/>
        <v>#DIV/0!</v>
      </c>
      <c r="K22" s="87">
        <f>('Water Reading'!I22-'Water Reading'!I21)-('Water Reading'!P22-'Water Reading'!P21)</f>
        <v>0</v>
      </c>
      <c r="L22" s="66" t="e">
        <f t="shared" si="6"/>
        <v>#DIV/0!</v>
      </c>
      <c r="M22" s="86">
        <f>'Water Reading'!R22-'Water Reading'!R21</f>
        <v>0</v>
      </c>
      <c r="N22" s="88" t="e">
        <f t="shared" si="7"/>
        <v>#DIV/0!</v>
      </c>
      <c r="O22" s="86">
        <f>'Water Reading'!Q22-'Water Reading'!Q21</f>
        <v>0</v>
      </c>
      <c r="P22" s="93" t="e">
        <f t="shared" si="8"/>
        <v>#DIV/0!</v>
      </c>
      <c r="Q22" s="87">
        <f>'Water Reading'!N22-'Water Reading'!N21</f>
        <v>0</v>
      </c>
      <c r="R22" s="94" t="e">
        <f t="shared" si="9"/>
        <v>#DIV/0!</v>
      </c>
      <c r="S22" s="86">
        <f>'Water Reading'!M22-'Water Reading'!M21</f>
        <v>0</v>
      </c>
      <c r="T22" s="94" t="e">
        <f t="shared" si="10"/>
        <v>#DIV/0!</v>
      </c>
      <c r="U22" s="86">
        <f>'Water Reading'!O22-'Water Reading'!O21</f>
        <v>0</v>
      </c>
      <c r="V22" s="94" t="e">
        <f t="shared" si="11"/>
        <v>#DIV/0!</v>
      </c>
      <c r="W22" s="86">
        <f>'Water Reading'!R22-'Water Reading'!R21</f>
        <v>0</v>
      </c>
      <c r="X22" s="94" t="e">
        <f t="shared" si="12"/>
        <v>#DIV/0!</v>
      </c>
      <c r="Y22" s="64">
        <f t="shared" si="0"/>
        <v>0</v>
      </c>
      <c r="Z22" s="65" t="e">
        <f t="shared" si="1"/>
        <v>#DIV/0!</v>
      </c>
    </row>
    <row r="23" spans="1:26" x14ac:dyDescent="0.25">
      <c r="A23" s="8">
        <f>'Water Reading'!A22</f>
        <v>44520</v>
      </c>
      <c r="B23" s="63">
        <f>TOTAL!I21</f>
        <v>0</v>
      </c>
      <c r="C23" s="64">
        <f>('Water Reading'!B23-'Water Reading'!B22)+('Water Reading'!C23-'Water Reading'!C22)</f>
        <v>0</v>
      </c>
      <c r="D23" s="65" t="e">
        <f t="shared" si="2"/>
        <v>#DIV/0!</v>
      </c>
      <c r="E23" s="84">
        <f>'Water Reading'!H23-'Water Reading'!H22</f>
        <v>0</v>
      </c>
      <c r="F23" s="85" t="e">
        <f t="shared" si="3"/>
        <v>#DIV/0!</v>
      </c>
      <c r="G23" s="89">
        <f>('Water Reading'!D23-'Water Reading'!D22)-('Water Reading'!R23-'Water Reading'!R22)-('Water Reading'!Q23-'Water Reading'!Q22)</f>
        <v>0</v>
      </c>
      <c r="H23" s="85" t="e">
        <f t="shared" si="4"/>
        <v>#DIV/0!</v>
      </c>
      <c r="I23" s="86">
        <f>'Water Reading'!P23-'Water Reading'!P22</f>
        <v>0</v>
      </c>
      <c r="J23" s="66" t="e">
        <f t="shared" si="5"/>
        <v>#DIV/0!</v>
      </c>
      <c r="K23" s="87">
        <f>('Water Reading'!I23-'Water Reading'!I22)-('Water Reading'!P23-'Water Reading'!P22)</f>
        <v>0</v>
      </c>
      <c r="L23" s="66" t="e">
        <f t="shared" si="6"/>
        <v>#DIV/0!</v>
      </c>
      <c r="M23" s="86">
        <f>'Water Reading'!R23-'Water Reading'!R22</f>
        <v>0</v>
      </c>
      <c r="N23" s="88" t="e">
        <f t="shared" si="7"/>
        <v>#DIV/0!</v>
      </c>
      <c r="O23" s="86">
        <f>'Water Reading'!Q23-'Water Reading'!Q22</f>
        <v>0</v>
      </c>
      <c r="P23" s="93" t="e">
        <f t="shared" si="8"/>
        <v>#DIV/0!</v>
      </c>
      <c r="Q23" s="87">
        <f>'Water Reading'!N23-'Water Reading'!N22</f>
        <v>0</v>
      </c>
      <c r="R23" s="94" t="e">
        <f t="shared" si="9"/>
        <v>#DIV/0!</v>
      </c>
      <c r="S23" s="86">
        <f>'Water Reading'!M23-'Water Reading'!M22</f>
        <v>0</v>
      </c>
      <c r="T23" s="94" t="e">
        <f t="shared" si="10"/>
        <v>#DIV/0!</v>
      </c>
      <c r="U23" s="86">
        <f>'Water Reading'!O23-'Water Reading'!O22</f>
        <v>0</v>
      </c>
      <c r="V23" s="94" t="e">
        <f t="shared" si="11"/>
        <v>#DIV/0!</v>
      </c>
      <c r="W23" s="86">
        <f>'Water Reading'!R23-'Water Reading'!R22</f>
        <v>0</v>
      </c>
      <c r="X23" s="94" t="e">
        <f t="shared" si="12"/>
        <v>#DIV/0!</v>
      </c>
      <c r="Y23" s="64">
        <f t="shared" si="0"/>
        <v>0</v>
      </c>
      <c r="Z23" s="65" t="e">
        <f t="shared" si="1"/>
        <v>#DIV/0!</v>
      </c>
    </row>
    <row r="24" spans="1:26" x14ac:dyDescent="0.25">
      <c r="A24" s="8">
        <f>'Water Reading'!A23</f>
        <v>44521</v>
      </c>
      <c r="B24" s="63">
        <f>TOTAL!I22</f>
        <v>0</v>
      </c>
      <c r="C24" s="64">
        <f>('Water Reading'!B24-'Water Reading'!B23)+('Water Reading'!C24-'Water Reading'!C23)</f>
        <v>0</v>
      </c>
      <c r="D24" s="65" t="e">
        <f t="shared" si="2"/>
        <v>#DIV/0!</v>
      </c>
      <c r="E24" s="84">
        <f>'Water Reading'!H24-'Water Reading'!H23</f>
        <v>0</v>
      </c>
      <c r="F24" s="85" t="e">
        <f t="shared" si="3"/>
        <v>#DIV/0!</v>
      </c>
      <c r="G24" s="89">
        <f>('Water Reading'!D24-'Water Reading'!D23)-('Water Reading'!R24-'Water Reading'!R23)-('Water Reading'!Q24-'Water Reading'!Q23)</f>
        <v>0</v>
      </c>
      <c r="H24" s="85" t="e">
        <f t="shared" si="4"/>
        <v>#DIV/0!</v>
      </c>
      <c r="I24" s="86">
        <f>'Water Reading'!P24-'Water Reading'!P23</f>
        <v>0</v>
      </c>
      <c r="J24" s="66" t="e">
        <f t="shared" si="5"/>
        <v>#DIV/0!</v>
      </c>
      <c r="K24" s="87">
        <f>('Water Reading'!I24-'Water Reading'!I23)-('Water Reading'!P24-'Water Reading'!P23)</f>
        <v>0</v>
      </c>
      <c r="L24" s="66" t="e">
        <f t="shared" si="6"/>
        <v>#DIV/0!</v>
      </c>
      <c r="M24" s="86">
        <f>'Water Reading'!R24-'Water Reading'!R23</f>
        <v>0</v>
      </c>
      <c r="N24" s="88" t="e">
        <f t="shared" si="7"/>
        <v>#DIV/0!</v>
      </c>
      <c r="O24" s="86">
        <f>'Water Reading'!Q24-'Water Reading'!Q23</f>
        <v>0</v>
      </c>
      <c r="P24" s="93" t="e">
        <f t="shared" si="8"/>
        <v>#DIV/0!</v>
      </c>
      <c r="Q24" s="87">
        <f>'Water Reading'!N24-'Water Reading'!N23</f>
        <v>0</v>
      </c>
      <c r="R24" s="94" t="e">
        <f t="shared" si="9"/>
        <v>#DIV/0!</v>
      </c>
      <c r="S24" s="86">
        <f>'Water Reading'!M24-'Water Reading'!M23</f>
        <v>0</v>
      </c>
      <c r="T24" s="94" t="e">
        <f t="shared" si="10"/>
        <v>#DIV/0!</v>
      </c>
      <c r="U24" s="86">
        <f>'Water Reading'!O24-'Water Reading'!O23</f>
        <v>0</v>
      </c>
      <c r="V24" s="94" t="e">
        <f t="shared" si="11"/>
        <v>#DIV/0!</v>
      </c>
      <c r="W24" s="86">
        <f>'Water Reading'!R24-'Water Reading'!R23</f>
        <v>0</v>
      </c>
      <c r="X24" s="94" t="e">
        <f t="shared" si="12"/>
        <v>#DIV/0!</v>
      </c>
      <c r="Y24" s="64">
        <f t="shared" si="0"/>
        <v>0</v>
      </c>
      <c r="Z24" s="65" t="e">
        <f t="shared" si="1"/>
        <v>#DIV/0!</v>
      </c>
    </row>
    <row r="25" spans="1:26" x14ac:dyDescent="0.25">
      <c r="A25" s="8">
        <f>'Water Reading'!A24</f>
        <v>44522</v>
      </c>
      <c r="B25" s="63">
        <f>TOTAL!I23</f>
        <v>0</v>
      </c>
      <c r="C25" s="64">
        <f>('Water Reading'!B25-'Water Reading'!B24)+('Water Reading'!C25-'Water Reading'!C24)</f>
        <v>0</v>
      </c>
      <c r="D25" s="65" t="e">
        <f t="shared" si="2"/>
        <v>#DIV/0!</v>
      </c>
      <c r="E25" s="84">
        <f>'Water Reading'!H25-'Water Reading'!H24</f>
        <v>0</v>
      </c>
      <c r="F25" s="85" t="e">
        <f t="shared" si="3"/>
        <v>#DIV/0!</v>
      </c>
      <c r="G25" s="89">
        <f>('Water Reading'!D25-'Water Reading'!D24)-('Water Reading'!R25-'Water Reading'!R24)-('Water Reading'!Q25-'Water Reading'!Q24)</f>
        <v>0</v>
      </c>
      <c r="H25" s="85" t="e">
        <f t="shared" si="4"/>
        <v>#DIV/0!</v>
      </c>
      <c r="I25" s="86">
        <f>'Water Reading'!P25-'Water Reading'!P24</f>
        <v>0</v>
      </c>
      <c r="J25" s="66" t="e">
        <f t="shared" si="5"/>
        <v>#DIV/0!</v>
      </c>
      <c r="K25" s="87">
        <f>('Water Reading'!I25-'Water Reading'!I24)-('Water Reading'!P25-'Water Reading'!P24)</f>
        <v>0</v>
      </c>
      <c r="L25" s="66" t="e">
        <f t="shared" si="6"/>
        <v>#DIV/0!</v>
      </c>
      <c r="M25" s="86">
        <f>'Water Reading'!R25-'Water Reading'!R24</f>
        <v>0</v>
      </c>
      <c r="N25" s="88" t="e">
        <f t="shared" si="7"/>
        <v>#DIV/0!</v>
      </c>
      <c r="O25" s="86">
        <f>'Water Reading'!Q25-'Water Reading'!Q24</f>
        <v>0</v>
      </c>
      <c r="P25" s="93" t="e">
        <f t="shared" si="8"/>
        <v>#DIV/0!</v>
      </c>
      <c r="Q25" s="87">
        <f>'Water Reading'!N25-'Water Reading'!N24</f>
        <v>0</v>
      </c>
      <c r="R25" s="94" t="e">
        <f t="shared" si="9"/>
        <v>#DIV/0!</v>
      </c>
      <c r="S25" s="86">
        <f>'Water Reading'!M25-'Water Reading'!M24</f>
        <v>0</v>
      </c>
      <c r="T25" s="94" t="e">
        <f t="shared" si="10"/>
        <v>#DIV/0!</v>
      </c>
      <c r="U25" s="86">
        <f>'Water Reading'!O25-'Water Reading'!O24</f>
        <v>0</v>
      </c>
      <c r="V25" s="94" t="e">
        <f t="shared" si="11"/>
        <v>#DIV/0!</v>
      </c>
      <c r="W25" s="86">
        <f>'Water Reading'!R25-'Water Reading'!R24</f>
        <v>0</v>
      </c>
      <c r="X25" s="94" t="e">
        <f t="shared" si="12"/>
        <v>#DIV/0!</v>
      </c>
      <c r="Y25" s="64">
        <f t="shared" si="0"/>
        <v>0</v>
      </c>
      <c r="Z25" s="65" t="e">
        <f t="shared" si="1"/>
        <v>#DIV/0!</v>
      </c>
    </row>
    <row r="26" spans="1:26" x14ac:dyDescent="0.25">
      <c r="A26" s="8">
        <f>'Water Reading'!A25</f>
        <v>44523</v>
      </c>
      <c r="B26" s="63">
        <f>TOTAL!I24</f>
        <v>0</v>
      </c>
      <c r="C26" s="64">
        <f>('Water Reading'!B26-'Water Reading'!B25)+('Water Reading'!C26-'Water Reading'!C25)</f>
        <v>0</v>
      </c>
      <c r="D26" s="65" t="e">
        <f t="shared" si="2"/>
        <v>#DIV/0!</v>
      </c>
      <c r="E26" s="84">
        <f>'Water Reading'!H26-'Water Reading'!H25</f>
        <v>0</v>
      </c>
      <c r="F26" s="85" t="e">
        <f t="shared" si="3"/>
        <v>#DIV/0!</v>
      </c>
      <c r="G26" s="89">
        <f>('Water Reading'!D26-'Water Reading'!D25)-('Water Reading'!R26-'Water Reading'!R25)-('Water Reading'!Q26-'Water Reading'!Q25)</f>
        <v>0</v>
      </c>
      <c r="H26" s="85" t="e">
        <f t="shared" si="4"/>
        <v>#DIV/0!</v>
      </c>
      <c r="I26" s="86">
        <f>'Water Reading'!P26-'Water Reading'!P25</f>
        <v>0</v>
      </c>
      <c r="J26" s="66" t="e">
        <f t="shared" si="5"/>
        <v>#DIV/0!</v>
      </c>
      <c r="K26" s="87">
        <f>('Water Reading'!I26-'Water Reading'!I25)-('Water Reading'!P26-'Water Reading'!P25)</f>
        <v>0</v>
      </c>
      <c r="L26" s="66" t="e">
        <f t="shared" si="6"/>
        <v>#DIV/0!</v>
      </c>
      <c r="M26" s="86">
        <f>'Water Reading'!R26-'Water Reading'!R25</f>
        <v>0</v>
      </c>
      <c r="N26" s="88" t="e">
        <f t="shared" si="7"/>
        <v>#DIV/0!</v>
      </c>
      <c r="O26" s="86">
        <f>'Water Reading'!Q26-'Water Reading'!Q25</f>
        <v>0</v>
      </c>
      <c r="P26" s="93" t="e">
        <f t="shared" si="8"/>
        <v>#DIV/0!</v>
      </c>
      <c r="Q26" s="87">
        <f>'Water Reading'!N26-'Water Reading'!N25</f>
        <v>0</v>
      </c>
      <c r="R26" s="94" t="e">
        <f t="shared" si="9"/>
        <v>#DIV/0!</v>
      </c>
      <c r="S26" s="86">
        <f>'Water Reading'!M26-'Water Reading'!M25</f>
        <v>0</v>
      </c>
      <c r="T26" s="94" t="e">
        <f t="shared" si="10"/>
        <v>#DIV/0!</v>
      </c>
      <c r="U26" s="86">
        <f>'Water Reading'!O26-'Water Reading'!O25</f>
        <v>0</v>
      </c>
      <c r="V26" s="94" t="e">
        <f t="shared" si="11"/>
        <v>#DIV/0!</v>
      </c>
      <c r="W26" s="86">
        <f>'Water Reading'!R26-'Water Reading'!R25</f>
        <v>0</v>
      </c>
      <c r="X26" s="94" t="e">
        <f t="shared" si="12"/>
        <v>#DIV/0!</v>
      </c>
      <c r="Y26" s="64">
        <f t="shared" si="0"/>
        <v>0</v>
      </c>
      <c r="Z26" s="65" t="e">
        <f t="shared" si="1"/>
        <v>#DIV/0!</v>
      </c>
    </row>
    <row r="27" spans="1:26" x14ac:dyDescent="0.25">
      <c r="A27" s="8">
        <f>'Water Reading'!A26</f>
        <v>44524</v>
      </c>
      <c r="B27" s="63">
        <f>TOTAL!I25</f>
        <v>0</v>
      </c>
      <c r="C27" s="64">
        <f>('Water Reading'!B27-'Water Reading'!B26)+('Water Reading'!C27-'Water Reading'!C26)</f>
        <v>0</v>
      </c>
      <c r="D27" s="65" t="e">
        <f t="shared" si="2"/>
        <v>#DIV/0!</v>
      </c>
      <c r="E27" s="84">
        <f>'Water Reading'!H27-'Water Reading'!H26</f>
        <v>0</v>
      </c>
      <c r="F27" s="85" t="e">
        <f t="shared" si="3"/>
        <v>#DIV/0!</v>
      </c>
      <c r="G27" s="89">
        <f>('Water Reading'!D27-'Water Reading'!D26)-('Water Reading'!R27-'Water Reading'!R26)-('Water Reading'!Q27-'Water Reading'!Q26)</f>
        <v>0</v>
      </c>
      <c r="H27" s="85" t="e">
        <f t="shared" si="4"/>
        <v>#DIV/0!</v>
      </c>
      <c r="I27" s="86">
        <f>'Water Reading'!P27-'Water Reading'!P26</f>
        <v>0</v>
      </c>
      <c r="J27" s="66" t="e">
        <f t="shared" si="5"/>
        <v>#DIV/0!</v>
      </c>
      <c r="K27" s="87">
        <f>('Water Reading'!I27-'Water Reading'!I26)-('Water Reading'!P27-'Water Reading'!P26)</f>
        <v>0</v>
      </c>
      <c r="L27" s="66" t="e">
        <f t="shared" si="6"/>
        <v>#DIV/0!</v>
      </c>
      <c r="M27" s="86">
        <f>'Water Reading'!R27-'Water Reading'!R26</f>
        <v>0</v>
      </c>
      <c r="N27" s="88" t="e">
        <f t="shared" si="7"/>
        <v>#DIV/0!</v>
      </c>
      <c r="O27" s="86">
        <f>'Water Reading'!Q27-'Water Reading'!Q26</f>
        <v>0</v>
      </c>
      <c r="P27" s="93" t="e">
        <f t="shared" si="8"/>
        <v>#DIV/0!</v>
      </c>
      <c r="Q27" s="87">
        <f>'Water Reading'!N27-'Water Reading'!N26</f>
        <v>0</v>
      </c>
      <c r="R27" s="94" t="e">
        <f t="shared" si="9"/>
        <v>#DIV/0!</v>
      </c>
      <c r="S27" s="86">
        <f>'Water Reading'!M27-'Water Reading'!M26</f>
        <v>0</v>
      </c>
      <c r="T27" s="94" t="e">
        <f t="shared" si="10"/>
        <v>#DIV/0!</v>
      </c>
      <c r="U27" s="86">
        <f>'Water Reading'!O27-'Water Reading'!O26</f>
        <v>0</v>
      </c>
      <c r="V27" s="94" t="e">
        <f t="shared" si="11"/>
        <v>#DIV/0!</v>
      </c>
      <c r="W27" s="86">
        <f>'Water Reading'!R27-'Water Reading'!R26</f>
        <v>0</v>
      </c>
      <c r="X27" s="94" t="e">
        <f t="shared" si="12"/>
        <v>#DIV/0!</v>
      </c>
      <c r="Y27" s="64">
        <f t="shared" si="0"/>
        <v>0</v>
      </c>
      <c r="Z27" s="65" t="e">
        <f t="shared" si="1"/>
        <v>#DIV/0!</v>
      </c>
    </row>
    <row r="28" spans="1:26" x14ac:dyDescent="0.25">
      <c r="A28" s="8">
        <f>'Water Reading'!A27</f>
        <v>44525</v>
      </c>
      <c r="B28" s="63">
        <f>TOTAL!I26</f>
        <v>0</v>
      </c>
      <c r="C28" s="64">
        <f>('Water Reading'!B28-'Water Reading'!B27)+('Water Reading'!C28-'Water Reading'!C27)</f>
        <v>0</v>
      </c>
      <c r="D28" s="65" t="e">
        <f t="shared" si="2"/>
        <v>#DIV/0!</v>
      </c>
      <c r="E28" s="84">
        <f>'Water Reading'!H28-'Water Reading'!H27</f>
        <v>0</v>
      </c>
      <c r="F28" s="85" t="e">
        <f t="shared" si="3"/>
        <v>#DIV/0!</v>
      </c>
      <c r="G28" s="89">
        <f>('Water Reading'!D28-'Water Reading'!D27)-('Water Reading'!R28-'Water Reading'!R27)-('Water Reading'!Q28-'Water Reading'!Q27)</f>
        <v>0</v>
      </c>
      <c r="H28" s="85" t="e">
        <f t="shared" si="4"/>
        <v>#DIV/0!</v>
      </c>
      <c r="I28" s="86">
        <f>'Water Reading'!P28-'Water Reading'!P27</f>
        <v>0</v>
      </c>
      <c r="J28" s="66" t="e">
        <f t="shared" si="5"/>
        <v>#DIV/0!</v>
      </c>
      <c r="K28" s="87">
        <f>('Water Reading'!I28-'Water Reading'!I27)-('Water Reading'!P28-'Water Reading'!P27)</f>
        <v>0</v>
      </c>
      <c r="L28" s="66" t="e">
        <f t="shared" si="6"/>
        <v>#DIV/0!</v>
      </c>
      <c r="M28" s="86">
        <f>'Water Reading'!R28-'Water Reading'!R27</f>
        <v>0</v>
      </c>
      <c r="N28" s="88" t="e">
        <f t="shared" si="7"/>
        <v>#DIV/0!</v>
      </c>
      <c r="O28" s="86">
        <f>'Water Reading'!Q28-'Water Reading'!Q27</f>
        <v>0</v>
      </c>
      <c r="P28" s="93" t="e">
        <f t="shared" si="8"/>
        <v>#DIV/0!</v>
      </c>
      <c r="Q28" s="87">
        <f>'Water Reading'!N28-'Water Reading'!N27</f>
        <v>0</v>
      </c>
      <c r="R28" s="94" t="e">
        <f t="shared" si="9"/>
        <v>#DIV/0!</v>
      </c>
      <c r="S28" s="86">
        <f>'Water Reading'!M28-'Water Reading'!M27</f>
        <v>0</v>
      </c>
      <c r="T28" s="94" t="e">
        <f t="shared" si="10"/>
        <v>#DIV/0!</v>
      </c>
      <c r="U28" s="86">
        <f>'Water Reading'!O28-'Water Reading'!O27</f>
        <v>0</v>
      </c>
      <c r="V28" s="94" t="e">
        <f t="shared" si="11"/>
        <v>#DIV/0!</v>
      </c>
      <c r="W28" s="86">
        <f>'Water Reading'!R28-'Water Reading'!R27</f>
        <v>0</v>
      </c>
      <c r="X28" s="94" t="e">
        <f t="shared" si="12"/>
        <v>#DIV/0!</v>
      </c>
      <c r="Y28" s="64">
        <f t="shared" si="0"/>
        <v>0</v>
      </c>
      <c r="Z28" s="65" t="e">
        <f t="shared" si="1"/>
        <v>#DIV/0!</v>
      </c>
    </row>
    <row r="29" spans="1:26" x14ac:dyDescent="0.25">
      <c r="A29" s="8">
        <f>'Water Reading'!A28</f>
        <v>44526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4">
        <f>'Water Reading'!H29-'Water Reading'!H28</f>
        <v>0</v>
      </c>
      <c r="F29" s="85" t="e">
        <f t="shared" si="3"/>
        <v>#DIV/0!</v>
      </c>
      <c r="G29" s="89">
        <f>('Water Reading'!D29-'Water Reading'!D28)-('Water Reading'!R29-'Water Reading'!R28)-('Water Reading'!Q29-'Water Reading'!Q28)</f>
        <v>0</v>
      </c>
      <c r="H29" s="85" t="e">
        <f t="shared" si="4"/>
        <v>#DIV/0!</v>
      </c>
      <c r="I29" s="86">
        <f>'Water Reading'!P29-'Water Reading'!P28</f>
        <v>0</v>
      </c>
      <c r="J29" s="66" t="e">
        <f t="shared" si="5"/>
        <v>#DIV/0!</v>
      </c>
      <c r="K29" s="87">
        <f>('Water Reading'!I29-'Water Reading'!I28)-('Water Reading'!P29-'Water Reading'!P28)</f>
        <v>0</v>
      </c>
      <c r="L29" s="66" t="e">
        <f t="shared" si="6"/>
        <v>#DIV/0!</v>
      </c>
      <c r="M29" s="86">
        <f>'Water Reading'!R29-'Water Reading'!R28</f>
        <v>0</v>
      </c>
      <c r="N29" s="88" t="e">
        <f t="shared" si="7"/>
        <v>#DIV/0!</v>
      </c>
      <c r="O29" s="86">
        <f>'Water Reading'!Q29-'Water Reading'!Q28</f>
        <v>0</v>
      </c>
      <c r="P29" s="93" t="e">
        <f t="shared" si="8"/>
        <v>#DIV/0!</v>
      </c>
      <c r="Q29" s="87">
        <f>'Water Reading'!N29-'Water Reading'!N28</f>
        <v>0</v>
      </c>
      <c r="R29" s="94" t="e">
        <f t="shared" si="9"/>
        <v>#DIV/0!</v>
      </c>
      <c r="S29" s="86">
        <f>'Water Reading'!M29-'Water Reading'!M28</f>
        <v>0</v>
      </c>
      <c r="T29" s="94" t="e">
        <f t="shared" si="10"/>
        <v>#DIV/0!</v>
      </c>
      <c r="U29" s="86">
        <f>'Water Reading'!O29-'Water Reading'!O28</f>
        <v>0</v>
      </c>
      <c r="V29" s="94" t="e">
        <f t="shared" si="11"/>
        <v>#DIV/0!</v>
      </c>
      <c r="W29" s="86">
        <f>'Water Reading'!R29-'Water Reading'!R28</f>
        <v>0</v>
      </c>
      <c r="X29" s="94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44527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4">
        <f>'Water Reading'!H30-'Water Reading'!H29</f>
        <v>0</v>
      </c>
      <c r="F30" s="85" t="e">
        <f t="shared" si="3"/>
        <v>#DIV/0!</v>
      </c>
      <c r="G30" s="89">
        <f>('Water Reading'!D30-'Water Reading'!D29)-('Water Reading'!R30-'Water Reading'!R29)-('Water Reading'!Q30-'Water Reading'!Q29)</f>
        <v>0</v>
      </c>
      <c r="H30" s="85" t="e">
        <f t="shared" si="4"/>
        <v>#DIV/0!</v>
      </c>
      <c r="I30" s="86">
        <f>'Water Reading'!P30-'Water Reading'!P29</f>
        <v>0</v>
      </c>
      <c r="J30" s="66" t="e">
        <f t="shared" si="5"/>
        <v>#DIV/0!</v>
      </c>
      <c r="K30" s="87">
        <f>('Water Reading'!I30-'Water Reading'!I29)-('Water Reading'!P30-'Water Reading'!P29)</f>
        <v>0</v>
      </c>
      <c r="L30" s="66" t="e">
        <f t="shared" si="6"/>
        <v>#DIV/0!</v>
      </c>
      <c r="M30" s="86">
        <f>'Water Reading'!R30-'Water Reading'!R29</f>
        <v>0</v>
      </c>
      <c r="N30" s="88" t="e">
        <f t="shared" si="7"/>
        <v>#DIV/0!</v>
      </c>
      <c r="O30" s="86">
        <f>'Water Reading'!Q30-'Water Reading'!Q29</f>
        <v>0</v>
      </c>
      <c r="P30" s="93" t="e">
        <f t="shared" si="8"/>
        <v>#DIV/0!</v>
      </c>
      <c r="Q30" s="87">
        <f>'Water Reading'!N30-'Water Reading'!N29</f>
        <v>0</v>
      </c>
      <c r="R30" s="94" t="e">
        <f t="shared" si="9"/>
        <v>#DIV/0!</v>
      </c>
      <c r="S30" s="86">
        <f>'Water Reading'!M30-'Water Reading'!M29</f>
        <v>0</v>
      </c>
      <c r="T30" s="94" t="e">
        <f t="shared" si="10"/>
        <v>#DIV/0!</v>
      </c>
      <c r="U30" s="86">
        <f>'Water Reading'!O30-'Water Reading'!O29</f>
        <v>0</v>
      </c>
      <c r="V30" s="94" t="e">
        <f t="shared" si="11"/>
        <v>#DIV/0!</v>
      </c>
      <c r="W30" s="86">
        <f>'Water Reading'!R30-'Water Reading'!R29</f>
        <v>0</v>
      </c>
      <c r="X30" s="94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44528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4">
        <f>'Water Reading'!H31-'Water Reading'!H30</f>
        <v>0</v>
      </c>
      <c r="F31" s="85" t="e">
        <f t="shared" si="3"/>
        <v>#DIV/0!</v>
      </c>
      <c r="G31" s="89">
        <f>('Water Reading'!D31-'Water Reading'!D30)-('Water Reading'!R31-'Water Reading'!R30)-('Water Reading'!Q31-'Water Reading'!Q30)</f>
        <v>0</v>
      </c>
      <c r="H31" s="85" t="e">
        <f t="shared" si="4"/>
        <v>#DIV/0!</v>
      </c>
      <c r="I31" s="86">
        <f>'Water Reading'!P31-'Water Reading'!P30</f>
        <v>0</v>
      </c>
      <c r="J31" s="66" t="e">
        <f t="shared" si="5"/>
        <v>#DIV/0!</v>
      </c>
      <c r="K31" s="87">
        <f>('Water Reading'!I31-'Water Reading'!I30)-('Water Reading'!P31-'Water Reading'!P30)</f>
        <v>0</v>
      </c>
      <c r="L31" s="66" t="e">
        <f t="shared" si="6"/>
        <v>#DIV/0!</v>
      </c>
      <c r="M31" s="86">
        <f>'Water Reading'!R31-'Water Reading'!R30</f>
        <v>0</v>
      </c>
      <c r="N31" s="88" t="e">
        <f t="shared" si="7"/>
        <v>#DIV/0!</v>
      </c>
      <c r="O31" s="86">
        <f>'Water Reading'!Q31-'Water Reading'!Q30</f>
        <v>0</v>
      </c>
      <c r="P31" s="93" t="e">
        <f t="shared" si="8"/>
        <v>#DIV/0!</v>
      </c>
      <c r="Q31" s="87">
        <f>'Water Reading'!N31-'Water Reading'!N30</f>
        <v>0</v>
      </c>
      <c r="R31" s="94" t="e">
        <f t="shared" si="9"/>
        <v>#DIV/0!</v>
      </c>
      <c r="S31" s="86">
        <f>'Water Reading'!M31-'Water Reading'!M30</f>
        <v>0</v>
      </c>
      <c r="T31" s="94" t="e">
        <f t="shared" si="10"/>
        <v>#DIV/0!</v>
      </c>
      <c r="U31" s="86">
        <f>'Water Reading'!O31-'Water Reading'!O30</f>
        <v>0</v>
      </c>
      <c r="V31" s="94" t="e">
        <f t="shared" si="11"/>
        <v>#DIV/0!</v>
      </c>
      <c r="W31" s="86">
        <f>'Water Reading'!R31-'Water Reading'!R30</f>
        <v>0</v>
      </c>
      <c r="X31" s="94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44529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4">
        <f>'Water Reading'!H32-'Water Reading'!H31</f>
        <v>0</v>
      </c>
      <c r="F32" s="85" t="e">
        <f t="shared" si="3"/>
        <v>#DIV/0!</v>
      </c>
      <c r="G32" s="89">
        <f>('Water Reading'!D32-'Water Reading'!D31)-('Water Reading'!R32-'Water Reading'!R31)-('Water Reading'!Q32-'Water Reading'!Q31)</f>
        <v>0</v>
      </c>
      <c r="H32" s="85" t="e">
        <f t="shared" si="4"/>
        <v>#DIV/0!</v>
      </c>
      <c r="I32" s="86">
        <f>'Water Reading'!P32-'Water Reading'!P31</f>
        <v>0</v>
      </c>
      <c r="J32" s="66" t="e">
        <f t="shared" si="5"/>
        <v>#DIV/0!</v>
      </c>
      <c r="K32" s="87">
        <f>('Water Reading'!I32-'Water Reading'!I31)-('Water Reading'!P32-'Water Reading'!P31)</f>
        <v>0</v>
      </c>
      <c r="L32" s="66" t="e">
        <f t="shared" si="6"/>
        <v>#DIV/0!</v>
      </c>
      <c r="M32" s="86">
        <f>'Water Reading'!R32-'Water Reading'!R31</f>
        <v>0</v>
      </c>
      <c r="N32" s="88" t="e">
        <f t="shared" si="7"/>
        <v>#DIV/0!</v>
      </c>
      <c r="O32" s="86">
        <f>'Water Reading'!Q32-'Water Reading'!Q31</f>
        <v>0</v>
      </c>
      <c r="P32" s="93" t="e">
        <f t="shared" si="8"/>
        <v>#DIV/0!</v>
      </c>
      <c r="Q32" s="87">
        <f>'Water Reading'!N32-'Water Reading'!N31</f>
        <v>0</v>
      </c>
      <c r="R32" s="94" t="e">
        <f t="shared" si="9"/>
        <v>#DIV/0!</v>
      </c>
      <c r="S32" s="86">
        <f>'Water Reading'!M32-'Water Reading'!M31</f>
        <v>0</v>
      </c>
      <c r="T32" s="94" t="e">
        <f t="shared" si="10"/>
        <v>#DIV/0!</v>
      </c>
      <c r="U32" s="86">
        <f>'Water Reading'!O32-'Water Reading'!O31</f>
        <v>0</v>
      </c>
      <c r="V32" s="94" t="e">
        <f t="shared" si="11"/>
        <v>#DIV/0!</v>
      </c>
      <c r="W32" s="86">
        <f>'Water Reading'!R32-'Water Reading'!R31</f>
        <v>0</v>
      </c>
      <c r="X32" s="94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44530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4">
        <f>'Water Reading'!H33-'Water Reading'!H32</f>
        <v>0</v>
      </c>
      <c r="F33" s="85" t="e">
        <f t="shared" si="3"/>
        <v>#DIV/0!</v>
      </c>
      <c r="G33" s="89">
        <f>('Water Reading'!D33-'Water Reading'!D32)-('Water Reading'!R33-'Water Reading'!R32)-('Water Reading'!Q33-'Water Reading'!Q32)</f>
        <v>0</v>
      </c>
      <c r="H33" s="85" t="e">
        <f t="shared" si="4"/>
        <v>#DIV/0!</v>
      </c>
      <c r="I33" s="86">
        <f>'Water Reading'!P33-'Water Reading'!P32</f>
        <v>0</v>
      </c>
      <c r="J33" s="66" t="e">
        <f t="shared" si="5"/>
        <v>#DIV/0!</v>
      </c>
      <c r="K33" s="87">
        <f>('Water Reading'!I33-'Water Reading'!I32)-('Water Reading'!P33-'Water Reading'!P32)</f>
        <v>0</v>
      </c>
      <c r="L33" s="66" t="e">
        <f t="shared" si="6"/>
        <v>#DIV/0!</v>
      </c>
      <c r="M33" s="86">
        <f>'Water Reading'!R33-'Water Reading'!R32</f>
        <v>0</v>
      </c>
      <c r="N33" s="88" t="e">
        <f t="shared" si="7"/>
        <v>#DIV/0!</v>
      </c>
      <c r="O33" s="86">
        <f>'Water Reading'!Q33-'Water Reading'!Q32</f>
        <v>0</v>
      </c>
      <c r="P33" s="93" t="e">
        <f t="shared" si="8"/>
        <v>#DIV/0!</v>
      </c>
      <c r="Q33" s="87">
        <f>'Water Reading'!N33-'Water Reading'!N32</f>
        <v>0</v>
      </c>
      <c r="R33" s="94" t="e">
        <f t="shared" si="9"/>
        <v>#DIV/0!</v>
      </c>
      <c r="S33" s="86">
        <f>'Water Reading'!M33-'Water Reading'!M32</f>
        <v>0</v>
      </c>
      <c r="T33" s="94" t="e">
        <f t="shared" si="10"/>
        <v>#DIV/0!</v>
      </c>
      <c r="U33" s="86">
        <f>'Water Reading'!O33-'Water Reading'!O32</f>
        <v>0</v>
      </c>
      <c r="V33" s="94" t="e">
        <f t="shared" si="11"/>
        <v>#DIV/0!</v>
      </c>
      <c r="W33" s="86">
        <f>'Water Reading'!R33-'Water Reading'!R32</f>
        <v>0</v>
      </c>
      <c r="X33" s="94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44531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4">
        <f>'Water Reading'!H34-'Water Reading'!H33</f>
        <v>0</v>
      </c>
      <c r="F34" s="85" t="e">
        <f t="shared" si="3"/>
        <v>#DIV/0!</v>
      </c>
      <c r="G34" s="89">
        <f>('Water Reading'!D34-'Water Reading'!D33)-('Water Reading'!R34-'Water Reading'!R33)-('Water Reading'!Q34-'Water Reading'!Q33)</f>
        <v>0</v>
      </c>
      <c r="H34" s="85" t="e">
        <f t="shared" si="4"/>
        <v>#DIV/0!</v>
      </c>
      <c r="I34" s="86">
        <f>'Water Reading'!P34-'Water Reading'!P33</f>
        <v>0</v>
      </c>
      <c r="J34" s="66" t="e">
        <f t="shared" si="5"/>
        <v>#DIV/0!</v>
      </c>
      <c r="K34" s="87">
        <f>('Water Reading'!I34-'Water Reading'!I33)-('Water Reading'!P34-'Water Reading'!P33)</f>
        <v>0</v>
      </c>
      <c r="L34" s="66" t="e">
        <f t="shared" si="6"/>
        <v>#DIV/0!</v>
      </c>
      <c r="M34" s="86">
        <f>'Water Reading'!R34-'Water Reading'!R33</f>
        <v>0</v>
      </c>
      <c r="N34" s="88" t="e">
        <f t="shared" si="7"/>
        <v>#DIV/0!</v>
      </c>
      <c r="O34" s="86">
        <f>'Water Reading'!Q34-'Water Reading'!Q33</f>
        <v>0</v>
      </c>
      <c r="P34" s="93" t="e">
        <f t="shared" si="8"/>
        <v>#DIV/0!</v>
      </c>
      <c r="Q34" s="87">
        <f>'Water Reading'!N34-'Water Reading'!N33</f>
        <v>0</v>
      </c>
      <c r="R34" s="94" t="e">
        <f t="shared" si="9"/>
        <v>#DIV/0!</v>
      </c>
      <c r="S34" s="86">
        <f>'Water Reading'!M34-'Water Reading'!M33</f>
        <v>0</v>
      </c>
      <c r="T34" s="94" t="e">
        <f t="shared" si="10"/>
        <v>#DIV/0!</v>
      </c>
      <c r="U34" s="86">
        <f>'Water Reading'!O34-'Water Reading'!O33</f>
        <v>0</v>
      </c>
      <c r="V34" s="94" t="e">
        <f t="shared" si="11"/>
        <v>#DIV/0!</v>
      </c>
      <c r="W34" s="86">
        <f>'Water Reading'!R34-'Water Reading'!R33</f>
        <v>0</v>
      </c>
      <c r="X34" s="94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2">
        <f>SUM(B4:B34)</f>
        <v>3413</v>
      </c>
      <c r="C35" s="72">
        <f>SUM(C4:C34)</f>
        <v>-344703</v>
      </c>
      <c r="D35" s="91">
        <f>C35/B35</f>
        <v>-100.99707002636977</v>
      </c>
      <c r="E35" s="7">
        <f>SUM(E4:E34)</f>
        <v>-57642</v>
      </c>
      <c r="F35" s="90">
        <f>E35/C35</f>
        <v>0.16722221738714196</v>
      </c>
      <c r="G35" s="72">
        <f>SUM(G4:G34)</f>
        <v>-219232</v>
      </c>
      <c r="H35" s="90">
        <f>G35/C35</f>
        <v>0.63600258773494867</v>
      </c>
      <c r="I35" s="7">
        <f>SUM(I4:I34)</f>
        <v>-28505</v>
      </c>
      <c r="J35" s="90">
        <f>I35/C35</f>
        <v>8.2694377478583006E-2</v>
      </c>
      <c r="K35" s="7">
        <f>SUM(K4:K34)</f>
        <v>-39115</v>
      </c>
      <c r="L35" s="90">
        <f>K35/C35</f>
        <v>0.11347449833624888</v>
      </c>
      <c r="M35" s="7">
        <f>SUM(M4:M34)</f>
        <v>-6919</v>
      </c>
      <c r="N35" s="90">
        <f>M35/C35</f>
        <v>2.0072352140828482E-2</v>
      </c>
      <c r="O35" s="7">
        <f>SUM(O4:O34)</f>
        <v>-1088</v>
      </c>
      <c r="P35" s="90">
        <f>O35/C35</f>
        <v>3.1563403857813826E-3</v>
      </c>
      <c r="Q35" s="7">
        <f>SUM(Q4:Q34)</f>
        <v>-8025</v>
      </c>
      <c r="R35" s="90">
        <f>Q35/C35</f>
        <v>2.3280911393286394E-2</v>
      </c>
      <c r="S35" s="72">
        <f>SUM(S4:S34)</f>
        <v>-25946</v>
      </c>
      <c r="T35" s="90">
        <f>S35/C35</f>
        <v>7.5270595266069634E-2</v>
      </c>
      <c r="U35" s="7">
        <f>SUM(U4:U34)</f>
        <v>-1801</v>
      </c>
      <c r="V35" s="90">
        <f>U35/C35</f>
        <v>5.2247877158017189E-3</v>
      </c>
      <c r="W35" s="7">
        <f>SUM(W4:W34)</f>
        <v>-6919</v>
      </c>
      <c r="X35" s="90">
        <f>W35/C35</f>
        <v>2.0072352140828482E-2</v>
      </c>
      <c r="Y35" s="72">
        <f>SUM(Y4:Y34)</f>
        <v>-395192</v>
      </c>
      <c r="Z35" s="90">
        <f t="shared" si="1"/>
        <v>-115.790213888075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2021-11-13T04:20:25Z</dcterms:modified>
  <cp:category/>
  <cp:contentStatus/>
</cp:coreProperties>
</file>