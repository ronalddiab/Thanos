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82AC6D48-0207-4583-9825-61566E3AD753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1" l="1"/>
  <c r="K18" i="4" l="1"/>
  <c r="H9" i="4" l="1"/>
  <c r="K7" i="9" l="1"/>
  <c r="G4" i="3" l="1"/>
  <c r="T7" i="2" l="1"/>
  <c r="T10" i="2" s="1"/>
  <c r="T16" i="2" s="1"/>
  <c r="T18" i="2" s="1"/>
  <c r="T20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S2" i="1"/>
  <c r="P2" i="1"/>
  <c r="G2" i="1"/>
  <c r="I2" i="4"/>
  <c r="U64" i="10" l="1"/>
  <c r="T2" i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4" i="11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K33" i="4" l="1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4" i="11"/>
  <c r="J3" i="11"/>
  <c r="Y4" i="4" l="1"/>
  <c r="AA5" i="4"/>
  <c r="AA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G33" i="1" s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R3" i="8" l="1"/>
  <c r="T3" i="8"/>
  <c r="S3" i="8"/>
  <c r="V3" i="8"/>
  <c r="U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T4" i="8" l="1"/>
  <c r="I33" i="1"/>
  <c r="S4" i="8"/>
  <c r="F33" i="1"/>
  <c r="U4" i="8"/>
  <c r="O33" i="1"/>
  <c r="R4" i="8"/>
  <c r="C33" i="1"/>
  <c r="V4" i="8"/>
  <c r="L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R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 s="1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<sst xmlns="http://schemas.openxmlformats.org/spreadsheetml/2006/main" count="517" uniqueCount="154">
  <si>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</si>
  <si>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</si>
  <si>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</si>
  <si>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</si>
  <si>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</si>
  <si>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</si>
  <si>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</si>
  <si>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</si>
  <si>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</si>
  <si>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</si>
  <si>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</si>
  <si>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</si>
  <si>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</si>
  <si>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</si>
  <si>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</si>
  <si>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</si>
  <si>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</si>
  <si>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</si>
  <si>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</si>
  <si>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</si>
  <si>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</si>
  <si>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</si>
  <si>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</si>
  <si>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</si>
  <si>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</si>
  <si>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</si>
  <si>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</si>
  <si>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</si>
  <si>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</si>
  <si>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</si>
  <si>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</si>
  <si>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</si>
  <si>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</si>
  <si>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</si>
  <si>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</si>
  <si>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</si>
  <si>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</si>
  <si>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</si>
  <si>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</si>
  <si>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</si>
  <si>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</si>
  <si>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</si>
  <si>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</si>
  <si>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</si>
  <si>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</si>
  <si>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</si>
  <si>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</si>
  <si>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</si>
  <si>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</si>
  <si>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</si>
  <si>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</si>
  <si>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</si>
  <si>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</si>
  <si>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</si>
  <si>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</si>
  <si>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</si>
  <si>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</si>
  <si>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</si>
  <si>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</si>
  <si>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</si>
  <si>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</si>
  <si>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</si>
  <si>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</si>
  <si>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</si>
  <si>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</si>
  <si>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</si>
  <si>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</si>
  <si>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</si>
  <si>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</si>
  <si>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</si>
  <si>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</si>
  <si>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</si>
  <si>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</si>
  <si>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</si>
  <si>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</si>
  <si>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</si>
  <si>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</si>
  <si>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</si>
  <si>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</si>
  <si>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</si>
  <si>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</si>
  <si>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</si>
  <si>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</si>
  <si>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</si>
  <si>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</si>
  <si>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</si>
  <si>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</si>
  <si>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</si>
  <si>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</si>
  <si>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</si>
  <si>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</si>
  <si>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</si>
  <si>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</si>
  <si>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</si>
  <si>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</si>
  <si>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</si>
  <si>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</si>
  <si>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</si>
  <si>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</si>
  <si>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</si>
  <si>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</si>
  <si>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</si>
  <si>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</si>
  <si>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</si>
  <si>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</si>
  <si>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</si>
  <si>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</si>
  <si>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</si>
  <si>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</si>
  <si>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</si>
  <si>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</si>
  <si>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</si>
  <si>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</si>
  <si>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</si>
  <si>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</si>
  <si>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</si>
  <si>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</si>
  <si>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</si>
  <si>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</si>
  <si>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</si>
  <si>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</si>
  <si>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</si>
  <si>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</si>
  <si>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</si>
  <si>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</si>
  <si>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</si>
  <si>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</si>
  <si>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</si>
  <si>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</si>
  <si>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</si>
  <si>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</si>
  <si>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</si>
  <si>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</si>
  <si>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</si>
  <si>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</si>
  <si>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</si>
  <si>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</si>
  <si>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</si>
  <si>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</si>
  <si>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</si>
  <si>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</si>
  <si>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</si>
  <si>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</si>
  <si>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</si>
  <si>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</si>
  <si>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</si>
  <si>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</si>
  <si>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</si>
  <si>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</si>
  <si>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</si>
  <si>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 xml:space="preserve">Note : the electric meter was reset dated 6th June and started from the beginning </t>
  </si>
  <si>
    <t>Energy Monthly Statement June 2022</t>
  </si>
  <si>
    <t>Electricity</t>
  </si>
  <si>
    <t>Budget (June)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</si>
</sst>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[$-409]d\-mmm\-yyyy;@"/>
    <numFmt numFmtId="168" formatCode="0.000"/>
    <numFmt numFmtId="169" formatCode="0.00;[Red]0.00"/>
    <numFmt numFmtId="170" formatCode="0;[Red]0"/>
    <numFmt numFmtId="171" formatCode="[$-409]d\-mmm;@"/>
    <numFmt numFmtId="172" formatCode="0.0000"/>
    <numFmt numFmtId="173" formatCode="_(* #,##0_);_(* \(#,##0\);_(* &quot;-&quot;??_);_(@_)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7" fontId="11" fillId="2" borderId="0" applyNumberFormat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7" fontId="1" fillId="0" borderId="0"/>
    <xf numFmtId="0" fontId="1" fillId="0" borderId="0"/>
    <xf numFmtId="0" fontId="3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26" fillId="0" borderId="0"/>
    <xf numFmtId="0" fontId="1" fillId="0" borderId="0"/>
    <xf numFmtId="0" fontId="1" fillId="0" borderId="0"/>
    <xf numFmtId="167" fontId="40" fillId="0" borderId="0"/>
  </cellStyleXfs>
  <cellXfs count="199">
    <xf numFmtId="0" fontId="0" fillId="0" borderId="0" xfId="0"/>
    <xf numFmtId="0" fontId="4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8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165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165" fontId="35" fillId="0" borderId="1" xfId="0" applyNumberFormat="1" applyFont="1" applyFill="1" applyBorder="1" applyAlignment="1">
      <alignment horizontal="center" vertical="center"/>
    </xf>
    <xf numFmtId="165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6" fontId="35" fillId="0" borderId="1" xfId="0" applyNumberFormat="1" applyFont="1" applyFill="1" applyBorder="1" applyAlignment="1">
      <alignment horizontal="center" vertical="center"/>
    </xf>
    <xf numFmtId="166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6" fontId="35" fillId="0" borderId="1" xfId="13" applyNumberFormat="1" applyFont="1" applyFill="1" applyBorder="1" applyAlignment="1">
      <alignment horizontal="center" vertical="center"/>
    </xf>
    <xf numFmtId="166" fontId="35" fillId="0" borderId="0" xfId="13" applyNumberFormat="1" applyFont="1" applyFill="1" applyBorder="1" applyAlignment="1">
      <alignment horizontal="center" vertical="center"/>
    </xf>
    <xf numFmtId="166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6" fontId="35" fillId="0" borderId="8" xfId="13" applyNumberFormat="1" applyFont="1" applyFill="1" applyBorder="1" applyAlignment="1">
      <alignment horizontal="center" vertical="center"/>
    </xf>
    <xf numFmtId="166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9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9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71" fontId="0" fillId="0" borderId="0" xfId="0" applyNumberFormat="1"/>
    <xf numFmtId="17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2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2" fontId="7" fillId="0" borderId="1" xfId="0" applyNumberFormat="1" applyFont="1" applyBorder="1" applyAlignment="1">
      <alignment horizontal="center"/>
    </xf>
    <xf numFmtId="3" fontId="18" fillId="13" borderId="4" xfId="8" applyNumberFormat="1" applyFont="1" applyFill="1" applyBorder="1" applyAlignment="1">
      <alignment horizontal="left" vertical="center" wrapText="1"/>
    </xf>
    <xf numFmtId="0" fontId="34" fillId="0" borderId="4" xfId="0" applyFont="1" applyFill="1" applyBorder="1" applyAlignment="1">
      <alignment horizontal="center" vertical="center"/>
    </xf>
    <xf numFmtId="173" fontId="34" fillId="13" borderId="4" xfId="3" applyNumberFormat="1" applyFont="1" applyFill="1" applyBorder="1" applyAlignment="1">
      <alignment vertical="center"/>
    </xf>
    <xf numFmtId="173" fontId="34" fillId="0" borderId="4" xfId="3" applyNumberFormat="1" applyFont="1" applyBorder="1" applyAlignment="1">
      <alignment vertical="center"/>
    </xf>
    <xf numFmtId="0" fontId="34" fillId="0" borderId="4" xfId="0" applyFont="1" applyFill="1" applyBorder="1"/>
    <xf numFmtId="1" fontId="34" fillId="0" borderId="4" xfId="0" applyNumberFormat="1" applyFont="1" applyFill="1" applyBorder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J13" sqref="J13"/>
    </sheetView>
  </sheetViews>
  <sheetFormatPr defaultColWidth="11.5546875" defaultRowHeight="13.2" x14ac:dyDescent="0.25"/>
  <cols>
    <col min="1" max="1" width="15.88671875" style="48" bestFit="1" customWidth="1"/>
    <col min="2" max="3" width="11.5546875" style="53"/>
    <col min="4" max="4" width="13.44140625" style="53" customWidth="1"/>
    <col min="5" max="6" width="12.5546875" style="13" customWidth="1"/>
    <col min="7" max="7" width="12.109375" style="13" customWidth="1"/>
    <col min="8" max="11" width="11.5546875" style="13"/>
  </cols>
  <sheetData>
    <row r="1" spans="1:14" s="34" customFormat="1" ht="43.2" x14ac:dyDescent="0.3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5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5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5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5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5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5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122124.04174000002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5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16021.068880000003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5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81703.93174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5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5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5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5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5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5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5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5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5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5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1048.2462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5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1516.5726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5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84775.790399999998</v>
      </c>
      <c r="F21" s="139">
        <v>1.27</v>
      </c>
      <c r="G21" s="37">
        <f>Gas!C22*0.9147</f>
        <v>1207.404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324</v>
      </c>
    </row>
    <row r="22" spans="1:13" x14ac:dyDescent="0.25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56910.774584000006</v>
      </c>
      <c r="F22" s="139">
        <v>1.27</v>
      </c>
      <c r="G22" s="37">
        <f>Gas!C23*0.9147</f>
        <v>1716.8918999999999</v>
      </c>
      <c r="H22" s="140">
        <v>3.65</v>
      </c>
      <c r="I22" s="142">
        <f>Submetering!H22+Submetering!AD22+Submetering!AE22</f>
        <v>796</v>
      </c>
      <c r="J22" s="142">
        <v>10.029999999999999</v>
      </c>
      <c r="K22" s="37">
        <f>ELECT.!B23</f>
        <v>324</v>
      </c>
    </row>
    <row r="23" spans="1:13" x14ac:dyDescent="0.25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72157.308296000003</v>
      </c>
      <c r="F23" s="139">
        <v>1.27</v>
      </c>
      <c r="G23" s="37">
        <f>Gas!C24*0.9147</f>
        <v>2389.1963999999998</v>
      </c>
      <c r="H23" s="140">
        <v>3.65</v>
      </c>
      <c r="I23" s="142">
        <f>Submetering!H23+Submetering!AD23+Submetering!AE23</f>
        <v>796</v>
      </c>
      <c r="J23" s="142">
        <v>10.029999999999999</v>
      </c>
      <c r="K23" s="37">
        <f>ELECT.!B24</f>
        <v>137</v>
      </c>
    </row>
    <row r="24" spans="1:13" x14ac:dyDescent="0.25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65395.501511999995</v>
      </c>
      <c r="F24" s="139">
        <v>1.27</v>
      </c>
      <c r="G24" s="37">
        <f>Gas!C25*0.9147</f>
        <v>2119.3598999999999</v>
      </c>
      <c r="H24" s="140">
        <v>3.65</v>
      </c>
      <c r="I24" s="142">
        <f>Submetering!H24+Submetering!AD24+Submetering!AE24</f>
        <v>726</v>
      </c>
      <c r="J24" s="142">
        <v>10.029999999999999</v>
      </c>
      <c r="K24" s="37">
        <f>ELECT.!B25</f>
        <v>200</v>
      </c>
    </row>
    <row r="25" spans="1:13" x14ac:dyDescent="0.25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85223.013547999988</v>
      </c>
      <c r="F25" s="139">
        <v>1.27</v>
      </c>
      <c r="G25" s="37">
        <f>Gas!C26*0.9147</f>
        <v>2076.3689999999997</v>
      </c>
      <c r="H25" s="140">
        <v>3.65</v>
      </c>
      <c r="I25" s="142">
        <f>Submetering!H25+Submetering!AD25+Submetering!AE25</f>
        <v>806</v>
      </c>
      <c r="J25" s="142">
        <v>10.029999999999999</v>
      </c>
      <c r="K25" s="37">
        <f>ELECT.!B26</f>
        <v>240</v>
      </c>
    </row>
    <row r="26" spans="1:13" x14ac:dyDescent="0.25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76566.431731999997</v>
      </c>
      <c r="F26" s="139">
        <v>1.27</v>
      </c>
      <c r="G26" s="37">
        <f>Gas!C27*0.9147</f>
        <v>1608.9573</v>
      </c>
      <c r="H26" s="140">
        <v>3.65</v>
      </c>
      <c r="I26" s="142">
        <f>Submetering!H26+Submetering!AD26+Submetering!AE26</f>
        <v>1056</v>
      </c>
      <c r="J26" s="142">
        <v>10.029999999999999</v>
      </c>
      <c r="K26" s="37">
        <f>ELECT.!B27</f>
        <v>169</v>
      </c>
      <c r="M26" s="26" t="s">
        <v>12</v>
      </c>
    </row>
    <row r="27" spans="1:13" x14ac:dyDescent="0.25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71699.114371999982</v>
      </c>
      <c r="F27" s="139">
        <v>1.27</v>
      </c>
      <c r="G27" s="37">
        <f>Gas!C28*0.9147</f>
        <v>1931.8463999999999</v>
      </c>
      <c r="H27" s="140">
        <v>3.65</v>
      </c>
      <c r="I27" s="142">
        <f>Submetering!H27+Submetering!AD27+Submetering!AE27</f>
        <v>726</v>
      </c>
      <c r="J27" s="142">
        <v>10.029999999999999</v>
      </c>
      <c r="K27" s="37">
        <f>ELECT.!B28</f>
        <v>213</v>
      </c>
    </row>
    <row r="28" spans="1:13" x14ac:dyDescent="0.25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67459.020124000002</v>
      </c>
      <c r="F28" s="139">
        <v>1.27</v>
      </c>
      <c r="G28" s="37">
        <f>Gas!C29*0.9147</f>
        <v>1677.5598</v>
      </c>
      <c r="H28" s="140">
        <v>3.65</v>
      </c>
      <c r="I28" s="142">
        <f>Submetering!H28+Submetering!AD28+Submetering!AE28</f>
        <v>876.00000000000011</v>
      </c>
      <c r="J28" s="142">
        <v>10.029999999999999</v>
      </c>
      <c r="K28" s="37">
        <f>ELECT.!B29</f>
        <v>286</v>
      </c>
    </row>
    <row r="29" spans="1:13" x14ac:dyDescent="0.25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87022.838840000011</v>
      </c>
      <c r="F29" s="140">
        <v>1.27</v>
      </c>
      <c r="G29" s="37">
        <f>Gas!C30*0.9147</f>
        <v>2099.2365</v>
      </c>
      <c r="H29" s="140">
        <v>3.65</v>
      </c>
      <c r="I29" s="142">
        <f>Submetering!H29+Submetering!AD29+Submetering!AE29</f>
        <v>906</v>
      </c>
      <c r="J29" s="142">
        <v>10.029999999999999</v>
      </c>
      <c r="K29" s="37">
        <f>ELECT.!B30</f>
        <v>219</v>
      </c>
    </row>
    <row r="30" spans="1:13" x14ac:dyDescent="0.25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63993.550511999994</v>
      </c>
      <c r="F30" s="140">
        <v>1.27</v>
      </c>
      <c r="G30" s="37">
        <f>Gas!C31*0.9147</f>
        <v>1841.2910999999999</v>
      </c>
      <c r="H30" s="140">
        <v>3.65</v>
      </c>
      <c r="I30" s="142">
        <f>Submetering!H30+Submetering!AD30+Submetering!AE30</f>
        <v>916</v>
      </c>
      <c r="J30" s="142">
        <v>10.029999999999999</v>
      </c>
      <c r="K30" s="37">
        <f>ELECT.!B31</f>
        <v>225</v>
      </c>
    </row>
    <row r="31" spans="1:13" x14ac:dyDescent="0.25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61917.716651999996</v>
      </c>
      <c r="F31" s="140">
        <v>1.27</v>
      </c>
      <c r="G31" s="37">
        <f>Gas!C32*0.9147</f>
        <v>1096.7253000000001</v>
      </c>
      <c r="H31" s="140">
        <v>3.65</v>
      </c>
      <c r="I31" s="142">
        <f>Submetering!H31+Submetering!AD31+Submetering!AE31</f>
        <v>916</v>
      </c>
      <c r="J31" s="142">
        <v>10.029999999999999</v>
      </c>
      <c r="K31" s="37">
        <f>ELECT.!B32</f>
        <v>172</v>
      </c>
    </row>
    <row r="32" spans="1:13" x14ac:dyDescent="0.25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zoomScale="85" zoomScaleNormal="85" workbookViewId="0">
      <selection activeCell="G42" sqref="G42"/>
    </sheetView>
  </sheetViews>
  <sheetFormatPr defaultColWidth="11.5546875" defaultRowHeight="13.2" x14ac:dyDescent="0.25"/>
  <cols>
    <col min="1" max="1" width="15.88671875" style="48" bestFit="1" customWidth="1"/>
    <col min="2" max="3" width="11.5546875" style="53"/>
    <col min="4" max="4" width="13.44140625" style="53" customWidth="1"/>
    <col min="5" max="17" width="12.5546875" style="37" customWidth="1"/>
    <col min="18" max="21" width="12.5546875" style="38" customWidth="1"/>
    <col min="22" max="22" width="13.109375" style="38" customWidth="1"/>
    <col min="23" max="23" width="12.5546875" style="38" customWidth="1"/>
    <col min="24" max="25" width="11.5546875" style="35"/>
    <col min="27" max="27" width="13.6640625" bestFit="1" customWidth="1"/>
    <col min="28" max="28" width="13.5546875" bestFit="1" customWidth="1"/>
    <col min="30" max="30" width="15.5546875" customWidth="1"/>
  </cols>
  <sheetData>
    <row r="1" spans="1:31" s="34" customFormat="1" ht="43.2" x14ac:dyDescent="0.3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5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5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5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5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5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5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100837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36347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5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0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-44145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5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59527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-42016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5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5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5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5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5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5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5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5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5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5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5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5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940</v>
      </c>
      <c r="F21" s="37">
        <f>Water!E22</f>
        <v>500</v>
      </c>
      <c r="G21" s="37">
        <f>Water!G22</f>
        <v>410.4</v>
      </c>
      <c r="H21" s="37">
        <f>Water!I22</f>
        <v>5.0759999999999996</v>
      </c>
      <c r="I21" s="37">
        <f>ELECT.!F22</f>
        <v>25290</v>
      </c>
      <c r="J21" s="37">
        <f>ELECT.!H22</f>
        <v>62556</v>
      </c>
      <c r="K21" s="37">
        <f>ELECT.!K22</f>
        <v>11842</v>
      </c>
      <c r="L21" s="37">
        <f>ELECT.!M22</f>
        <v>7919</v>
      </c>
      <c r="M21" s="37">
        <f>ELECT.!O22</f>
        <v>17160</v>
      </c>
      <c r="N21" s="37">
        <f>ELECT.!Q22</f>
        <v>18534</v>
      </c>
      <c r="O21" s="37">
        <f>ELECT.!S22</f>
        <v>12328</v>
      </c>
      <c r="P21" s="37">
        <f>ELECT.!W22*2</f>
        <v>27772</v>
      </c>
      <c r="Q21" s="37">
        <f>ELECT.!D22</f>
        <v>480</v>
      </c>
      <c r="R21" s="142">
        <f>BTU!C22</f>
        <v>8.1190000000024156</v>
      </c>
      <c r="S21" s="142">
        <f>BTU!F22</f>
        <v>2.5760000000000218</v>
      </c>
      <c r="T21" s="142">
        <f>BTU!I22</f>
        <v>4</v>
      </c>
      <c r="U21" s="142">
        <f>BTU!O22</f>
        <v>0.97499999999990905</v>
      </c>
      <c r="V21" s="142">
        <f>BTU!L22</f>
        <v>1.430000000000291</v>
      </c>
      <c r="W21" s="142">
        <f>BTU!R22</f>
        <v>1.2600000000002183</v>
      </c>
      <c r="X21" s="35">
        <f>ELECT.!B22</f>
        <v>324</v>
      </c>
      <c r="Y21" s="35">
        <f t="shared" si="0"/>
        <v>-7709</v>
      </c>
      <c r="Z21">
        <f>'Mall, Citadel, Rotana'!C22+'Mall, Citadel, Rotana'!E22+'Mall, Citadel, Rotana'!G22+'Mall, Citadel, Rotana'!I22</f>
        <v>1361</v>
      </c>
      <c r="AA21">
        <f>'Mall, Citadel, Rotana'!K22+'Mall, Citadel, Rotana'!M22</f>
        <v>347</v>
      </c>
      <c r="AB21">
        <f>'Mall, Citadel, Rotana'!O22</f>
        <v>3</v>
      </c>
      <c r="AC21">
        <f>'Mall, Citadel, Rotana'!Q22+'Mall, Citadel, Rotana'!S22</f>
        <v>144</v>
      </c>
      <c r="AD21" s="35">
        <f t="shared" si="1"/>
        <v>97.653783199999992</v>
      </c>
      <c r="AE21" s="35">
        <f t="shared" si="2"/>
        <v>643.27021679999996</v>
      </c>
    </row>
    <row r="22" spans="1:31" x14ac:dyDescent="0.25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990</v>
      </c>
      <c r="F22" s="37">
        <f>Water!E23</f>
        <v>380</v>
      </c>
      <c r="G22" s="37">
        <f>Water!G23</f>
        <v>529.20000000000005</v>
      </c>
      <c r="H22" s="37">
        <f>Water!I23</f>
        <v>4.266</v>
      </c>
      <c r="I22" s="37">
        <f>ELECT.!F23</f>
        <v>16958</v>
      </c>
      <c r="J22" s="37">
        <f>ELECT.!H23</f>
        <v>42415</v>
      </c>
      <c r="K22" s="37">
        <f>ELECT.!K23</f>
        <v>8696</v>
      </c>
      <c r="L22" s="37">
        <f>ELECT.!M23</f>
        <v>5353</v>
      </c>
      <c r="M22" s="37">
        <f>ELECT.!O23</f>
        <v>11432</v>
      </c>
      <c r="N22" s="37">
        <f>ELECT.!Q23</f>
        <v>10097</v>
      </c>
      <c r="O22" s="37">
        <f>ELECT.!S23</f>
        <v>8298</v>
      </c>
      <c r="P22" s="37">
        <f>ELECT.!W23*2</f>
        <v>18728</v>
      </c>
      <c r="Q22" s="37">
        <f>ELECT.!D23</f>
        <v>640</v>
      </c>
      <c r="R22" s="142">
        <f>BTU!C23</f>
        <v>20.114999999997963</v>
      </c>
      <c r="S22" s="142">
        <f>BTU!F23</f>
        <v>3.1000000000003638</v>
      </c>
      <c r="T22" s="142">
        <f>BTU!I23</f>
        <v>4</v>
      </c>
      <c r="U22" s="142">
        <f>BTU!O23</f>
        <v>0.87700000000040745</v>
      </c>
      <c r="V22" s="142">
        <f>BTU!L23</f>
        <v>1.8899999999994179</v>
      </c>
      <c r="W22" s="142">
        <f>BTU!R23</f>
        <v>2.2299999999995634</v>
      </c>
      <c r="X22" s="35">
        <f>ELECT.!B23</f>
        <v>324</v>
      </c>
      <c r="Y22" s="35">
        <f t="shared" si="0"/>
        <v>-3231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346</v>
      </c>
      <c r="AB22">
        <f>'Mall, Citadel, Rotana'!O23</f>
        <v>3</v>
      </c>
      <c r="AC22">
        <f>'Mall, Citadel, Rotana'!Q23+'Mall, Citadel, Rotana'!S23</f>
        <v>156</v>
      </c>
      <c r="AD22" s="35">
        <f t="shared" si="1"/>
        <v>104.35054120000001</v>
      </c>
      <c r="AE22" s="35">
        <f t="shared" si="2"/>
        <v>687.38345879999997</v>
      </c>
    </row>
    <row r="23" spans="1:31" x14ac:dyDescent="0.25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990</v>
      </c>
      <c r="F23" s="37">
        <f>Water!E24</f>
        <v>430</v>
      </c>
      <c r="G23" s="37">
        <f>Water!G24</f>
        <v>399.6</v>
      </c>
      <c r="H23" s="37">
        <f>Water!I24</f>
        <v>4.4279999999999999</v>
      </c>
      <c r="I23" s="37">
        <f>ELECT.!F24</f>
        <v>21916</v>
      </c>
      <c r="J23" s="37">
        <f>ELECT.!H24</f>
        <v>53353</v>
      </c>
      <c r="K23" s="37">
        <f>ELECT.!K24</f>
        <v>10450</v>
      </c>
      <c r="L23" s="37">
        <f>ELECT.!M24</f>
        <v>6824</v>
      </c>
      <c r="M23" s="37">
        <f>ELECT.!O24</f>
        <v>14916</v>
      </c>
      <c r="N23" s="37">
        <f>ELECT.!Q24</f>
        <v>12966</v>
      </c>
      <c r="O23" s="37">
        <f>ELECT.!S24</f>
        <v>10396</v>
      </c>
      <c r="P23" s="37">
        <f>ELECT.!W24*2</f>
        <v>23598</v>
      </c>
      <c r="Q23" s="37">
        <f>ELECT.!D24</f>
        <v>640</v>
      </c>
      <c r="R23" s="142">
        <f>BTU!C24</f>
        <v>6.625</v>
      </c>
      <c r="S23" s="142">
        <f>BTU!F24</f>
        <v>3.7409999999999854</v>
      </c>
      <c r="T23" s="142">
        <f>BTU!I24</f>
        <v>11</v>
      </c>
      <c r="U23" s="142">
        <f>BTU!O24</f>
        <v>2.5989999999997053</v>
      </c>
      <c r="V23" s="142">
        <f>BTU!L24</f>
        <v>2.6499999999996362</v>
      </c>
      <c r="W23" s="142">
        <f>BTU!R24</f>
        <v>2.0300000000006548</v>
      </c>
      <c r="X23" s="35">
        <f>ELECT.!B24</f>
        <v>137</v>
      </c>
      <c r="Y23" s="35">
        <f t="shared" si="0"/>
        <v>-3881</v>
      </c>
      <c r="Z23">
        <f>'Mall, Citadel, Rotana'!C24+'Mall, Citadel, Rotana'!E24+'Mall, Citadel, Rotana'!G24+'Mall, Citadel, Rotana'!I24</f>
        <v>1549</v>
      </c>
      <c r="AA23">
        <f>'Mall, Citadel, Rotana'!K24+'Mall, Citadel, Rotana'!M24</f>
        <v>409</v>
      </c>
      <c r="AB23">
        <f>'Mall, Citadel, Rotana'!O24</f>
        <v>3</v>
      </c>
      <c r="AC23">
        <f>'Mall, Citadel, Rotana'!Q24+'Mall, Citadel, Rotana'!S24</f>
        <v>146</v>
      </c>
      <c r="AD23" s="35">
        <f t="shared" si="1"/>
        <v>104.32918960000001</v>
      </c>
      <c r="AE23" s="35">
        <f t="shared" si="2"/>
        <v>687.24281040000005</v>
      </c>
    </row>
    <row r="24" spans="1:31" x14ac:dyDescent="0.25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920</v>
      </c>
      <c r="F24" s="37">
        <f>Water!E25</f>
        <v>500</v>
      </c>
      <c r="G24" s="37">
        <f>Water!G25</f>
        <v>467.1</v>
      </c>
      <c r="H24" s="37">
        <f>Water!I25</f>
        <v>4.9139999999999997</v>
      </c>
      <c r="I24" s="37">
        <f>ELECT.!F25</f>
        <v>19917</v>
      </c>
      <c r="J24" s="37">
        <f>ELECT.!H25</f>
        <v>48275</v>
      </c>
      <c r="K24" s="37">
        <f>ELECT.!K25</f>
        <v>9178</v>
      </c>
      <c r="L24" s="37">
        <f>ELECT.!M25</f>
        <v>6162</v>
      </c>
      <c r="M24" s="37">
        <f>ELECT.!O25</f>
        <v>13552</v>
      </c>
      <c r="N24" s="37">
        <f>ELECT.!Q25</f>
        <v>11911</v>
      </c>
      <c r="O24" s="37">
        <f>ELECT.!S25</f>
        <v>9410</v>
      </c>
      <c r="P24" s="37">
        <f>ELECT.!W25*2</f>
        <v>21308</v>
      </c>
      <c r="Q24" s="37">
        <f>ELECT.!D25</f>
        <v>640</v>
      </c>
      <c r="R24" s="142">
        <f>BTU!C25</f>
        <v>6.3950000000004366</v>
      </c>
      <c r="S24" s="142">
        <f>BTU!F25</f>
        <v>1.9160000000001673</v>
      </c>
      <c r="T24" s="142">
        <f>BTU!I25</f>
        <v>5</v>
      </c>
      <c r="U24" s="142">
        <f>BTU!O25</f>
        <v>0.8160000000002583</v>
      </c>
      <c r="V24" s="142">
        <f>BTU!L25</f>
        <v>1</v>
      </c>
      <c r="W24" s="142">
        <f>BTU!R25</f>
        <v>1.1499999999996362</v>
      </c>
      <c r="X24" s="35">
        <f>ELECT.!B25</f>
        <v>200</v>
      </c>
      <c r="Y24" s="35">
        <f t="shared" si="0"/>
        <v>-3329</v>
      </c>
      <c r="Z24">
        <f>'Mall, Citadel, Rotana'!C25+'Mall, Citadel, Rotana'!E25+'Mall, Citadel, Rotana'!G25+'Mall, Citadel, Rotana'!I25</f>
        <v>1381</v>
      </c>
      <c r="AA24">
        <f>'Mall, Citadel, Rotana'!K25+'Mall, Citadel, Rotana'!M25</f>
        <v>347</v>
      </c>
      <c r="AB24">
        <f>'Mall, Citadel, Rotana'!O25</f>
        <v>4</v>
      </c>
      <c r="AC24">
        <f>'Mall, Citadel, Rotana'!Q25+'Mall, Citadel, Rotana'!S25</f>
        <v>151</v>
      </c>
      <c r="AD24" s="35">
        <f t="shared" si="1"/>
        <v>95.039134799999999</v>
      </c>
      <c r="AE24" s="35">
        <f t="shared" si="2"/>
        <v>626.04686519999996</v>
      </c>
    </row>
    <row r="25" spans="1:31" x14ac:dyDescent="0.25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1000</v>
      </c>
      <c r="F25" s="37">
        <f>Water!E26</f>
        <v>460</v>
      </c>
      <c r="G25" s="37">
        <f>Water!G26</f>
        <v>510.3</v>
      </c>
      <c r="H25" s="37">
        <f>Water!I26</f>
        <v>3.8609999999999998</v>
      </c>
      <c r="I25" s="37">
        <f>ELECT.!F26</f>
        <v>26119</v>
      </c>
      <c r="J25" s="37">
        <f>ELECT.!H26</f>
        <v>62185</v>
      </c>
      <c r="K25" s="37">
        <f>ELECT.!K26</f>
        <v>9668</v>
      </c>
      <c r="L25" s="37">
        <f>ELECT.!M26</f>
        <v>7951</v>
      </c>
      <c r="M25" s="37">
        <f>ELECT.!O26</f>
        <v>17942</v>
      </c>
      <c r="N25" s="37">
        <f>ELECT.!Q26</f>
        <v>15977</v>
      </c>
      <c r="O25" s="37">
        <f>ELECT.!S26</f>
        <v>12167</v>
      </c>
      <c r="P25" s="37">
        <f>ELECT.!W26*2</f>
        <v>27930</v>
      </c>
      <c r="Q25" s="37">
        <f>ELECT.!D26</f>
        <v>800</v>
      </c>
      <c r="R25" s="142">
        <f>BTU!C26</f>
        <v>12.707999999998719</v>
      </c>
      <c r="S25" s="142">
        <f>BTU!F26</f>
        <v>2.0599999999994907</v>
      </c>
      <c r="T25" s="142">
        <f>BTU!I26</f>
        <v>6</v>
      </c>
      <c r="U25" s="142">
        <f>BTU!O26</f>
        <v>1.5679999999997563</v>
      </c>
      <c r="V25" s="142">
        <f>BTU!L26</f>
        <v>2.1400000000012369</v>
      </c>
      <c r="W25" s="142">
        <f>BTU!R26</f>
        <v>2.2300000000004729</v>
      </c>
      <c r="X25" s="35">
        <f>ELECT.!B26</f>
        <v>240</v>
      </c>
      <c r="Y25" s="35">
        <f t="shared" si="0"/>
        <v>-3331</v>
      </c>
      <c r="Z25">
        <f>'Mall, Citadel, Rotana'!C26+'Mall, Citadel, Rotana'!E26+'Mall, Citadel, Rotana'!G26+'Mall, Citadel, Rotana'!I26</f>
        <v>1388</v>
      </c>
      <c r="AA25">
        <f>'Mall, Citadel, Rotana'!K26+'Mall, Citadel, Rotana'!M26</f>
        <v>222</v>
      </c>
      <c r="AB25">
        <f>'Mall, Citadel, Rotana'!O26</f>
        <v>3</v>
      </c>
      <c r="AC25">
        <f>'Mall, Citadel, Rotana'!Q26+'Mall, Citadel, Rotana'!S26</f>
        <v>214</v>
      </c>
      <c r="AD25" s="35">
        <f t="shared" si="1"/>
        <v>105.7219202</v>
      </c>
      <c r="AE25" s="35">
        <f t="shared" si="2"/>
        <v>696.41707980000001</v>
      </c>
    </row>
    <row r="26" spans="1:31" x14ac:dyDescent="0.25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1250</v>
      </c>
      <c r="F26" s="37">
        <f>Water!E27</f>
        <v>510</v>
      </c>
      <c r="G26" s="37">
        <f>Water!G27</f>
        <v>607.5</v>
      </c>
      <c r="H26" s="37">
        <f>Water!I27</f>
        <v>4.4820000000000002</v>
      </c>
      <c r="I26" s="37">
        <f>ELECT.!F27</f>
        <v>22596</v>
      </c>
      <c r="J26" s="37">
        <f>ELECT.!H27</f>
        <v>56846</v>
      </c>
      <c r="K26" s="37">
        <f>ELECT.!K27</f>
        <v>8676</v>
      </c>
      <c r="L26" s="37">
        <f>ELECT.!M27</f>
        <v>7114</v>
      </c>
      <c r="M26" s="37">
        <f>ELECT.!O27</f>
        <v>15254</v>
      </c>
      <c r="N26" s="37">
        <f>ELECT.!Q27</f>
        <v>14459</v>
      </c>
      <c r="O26" s="37">
        <f>ELECT.!S27</f>
        <v>11325</v>
      </c>
      <c r="P26" s="37">
        <f>ELECT.!W27*2</f>
        <v>25598</v>
      </c>
      <c r="Q26" s="37">
        <f>ELECT.!D27</f>
        <v>800</v>
      </c>
      <c r="R26" s="142">
        <f>BTU!C27</f>
        <v>14.051000000003114</v>
      </c>
      <c r="S26" s="142">
        <f>BTU!F27</f>
        <v>2.3600000000005821</v>
      </c>
      <c r="T26" s="142">
        <f>BTU!I27</f>
        <v>7</v>
      </c>
      <c r="U26" s="142">
        <f>BTU!O27</f>
        <v>1.5300000000002001</v>
      </c>
      <c r="V26" s="142">
        <f>BTU!L27</f>
        <v>2.4599999999991269</v>
      </c>
      <c r="W26" s="142">
        <f>BTU!R27</f>
        <v>2.0099999999993088</v>
      </c>
      <c r="X26" s="35">
        <f>ELECT.!B27</f>
        <v>169</v>
      </c>
      <c r="Y26" s="35">
        <f t="shared" si="0"/>
        <v>-2984</v>
      </c>
      <c r="Z26">
        <f>'Mall, Citadel, Rotana'!C27+'Mall, Citadel, Rotana'!E27+'Mall, Citadel, Rotana'!G27+'Mall, Citadel, Rotana'!I27</f>
        <v>1245</v>
      </c>
      <c r="AA26">
        <f>'Mall, Citadel, Rotana'!K27+'Mall, Citadel, Rotana'!M27</f>
        <v>321</v>
      </c>
      <c r="AB26">
        <f>'Mall, Citadel, Rotana'!O27</f>
        <v>3</v>
      </c>
      <c r="AC26">
        <f>'Mall, Citadel, Rotana'!Q27+'Mall, Citadel, Rotana'!S27</f>
        <v>209</v>
      </c>
      <c r="AD26" s="35">
        <f t="shared" si="1"/>
        <v>138.5900724</v>
      </c>
      <c r="AE26" s="35">
        <f t="shared" si="2"/>
        <v>912.92792759999998</v>
      </c>
    </row>
    <row r="27" spans="1:31" x14ac:dyDescent="0.25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920</v>
      </c>
      <c r="F27" s="37">
        <f>Water!E28</f>
        <v>510</v>
      </c>
      <c r="G27" s="37">
        <f>Water!G28</f>
        <v>510.3</v>
      </c>
      <c r="H27" s="37">
        <f>Water!I28</f>
        <v>4.4279999999999999</v>
      </c>
      <c r="I27" s="37">
        <f>ELECT.!F28</f>
        <v>21071</v>
      </c>
      <c r="J27" s="37">
        <f>ELECT.!H28</f>
        <v>53771</v>
      </c>
      <c r="K27" s="37">
        <f>ELECT.!K28</f>
        <v>9598</v>
      </c>
      <c r="L27" s="37">
        <f>ELECT.!M28</f>
        <v>6788</v>
      </c>
      <c r="M27" s="37">
        <f>ELECT.!O28</f>
        <v>14124</v>
      </c>
      <c r="N27" s="37">
        <f>ELECT.!Q28</f>
        <v>13247</v>
      </c>
      <c r="O27" s="37">
        <f>ELECT.!S28</f>
        <v>10477</v>
      </c>
      <c r="P27" s="37">
        <f>ELECT.!W28*2</f>
        <v>24106</v>
      </c>
      <c r="Q27" s="37">
        <f>ELECT.!D28</f>
        <v>800</v>
      </c>
      <c r="R27" s="142">
        <f>BTU!C28</f>
        <v>12.698999999996886</v>
      </c>
      <c r="S27" s="142">
        <f>BTU!F28</f>
        <v>2.8930000000000291</v>
      </c>
      <c r="T27" s="142">
        <f>BTU!I28</f>
        <v>8</v>
      </c>
      <c r="U27" s="142">
        <f>BTU!O28</f>
        <v>1.6469999999999345</v>
      </c>
      <c r="V27" s="142">
        <f>BTU!L28</f>
        <v>2.2299999999995634</v>
      </c>
      <c r="W27" s="142">
        <f>BTU!R28</f>
        <v>2.1100000000005821</v>
      </c>
      <c r="X27" s="35">
        <f>ELECT.!B28</f>
        <v>213</v>
      </c>
      <c r="Y27" s="35">
        <f t="shared" si="0"/>
        <v>-3498</v>
      </c>
      <c r="Z27">
        <f>'Mall, Citadel, Rotana'!C28+'Mall, Citadel, Rotana'!E28+'Mall, Citadel, Rotana'!G28+'Mall, Citadel, Rotana'!I28</f>
        <v>1685</v>
      </c>
      <c r="AA27">
        <f>'Mall, Citadel, Rotana'!K28+'Mall, Citadel, Rotana'!M28</f>
        <v>351</v>
      </c>
      <c r="AB27">
        <f>'Mall, Citadel, Rotana'!O28</f>
        <v>3</v>
      </c>
      <c r="AC27">
        <f>'Mall, Citadel, Rotana'!Q28+'Mall, Citadel, Rotana'!S28</f>
        <v>122</v>
      </c>
      <c r="AD27" s="35">
        <f t="shared" si="1"/>
        <v>95.103189600000007</v>
      </c>
      <c r="AE27" s="35">
        <f t="shared" si="2"/>
        <v>626.46881039999994</v>
      </c>
    </row>
    <row r="28" spans="1:31" x14ac:dyDescent="0.25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1070</v>
      </c>
      <c r="F28" s="37">
        <f>Water!E29</f>
        <v>490</v>
      </c>
      <c r="G28" s="37">
        <f>Water!G29</f>
        <v>521.1</v>
      </c>
      <c r="H28" s="37">
        <f>Water!I29</f>
        <v>5.5620000000000003</v>
      </c>
      <c r="I28" s="37">
        <f>ELECT.!F29</f>
        <v>19689</v>
      </c>
      <c r="J28" s="37">
        <f>ELECT.!H29</f>
        <v>50434</v>
      </c>
      <c r="K28" s="37">
        <f>ELECT.!K29</f>
        <v>10138</v>
      </c>
      <c r="L28" s="37">
        <f>ELECT.!M29</f>
        <v>6205</v>
      </c>
      <c r="M28" s="37">
        <f>ELECT.!O29</f>
        <v>13306</v>
      </c>
      <c r="N28" s="37">
        <f>ELECT.!Q29</f>
        <v>12550</v>
      </c>
      <c r="O28" s="37">
        <f>ELECT.!S29</f>
        <v>9633</v>
      </c>
      <c r="P28" s="37">
        <f>ELECT.!W29*2</f>
        <v>22128</v>
      </c>
      <c r="Q28" s="37">
        <f>ELECT.!D29</f>
        <v>640</v>
      </c>
      <c r="R28" s="142">
        <f>BTU!C29</f>
        <v>12.999000000003434</v>
      </c>
      <c r="S28" s="142">
        <f>BTU!F29</f>
        <v>3.3959999999997308</v>
      </c>
      <c r="T28" s="142">
        <f>BTU!I29</f>
        <v>7</v>
      </c>
      <c r="U28" s="142">
        <f>BTU!O29</f>
        <v>1.6179999999999382</v>
      </c>
      <c r="V28" s="142">
        <f>BTU!L29</f>
        <v>2.320000000001528</v>
      </c>
      <c r="W28" s="142">
        <f>BTU!R29</f>
        <v>1.3699999999998909</v>
      </c>
      <c r="X28" s="35">
        <f>ELECT.!B29</f>
        <v>286</v>
      </c>
      <c r="Y28" s="35">
        <f t="shared" si="0"/>
        <v>-3837</v>
      </c>
      <c r="Z28">
        <f>'Mall, Citadel, Rotana'!C29+'Mall, Citadel, Rotana'!E29+'Mall, Citadel, Rotana'!G29+'Mall, Citadel, Rotana'!I29</f>
        <v>1229</v>
      </c>
      <c r="AA28">
        <f>'Mall, Citadel, Rotana'!K29+'Mall, Citadel, Rotana'!M29</f>
        <v>405</v>
      </c>
      <c r="AB28">
        <f>'Mall, Citadel, Rotana'!O29</f>
        <v>3</v>
      </c>
      <c r="AC28">
        <f>'Mall, Citadel, Rotana'!Q29+'Mall, Citadel, Rotana'!S29</f>
        <v>108</v>
      </c>
      <c r="AD28" s="35">
        <f t="shared" si="1"/>
        <v>114.72372840000001</v>
      </c>
      <c r="AE28" s="35">
        <f t="shared" si="2"/>
        <v>755.71427160000007</v>
      </c>
    </row>
    <row r="29" spans="1:31" x14ac:dyDescent="0.25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1100</v>
      </c>
      <c r="F29" s="37">
        <f>Water!E30</f>
        <v>440</v>
      </c>
      <c r="G29" s="37">
        <f>Water!G30</f>
        <v>804.6</v>
      </c>
      <c r="H29" s="37">
        <f>Water!I30</f>
        <v>5.4809999999999999</v>
      </c>
      <c r="I29" s="37">
        <f>ELECT.!F30</f>
        <v>25205</v>
      </c>
      <c r="J29" s="37">
        <f>ELECT.!H30</f>
        <v>64879</v>
      </c>
      <c r="K29" s="37">
        <f>ELECT.!K30</f>
        <v>13624</v>
      </c>
      <c r="L29" s="37">
        <f>ELECT.!M30</f>
        <v>7708</v>
      </c>
      <c r="M29" s="37">
        <f>ELECT.!O30</f>
        <v>17280</v>
      </c>
      <c r="N29" s="37">
        <f>ELECT.!Q30</f>
        <v>16063</v>
      </c>
      <c r="O29" s="37">
        <f>ELECT.!S30</f>
        <v>12472</v>
      </c>
      <c r="P29" s="37">
        <f>ELECT.!W30*2</f>
        <v>28138</v>
      </c>
      <c r="Q29" s="37">
        <f>ELECT.!D30</f>
        <v>640</v>
      </c>
      <c r="R29" s="142">
        <f>BTU!C30</f>
        <v>15.442999999999302</v>
      </c>
      <c r="S29" s="142">
        <f>BTU!F30</f>
        <v>3.9359999999996944</v>
      </c>
      <c r="T29" s="142">
        <f>BTU!I30</f>
        <v>8</v>
      </c>
      <c r="U29" s="142">
        <f>BTU!O30</f>
        <v>1.9510000000000218</v>
      </c>
      <c r="V29" s="142">
        <f>BTU!L30</f>
        <v>2.9399999999986903</v>
      </c>
      <c r="W29" s="142">
        <f>BTU!R30</f>
        <v>2.6899999999995998</v>
      </c>
      <c r="X29" s="35">
        <f>ELECT.!B30</f>
        <v>219</v>
      </c>
      <c r="Y29" s="35">
        <f t="shared" si="0"/>
        <v>-5201</v>
      </c>
      <c r="Z29">
        <f>'Mall, Citadel, Rotana'!C30+'Mall, Citadel, Rotana'!E30+'Mall, Citadel, Rotana'!G30+'Mall, Citadel, Rotana'!I30</f>
        <v>1360</v>
      </c>
      <c r="AA29">
        <f>'Mall, Citadel, Rotana'!K30+'Mall, Citadel, Rotana'!M30</f>
        <v>351</v>
      </c>
      <c r="AB29">
        <f>'Mall, Citadel, Rotana'!O30</f>
        <v>4</v>
      </c>
      <c r="AC29">
        <f>'Mall, Citadel, Rotana'!Q30+'Mall, Citadel, Rotana'!S30</f>
        <v>145</v>
      </c>
      <c r="AD29" s="35">
        <f t="shared" si="1"/>
        <v>118.68840420000001</v>
      </c>
      <c r="AE29" s="35">
        <f t="shared" si="2"/>
        <v>781.83059579999997</v>
      </c>
    </row>
    <row r="30" spans="1:31" x14ac:dyDescent="0.25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1110</v>
      </c>
      <c r="F30" s="37">
        <f>Water!E31</f>
        <v>470</v>
      </c>
      <c r="G30" s="37">
        <f>Water!G31</f>
        <v>267.3</v>
      </c>
      <c r="H30" s="37">
        <f>Water!I31</f>
        <v>4.9409999999999998</v>
      </c>
      <c r="I30" s="37">
        <f>ELECT.!F31</f>
        <v>19066</v>
      </c>
      <c r="J30" s="37">
        <f>ELECT.!H31</f>
        <v>47953</v>
      </c>
      <c r="K30" s="37">
        <f>ELECT.!K31</f>
        <v>10026</v>
      </c>
      <c r="L30" s="37">
        <f>ELECT.!M31</f>
        <v>5926</v>
      </c>
      <c r="M30" s="37">
        <f>ELECT.!O31</f>
        <v>12964</v>
      </c>
      <c r="N30" s="37">
        <f>ELECT.!Q31</f>
        <v>11977</v>
      </c>
      <c r="O30" s="37">
        <f>ELECT.!S31</f>
        <v>8886</v>
      </c>
      <c r="P30" s="37">
        <f>ELECT.!W31*2</f>
        <v>21082</v>
      </c>
      <c r="Q30" s="37">
        <f>ELECT.!D31</f>
        <v>640</v>
      </c>
      <c r="R30" s="142">
        <f>BTU!C31</f>
        <v>9.4679999999971187</v>
      </c>
      <c r="S30" s="142">
        <f>BTU!F31</f>
        <v>2.3389999999999418</v>
      </c>
      <c r="T30" s="142">
        <f>BTU!I31</f>
        <v>5</v>
      </c>
      <c r="U30" s="142">
        <f>BTU!O31</f>
        <v>1.2269999999998618</v>
      </c>
      <c r="V30" s="142">
        <f>BTU!L31</f>
        <v>1.2399999999997817</v>
      </c>
      <c r="W30" s="142">
        <f>BTU!R31</f>
        <v>1.8500000000003638</v>
      </c>
      <c r="X30" s="35">
        <f>ELECT.!B31</f>
        <v>225</v>
      </c>
      <c r="Y30" s="35">
        <f t="shared" si="0"/>
        <v>-3842</v>
      </c>
      <c r="Z30">
        <f>'Mall, Citadel, Rotana'!C31+'Mall, Citadel, Rotana'!E31+'Mall, Citadel, Rotana'!G31+'Mall, Citadel, Rotana'!I31</f>
        <v>1573</v>
      </c>
      <c r="AA30">
        <f>'Mall, Citadel, Rotana'!K31+'Mall, Citadel, Rotana'!M31</f>
        <v>389</v>
      </c>
      <c r="AB30">
        <f>'Mall, Citadel, Rotana'!O31</f>
        <v>3</v>
      </c>
      <c r="AC30">
        <f>'Mall, Citadel, Rotana'!Q31+'Mall, Citadel, Rotana'!S31</f>
        <v>188</v>
      </c>
      <c r="AD30" s="35">
        <f t="shared" si="1"/>
        <v>120.0775762</v>
      </c>
      <c r="AE30" s="35">
        <f t="shared" si="2"/>
        <v>790.98142380000002</v>
      </c>
    </row>
    <row r="31" spans="1:31" x14ac:dyDescent="0.25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1110</v>
      </c>
      <c r="F31" s="37">
        <f>Water!E32</f>
        <v>470</v>
      </c>
      <c r="G31" s="37">
        <f>Water!G32</f>
        <v>267.3</v>
      </c>
      <c r="H31" s="37">
        <f>Water!I32</f>
        <v>4.9409999999999998</v>
      </c>
      <c r="I31" s="37">
        <f>ELECT.!F32</f>
        <v>18559</v>
      </c>
      <c r="J31" s="37">
        <f>ELECT.!H32</f>
        <v>45794</v>
      </c>
      <c r="K31" s="37">
        <f>ELECT.!K32</f>
        <v>7466</v>
      </c>
      <c r="L31" s="37">
        <f>ELECT.!M32</f>
        <v>5397</v>
      </c>
      <c r="M31" s="37">
        <f>ELECT.!O32</f>
        <v>13008</v>
      </c>
      <c r="N31" s="37">
        <f>ELECT.!Q32</f>
        <v>11840</v>
      </c>
      <c r="O31" s="37">
        <f>ELECT.!S32</f>
        <v>8695</v>
      </c>
      <c r="P31" s="37">
        <f>ELECT.!W32*2</f>
        <v>19758</v>
      </c>
      <c r="Q31" s="37">
        <f>ELECT.!D32</f>
        <v>640</v>
      </c>
      <c r="R31" s="142">
        <f>BTU!C32</f>
        <v>13.21400000000358</v>
      </c>
      <c r="S31" s="142">
        <f>BTU!F32</f>
        <v>2.1820000000006985</v>
      </c>
      <c r="T31" s="142">
        <f>BTU!I32</f>
        <v>7</v>
      </c>
      <c r="U31" s="142">
        <f>BTU!O32</f>
        <v>1.6959999999999127</v>
      </c>
      <c r="V31" s="142">
        <f>BTU!L32</f>
        <v>1.9900000000016007</v>
      </c>
      <c r="W31" s="142">
        <f>BTU!R32</f>
        <v>2.2399999999997817</v>
      </c>
      <c r="X31" s="35">
        <f>ELECT.!B32</f>
        <v>172</v>
      </c>
      <c r="Y31" s="35">
        <f t="shared" si="0"/>
        <v>-1811</v>
      </c>
      <c r="Z31">
        <f>'Mall, Citadel, Rotana'!C32+'Mall, Citadel, Rotana'!E32+'Mall, Citadel, Rotana'!G32+'Mall, Citadel, Rotana'!I32</f>
        <v>1264</v>
      </c>
      <c r="AA31">
        <f>'Mall, Citadel, Rotana'!K32+'Mall, Citadel, Rotana'!M32</f>
        <v>148</v>
      </c>
      <c r="AB31">
        <f>'Mall, Citadel, Rotana'!O32</f>
        <v>3</v>
      </c>
      <c r="AC31">
        <f>'Mall, Citadel, Rotana'!Q32+'Mall, Citadel, Rotana'!S32</f>
        <v>97</v>
      </c>
      <c r="AD31" s="35">
        <f t="shared" si="1"/>
        <v>120.0775762</v>
      </c>
      <c r="AE31" s="35">
        <f t="shared" si="2"/>
        <v>790.98142380000002</v>
      </c>
    </row>
    <row r="32" spans="1:31" x14ac:dyDescent="0.25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5"/>
  <sheetViews>
    <sheetView zoomScale="110" zoomScaleNormal="110" workbookViewId="0">
      <pane ySplit="1" topLeftCell="A2" activePane="bottomLeft" state="frozen"/>
      <selection pane="bottomLeft" activeCell="U33" sqref="U33"/>
    </sheetView>
  </sheetViews>
  <sheetFormatPr defaultRowHeight="13.2" x14ac:dyDescent="0.25"/>
  <cols>
    <col min="1" max="1" width="16.5546875" style="16" bestFit="1" customWidth="1"/>
    <col min="2" max="2" width="10.5546875" style="17" bestFit="1" customWidth="1"/>
    <col min="3" max="3" width="11.44140625" style="18" bestFit="1" customWidth="1"/>
    <col min="4" max="4" width="10.6640625" style="17" bestFit="1" customWidth="1"/>
    <col min="5" max="5" width="11.44140625" style="18" bestFit="1" customWidth="1"/>
    <col min="6" max="6" width="8.6640625" style="17" customWidth="1"/>
    <col min="7" max="7" width="9.6640625" style="18" bestFit="1" customWidth="1"/>
    <col min="8" max="8" width="10" style="17" bestFit="1" customWidth="1"/>
    <col min="9" max="9" width="9.6640625" style="18" bestFit="1" customWidth="1"/>
    <col min="10" max="10" width="9.33203125" style="17" bestFit="1" customWidth="1"/>
    <col min="11" max="11" width="11" style="18" bestFit="1" customWidth="1"/>
    <col min="12" max="12" width="8.6640625" style="17" bestFit="1" customWidth="1"/>
    <col min="13" max="13" width="11" style="18" customWidth="1"/>
    <col min="14" max="14" width="11.44140625" style="31" customWidth="1"/>
    <col min="15" max="15" width="10.109375" style="18" customWidth="1"/>
    <col min="16" max="16" width="10" style="17" bestFit="1" customWidth="1"/>
    <col min="17" max="17" width="9.6640625" style="18" bestFit="1" customWidth="1"/>
    <col min="18" max="18" width="8.6640625" style="17" customWidth="1"/>
    <col min="19" max="19" width="11" style="18" bestFit="1" customWidth="1"/>
  </cols>
  <sheetData>
    <row r="1" spans="1:24" s="13" customFormat="1" ht="14.4" thickBot="1" x14ac:dyDescent="0.3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8" thickBot="1" x14ac:dyDescent="0.3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8" thickBot="1" x14ac:dyDescent="0.3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8" thickBot="1" x14ac:dyDescent="0.3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8" thickBot="1" x14ac:dyDescent="0.3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8" thickBot="1" x14ac:dyDescent="0.3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8" thickBot="1" x14ac:dyDescent="0.3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20" si="11">T6</f>
        <v>4000</v>
      </c>
      <c r="U7" s="14">
        <f t="shared" si="8"/>
        <v>0</v>
      </c>
    </row>
    <row r="8" spans="1:24" ht="13.8" thickBot="1" x14ac:dyDescent="0.3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20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8" thickBot="1" x14ac:dyDescent="0.3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8" thickBot="1" x14ac:dyDescent="0.3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8" thickBot="1" x14ac:dyDescent="0.3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8" thickBot="1" x14ac:dyDescent="0.3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8" thickBot="1" x14ac:dyDescent="0.3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8" thickBot="1" x14ac:dyDescent="0.3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8" thickBot="1" x14ac:dyDescent="0.3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8" thickBot="1" x14ac:dyDescent="0.3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8" thickBot="1" x14ac:dyDescent="0.3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8" thickBot="1" x14ac:dyDescent="0.3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8" thickBot="1" x14ac:dyDescent="0.3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8" thickBot="1" x14ac:dyDescent="0.3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8" thickBot="1" x14ac:dyDescent="0.3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8" thickBot="1" x14ac:dyDescent="0.3">
      <c r="A22" s="9">
        <v>44732</v>
      </c>
      <c r="B22" s="32">
        <v>47182</v>
      </c>
      <c r="C22" s="14">
        <f t="shared" si="9"/>
        <v>800</v>
      </c>
      <c r="D22" s="32">
        <v>40702</v>
      </c>
      <c r="E22" s="14">
        <f t="shared" si="1"/>
        <v>480</v>
      </c>
      <c r="F22" s="32">
        <v>21758</v>
      </c>
      <c r="G22" s="14">
        <f t="shared" si="2"/>
        <v>60</v>
      </c>
      <c r="H22" s="32">
        <v>255795</v>
      </c>
      <c r="I22" s="14">
        <f t="shared" si="3"/>
        <v>21</v>
      </c>
      <c r="J22" s="32">
        <v>319601</v>
      </c>
      <c r="K22" s="14">
        <f t="shared" si="4"/>
        <v>167</v>
      </c>
      <c r="L22" s="32">
        <v>26234</v>
      </c>
      <c r="M22" s="14">
        <f t="shared" si="5"/>
        <v>180</v>
      </c>
      <c r="N22" s="32">
        <v>226100</v>
      </c>
      <c r="O22" s="14">
        <f t="shared" si="6"/>
        <v>3</v>
      </c>
      <c r="P22" s="32">
        <v>157048</v>
      </c>
      <c r="Q22" s="14">
        <f t="shared" si="0"/>
        <v>144</v>
      </c>
      <c r="R22" s="1">
        <f t="shared" si="10"/>
        <v>55047</v>
      </c>
      <c r="S22" s="14">
        <f t="shared" si="7"/>
        <v>0</v>
      </c>
      <c r="T22" s="32">
        <v>4009</v>
      </c>
      <c r="U22" s="14">
        <f t="shared" si="8"/>
        <v>0</v>
      </c>
    </row>
    <row r="23" spans="1:23" ht="13.8" thickBot="1" x14ac:dyDescent="0.3">
      <c r="A23" s="9">
        <v>44733</v>
      </c>
      <c r="B23" s="32">
        <v>47186</v>
      </c>
      <c r="C23" s="14">
        <f t="shared" si="9"/>
        <v>640</v>
      </c>
      <c r="D23" s="32">
        <v>40705</v>
      </c>
      <c r="E23" s="14">
        <f t="shared" si="1"/>
        <v>480</v>
      </c>
      <c r="F23" s="32">
        <v>21761</v>
      </c>
      <c r="G23" s="14">
        <f t="shared" si="2"/>
        <v>60</v>
      </c>
      <c r="H23" s="32">
        <v>255819</v>
      </c>
      <c r="I23" s="14">
        <f t="shared" si="3"/>
        <v>24</v>
      </c>
      <c r="J23" s="32">
        <v>319767</v>
      </c>
      <c r="K23" s="14">
        <f t="shared" si="4"/>
        <v>166</v>
      </c>
      <c r="L23" s="32">
        <v>26237</v>
      </c>
      <c r="M23" s="14">
        <f t="shared" si="5"/>
        <v>180</v>
      </c>
      <c r="N23" s="32">
        <v>226103</v>
      </c>
      <c r="O23" s="14">
        <f t="shared" si="6"/>
        <v>3</v>
      </c>
      <c r="P23" s="32">
        <v>157204</v>
      </c>
      <c r="Q23" s="14">
        <f t="shared" si="0"/>
        <v>156</v>
      </c>
      <c r="R23" s="1">
        <f t="shared" si="10"/>
        <v>55047</v>
      </c>
      <c r="S23" s="14">
        <f t="shared" si="7"/>
        <v>0</v>
      </c>
      <c r="T23" s="32">
        <v>4010</v>
      </c>
      <c r="U23" s="14">
        <f t="shared" si="8"/>
        <v>160</v>
      </c>
    </row>
    <row r="24" spans="1:23" s="132" customFormat="1" ht="13.8" thickBot="1" x14ac:dyDescent="0.3">
      <c r="A24" s="9">
        <v>44734</v>
      </c>
      <c r="B24" s="32">
        <v>47191</v>
      </c>
      <c r="C24" s="14">
        <f t="shared" si="9"/>
        <v>800</v>
      </c>
      <c r="D24" s="32">
        <v>40709</v>
      </c>
      <c r="E24" s="14">
        <f t="shared" si="1"/>
        <v>640</v>
      </c>
      <c r="F24" s="32">
        <v>21764</v>
      </c>
      <c r="G24" s="14">
        <f t="shared" si="2"/>
        <v>60</v>
      </c>
      <c r="H24" s="32">
        <v>255868</v>
      </c>
      <c r="I24" s="14">
        <f t="shared" si="3"/>
        <v>49</v>
      </c>
      <c r="J24" s="32">
        <v>319936</v>
      </c>
      <c r="K24" s="14">
        <f t="shared" si="4"/>
        <v>169</v>
      </c>
      <c r="L24" s="32">
        <v>26241</v>
      </c>
      <c r="M24" s="14">
        <f t="shared" si="5"/>
        <v>240</v>
      </c>
      <c r="N24" s="32">
        <v>226106</v>
      </c>
      <c r="O24" s="14">
        <f t="shared" si="6"/>
        <v>3</v>
      </c>
      <c r="P24" s="32">
        <v>157350</v>
      </c>
      <c r="Q24" s="14">
        <f t="shared" si="0"/>
        <v>146</v>
      </c>
      <c r="R24" s="1">
        <f t="shared" si="10"/>
        <v>55047</v>
      </c>
      <c r="S24" s="14">
        <f t="shared" si="7"/>
        <v>0</v>
      </c>
      <c r="T24" s="32">
        <v>4011</v>
      </c>
      <c r="U24" s="14">
        <f t="shared" si="8"/>
        <v>160</v>
      </c>
    </row>
    <row r="25" spans="1:23" ht="13.8" thickBot="1" x14ac:dyDescent="0.3">
      <c r="A25" s="9">
        <v>44735</v>
      </c>
      <c r="B25" s="32">
        <v>47196</v>
      </c>
      <c r="C25" s="14">
        <f t="shared" si="9"/>
        <v>800</v>
      </c>
      <c r="D25" s="32">
        <v>40712</v>
      </c>
      <c r="E25" s="14">
        <f t="shared" si="1"/>
        <v>480</v>
      </c>
      <c r="F25" s="32">
        <v>21768</v>
      </c>
      <c r="G25" s="14">
        <f t="shared" si="2"/>
        <v>80</v>
      </c>
      <c r="H25" s="32">
        <v>255889</v>
      </c>
      <c r="I25" s="14">
        <f t="shared" si="3"/>
        <v>21</v>
      </c>
      <c r="J25" s="32">
        <v>320103</v>
      </c>
      <c r="K25" s="14">
        <f t="shared" si="4"/>
        <v>167</v>
      </c>
      <c r="L25" s="32">
        <v>26244</v>
      </c>
      <c r="M25" s="14">
        <f t="shared" si="5"/>
        <v>180</v>
      </c>
      <c r="N25" s="32">
        <v>226110</v>
      </c>
      <c r="O25" s="14">
        <f t="shared" si="6"/>
        <v>4</v>
      </c>
      <c r="P25" s="32">
        <v>157501</v>
      </c>
      <c r="Q25" s="14">
        <f t="shared" si="0"/>
        <v>151</v>
      </c>
      <c r="R25" s="1">
        <f t="shared" si="10"/>
        <v>55047</v>
      </c>
      <c r="S25" s="14">
        <f t="shared" si="7"/>
        <v>0</v>
      </c>
      <c r="T25" s="32">
        <v>4011</v>
      </c>
      <c r="U25" s="14">
        <f t="shared" si="8"/>
        <v>0</v>
      </c>
      <c r="V25" t="s">
        <v>12</v>
      </c>
    </row>
    <row r="26" spans="1:23" ht="12.75" customHeight="1" thickBot="1" x14ac:dyDescent="0.3">
      <c r="A26" s="9">
        <v>44736</v>
      </c>
      <c r="B26" s="32">
        <v>47201</v>
      </c>
      <c r="C26" s="14">
        <f t="shared" si="9"/>
        <v>800</v>
      </c>
      <c r="D26" s="32">
        <v>40715</v>
      </c>
      <c r="E26" s="14">
        <f t="shared" si="1"/>
        <v>480</v>
      </c>
      <c r="F26" s="32">
        <v>21772</v>
      </c>
      <c r="G26" s="14">
        <f t="shared" si="2"/>
        <v>80</v>
      </c>
      <c r="H26" s="32">
        <v>255917</v>
      </c>
      <c r="I26" s="14">
        <f t="shared" si="3"/>
        <v>28</v>
      </c>
      <c r="J26" s="32">
        <v>320205</v>
      </c>
      <c r="K26" s="14">
        <f t="shared" si="4"/>
        <v>102</v>
      </c>
      <c r="L26" s="32">
        <v>26246</v>
      </c>
      <c r="M26" s="14">
        <f t="shared" si="5"/>
        <v>120</v>
      </c>
      <c r="N26" s="32">
        <v>226113</v>
      </c>
      <c r="O26" s="14">
        <f t="shared" si="6"/>
        <v>3</v>
      </c>
      <c r="P26" s="32">
        <v>157715</v>
      </c>
      <c r="Q26" s="14">
        <f t="shared" si="0"/>
        <v>214</v>
      </c>
      <c r="R26" s="1">
        <f t="shared" si="10"/>
        <v>55047</v>
      </c>
      <c r="S26" s="14">
        <f t="shared" si="7"/>
        <v>0</v>
      </c>
      <c r="T26" s="32">
        <v>4012</v>
      </c>
      <c r="U26" s="14">
        <f t="shared" si="8"/>
        <v>160</v>
      </c>
      <c r="W26" t="s">
        <v>12</v>
      </c>
    </row>
    <row r="27" spans="1:23" ht="13.8" thickBot="1" x14ac:dyDescent="0.3">
      <c r="A27" s="9">
        <v>44737</v>
      </c>
      <c r="B27" s="32">
        <v>47205</v>
      </c>
      <c r="C27" s="14">
        <f t="shared" si="9"/>
        <v>640</v>
      </c>
      <c r="D27" s="32">
        <v>40718</v>
      </c>
      <c r="E27" s="14">
        <f t="shared" si="1"/>
        <v>480</v>
      </c>
      <c r="F27" s="32">
        <v>21776</v>
      </c>
      <c r="G27" s="14">
        <f t="shared" si="2"/>
        <v>80</v>
      </c>
      <c r="H27" s="32">
        <v>255962</v>
      </c>
      <c r="I27" s="14">
        <f t="shared" si="3"/>
        <v>45</v>
      </c>
      <c r="J27" s="32">
        <v>320346</v>
      </c>
      <c r="K27" s="14">
        <f t="shared" si="4"/>
        <v>141</v>
      </c>
      <c r="L27" s="32">
        <v>26249</v>
      </c>
      <c r="M27" s="14">
        <f t="shared" si="5"/>
        <v>180</v>
      </c>
      <c r="N27" s="32">
        <v>226116</v>
      </c>
      <c r="O27" s="14">
        <f t="shared" si="6"/>
        <v>3</v>
      </c>
      <c r="P27" s="32">
        <v>157924</v>
      </c>
      <c r="Q27" s="14">
        <f t="shared" si="0"/>
        <v>209</v>
      </c>
      <c r="R27" s="1">
        <f t="shared" si="10"/>
        <v>55047</v>
      </c>
      <c r="S27" s="14">
        <f t="shared" si="7"/>
        <v>0</v>
      </c>
      <c r="T27" s="32">
        <v>4012</v>
      </c>
      <c r="U27" s="14">
        <f>(T27-T26)*800/5</f>
        <v>0</v>
      </c>
    </row>
    <row r="28" spans="1:23" ht="13.8" thickBot="1" x14ac:dyDescent="0.3">
      <c r="A28" s="9">
        <v>44738</v>
      </c>
      <c r="B28" s="32">
        <v>47210</v>
      </c>
      <c r="C28" s="14">
        <f t="shared" si="9"/>
        <v>800</v>
      </c>
      <c r="D28" s="32">
        <v>40723</v>
      </c>
      <c r="E28" s="14">
        <f t="shared" si="1"/>
        <v>800</v>
      </c>
      <c r="F28" s="32">
        <v>21779</v>
      </c>
      <c r="G28" s="14">
        <f t="shared" si="2"/>
        <v>60</v>
      </c>
      <c r="H28" s="32">
        <v>255987</v>
      </c>
      <c r="I28" s="14">
        <f t="shared" si="3"/>
        <v>25</v>
      </c>
      <c r="J28" s="32">
        <v>320517</v>
      </c>
      <c r="K28" s="14">
        <f t="shared" si="4"/>
        <v>171</v>
      </c>
      <c r="L28" s="32">
        <v>26252</v>
      </c>
      <c r="M28" s="14">
        <f t="shared" si="5"/>
        <v>180</v>
      </c>
      <c r="N28" s="32">
        <v>226119</v>
      </c>
      <c r="O28" s="14">
        <f t="shared" si="6"/>
        <v>3</v>
      </c>
      <c r="P28" s="32">
        <v>158046</v>
      </c>
      <c r="Q28" s="14">
        <f t="shared" si="0"/>
        <v>122</v>
      </c>
      <c r="R28" s="1">
        <f t="shared" si="10"/>
        <v>55047</v>
      </c>
      <c r="S28" s="15">
        <f t="shared" si="7"/>
        <v>0</v>
      </c>
      <c r="T28" s="32">
        <v>4013</v>
      </c>
      <c r="U28" s="14">
        <f t="shared" si="8"/>
        <v>160</v>
      </c>
    </row>
    <row r="29" spans="1:23" ht="13.8" thickBot="1" x14ac:dyDescent="0.3">
      <c r="A29" s="9">
        <v>44739</v>
      </c>
      <c r="B29" s="32">
        <v>47215</v>
      </c>
      <c r="C29" s="14">
        <f t="shared" si="9"/>
        <v>800</v>
      </c>
      <c r="D29" s="32">
        <v>40725</v>
      </c>
      <c r="E29" s="14">
        <f t="shared" si="1"/>
        <v>320</v>
      </c>
      <c r="F29" s="32">
        <v>21783</v>
      </c>
      <c r="G29" s="14">
        <f t="shared" si="2"/>
        <v>80</v>
      </c>
      <c r="H29" s="32">
        <v>256016</v>
      </c>
      <c r="I29" s="14">
        <f t="shared" si="3"/>
        <v>29</v>
      </c>
      <c r="J29" s="32">
        <v>320682</v>
      </c>
      <c r="K29" s="14">
        <f t="shared" si="4"/>
        <v>165</v>
      </c>
      <c r="L29" s="32">
        <v>26256</v>
      </c>
      <c r="M29" s="14">
        <f t="shared" si="5"/>
        <v>240</v>
      </c>
      <c r="N29" s="32">
        <v>226122</v>
      </c>
      <c r="O29" s="14">
        <f t="shared" si="6"/>
        <v>3</v>
      </c>
      <c r="P29" s="32">
        <v>158154</v>
      </c>
      <c r="Q29" s="14">
        <f t="shared" si="0"/>
        <v>108</v>
      </c>
      <c r="R29" s="1">
        <f t="shared" si="10"/>
        <v>55047</v>
      </c>
      <c r="S29" s="14">
        <f t="shared" si="7"/>
        <v>0</v>
      </c>
      <c r="T29" s="32">
        <v>4013</v>
      </c>
      <c r="U29" s="14">
        <f t="shared" si="8"/>
        <v>0</v>
      </c>
    </row>
    <row r="30" spans="1:23" ht="13.8" thickBot="1" x14ac:dyDescent="0.3">
      <c r="A30" s="9">
        <v>44740</v>
      </c>
      <c r="B30" s="32">
        <v>47220</v>
      </c>
      <c r="C30" s="14">
        <f t="shared" si="9"/>
        <v>800</v>
      </c>
      <c r="D30" s="32">
        <v>40728</v>
      </c>
      <c r="E30" s="14">
        <f t="shared" si="1"/>
        <v>480</v>
      </c>
      <c r="F30" s="32">
        <v>21786</v>
      </c>
      <c r="G30" s="14">
        <f t="shared" si="2"/>
        <v>60</v>
      </c>
      <c r="H30" s="32">
        <v>256036</v>
      </c>
      <c r="I30" s="14">
        <f t="shared" si="3"/>
        <v>20</v>
      </c>
      <c r="J30" s="32">
        <v>320853</v>
      </c>
      <c r="K30" s="14">
        <f t="shared" si="4"/>
        <v>171</v>
      </c>
      <c r="L30" s="32">
        <v>26259</v>
      </c>
      <c r="M30" s="14">
        <f t="shared" si="5"/>
        <v>180</v>
      </c>
      <c r="N30" s="32">
        <v>226126</v>
      </c>
      <c r="O30" s="14">
        <f t="shared" si="6"/>
        <v>4</v>
      </c>
      <c r="P30" s="32">
        <v>158299</v>
      </c>
      <c r="Q30" s="14">
        <f t="shared" si="0"/>
        <v>145</v>
      </c>
      <c r="R30" s="1">
        <f t="shared" si="10"/>
        <v>55047</v>
      </c>
      <c r="S30" s="14">
        <f t="shared" si="7"/>
        <v>0</v>
      </c>
      <c r="T30" s="32">
        <v>4014</v>
      </c>
      <c r="U30" s="14">
        <f t="shared" si="8"/>
        <v>160</v>
      </c>
    </row>
    <row r="31" spans="1:23" ht="13.8" thickBot="1" x14ac:dyDescent="0.3">
      <c r="A31" s="9">
        <v>44741</v>
      </c>
      <c r="B31" s="32">
        <v>47225</v>
      </c>
      <c r="C31" s="14">
        <f t="shared" si="9"/>
        <v>800</v>
      </c>
      <c r="D31" s="32">
        <v>40732</v>
      </c>
      <c r="E31" s="14">
        <f t="shared" si="1"/>
        <v>640</v>
      </c>
      <c r="F31" s="32">
        <v>21791</v>
      </c>
      <c r="G31" s="14">
        <f t="shared" si="2"/>
        <v>100</v>
      </c>
      <c r="H31" s="32">
        <v>256069</v>
      </c>
      <c r="I31" s="14">
        <f t="shared" si="3"/>
        <v>33</v>
      </c>
      <c r="J31" s="32">
        <v>321002</v>
      </c>
      <c r="K31" s="14">
        <f t="shared" si="4"/>
        <v>149</v>
      </c>
      <c r="L31" s="32">
        <v>26263</v>
      </c>
      <c r="M31" s="14">
        <f t="shared" si="5"/>
        <v>240</v>
      </c>
      <c r="N31" s="32">
        <v>226129</v>
      </c>
      <c r="O31" s="14">
        <f t="shared" si="6"/>
        <v>3</v>
      </c>
      <c r="P31" s="32">
        <v>158487</v>
      </c>
      <c r="Q31" s="14">
        <f t="shared" si="0"/>
        <v>188</v>
      </c>
      <c r="R31" s="1">
        <f t="shared" si="10"/>
        <v>55047</v>
      </c>
      <c r="S31" s="14">
        <v>0</v>
      </c>
      <c r="T31" s="32">
        <v>4015</v>
      </c>
      <c r="U31" s="14">
        <f t="shared" si="8"/>
        <v>160</v>
      </c>
    </row>
    <row r="32" spans="1:23" ht="13.8" thickBot="1" x14ac:dyDescent="0.3">
      <c r="A32" s="9">
        <v>44742</v>
      </c>
      <c r="B32" s="32">
        <v>47229</v>
      </c>
      <c r="C32" s="14">
        <f t="shared" si="9"/>
        <v>640</v>
      </c>
      <c r="D32" s="32">
        <v>40735</v>
      </c>
      <c r="E32" s="14">
        <f t="shared" si="1"/>
        <v>480</v>
      </c>
      <c r="F32" s="32">
        <v>21796</v>
      </c>
      <c r="G32" s="14">
        <f t="shared" si="2"/>
        <v>100</v>
      </c>
      <c r="H32" s="32">
        <v>256113</v>
      </c>
      <c r="I32" s="14">
        <f t="shared" si="3"/>
        <v>44</v>
      </c>
      <c r="J32" s="32">
        <v>321030</v>
      </c>
      <c r="K32" s="14">
        <f t="shared" si="4"/>
        <v>28</v>
      </c>
      <c r="L32" s="32">
        <v>26265</v>
      </c>
      <c r="M32" s="14">
        <f t="shared" si="5"/>
        <v>120</v>
      </c>
      <c r="N32" s="32">
        <v>226132</v>
      </c>
      <c r="O32" s="14">
        <f t="shared" si="6"/>
        <v>3</v>
      </c>
      <c r="P32" s="32">
        <v>158584</v>
      </c>
      <c r="Q32" s="14">
        <f t="shared" si="0"/>
        <v>97</v>
      </c>
      <c r="R32" s="1">
        <f t="shared" si="10"/>
        <v>55047</v>
      </c>
      <c r="S32" s="14">
        <f t="shared" si="7"/>
        <v>0</v>
      </c>
      <c r="T32" s="32">
        <v>4015</v>
      </c>
      <c r="U32" s="14">
        <f t="shared" si="8"/>
        <v>0</v>
      </c>
    </row>
    <row r="33" spans="1:21" ht="16.2" thickBot="1" x14ac:dyDescent="0.35">
      <c r="A33" s="14" t="s">
        <v>23</v>
      </c>
      <c r="B33" s="1"/>
      <c r="C33" s="14">
        <f>SUM(C3:C32)</f>
        <v>22720</v>
      </c>
      <c r="D33" s="11"/>
      <c r="E33" s="14">
        <f>SUM(E3:E32)</f>
        <v>15520</v>
      </c>
      <c r="F33" s="11"/>
      <c r="G33" s="14">
        <f>SUM(G3:G32)</f>
        <v>2180</v>
      </c>
      <c r="H33" s="11"/>
      <c r="I33" s="14">
        <f>SUM(I3:I32)</f>
        <v>814</v>
      </c>
      <c r="J33" s="11"/>
      <c r="K33" s="14">
        <f>SUM(K3:K32)</f>
        <v>4626</v>
      </c>
      <c r="L33" s="11"/>
      <c r="M33" s="14">
        <f>SUM(M3:M32)</f>
        <v>5640</v>
      </c>
      <c r="N33" s="33"/>
      <c r="O33" s="14">
        <f>SUM(O3:O32)</f>
        <v>96</v>
      </c>
      <c r="P33" s="32"/>
      <c r="Q33" s="14">
        <f>SUM(Q3:Q32)</f>
        <v>4218</v>
      </c>
      <c r="R33" s="1"/>
      <c r="S33" s="14">
        <f>SUM(S3:S32)</f>
        <v>0</v>
      </c>
      <c r="T33" s="1"/>
      <c r="U33" s="14">
        <f>SUM(U3:U32)</f>
        <v>2880</v>
      </c>
    </row>
    <row r="34" spans="1:21" x14ac:dyDescent="0.25">
      <c r="N34" s="17"/>
    </row>
    <row r="35" spans="1:21" x14ac:dyDescent="0.25">
      <c r="N35" s="17"/>
    </row>
    <row r="36" spans="1:21" x14ac:dyDescent="0.25">
      <c r="N36" s="17"/>
    </row>
    <row r="37" spans="1:21" x14ac:dyDescent="0.25">
      <c r="I37" s="17"/>
      <c r="N37" s="17"/>
    </row>
    <row r="38" spans="1:21" x14ac:dyDescent="0.25">
      <c r="N38" s="17"/>
    </row>
    <row r="39" spans="1:21" x14ac:dyDescent="0.25">
      <c r="N39" s="17"/>
    </row>
    <row r="40" spans="1:21" x14ac:dyDescent="0.25">
      <c r="N40" s="17"/>
    </row>
    <row r="41" spans="1:21" x14ac:dyDescent="0.25">
      <c r="N41" s="17"/>
    </row>
    <row r="42" spans="1:21" x14ac:dyDescent="0.25">
      <c r="N42" s="17"/>
    </row>
    <row r="43" spans="1:21" x14ac:dyDescent="0.25">
      <c r="N43" s="17"/>
    </row>
    <row r="44" spans="1:21" x14ac:dyDescent="0.25">
      <c r="N44" s="17"/>
    </row>
    <row r="45" spans="1:21" x14ac:dyDescent="0.25">
      <c r="N45" s="17"/>
    </row>
    <row r="46" spans="1:21" x14ac:dyDescent="0.25">
      <c r="N46" s="17"/>
    </row>
    <row r="47" spans="1:21" x14ac:dyDescent="0.25">
      <c r="N47" s="17"/>
    </row>
    <row r="48" spans="1:21" x14ac:dyDescent="0.25">
      <c r="N48" s="17"/>
    </row>
    <row r="49" spans="12:15" x14ac:dyDescent="0.25">
      <c r="N49" s="17"/>
    </row>
    <row r="50" spans="12:15" x14ac:dyDescent="0.25">
      <c r="N50" s="17"/>
    </row>
    <row r="51" spans="12:15" x14ac:dyDescent="0.25">
      <c r="N51" s="17"/>
    </row>
    <row r="52" spans="12:15" x14ac:dyDescent="0.25">
      <c r="N52" s="17"/>
    </row>
    <row r="53" spans="12:15" x14ac:dyDescent="0.25">
      <c r="N53" s="17"/>
    </row>
    <row r="54" spans="12:15" x14ac:dyDescent="0.25">
      <c r="N54" s="17"/>
    </row>
    <row r="55" spans="12:15" x14ac:dyDescent="0.25">
      <c r="N55" s="17"/>
    </row>
    <row r="56" spans="12:15" x14ac:dyDescent="0.25">
      <c r="N56" s="17"/>
    </row>
    <row r="57" spans="12:15" x14ac:dyDescent="0.25">
      <c r="N57" s="17"/>
    </row>
    <row r="58" spans="12:15" x14ac:dyDescent="0.25">
      <c r="L58" s="18"/>
      <c r="M58" s="17"/>
      <c r="N58" s="18"/>
      <c r="O58" s="17"/>
    </row>
    <row r="59" spans="12:15" x14ac:dyDescent="0.25">
      <c r="L59" s="18"/>
      <c r="M59" s="17"/>
      <c r="N59" s="18"/>
      <c r="O59" s="17"/>
    </row>
    <row r="60" spans="12:15" x14ac:dyDescent="0.25">
      <c r="L60" s="18"/>
      <c r="M60" s="17"/>
      <c r="N60" s="18"/>
      <c r="O60" s="17"/>
    </row>
    <row r="61" spans="12:15" x14ac:dyDescent="0.25">
      <c r="L61" s="18"/>
      <c r="M61" s="17"/>
      <c r="N61" s="18"/>
      <c r="O61" s="17"/>
    </row>
    <row r="62" spans="12:15" x14ac:dyDescent="0.25">
      <c r="L62" s="18"/>
      <c r="M62" s="17"/>
      <c r="N62" s="18"/>
      <c r="O62" s="17"/>
    </row>
    <row r="63" spans="12:15" x14ac:dyDescent="0.25">
      <c r="L63" s="18"/>
      <c r="M63" s="17"/>
      <c r="N63" s="18"/>
      <c r="O63" s="17"/>
    </row>
    <row r="64" spans="12:15" x14ac:dyDescent="0.25">
      <c r="L64" s="18"/>
      <c r="M64" s="17"/>
      <c r="N64" s="18"/>
      <c r="O64" s="17"/>
    </row>
    <row r="65" spans="12:15" x14ac:dyDescent="0.25">
      <c r="L65" s="18"/>
      <c r="M65" s="17"/>
      <c r="N65" s="18"/>
      <c r="O65" s="17"/>
    </row>
    <row r="66" spans="12:15" x14ac:dyDescent="0.25">
      <c r="L66" s="18"/>
      <c r="M66" s="17"/>
      <c r="N66" s="18"/>
      <c r="O66" s="17"/>
    </row>
    <row r="67" spans="12:15" x14ac:dyDescent="0.25">
      <c r="L67" s="18"/>
      <c r="M67" s="17"/>
      <c r="N67" s="18"/>
      <c r="O67" s="17"/>
    </row>
    <row r="68" spans="12:15" x14ac:dyDescent="0.25">
      <c r="L68" s="18"/>
      <c r="M68" s="17"/>
      <c r="N68" s="18"/>
      <c r="O68" s="17"/>
    </row>
    <row r="69" spans="12:15" x14ac:dyDescent="0.25">
      <c r="L69" s="18"/>
      <c r="M69" s="17"/>
      <c r="N69" s="18"/>
      <c r="O69" s="17"/>
    </row>
    <row r="70" spans="12:15" x14ac:dyDescent="0.25">
      <c r="L70" s="18"/>
      <c r="N70" s="17"/>
    </row>
    <row r="71" spans="12:15" x14ac:dyDescent="0.25">
      <c r="N71" s="17"/>
    </row>
    <row r="72" spans="12:15" x14ac:dyDescent="0.25">
      <c r="N72" s="17"/>
    </row>
    <row r="73" spans="12:15" x14ac:dyDescent="0.25">
      <c r="N73" s="17"/>
    </row>
    <row r="74" spans="12:15" x14ac:dyDescent="0.25">
      <c r="N74" s="17"/>
    </row>
    <row r="75" spans="12:15" x14ac:dyDescent="0.25">
      <c r="N75" s="17"/>
    </row>
    <row r="76" spans="12:15" x14ac:dyDescent="0.25">
      <c r="N76" s="17"/>
    </row>
    <row r="77" spans="12:15" x14ac:dyDescent="0.25">
      <c r="N77" s="17"/>
    </row>
    <row r="78" spans="12:15" x14ac:dyDescent="0.25">
      <c r="N78" s="17"/>
    </row>
    <row r="79" spans="12:15" x14ac:dyDescent="0.25">
      <c r="N79" s="17"/>
    </row>
    <row r="80" spans="12:15" x14ac:dyDescent="0.25">
      <c r="N80" s="17"/>
    </row>
    <row r="81" spans="14:14" x14ac:dyDescent="0.25">
      <c r="N81" s="17"/>
    </row>
    <row r="82" spans="14:14" x14ac:dyDescent="0.25">
      <c r="N82" s="17"/>
    </row>
    <row r="83" spans="14:14" x14ac:dyDescent="0.25">
      <c r="N83" s="17"/>
    </row>
    <row r="84" spans="14:14" x14ac:dyDescent="0.25">
      <c r="N84" s="17"/>
    </row>
    <row r="85" spans="14:14" x14ac:dyDescent="0.25">
      <c r="N85" s="17"/>
    </row>
    <row r="86" spans="14:14" x14ac:dyDescent="0.25">
      <c r="N86" s="17"/>
    </row>
    <row r="87" spans="14:14" x14ac:dyDescent="0.25">
      <c r="N87" s="17"/>
    </row>
    <row r="88" spans="14:14" x14ac:dyDescent="0.25">
      <c r="N88" s="17"/>
    </row>
    <row r="89" spans="14:14" x14ac:dyDescent="0.25">
      <c r="N89" s="17"/>
    </row>
    <row r="90" spans="14:14" x14ac:dyDescent="0.25">
      <c r="N90" s="17"/>
    </row>
    <row r="91" spans="14:14" x14ac:dyDescent="0.25">
      <c r="N91" s="17"/>
    </row>
    <row r="92" spans="14:14" x14ac:dyDescent="0.25">
      <c r="N92" s="17"/>
    </row>
    <row r="93" spans="14:14" x14ac:dyDescent="0.25">
      <c r="N93" s="17"/>
    </row>
    <row r="94" spans="14:14" x14ac:dyDescent="0.25">
      <c r="N94" s="17"/>
    </row>
    <row r="95" spans="14:14" x14ac:dyDescent="0.25">
      <c r="N95" s="17"/>
    </row>
    <row r="96" spans="14:14" x14ac:dyDescent="0.25">
      <c r="N96" s="17"/>
    </row>
    <row r="97" spans="14:14" x14ac:dyDescent="0.25">
      <c r="N97" s="17"/>
    </row>
    <row r="98" spans="14:14" x14ac:dyDescent="0.25">
      <c r="N98" s="17"/>
    </row>
    <row r="99" spans="14:14" x14ac:dyDescent="0.25">
      <c r="N99" s="17"/>
    </row>
    <row r="100" spans="14:14" x14ac:dyDescent="0.25">
      <c r="N100" s="17"/>
    </row>
    <row r="101" spans="14:14" x14ac:dyDescent="0.25">
      <c r="N101" s="17"/>
    </row>
    <row r="102" spans="14:14" x14ac:dyDescent="0.25">
      <c r="N102" s="17"/>
    </row>
    <row r="103" spans="14:14" x14ac:dyDescent="0.25">
      <c r="N103" s="17"/>
    </row>
    <row r="104" spans="14:14" x14ac:dyDescent="0.25">
      <c r="N104" s="17"/>
    </row>
    <row r="105" spans="14:14" x14ac:dyDescent="0.25">
      <c r="N105" s="17"/>
    </row>
    <row r="106" spans="14:14" x14ac:dyDescent="0.25">
      <c r="N106" s="17"/>
    </row>
    <row r="107" spans="14:14" x14ac:dyDescent="0.25">
      <c r="N107" s="17"/>
    </row>
    <row r="108" spans="14:14" x14ac:dyDescent="0.25">
      <c r="N108" s="17"/>
    </row>
    <row r="109" spans="14:14" x14ac:dyDescent="0.25">
      <c r="N109" s="17"/>
    </row>
    <row r="110" spans="14:14" x14ac:dyDescent="0.25">
      <c r="N110" s="17"/>
    </row>
    <row r="111" spans="14:14" x14ac:dyDescent="0.25">
      <c r="N111" s="17"/>
    </row>
    <row r="112" spans="14:14" x14ac:dyDescent="0.25">
      <c r="N112" s="17"/>
    </row>
    <row r="113" spans="14:14" x14ac:dyDescent="0.25">
      <c r="N113" s="17"/>
    </row>
    <row r="114" spans="14:14" x14ac:dyDescent="0.25">
      <c r="N114" s="17"/>
    </row>
    <row r="115" spans="14:14" x14ac:dyDescent="0.25">
      <c r="N115" s="17"/>
    </row>
    <row r="116" spans="14:14" x14ac:dyDescent="0.25">
      <c r="N116" s="17"/>
    </row>
    <row r="117" spans="14:14" x14ac:dyDescent="0.25">
      <c r="N117" s="17"/>
    </row>
    <row r="118" spans="14:14" x14ac:dyDescent="0.25">
      <c r="N118" s="17"/>
    </row>
    <row r="119" spans="14:14" x14ac:dyDescent="0.25">
      <c r="N119" s="17"/>
    </row>
    <row r="120" spans="14:14" x14ac:dyDescent="0.25">
      <c r="N120" s="17"/>
    </row>
    <row r="121" spans="14:14" x14ac:dyDescent="0.25">
      <c r="N121" s="17"/>
    </row>
    <row r="122" spans="14:14" x14ac:dyDescent="0.25">
      <c r="N122" s="17"/>
    </row>
    <row r="123" spans="14:14" x14ac:dyDescent="0.25">
      <c r="N123" s="17"/>
    </row>
    <row r="124" spans="14:14" x14ac:dyDescent="0.25">
      <c r="N124" s="17"/>
    </row>
    <row r="125" spans="14:14" x14ac:dyDescent="0.25">
      <c r="N125" s="17"/>
    </row>
    <row r="126" spans="14:14" x14ac:dyDescent="0.25">
      <c r="N126" s="17"/>
    </row>
    <row r="127" spans="14:14" x14ac:dyDescent="0.25">
      <c r="N127" s="17"/>
    </row>
    <row r="128" spans="14:14" x14ac:dyDescent="0.25">
      <c r="N128" s="17"/>
    </row>
    <row r="129" spans="14:14" x14ac:dyDescent="0.25">
      <c r="N129" s="17"/>
    </row>
    <row r="130" spans="14:14" x14ac:dyDescent="0.25">
      <c r="N130" s="17"/>
    </row>
    <row r="131" spans="14:14" x14ac:dyDescent="0.25">
      <c r="N131" s="17"/>
    </row>
    <row r="132" spans="14:14" x14ac:dyDescent="0.25">
      <c r="N132" s="17"/>
    </row>
    <row r="133" spans="14:14" x14ac:dyDescent="0.25">
      <c r="N133" s="17"/>
    </row>
    <row r="134" spans="14:14" x14ac:dyDescent="0.25">
      <c r="N134" s="17"/>
    </row>
    <row r="135" spans="14:14" x14ac:dyDescent="0.25">
      <c r="N135" s="17"/>
    </row>
    <row r="136" spans="14:14" x14ac:dyDescent="0.25">
      <c r="N136" s="17"/>
    </row>
    <row r="137" spans="14:14" x14ac:dyDescent="0.25">
      <c r="N137" s="17"/>
    </row>
    <row r="138" spans="14:14" x14ac:dyDescent="0.25">
      <c r="N138" s="17"/>
    </row>
    <row r="139" spans="14:14" x14ac:dyDescent="0.25">
      <c r="N139" s="17"/>
    </row>
    <row r="140" spans="14:14" x14ac:dyDescent="0.25">
      <c r="N140" s="17"/>
    </row>
    <row r="141" spans="14:14" x14ac:dyDescent="0.25">
      <c r="N141" s="17"/>
    </row>
    <row r="142" spans="14:14" x14ac:dyDescent="0.25">
      <c r="N142" s="17"/>
    </row>
    <row r="143" spans="14:14" x14ac:dyDescent="0.25">
      <c r="N143" s="17"/>
    </row>
    <row r="144" spans="14:14" x14ac:dyDescent="0.25">
      <c r="N144" s="17"/>
    </row>
    <row r="145" spans="14:14" x14ac:dyDescent="0.25">
      <c r="N145" s="17"/>
    </row>
    <row r="146" spans="14:14" x14ac:dyDescent="0.25">
      <c r="N146" s="17"/>
    </row>
    <row r="147" spans="14:14" x14ac:dyDescent="0.25">
      <c r="N147" s="17"/>
    </row>
    <row r="148" spans="14:14" x14ac:dyDescent="0.25">
      <c r="N148" s="17"/>
    </row>
    <row r="149" spans="14:14" x14ac:dyDescent="0.25">
      <c r="N149" s="17"/>
    </row>
    <row r="150" spans="14:14" x14ac:dyDescent="0.25">
      <c r="N150" s="17"/>
    </row>
    <row r="151" spans="14:14" x14ac:dyDescent="0.25">
      <c r="N151" s="17"/>
    </row>
    <row r="152" spans="14:14" x14ac:dyDescent="0.25">
      <c r="N152" s="17"/>
    </row>
    <row r="153" spans="14:14" x14ac:dyDescent="0.25">
      <c r="N153" s="17"/>
    </row>
    <row r="154" spans="14:14" x14ac:dyDescent="0.25">
      <c r="N154" s="17"/>
    </row>
    <row r="155" spans="14:14" x14ac:dyDescent="0.25">
      <c r="N155" s="17"/>
    </row>
    <row r="156" spans="14:14" x14ac:dyDescent="0.25">
      <c r="N156" s="17"/>
    </row>
    <row r="157" spans="14:14" x14ac:dyDescent="0.25">
      <c r="N157" s="17"/>
    </row>
    <row r="158" spans="14:14" x14ac:dyDescent="0.25">
      <c r="N158" s="17"/>
    </row>
    <row r="159" spans="14:14" x14ac:dyDescent="0.25">
      <c r="N159" s="17"/>
    </row>
    <row r="160" spans="14:14" x14ac:dyDescent="0.25">
      <c r="N160" s="17"/>
    </row>
    <row r="161" spans="14:14" x14ac:dyDescent="0.25">
      <c r="N161" s="17"/>
    </row>
    <row r="162" spans="14:14" x14ac:dyDescent="0.25">
      <c r="N162" s="17"/>
    </row>
    <row r="163" spans="14:14" x14ac:dyDescent="0.25">
      <c r="N163" s="17"/>
    </row>
    <row r="164" spans="14:14" x14ac:dyDescent="0.25">
      <c r="N164" s="17"/>
    </row>
    <row r="165" spans="14:14" x14ac:dyDescent="0.25">
      <c r="N165" s="17"/>
    </row>
    <row r="166" spans="14:14" x14ac:dyDescent="0.25">
      <c r="N166" s="17"/>
    </row>
    <row r="167" spans="14:14" x14ac:dyDescent="0.25">
      <c r="N167" s="17"/>
    </row>
    <row r="168" spans="14:14" x14ac:dyDescent="0.25">
      <c r="N168" s="17"/>
    </row>
    <row r="169" spans="14:14" x14ac:dyDescent="0.25">
      <c r="N169" s="17"/>
    </row>
    <row r="170" spans="14:14" x14ac:dyDescent="0.25">
      <c r="N170" s="17"/>
    </row>
    <row r="171" spans="14:14" x14ac:dyDescent="0.25">
      <c r="N171" s="17"/>
    </row>
    <row r="172" spans="14:14" x14ac:dyDescent="0.25">
      <c r="N172" s="17"/>
    </row>
    <row r="173" spans="14:14" x14ac:dyDescent="0.25">
      <c r="N173" s="17"/>
    </row>
    <row r="174" spans="14:14" x14ac:dyDescent="0.25">
      <c r="N174" s="17"/>
    </row>
    <row r="175" spans="14:14" x14ac:dyDescent="0.25">
      <c r="N175" s="17"/>
    </row>
    <row r="176" spans="14:14" x14ac:dyDescent="0.25">
      <c r="N176" s="17"/>
    </row>
    <row r="177" spans="14:14" x14ac:dyDescent="0.25">
      <c r="N177" s="17"/>
    </row>
    <row r="178" spans="14:14" x14ac:dyDescent="0.25">
      <c r="N178" s="17"/>
    </row>
    <row r="179" spans="14:14" x14ac:dyDescent="0.25">
      <c r="N179" s="17"/>
    </row>
    <row r="180" spans="14:14" x14ac:dyDescent="0.25">
      <c r="N180" s="17"/>
    </row>
    <row r="181" spans="14:14" x14ac:dyDescent="0.25">
      <c r="N181" s="17"/>
    </row>
    <row r="182" spans="14:14" x14ac:dyDescent="0.25">
      <c r="N182" s="17"/>
    </row>
    <row r="183" spans="14:14" x14ac:dyDescent="0.25">
      <c r="N183" s="17"/>
    </row>
    <row r="184" spans="14:14" x14ac:dyDescent="0.25">
      <c r="N184" s="17"/>
    </row>
    <row r="185" spans="14:14" x14ac:dyDescent="0.25">
      <c r="N185" s="17"/>
    </row>
    <row r="186" spans="14:14" x14ac:dyDescent="0.25">
      <c r="N186" s="17"/>
    </row>
    <row r="187" spans="14:14" x14ac:dyDescent="0.25">
      <c r="N187" s="17"/>
    </row>
    <row r="188" spans="14:14" x14ac:dyDescent="0.25">
      <c r="N188" s="17"/>
    </row>
    <row r="189" spans="14:14" x14ac:dyDescent="0.25">
      <c r="N189" s="17"/>
    </row>
    <row r="190" spans="14:14" x14ac:dyDescent="0.25">
      <c r="N190" s="17"/>
    </row>
    <row r="191" spans="14:14" x14ac:dyDescent="0.25">
      <c r="N191" s="17"/>
    </row>
    <row r="192" spans="14:14" x14ac:dyDescent="0.25">
      <c r="N192" s="17"/>
    </row>
    <row r="193" spans="14:14" x14ac:dyDescent="0.25">
      <c r="N193" s="17"/>
    </row>
    <row r="194" spans="14:14" x14ac:dyDescent="0.25">
      <c r="N194" s="17"/>
    </row>
    <row r="195" spans="14:14" x14ac:dyDescent="0.25">
      <c r="N195" s="17"/>
    </row>
    <row r="196" spans="14:14" x14ac:dyDescent="0.25">
      <c r="N196" s="17"/>
    </row>
    <row r="197" spans="14:14" x14ac:dyDescent="0.25">
      <c r="N197" s="17"/>
    </row>
    <row r="198" spans="14:14" x14ac:dyDescent="0.25">
      <c r="N198" s="17"/>
    </row>
    <row r="199" spans="14:14" x14ac:dyDescent="0.25">
      <c r="N199" s="17"/>
    </row>
    <row r="200" spans="14:14" x14ac:dyDescent="0.25">
      <c r="N200" s="17"/>
    </row>
    <row r="201" spans="14:14" x14ac:dyDescent="0.25">
      <c r="N201" s="17"/>
    </row>
    <row r="202" spans="14:14" x14ac:dyDescent="0.25">
      <c r="N202" s="17"/>
    </row>
    <row r="203" spans="14:14" x14ac:dyDescent="0.25">
      <c r="N203" s="17"/>
    </row>
    <row r="204" spans="14:14" x14ac:dyDescent="0.25">
      <c r="N204" s="17"/>
    </row>
    <row r="205" spans="14:14" x14ac:dyDescent="0.25">
      <c r="N205" s="17"/>
    </row>
    <row r="206" spans="14:14" x14ac:dyDescent="0.25">
      <c r="N206" s="17"/>
    </row>
    <row r="207" spans="14:14" x14ac:dyDescent="0.25">
      <c r="N207" s="17"/>
    </row>
    <row r="208" spans="14:14" x14ac:dyDescent="0.25">
      <c r="N208" s="17"/>
    </row>
    <row r="209" spans="14:14" x14ac:dyDescent="0.25">
      <c r="N209" s="17"/>
    </row>
    <row r="210" spans="14:14" x14ac:dyDescent="0.25">
      <c r="N210" s="17"/>
    </row>
    <row r="211" spans="14:14" x14ac:dyDescent="0.25">
      <c r="N211" s="17"/>
    </row>
    <row r="212" spans="14:14" x14ac:dyDescent="0.25">
      <c r="N212" s="17"/>
    </row>
    <row r="213" spans="14:14" x14ac:dyDescent="0.25">
      <c r="N213" s="17"/>
    </row>
    <row r="214" spans="14:14" x14ac:dyDescent="0.25">
      <c r="N214" s="17"/>
    </row>
    <row r="215" spans="14:14" x14ac:dyDescent="0.25">
      <c r="N215" s="17"/>
    </row>
    <row r="216" spans="14:14" x14ac:dyDescent="0.25">
      <c r="N216" s="17"/>
    </row>
    <row r="217" spans="14:14" x14ac:dyDescent="0.25">
      <c r="N217" s="17"/>
    </row>
    <row r="218" spans="14:14" x14ac:dyDescent="0.25">
      <c r="N218" s="17"/>
    </row>
    <row r="219" spans="14:14" x14ac:dyDescent="0.25">
      <c r="N219" s="17"/>
    </row>
    <row r="220" spans="14:14" x14ac:dyDescent="0.25">
      <c r="N220" s="17"/>
    </row>
    <row r="221" spans="14:14" x14ac:dyDescent="0.25">
      <c r="N221" s="17"/>
    </row>
    <row r="222" spans="14:14" x14ac:dyDescent="0.25">
      <c r="N222" s="17"/>
    </row>
    <row r="223" spans="14:14" x14ac:dyDescent="0.25">
      <c r="N223" s="17"/>
    </row>
    <row r="224" spans="14:14" x14ac:dyDescent="0.25">
      <c r="N224" s="17"/>
    </row>
    <row r="225" spans="14:14" x14ac:dyDescent="0.25">
      <c r="N225" s="17"/>
    </row>
    <row r="226" spans="14:14" x14ac:dyDescent="0.25">
      <c r="N226" s="17"/>
    </row>
    <row r="227" spans="14:14" x14ac:dyDescent="0.25">
      <c r="N227" s="17"/>
    </row>
    <row r="228" spans="14:14" x14ac:dyDescent="0.25">
      <c r="N228" s="17"/>
    </row>
    <row r="229" spans="14:14" x14ac:dyDescent="0.25">
      <c r="N229" s="17"/>
    </row>
    <row r="230" spans="14:14" x14ac:dyDescent="0.25">
      <c r="N230" s="17"/>
    </row>
    <row r="231" spans="14:14" x14ac:dyDescent="0.25">
      <c r="N231" s="17"/>
    </row>
    <row r="232" spans="14:14" x14ac:dyDescent="0.25">
      <c r="N232" s="17"/>
    </row>
    <row r="233" spans="14:14" x14ac:dyDescent="0.25">
      <c r="N233" s="17"/>
    </row>
    <row r="234" spans="14:14" x14ac:dyDescent="0.25">
      <c r="N234" s="17"/>
    </row>
    <row r="235" spans="14:14" x14ac:dyDescent="0.25">
      <c r="N235" s="17"/>
    </row>
    <row r="236" spans="14:14" x14ac:dyDescent="0.25">
      <c r="N236" s="17"/>
    </row>
    <row r="237" spans="14:14" x14ac:dyDescent="0.25">
      <c r="N237" s="17"/>
    </row>
    <row r="238" spans="14:14" x14ac:dyDescent="0.25">
      <c r="N238" s="17"/>
    </row>
    <row r="239" spans="14:14" x14ac:dyDescent="0.25">
      <c r="N239" s="17"/>
    </row>
    <row r="240" spans="14:14" x14ac:dyDescent="0.25">
      <c r="N240" s="17"/>
    </row>
    <row r="241" spans="14:14" x14ac:dyDescent="0.25">
      <c r="N241" s="17"/>
    </row>
    <row r="242" spans="14:14" x14ac:dyDescent="0.25">
      <c r="N242" s="17"/>
    </row>
    <row r="243" spans="14:14" x14ac:dyDescent="0.25">
      <c r="N243" s="17"/>
    </row>
    <row r="244" spans="14:14" x14ac:dyDescent="0.25">
      <c r="N244" s="17"/>
    </row>
    <row r="245" spans="14:14" x14ac:dyDescent="0.25">
      <c r="N245" s="17"/>
    </row>
    <row r="246" spans="14:14" x14ac:dyDescent="0.25">
      <c r="N246" s="17"/>
    </row>
    <row r="247" spans="14:14" x14ac:dyDescent="0.25">
      <c r="N247" s="17"/>
    </row>
    <row r="248" spans="14:14" x14ac:dyDescent="0.25">
      <c r="N248" s="17"/>
    </row>
    <row r="249" spans="14:14" x14ac:dyDescent="0.25">
      <c r="N249" s="17"/>
    </row>
    <row r="250" spans="14:14" x14ac:dyDescent="0.25">
      <c r="N250" s="17"/>
    </row>
    <row r="251" spans="14:14" x14ac:dyDescent="0.25">
      <c r="N251" s="17"/>
    </row>
    <row r="252" spans="14:14" x14ac:dyDescent="0.25">
      <c r="N252" s="17"/>
    </row>
    <row r="253" spans="14:14" x14ac:dyDescent="0.25">
      <c r="N253" s="17"/>
    </row>
    <row r="254" spans="14:14" x14ac:dyDescent="0.25">
      <c r="N254" s="17"/>
    </row>
    <row r="255" spans="14:14" x14ac:dyDescent="0.25">
      <c r="N255" s="17"/>
    </row>
    <row r="256" spans="14:14" x14ac:dyDescent="0.25">
      <c r="N256" s="17"/>
    </row>
    <row r="257" spans="14:14" x14ac:dyDescent="0.25">
      <c r="N257" s="17"/>
    </row>
    <row r="258" spans="14:14" x14ac:dyDescent="0.25">
      <c r="N258" s="17"/>
    </row>
    <row r="259" spans="14:14" x14ac:dyDescent="0.25">
      <c r="N259" s="17"/>
    </row>
    <row r="260" spans="14:14" x14ac:dyDescent="0.25">
      <c r="N260" s="17"/>
    </row>
    <row r="261" spans="14:14" x14ac:dyDescent="0.25">
      <c r="N261" s="17"/>
    </row>
    <row r="262" spans="14:14" x14ac:dyDescent="0.25">
      <c r="N262" s="17"/>
    </row>
    <row r="263" spans="14:14" x14ac:dyDescent="0.25">
      <c r="N263" s="17"/>
    </row>
    <row r="264" spans="14:14" x14ac:dyDescent="0.25">
      <c r="N264" s="17"/>
    </row>
    <row r="265" spans="14:14" x14ac:dyDescent="0.25">
      <c r="N265" s="17"/>
    </row>
    <row r="266" spans="14:14" x14ac:dyDescent="0.25">
      <c r="N266" s="17"/>
    </row>
    <row r="267" spans="14:14" x14ac:dyDescent="0.25">
      <c r="N267" s="17"/>
    </row>
    <row r="268" spans="14:14" x14ac:dyDescent="0.25">
      <c r="N268" s="17"/>
    </row>
    <row r="269" spans="14:14" x14ac:dyDescent="0.25">
      <c r="N269" s="17"/>
    </row>
    <row r="270" spans="14:14" x14ac:dyDescent="0.25">
      <c r="N270" s="17"/>
    </row>
    <row r="271" spans="14:14" x14ac:dyDescent="0.25">
      <c r="N271" s="17"/>
    </row>
    <row r="272" spans="14:14" x14ac:dyDescent="0.25">
      <c r="N272" s="17"/>
    </row>
    <row r="273" spans="14:14" x14ac:dyDescent="0.25">
      <c r="N273" s="17"/>
    </row>
    <row r="274" spans="14:14" x14ac:dyDescent="0.25">
      <c r="N274" s="17"/>
    </row>
    <row r="275" spans="14:14" x14ac:dyDescent="0.25">
      <c r="N275" s="17"/>
    </row>
    <row r="276" spans="14:14" x14ac:dyDescent="0.25">
      <c r="N276" s="17"/>
    </row>
    <row r="277" spans="14:14" x14ac:dyDescent="0.25">
      <c r="N277" s="17"/>
    </row>
    <row r="278" spans="14:14" x14ac:dyDescent="0.25">
      <c r="N278" s="17"/>
    </row>
    <row r="279" spans="14:14" x14ac:dyDescent="0.25">
      <c r="N279" s="17"/>
    </row>
    <row r="280" spans="14:14" x14ac:dyDescent="0.25">
      <c r="N280" s="17"/>
    </row>
    <row r="281" spans="14:14" x14ac:dyDescent="0.25">
      <c r="N281" s="17"/>
    </row>
    <row r="282" spans="14:14" x14ac:dyDescent="0.25">
      <c r="N282" s="17"/>
    </row>
    <row r="283" spans="14:14" x14ac:dyDescent="0.25">
      <c r="N283" s="17"/>
    </row>
    <row r="284" spans="14:14" x14ac:dyDescent="0.25">
      <c r="N284" s="17"/>
    </row>
    <row r="285" spans="14:14" x14ac:dyDescent="0.25">
      <c r="N285" s="17"/>
    </row>
    <row r="286" spans="14:14" x14ac:dyDescent="0.25">
      <c r="N286" s="17"/>
    </row>
    <row r="287" spans="14:14" x14ac:dyDescent="0.25">
      <c r="N287" s="17"/>
    </row>
    <row r="288" spans="14:14" x14ac:dyDescent="0.25">
      <c r="N288" s="17"/>
    </row>
    <row r="289" spans="14:14" x14ac:dyDescent="0.25">
      <c r="N289" s="17"/>
    </row>
    <row r="290" spans="14:14" x14ac:dyDescent="0.25">
      <c r="N290" s="17"/>
    </row>
    <row r="291" spans="14:14" x14ac:dyDescent="0.25">
      <c r="N291" s="17"/>
    </row>
    <row r="292" spans="14:14" x14ac:dyDescent="0.25">
      <c r="N292" s="17"/>
    </row>
    <row r="293" spans="14:14" x14ac:dyDescent="0.25">
      <c r="N293" s="17"/>
    </row>
    <row r="294" spans="14:14" x14ac:dyDescent="0.25">
      <c r="N294" s="17"/>
    </row>
    <row r="295" spans="14:14" x14ac:dyDescent="0.25">
      <c r="N295" s="17"/>
    </row>
    <row r="296" spans="14:14" x14ac:dyDescent="0.25">
      <c r="N296" s="17"/>
    </row>
    <row r="297" spans="14:14" x14ac:dyDescent="0.25">
      <c r="N297" s="17"/>
    </row>
    <row r="298" spans="14:14" x14ac:dyDescent="0.25">
      <c r="N298" s="17"/>
    </row>
    <row r="299" spans="14:14" x14ac:dyDescent="0.25">
      <c r="N299" s="17"/>
    </row>
    <row r="300" spans="14:14" x14ac:dyDescent="0.25">
      <c r="N300" s="17"/>
    </row>
    <row r="301" spans="14:14" x14ac:dyDescent="0.25">
      <c r="N301" s="17"/>
    </row>
    <row r="302" spans="14:14" x14ac:dyDescent="0.25">
      <c r="N302" s="17"/>
    </row>
    <row r="303" spans="14:14" x14ac:dyDescent="0.25">
      <c r="N303" s="17"/>
    </row>
    <row r="304" spans="14:14" x14ac:dyDescent="0.25">
      <c r="N304" s="17"/>
    </row>
    <row r="305" spans="14:14" x14ac:dyDescent="0.25">
      <c r="N305" s="17"/>
    </row>
    <row r="306" spans="14:14" x14ac:dyDescent="0.25">
      <c r="N306" s="17"/>
    </row>
    <row r="307" spans="14:14" x14ac:dyDescent="0.25">
      <c r="N307" s="17"/>
    </row>
    <row r="308" spans="14:14" x14ac:dyDescent="0.25">
      <c r="N308" s="17"/>
    </row>
    <row r="309" spans="14:14" x14ac:dyDescent="0.25">
      <c r="N309" s="17"/>
    </row>
    <row r="310" spans="14:14" x14ac:dyDescent="0.25">
      <c r="N310" s="17"/>
    </row>
    <row r="311" spans="14:14" x14ac:dyDescent="0.25">
      <c r="N311" s="17"/>
    </row>
    <row r="312" spans="14:14" x14ac:dyDescent="0.25">
      <c r="N312" s="17"/>
    </row>
    <row r="313" spans="14:14" x14ac:dyDescent="0.25">
      <c r="N313" s="17"/>
    </row>
    <row r="314" spans="14:14" x14ac:dyDescent="0.25">
      <c r="N314" s="17"/>
    </row>
    <row r="315" spans="14:14" x14ac:dyDescent="0.25">
      <c r="N315" s="17"/>
    </row>
    <row r="316" spans="14:14" x14ac:dyDescent="0.25">
      <c r="N316" s="17"/>
    </row>
    <row r="317" spans="14:14" x14ac:dyDescent="0.25">
      <c r="N317" s="17"/>
    </row>
    <row r="318" spans="14:14" x14ac:dyDescent="0.25">
      <c r="N318" s="17"/>
    </row>
    <row r="319" spans="14:14" x14ac:dyDescent="0.25">
      <c r="N319" s="17"/>
    </row>
    <row r="320" spans="14:14" x14ac:dyDescent="0.25">
      <c r="N320" s="17"/>
    </row>
    <row r="321" spans="14:14" x14ac:dyDescent="0.25">
      <c r="N321" s="17"/>
    </row>
    <row r="322" spans="14:14" x14ac:dyDescent="0.25">
      <c r="N322" s="17"/>
    </row>
    <row r="323" spans="14:14" x14ac:dyDescent="0.25">
      <c r="N323" s="17"/>
    </row>
    <row r="324" spans="14:14" x14ac:dyDescent="0.25">
      <c r="N324" s="17"/>
    </row>
    <row r="325" spans="14:14" x14ac:dyDescent="0.25">
      <c r="N325" s="17"/>
    </row>
    <row r="326" spans="14:14" x14ac:dyDescent="0.25">
      <c r="N326" s="17"/>
    </row>
    <row r="327" spans="14:14" x14ac:dyDescent="0.25">
      <c r="N327" s="17"/>
    </row>
    <row r="328" spans="14:14" x14ac:dyDescent="0.25">
      <c r="N328" s="17"/>
    </row>
    <row r="329" spans="14:14" x14ac:dyDescent="0.25">
      <c r="N329" s="17"/>
    </row>
    <row r="330" spans="14:14" x14ac:dyDescent="0.25">
      <c r="N330" s="17"/>
    </row>
    <row r="331" spans="14:14" x14ac:dyDescent="0.25">
      <c r="N331" s="17"/>
    </row>
    <row r="332" spans="14:14" x14ac:dyDescent="0.25">
      <c r="N332" s="17"/>
    </row>
    <row r="333" spans="14:14" x14ac:dyDescent="0.25">
      <c r="N333" s="17"/>
    </row>
    <row r="334" spans="14:14" x14ac:dyDescent="0.25">
      <c r="N334" s="17"/>
    </row>
    <row r="335" spans="14:14" x14ac:dyDescent="0.25">
      <c r="N335" s="17"/>
    </row>
    <row r="336" spans="14:14" x14ac:dyDescent="0.25">
      <c r="N336" s="17"/>
    </row>
    <row r="337" spans="14:14" x14ac:dyDescent="0.25">
      <c r="N337" s="17"/>
    </row>
    <row r="338" spans="14:14" x14ac:dyDescent="0.25">
      <c r="N338" s="17"/>
    </row>
    <row r="339" spans="14:14" x14ac:dyDescent="0.25">
      <c r="N339" s="17"/>
    </row>
    <row r="340" spans="14:14" x14ac:dyDescent="0.25">
      <c r="N340" s="17"/>
    </row>
    <row r="341" spans="14:14" x14ac:dyDescent="0.25">
      <c r="N341" s="17"/>
    </row>
    <row r="342" spans="14:14" x14ac:dyDescent="0.25">
      <c r="N342" s="17"/>
    </row>
    <row r="343" spans="14:14" x14ac:dyDescent="0.25">
      <c r="N343" s="17"/>
    </row>
    <row r="344" spans="14:14" x14ac:dyDescent="0.25">
      <c r="N344" s="17"/>
    </row>
    <row r="345" spans="14:14" x14ac:dyDescent="0.25">
      <c r="N345" s="17"/>
    </row>
    <row r="346" spans="14:14" x14ac:dyDescent="0.25">
      <c r="N346" s="17"/>
    </row>
    <row r="347" spans="14:14" x14ac:dyDescent="0.25">
      <c r="N347" s="17"/>
    </row>
    <row r="348" spans="14:14" x14ac:dyDescent="0.25">
      <c r="N348" s="17"/>
    </row>
    <row r="349" spans="14:14" x14ac:dyDescent="0.25">
      <c r="N349" s="17"/>
    </row>
    <row r="350" spans="14:14" x14ac:dyDescent="0.25">
      <c r="N350" s="17"/>
    </row>
    <row r="351" spans="14:14" x14ac:dyDescent="0.25">
      <c r="N351" s="17"/>
    </row>
    <row r="352" spans="14:14" x14ac:dyDescent="0.25">
      <c r="N352" s="17"/>
    </row>
    <row r="353" spans="14:14" x14ac:dyDescent="0.25">
      <c r="N353" s="17"/>
    </row>
    <row r="354" spans="14:14" x14ac:dyDescent="0.25">
      <c r="N354" s="17"/>
    </row>
    <row r="355" spans="14:14" x14ac:dyDescent="0.25">
      <c r="N355" s="17"/>
    </row>
    <row r="356" spans="14:14" x14ac:dyDescent="0.25">
      <c r="N356" s="17"/>
    </row>
    <row r="357" spans="14:14" x14ac:dyDescent="0.25">
      <c r="N357" s="17"/>
    </row>
    <row r="358" spans="14:14" x14ac:dyDescent="0.25">
      <c r="N358" s="17"/>
    </row>
    <row r="359" spans="14:14" x14ac:dyDescent="0.25">
      <c r="N359" s="17"/>
    </row>
    <row r="360" spans="14:14" x14ac:dyDescent="0.25">
      <c r="N360" s="17"/>
    </row>
    <row r="361" spans="14:14" x14ac:dyDescent="0.25">
      <c r="N361" s="17"/>
    </row>
    <row r="362" spans="14:14" x14ac:dyDescent="0.25">
      <c r="N362" s="17"/>
    </row>
    <row r="363" spans="14:14" x14ac:dyDescent="0.25">
      <c r="N363" s="17"/>
    </row>
    <row r="364" spans="14:14" x14ac:dyDescent="0.25">
      <c r="N364" s="17"/>
    </row>
    <row r="365" spans="14:14" x14ac:dyDescent="0.25">
      <c r="N365" s="17"/>
    </row>
    <row r="366" spans="14:14" x14ac:dyDescent="0.25">
      <c r="N366" s="17"/>
    </row>
    <row r="367" spans="14:14" x14ac:dyDescent="0.25">
      <c r="N367" s="17"/>
    </row>
    <row r="368" spans="14:14" x14ac:dyDescent="0.25">
      <c r="N368" s="17"/>
    </row>
    <row r="369" spans="14:14" x14ac:dyDescent="0.25">
      <c r="N369" s="17"/>
    </row>
    <row r="370" spans="14:14" x14ac:dyDescent="0.25">
      <c r="N370" s="17"/>
    </row>
    <row r="371" spans="14:14" x14ac:dyDescent="0.25">
      <c r="N371" s="17"/>
    </row>
    <row r="372" spans="14:14" x14ac:dyDescent="0.25">
      <c r="N372" s="17"/>
    </row>
    <row r="373" spans="14:14" x14ac:dyDescent="0.25">
      <c r="N373" s="17"/>
    </row>
    <row r="374" spans="14:14" x14ac:dyDescent="0.25">
      <c r="N374" s="17"/>
    </row>
    <row r="375" spans="14:14" x14ac:dyDescent="0.25">
      <c r="N375" s="17"/>
    </row>
    <row r="376" spans="14:14" x14ac:dyDescent="0.25">
      <c r="N376" s="17"/>
    </row>
    <row r="377" spans="14:14" x14ac:dyDescent="0.25">
      <c r="N377" s="17"/>
    </row>
    <row r="378" spans="14:14" x14ac:dyDescent="0.25">
      <c r="N378" s="17"/>
    </row>
    <row r="379" spans="14:14" x14ac:dyDescent="0.25">
      <c r="N379" s="17"/>
    </row>
    <row r="380" spans="14:14" x14ac:dyDescent="0.25">
      <c r="N380" s="17"/>
    </row>
    <row r="381" spans="14:14" x14ac:dyDescent="0.25">
      <c r="N381" s="17"/>
    </row>
    <row r="382" spans="14:14" x14ac:dyDescent="0.25">
      <c r="N382" s="17"/>
    </row>
    <row r="383" spans="14:14" x14ac:dyDescent="0.25">
      <c r="N383" s="17"/>
    </row>
    <row r="384" spans="14:14" x14ac:dyDescent="0.25">
      <c r="N384" s="17"/>
    </row>
    <row r="385" spans="14:14" x14ac:dyDescent="0.25">
      <c r="N385" s="17"/>
    </row>
    <row r="386" spans="14:14" x14ac:dyDescent="0.25">
      <c r="N386" s="17"/>
    </row>
    <row r="387" spans="14:14" x14ac:dyDescent="0.25">
      <c r="N387" s="17"/>
    </row>
    <row r="388" spans="14:14" x14ac:dyDescent="0.25">
      <c r="N388" s="17"/>
    </row>
    <row r="389" spans="14:14" x14ac:dyDescent="0.25">
      <c r="N389" s="17"/>
    </row>
    <row r="390" spans="14:14" x14ac:dyDescent="0.25">
      <c r="N390" s="17"/>
    </row>
    <row r="391" spans="14:14" x14ac:dyDescent="0.25">
      <c r="N391" s="17"/>
    </row>
    <row r="392" spans="14:14" x14ac:dyDescent="0.25">
      <c r="N392" s="17"/>
    </row>
    <row r="393" spans="14:14" x14ac:dyDescent="0.25">
      <c r="N393" s="17"/>
    </row>
    <row r="394" spans="14:14" x14ac:dyDescent="0.25">
      <c r="N394" s="17"/>
    </row>
    <row r="395" spans="14:14" x14ac:dyDescent="0.25">
      <c r="N395" s="17"/>
    </row>
    <row r="396" spans="14:14" x14ac:dyDescent="0.25">
      <c r="N396" s="17"/>
    </row>
    <row r="397" spans="14:14" x14ac:dyDescent="0.25">
      <c r="N397" s="17"/>
    </row>
    <row r="398" spans="14:14" x14ac:dyDescent="0.25">
      <c r="N398" s="17"/>
    </row>
    <row r="399" spans="14:14" x14ac:dyDescent="0.25">
      <c r="N399" s="17"/>
    </row>
    <row r="400" spans="14:14" x14ac:dyDescent="0.25">
      <c r="N400" s="17"/>
    </row>
    <row r="401" spans="14:14" x14ac:dyDescent="0.25">
      <c r="N401" s="17"/>
    </row>
    <row r="402" spans="14:14" x14ac:dyDescent="0.25">
      <c r="N402" s="17"/>
    </row>
    <row r="403" spans="14:14" x14ac:dyDescent="0.25">
      <c r="N403" s="17"/>
    </row>
    <row r="404" spans="14:14" x14ac:dyDescent="0.25">
      <c r="N404" s="17"/>
    </row>
    <row r="405" spans="14:14" x14ac:dyDescent="0.25">
      <c r="N405" s="17"/>
    </row>
    <row r="406" spans="14:14" x14ac:dyDescent="0.25">
      <c r="N406" s="17"/>
    </row>
    <row r="407" spans="14:14" x14ac:dyDescent="0.25">
      <c r="N407" s="17"/>
    </row>
    <row r="408" spans="14:14" x14ac:dyDescent="0.25">
      <c r="N408" s="17"/>
    </row>
    <row r="409" spans="14:14" x14ac:dyDescent="0.25">
      <c r="N409" s="17"/>
    </row>
    <row r="410" spans="14:14" x14ac:dyDescent="0.25">
      <c r="N410" s="17"/>
    </row>
    <row r="411" spans="14:14" x14ac:dyDescent="0.25">
      <c r="N411" s="17"/>
    </row>
    <row r="412" spans="14:14" x14ac:dyDescent="0.25">
      <c r="N412" s="17"/>
    </row>
    <row r="413" spans="14:14" x14ac:dyDescent="0.25">
      <c r="N413" s="17"/>
    </row>
    <row r="414" spans="14:14" x14ac:dyDescent="0.25">
      <c r="N414" s="17"/>
    </row>
    <row r="415" spans="14:14" x14ac:dyDescent="0.25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4"/>
  <sheetViews>
    <sheetView zoomScale="90" zoomScaleNormal="90" zoomScaleSheetLayoutView="110" workbookViewId="0">
      <pane ySplit="1" topLeftCell="A2" activePane="bottomLeft" state="frozen"/>
      <selection pane="bottomLeft" activeCell="G36" sqref="G36"/>
    </sheetView>
  </sheetViews>
  <sheetFormatPr defaultColWidth="23" defaultRowHeight="15.6" x14ac:dyDescent="0.3"/>
  <cols>
    <col min="1" max="1" width="20.6640625" style="23" bestFit="1" customWidth="1"/>
    <col min="2" max="2" width="14.88671875" style="41" bestFit="1" customWidth="1"/>
    <col min="3" max="3" width="15.33203125" style="41" bestFit="1" customWidth="1"/>
    <col min="4" max="4" width="11.5546875" style="41" bestFit="1" customWidth="1"/>
    <col min="5" max="5" width="12.88671875" style="22" bestFit="1" customWidth="1"/>
    <col min="6" max="6" width="11.5546875" style="22" bestFit="1" customWidth="1"/>
    <col min="7" max="7" width="14.33203125" style="22" bestFit="1" customWidth="1"/>
    <col min="8" max="8" width="16.5546875" style="22" bestFit="1" customWidth="1"/>
    <col min="9" max="9" width="11.88671875" style="22" customWidth="1"/>
    <col min="10" max="10" width="11.5546875" style="22" customWidth="1"/>
    <col min="11" max="11" width="10.33203125" style="22" bestFit="1" customWidth="1"/>
    <col min="12" max="12" width="11.5546875" style="22" bestFit="1" customWidth="1"/>
    <col min="13" max="13" width="10.33203125" style="22" bestFit="1" customWidth="1"/>
    <col min="14" max="17" width="11.5546875" style="22" bestFit="1" customWidth="1"/>
    <col min="18" max="18" width="12.88671875" style="22" bestFit="1" customWidth="1"/>
    <col min="19" max="19" width="9" style="22" bestFit="1" customWidth="1"/>
    <col min="20" max="20" width="4.6640625" style="22" bestFit="1" customWidth="1"/>
    <col min="21" max="21" width="10.33203125" style="22" bestFit="1" customWidth="1"/>
    <col min="22" max="22" width="11.5546875" style="22" bestFit="1" customWidth="1"/>
    <col min="23" max="23" width="9" style="22" bestFit="1" customWidth="1"/>
    <col min="24" max="24" width="10.6640625" style="22" bestFit="1" customWidth="1"/>
    <col min="25" max="25" width="12.33203125" style="22" customWidth="1"/>
    <col min="26" max="26" width="27.109375" style="24" bestFit="1" customWidth="1"/>
    <col min="27" max="27" width="26.88671875" style="24" bestFit="1" customWidth="1"/>
    <col min="28" max="16384" width="23" style="22"/>
  </cols>
  <sheetData>
    <row r="1" spans="1:27" ht="16.2" thickBot="1" x14ac:dyDescent="0.35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2" thickBot="1" x14ac:dyDescent="0.35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2" thickBot="1" x14ac:dyDescent="0.35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2" thickBot="1" x14ac:dyDescent="0.35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2" thickBot="1" x14ac:dyDescent="0.35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2" thickBot="1" x14ac:dyDescent="0.35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2" thickBot="1" x14ac:dyDescent="0.35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2" thickBot="1" x14ac:dyDescent="0.35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99999999</v>
      </c>
      <c r="H8" s="39">
        <f t="shared" si="3"/>
        <v>100837</v>
      </c>
      <c r="I8" s="148">
        <f t="shared" si="4"/>
        <v>126252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48928</v>
      </c>
      <c r="Z8" s="3">
        <f t="shared" si="11"/>
        <v>10763.7266048</v>
      </c>
      <c r="AA8" s="3">
        <f>SUM(Z1:Z8)</f>
        <v>56416.114975999997</v>
      </c>
    </row>
    <row r="9" spans="1:27" ht="16.2" thickBot="1" x14ac:dyDescent="0.35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0</v>
      </c>
      <c r="H9" s="39">
        <f>(G9-G8)+99999999</f>
        <v>0</v>
      </c>
      <c r="I9" s="148">
        <f t="shared" si="4"/>
        <v>17177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-35534</v>
      </c>
      <c r="Z9" s="3">
        <f t="shared" si="11"/>
        <v>7244.6683088</v>
      </c>
      <c r="AA9" s="3">
        <f>SUM(Z1:Z9)</f>
        <v>63660.783284799996</v>
      </c>
    </row>
    <row r="10" spans="1:27" ht="16.2" thickBot="1" x14ac:dyDescent="0.35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59527</v>
      </c>
      <c r="I10" s="148">
        <f t="shared" si="4"/>
        <v>84055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-13553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5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2" thickBot="1" x14ac:dyDescent="0.35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2" thickBot="1" x14ac:dyDescent="0.35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si="10"/>
        <v>6760</v>
      </c>
      <c r="Z13" s="3">
        <f t="shared" ref="Z13" si="24">(0.93352*(W13+S13)+0.5568*(Q13+O13))*0.26</f>
        <v>8430.9701631999997</v>
      </c>
      <c r="AA13" s="3">
        <f>SUM(Z1:Z13)</f>
        <v>101932.83509760001</v>
      </c>
    </row>
    <row r="14" spans="1:27" ht="16.2" thickBot="1" x14ac:dyDescent="0.35">
      <c r="A14" s="9">
        <v>44724</v>
      </c>
      <c r="B14" s="39">
        <v>205</v>
      </c>
      <c r="C14" s="145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2" thickBot="1" x14ac:dyDescent="0.35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2" thickBot="1" x14ac:dyDescent="0.35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2" thickBot="1" x14ac:dyDescent="0.35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2" thickBot="1" x14ac:dyDescent="0.35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2" thickBot="1" x14ac:dyDescent="0.35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2" thickBot="1" x14ac:dyDescent="0.35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2" thickBot="1" x14ac:dyDescent="0.35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2" thickBot="1" x14ac:dyDescent="0.35">
      <c r="A22" s="9">
        <v>44732</v>
      </c>
      <c r="B22" s="39">
        <v>324</v>
      </c>
      <c r="C22" s="145">
        <v>19756</v>
      </c>
      <c r="D22" s="39">
        <f t="shared" si="1"/>
        <v>480</v>
      </c>
      <c r="E22" s="146">
        <v>31529162</v>
      </c>
      <c r="F22" s="39">
        <f t="shared" si="2"/>
        <v>25290</v>
      </c>
      <c r="G22" s="147">
        <v>708745</v>
      </c>
      <c r="H22" s="39">
        <f t="shared" si="3"/>
        <v>62556</v>
      </c>
      <c r="I22" s="148">
        <f t="shared" si="4"/>
        <v>87846</v>
      </c>
      <c r="J22" s="146">
        <v>25272</v>
      </c>
      <c r="K22" s="39">
        <f t="shared" si="12"/>
        <v>11842</v>
      </c>
      <c r="L22" s="149">
        <v>231055</v>
      </c>
      <c r="M22" s="39">
        <f t="shared" si="5"/>
        <v>7919</v>
      </c>
      <c r="N22" s="146">
        <v>6792942</v>
      </c>
      <c r="O22" s="39">
        <f t="shared" si="13"/>
        <v>17160</v>
      </c>
      <c r="P22" s="149">
        <v>6903575</v>
      </c>
      <c r="Q22" s="39">
        <f t="shared" si="6"/>
        <v>18534</v>
      </c>
      <c r="R22" s="146">
        <v>21438494</v>
      </c>
      <c r="S22" s="39">
        <f t="shared" si="7"/>
        <v>12328</v>
      </c>
      <c r="T22" s="146">
        <v>0</v>
      </c>
      <c r="U22" s="150"/>
      <c r="V22" s="146">
        <v>9388410</v>
      </c>
      <c r="W22" s="39">
        <f t="shared" si="8"/>
        <v>13886</v>
      </c>
      <c r="X22" s="19">
        <f t="shared" si="9"/>
        <v>81669</v>
      </c>
      <c r="Y22" s="151">
        <f t="shared" si="10"/>
        <v>6177</v>
      </c>
      <c r="Z22" s="3">
        <f t="shared" si="11"/>
        <v>11529.885244800002</v>
      </c>
      <c r="AA22" s="3">
        <f>SUM(Z1:Z22)</f>
        <v>189354.34720800005</v>
      </c>
    </row>
    <row r="23" spans="1:27" ht="16.2" thickBot="1" x14ac:dyDescent="0.35">
      <c r="A23" s="9">
        <v>44733</v>
      </c>
      <c r="B23" s="39">
        <v>324</v>
      </c>
      <c r="C23" s="145">
        <v>19760</v>
      </c>
      <c r="D23" s="39">
        <f t="shared" si="1"/>
        <v>640</v>
      </c>
      <c r="E23" s="146">
        <v>31546120</v>
      </c>
      <c r="F23" s="39">
        <f t="shared" si="2"/>
        <v>16958</v>
      </c>
      <c r="G23" s="147">
        <v>751160</v>
      </c>
      <c r="H23" s="39">
        <f t="shared" si="3"/>
        <v>42415</v>
      </c>
      <c r="I23" s="148">
        <f t="shared" si="4"/>
        <v>59373</v>
      </c>
      <c r="J23" s="146">
        <v>29620</v>
      </c>
      <c r="K23" s="39">
        <f t="shared" si="12"/>
        <v>8696</v>
      </c>
      <c r="L23" s="149">
        <v>236408</v>
      </c>
      <c r="M23" s="39">
        <f t="shared" si="5"/>
        <v>5353</v>
      </c>
      <c r="N23" s="146">
        <v>6798658</v>
      </c>
      <c r="O23" s="39">
        <f t="shared" si="13"/>
        <v>11432</v>
      </c>
      <c r="P23" s="149">
        <v>6913672</v>
      </c>
      <c r="Q23" s="39">
        <f t="shared" si="6"/>
        <v>10097</v>
      </c>
      <c r="R23" s="146">
        <v>21446792</v>
      </c>
      <c r="S23" s="39">
        <f t="shared" si="7"/>
        <v>8298</v>
      </c>
      <c r="T23" s="146">
        <v>0</v>
      </c>
      <c r="U23" s="150"/>
      <c r="V23" s="146">
        <v>9397774</v>
      </c>
      <c r="W23" s="39">
        <f t="shared" si="8"/>
        <v>9364</v>
      </c>
      <c r="X23" s="19">
        <f t="shared" si="9"/>
        <v>53240</v>
      </c>
      <c r="Y23" s="151">
        <f t="shared" si="10"/>
        <v>6133</v>
      </c>
      <c r="Z23" s="3">
        <f t="shared" si="11"/>
        <v>7403.5461344000005</v>
      </c>
      <c r="AA23" s="3">
        <f>SUM(Z1:Z23)</f>
        <v>196757.89334240006</v>
      </c>
    </row>
    <row r="24" spans="1:27" ht="16.2" thickBot="1" x14ac:dyDescent="0.35">
      <c r="A24" s="9">
        <v>44734</v>
      </c>
      <c r="B24" s="39">
        <v>137</v>
      </c>
      <c r="C24" s="145">
        <v>19764</v>
      </c>
      <c r="D24" s="39">
        <f t="shared" si="1"/>
        <v>640</v>
      </c>
      <c r="E24" s="146">
        <v>31568036</v>
      </c>
      <c r="F24" s="39">
        <f t="shared" si="2"/>
        <v>21916</v>
      </c>
      <c r="G24" s="147">
        <v>804513</v>
      </c>
      <c r="H24" s="39">
        <f t="shared" si="3"/>
        <v>53353</v>
      </c>
      <c r="I24" s="148">
        <f t="shared" si="4"/>
        <v>75269</v>
      </c>
      <c r="J24" s="146">
        <v>34845</v>
      </c>
      <c r="K24" s="39">
        <f t="shared" si="12"/>
        <v>10450</v>
      </c>
      <c r="L24" s="149">
        <v>243232</v>
      </c>
      <c r="M24" s="39">
        <f t="shared" si="5"/>
        <v>6824</v>
      </c>
      <c r="N24" s="146">
        <v>6806116</v>
      </c>
      <c r="O24" s="39">
        <f t="shared" si="13"/>
        <v>14916</v>
      </c>
      <c r="P24" s="149">
        <v>6926638</v>
      </c>
      <c r="Q24" s="39">
        <f t="shared" si="6"/>
        <v>12966</v>
      </c>
      <c r="R24" s="146">
        <v>21457188</v>
      </c>
      <c r="S24" s="39">
        <f t="shared" si="7"/>
        <v>10396</v>
      </c>
      <c r="T24" s="146">
        <v>0</v>
      </c>
      <c r="U24" s="150"/>
      <c r="V24" s="146">
        <v>9409573</v>
      </c>
      <c r="W24" s="39">
        <f t="shared" si="8"/>
        <v>11799</v>
      </c>
      <c r="X24" s="19">
        <f t="shared" si="9"/>
        <v>67351</v>
      </c>
      <c r="Y24" s="151">
        <f t="shared" si="10"/>
        <v>7918</v>
      </c>
      <c r="Z24" s="3">
        <f t="shared" si="11"/>
        <v>9423.48524</v>
      </c>
      <c r="AA24" s="3">
        <f>SUM(Z1:Z24)</f>
        <v>206181.37858240007</v>
      </c>
    </row>
    <row r="25" spans="1:27" ht="16.2" thickBot="1" x14ac:dyDescent="0.35">
      <c r="A25" s="9">
        <v>44735</v>
      </c>
      <c r="B25" s="39">
        <v>200</v>
      </c>
      <c r="C25" s="145">
        <v>19768</v>
      </c>
      <c r="D25" s="39">
        <f t="shared" si="1"/>
        <v>640</v>
      </c>
      <c r="E25" s="146">
        <v>31587953</v>
      </c>
      <c r="F25" s="39">
        <f t="shared" si="2"/>
        <v>19917</v>
      </c>
      <c r="G25" s="147">
        <v>852788</v>
      </c>
      <c r="H25" s="39">
        <f t="shared" si="3"/>
        <v>48275</v>
      </c>
      <c r="I25" s="148">
        <f t="shared" si="4"/>
        <v>68192</v>
      </c>
      <c r="J25" s="146">
        <v>39434</v>
      </c>
      <c r="K25" s="39">
        <f t="shared" si="12"/>
        <v>9178</v>
      </c>
      <c r="L25" s="149">
        <v>249394</v>
      </c>
      <c r="M25" s="39">
        <f t="shared" si="5"/>
        <v>6162</v>
      </c>
      <c r="N25" s="146">
        <v>6812892</v>
      </c>
      <c r="O25" s="39">
        <f t="shared" si="13"/>
        <v>13552</v>
      </c>
      <c r="P25" s="149">
        <v>6938549</v>
      </c>
      <c r="Q25" s="39">
        <f t="shared" si="6"/>
        <v>11911</v>
      </c>
      <c r="R25" s="146">
        <v>21466598</v>
      </c>
      <c r="S25" s="39">
        <f t="shared" si="7"/>
        <v>9410</v>
      </c>
      <c r="T25" s="146">
        <v>0</v>
      </c>
      <c r="U25" s="150"/>
      <c r="V25" s="146">
        <v>9420227</v>
      </c>
      <c r="W25" s="39">
        <f t="shared" si="8"/>
        <v>10654</v>
      </c>
      <c r="X25" s="19">
        <f t="shared" si="9"/>
        <v>60867</v>
      </c>
      <c r="Y25" s="151">
        <f t="shared" si="10"/>
        <v>7325</v>
      </c>
      <c r="Z25" s="3">
        <f t="shared" si="11"/>
        <v>8556.0653567999998</v>
      </c>
      <c r="AA25" s="3">
        <f>SUM(Z1:Z25)</f>
        <v>214737.44393920008</v>
      </c>
    </row>
    <row r="26" spans="1:27" ht="16.2" thickBot="1" x14ac:dyDescent="0.35">
      <c r="A26" s="9">
        <v>44736</v>
      </c>
      <c r="B26" s="39">
        <v>240</v>
      </c>
      <c r="C26" s="145">
        <v>19773</v>
      </c>
      <c r="D26" s="39">
        <f t="shared" si="1"/>
        <v>800</v>
      </c>
      <c r="E26" s="146">
        <v>31614072</v>
      </c>
      <c r="F26" s="39">
        <f t="shared" si="2"/>
        <v>26119</v>
      </c>
      <c r="G26" s="147">
        <v>914973</v>
      </c>
      <c r="H26" s="39">
        <f t="shared" si="3"/>
        <v>62185</v>
      </c>
      <c r="I26" s="148">
        <f t="shared" si="4"/>
        <v>88304</v>
      </c>
      <c r="J26" s="146">
        <v>44268</v>
      </c>
      <c r="K26" s="39">
        <f t="shared" si="12"/>
        <v>9668</v>
      </c>
      <c r="L26" s="149">
        <v>257345</v>
      </c>
      <c r="M26" s="39">
        <f t="shared" si="5"/>
        <v>7951</v>
      </c>
      <c r="N26" s="146">
        <v>6821863</v>
      </c>
      <c r="O26" s="39">
        <f t="shared" si="13"/>
        <v>17942</v>
      </c>
      <c r="P26" s="149">
        <v>6954526</v>
      </c>
      <c r="Q26" s="39">
        <f t="shared" si="6"/>
        <v>15977</v>
      </c>
      <c r="R26" s="146">
        <v>21478765</v>
      </c>
      <c r="S26" s="39">
        <f t="shared" si="7"/>
        <v>12167</v>
      </c>
      <c r="T26" s="146">
        <v>0</v>
      </c>
      <c r="U26" s="150"/>
      <c r="V26" s="146">
        <v>9434192</v>
      </c>
      <c r="W26" s="39">
        <f t="shared" si="8"/>
        <v>13965</v>
      </c>
      <c r="X26" s="19">
        <f t="shared" si="9"/>
        <v>77670</v>
      </c>
      <c r="Y26" s="151">
        <f t="shared" si="10"/>
        <v>10634</v>
      </c>
      <c r="Z26" s="3">
        <f t="shared" si="11"/>
        <v>11253.019398400002</v>
      </c>
      <c r="AA26" s="3">
        <f>SUM(Z1:Z26)</f>
        <v>225990.46333760009</v>
      </c>
    </row>
    <row r="27" spans="1:27" ht="16.2" thickBot="1" x14ac:dyDescent="0.35">
      <c r="A27" s="9">
        <v>44737</v>
      </c>
      <c r="B27" s="39">
        <v>169</v>
      </c>
      <c r="C27" s="145">
        <v>19778</v>
      </c>
      <c r="D27" s="39">
        <f t="shared" si="1"/>
        <v>800</v>
      </c>
      <c r="E27" s="146">
        <v>31636668</v>
      </c>
      <c r="F27" s="39">
        <f t="shared" si="2"/>
        <v>22596</v>
      </c>
      <c r="G27" s="147">
        <v>971819</v>
      </c>
      <c r="H27" s="39">
        <f t="shared" si="3"/>
        <v>56846</v>
      </c>
      <c r="I27" s="148">
        <f t="shared" si="4"/>
        <v>79442</v>
      </c>
      <c r="J27" s="146">
        <v>48606</v>
      </c>
      <c r="K27" s="39">
        <f t="shared" si="12"/>
        <v>8676</v>
      </c>
      <c r="L27" s="149">
        <v>264459</v>
      </c>
      <c r="M27" s="39">
        <f t="shared" si="5"/>
        <v>7114</v>
      </c>
      <c r="N27" s="146">
        <v>6829490</v>
      </c>
      <c r="O27" s="39">
        <f t="shared" si="13"/>
        <v>15254</v>
      </c>
      <c r="P27" s="149">
        <v>6968985</v>
      </c>
      <c r="Q27" s="39">
        <f t="shared" si="6"/>
        <v>14459</v>
      </c>
      <c r="R27" s="146">
        <v>21490090</v>
      </c>
      <c r="S27" s="39">
        <f t="shared" si="7"/>
        <v>11325</v>
      </c>
      <c r="T27" s="146">
        <v>0</v>
      </c>
      <c r="U27" s="150"/>
      <c r="V27" s="146">
        <v>9446991</v>
      </c>
      <c r="W27" s="39">
        <f t="shared" si="8"/>
        <v>12799</v>
      </c>
      <c r="X27" s="19">
        <f t="shared" si="9"/>
        <v>69627</v>
      </c>
      <c r="Y27" s="151">
        <f t="shared" si="10"/>
        <v>9815</v>
      </c>
      <c r="Z27" s="3">
        <f t="shared" si="11"/>
        <v>10156.753068800001</v>
      </c>
      <c r="AA27" s="3">
        <f>SUM(Z1:Z27)</f>
        <v>236147.21640640008</v>
      </c>
    </row>
    <row r="28" spans="1:27" ht="16.2" thickBot="1" x14ac:dyDescent="0.35">
      <c r="A28" s="9">
        <v>44738</v>
      </c>
      <c r="B28" s="39">
        <v>213</v>
      </c>
      <c r="C28" s="145">
        <v>19783</v>
      </c>
      <c r="D28" s="39">
        <f t="shared" si="1"/>
        <v>800</v>
      </c>
      <c r="E28" s="146">
        <v>31657739</v>
      </c>
      <c r="F28" s="39">
        <f t="shared" si="2"/>
        <v>21071</v>
      </c>
      <c r="G28" s="147">
        <v>1025590</v>
      </c>
      <c r="H28" s="39">
        <f t="shared" si="3"/>
        <v>53771</v>
      </c>
      <c r="I28" s="148">
        <f t="shared" si="4"/>
        <v>74842</v>
      </c>
      <c r="J28" s="146">
        <v>53405</v>
      </c>
      <c r="K28" s="39">
        <f t="shared" si="12"/>
        <v>9598</v>
      </c>
      <c r="L28" s="149">
        <v>271247</v>
      </c>
      <c r="M28" s="39">
        <f t="shared" si="5"/>
        <v>6788</v>
      </c>
      <c r="N28" s="146">
        <v>6836552</v>
      </c>
      <c r="O28" s="39">
        <f t="shared" si="13"/>
        <v>14124</v>
      </c>
      <c r="P28" s="149">
        <v>6982232</v>
      </c>
      <c r="Q28" s="39">
        <f t="shared" si="6"/>
        <v>13247</v>
      </c>
      <c r="R28" s="146">
        <v>21500567</v>
      </c>
      <c r="S28" s="39">
        <f t="shared" si="7"/>
        <v>10477</v>
      </c>
      <c r="T28" s="146">
        <v>0</v>
      </c>
      <c r="U28" s="150"/>
      <c r="V28" s="146">
        <v>9459044</v>
      </c>
      <c r="W28" s="39">
        <f t="shared" si="8"/>
        <v>12053</v>
      </c>
      <c r="X28" s="19">
        <f t="shared" si="9"/>
        <v>66287</v>
      </c>
      <c r="Y28" s="151">
        <f t="shared" si="10"/>
        <v>8555</v>
      </c>
      <c r="Z28" s="3">
        <f t="shared" si="11"/>
        <v>9430.8183840000002</v>
      </c>
      <c r="AA28" s="3">
        <f>SUM(Z1:Z28)</f>
        <v>245578.0347904001</v>
      </c>
    </row>
    <row r="29" spans="1:27" ht="16.2" thickBot="1" x14ac:dyDescent="0.35">
      <c r="A29" s="9">
        <v>44739</v>
      </c>
      <c r="B29" s="39">
        <v>286</v>
      </c>
      <c r="C29" s="145">
        <v>19787</v>
      </c>
      <c r="D29" s="39">
        <f t="shared" si="1"/>
        <v>640</v>
      </c>
      <c r="E29" s="146">
        <v>31677428</v>
      </c>
      <c r="F29" s="39">
        <f t="shared" si="2"/>
        <v>19689</v>
      </c>
      <c r="G29" s="147">
        <v>1076024</v>
      </c>
      <c r="H29" s="39">
        <f t="shared" si="3"/>
        <v>50434</v>
      </c>
      <c r="I29" s="148">
        <f t="shared" si="4"/>
        <v>70123</v>
      </c>
      <c r="J29" s="146">
        <v>58474</v>
      </c>
      <c r="K29" s="39">
        <f t="shared" si="12"/>
        <v>10138</v>
      </c>
      <c r="L29" s="149">
        <v>277452</v>
      </c>
      <c r="M29" s="39">
        <f t="shared" si="5"/>
        <v>6205</v>
      </c>
      <c r="N29" s="146">
        <v>6843205</v>
      </c>
      <c r="O29" s="39">
        <f t="shared" si="13"/>
        <v>13306</v>
      </c>
      <c r="P29" s="149">
        <v>6994782</v>
      </c>
      <c r="Q29" s="39">
        <f t="shared" si="6"/>
        <v>12550</v>
      </c>
      <c r="R29" s="146">
        <v>21510200</v>
      </c>
      <c r="S29" s="39">
        <f t="shared" si="7"/>
        <v>9633</v>
      </c>
      <c r="T29" s="146">
        <v>0</v>
      </c>
      <c r="U29" s="150"/>
      <c r="V29" s="146">
        <v>9470108</v>
      </c>
      <c r="W29" s="39">
        <f t="shared" si="8"/>
        <v>11064</v>
      </c>
      <c r="X29" s="19">
        <f t="shared" si="9"/>
        <v>62896</v>
      </c>
      <c r="Y29" s="151">
        <f t="shared" si="10"/>
        <v>7227</v>
      </c>
      <c r="Z29" s="3">
        <f t="shared" si="11"/>
        <v>8766.5979024000007</v>
      </c>
      <c r="AA29" s="3">
        <f>SUM(Z1:Z29)</f>
        <v>254344.63269280011</v>
      </c>
    </row>
    <row r="30" spans="1:27" ht="16.2" thickBot="1" x14ac:dyDescent="0.35">
      <c r="A30" s="9">
        <v>44740</v>
      </c>
      <c r="B30" s="39">
        <v>219</v>
      </c>
      <c r="C30" s="145">
        <v>19791</v>
      </c>
      <c r="D30" s="39">
        <f>IF((C30-C29)&lt;0,"0",(C30-C29))*160</f>
        <v>640</v>
      </c>
      <c r="E30" s="146">
        <v>31702633</v>
      </c>
      <c r="F30" s="39">
        <f>IF((E30-E29)&lt;0,"0",(E30-E29))</f>
        <v>25205</v>
      </c>
      <c r="G30" s="147">
        <v>1140903</v>
      </c>
      <c r="H30" s="39">
        <f t="shared" si="3"/>
        <v>64879</v>
      </c>
      <c r="I30" s="148">
        <f t="shared" si="4"/>
        <v>90084</v>
      </c>
      <c r="J30" s="146">
        <v>65286</v>
      </c>
      <c r="K30" s="39">
        <f>(IF((J30-J29)&lt;0,"0",(J30-J29)))*2</f>
        <v>13624</v>
      </c>
      <c r="L30" s="149">
        <v>285160</v>
      </c>
      <c r="M30" s="39">
        <f>IF((L30-L29)&lt;0,"0",(L30-L29))</f>
        <v>7708</v>
      </c>
      <c r="N30" s="146">
        <v>6851845</v>
      </c>
      <c r="O30" s="39">
        <f>(IF((N30-N29)&lt;0,"0",(N30-N29)))*2</f>
        <v>17280</v>
      </c>
      <c r="P30" s="149">
        <v>7010845</v>
      </c>
      <c r="Q30" s="39">
        <f>IF((P30-P29)&lt;0,"0",(P30-P29))</f>
        <v>16063</v>
      </c>
      <c r="R30" s="146">
        <v>21522672</v>
      </c>
      <c r="S30" s="39">
        <f>IF((R30-R29)&lt;0,"0",(R30-R29))</f>
        <v>12472</v>
      </c>
      <c r="T30" s="146">
        <v>0</v>
      </c>
      <c r="U30" s="150"/>
      <c r="V30" s="146">
        <v>9484177</v>
      </c>
      <c r="W30" s="39">
        <f>IF((V30-V29)&lt;0,"0",(V30-V29))</f>
        <v>14069</v>
      </c>
      <c r="X30" s="19">
        <f t="shared" si="9"/>
        <v>81216</v>
      </c>
      <c r="Y30" s="151">
        <f t="shared" si="10"/>
        <v>8868</v>
      </c>
      <c r="Z30" s="3">
        <f t="shared" si="11"/>
        <v>11268.9035472</v>
      </c>
      <c r="AA30" s="3">
        <f>SUM(Z1:Z30)</f>
        <v>265613.5362400001</v>
      </c>
    </row>
    <row r="31" spans="1:27" ht="16.2" thickBot="1" x14ac:dyDescent="0.35">
      <c r="A31" s="9">
        <v>44741</v>
      </c>
      <c r="B31" s="39">
        <v>225</v>
      </c>
      <c r="C31" s="145">
        <v>19795</v>
      </c>
      <c r="D31" s="39">
        <f t="shared" ref="D31:D32" si="25">IF((C31-C30)&lt;0,"0",(C31-C30))*160</f>
        <v>640</v>
      </c>
      <c r="E31" s="146">
        <v>31721699</v>
      </c>
      <c r="F31" s="39">
        <f t="shared" ref="F31:F32" si="26">IF((E31-E30)&lt;0,"0",(E31-E30))</f>
        <v>19066</v>
      </c>
      <c r="G31" s="147">
        <v>1188856</v>
      </c>
      <c r="H31" s="39">
        <f t="shared" si="3"/>
        <v>47953</v>
      </c>
      <c r="I31" s="148">
        <f t="shared" ref="I31:I32" si="27">F31+H31</f>
        <v>67019</v>
      </c>
      <c r="J31" s="146">
        <v>70299</v>
      </c>
      <c r="K31" s="39">
        <f t="shared" ref="K31:K32" si="28">(IF((J31-J30)&lt;0,"0",(J31-J30)))*2</f>
        <v>10026</v>
      </c>
      <c r="L31" s="149">
        <v>291086</v>
      </c>
      <c r="M31" s="39">
        <f t="shared" ref="M31:M32" si="29">IF((L31-L30)&lt;0,"0",(L31-L30))</f>
        <v>5926</v>
      </c>
      <c r="N31" s="146">
        <v>6858327</v>
      </c>
      <c r="O31" s="39">
        <f t="shared" ref="O31:O32" si="30">(IF((N31-N30)&lt;0,"0",(N31-N30)))*2</f>
        <v>12964</v>
      </c>
      <c r="P31" s="149">
        <v>7022822</v>
      </c>
      <c r="Q31" s="39">
        <f t="shared" ref="Q31:Q32" si="31">IF((P31-P30)&lt;0,"0",(P31-P30))</f>
        <v>11977</v>
      </c>
      <c r="R31" s="146">
        <v>21531558</v>
      </c>
      <c r="S31" s="39">
        <f t="shared" ref="S31:S32" si="32">IF((R31-R30)&lt;0,"0",(R31-R30))</f>
        <v>8886</v>
      </c>
      <c r="T31" s="146">
        <v>0</v>
      </c>
      <c r="U31" s="150"/>
      <c r="V31" s="146">
        <v>9494718</v>
      </c>
      <c r="W31" s="39">
        <f t="shared" ref="W31:W32" si="33">IF((V31-V30)&lt;0,"0",(V31-V30))</f>
        <v>10541</v>
      </c>
      <c r="X31" s="19">
        <f t="shared" ref="X31:X32" si="34">K31+M31+O31+Q31+S31+U31+W31</f>
        <v>60320</v>
      </c>
      <c r="Y31" s="151">
        <f t="shared" ref="Y31:Y32" si="35">I31-X31</f>
        <v>6699</v>
      </c>
      <c r="Z31" s="3">
        <f t="shared" ref="Z31:Z32" si="36">(0.93352*(W31+S31)+0.5568*(Q31+O31))*0.26</f>
        <v>8325.8868784000006</v>
      </c>
      <c r="AA31" s="3">
        <f>SUM(Z1:Z31)</f>
        <v>273939.4231184001</v>
      </c>
    </row>
    <row r="32" spans="1:27" ht="16.2" thickBot="1" x14ac:dyDescent="0.35">
      <c r="A32" s="9">
        <v>44742</v>
      </c>
      <c r="B32" s="39">
        <v>172</v>
      </c>
      <c r="C32" s="145">
        <v>19799</v>
      </c>
      <c r="D32" s="39">
        <f t="shared" si="25"/>
        <v>640</v>
      </c>
      <c r="E32" s="146">
        <v>31740258</v>
      </c>
      <c r="F32" s="39">
        <f t="shared" si="26"/>
        <v>18559</v>
      </c>
      <c r="G32" s="147">
        <v>1234650</v>
      </c>
      <c r="H32" s="39">
        <f t="shared" si="3"/>
        <v>45794</v>
      </c>
      <c r="I32" s="148">
        <f t="shared" si="27"/>
        <v>64353</v>
      </c>
      <c r="J32" s="146">
        <v>74032</v>
      </c>
      <c r="K32" s="39">
        <f t="shared" si="28"/>
        <v>7466</v>
      </c>
      <c r="L32" s="149">
        <v>296483</v>
      </c>
      <c r="M32" s="39">
        <f t="shared" si="29"/>
        <v>5397</v>
      </c>
      <c r="N32" s="146">
        <v>6864831</v>
      </c>
      <c r="O32" s="39">
        <f t="shared" si="30"/>
        <v>13008</v>
      </c>
      <c r="P32" s="149">
        <v>7034662</v>
      </c>
      <c r="Q32" s="39">
        <f t="shared" si="31"/>
        <v>11840</v>
      </c>
      <c r="R32" s="146">
        <v>21540253</v>
      </c>
      <c r="S32" s="39">
        <f t="shared" si="32"/>
        <v>8695</v>
      </c>
      <c r="T32" s="146">
        <v>0</v>
      </c>
      <c r="U32" s="150"/>
      <c r="V32" s="146">
        <v>9504597</v>
      </c>
      <c r="W32" s="39">
        <f t="shared" si="33"/>
        <v>9879</v>
      </c>
      <c r="X32" s="19">
        <f t="shared" si="34"/>
        <v>56285</v>
      </c>
      <c r="Y32" s="151">
        <f t="shared" si="35"/>
        <v>8068</v>
      </c>
      <c r="Z32" s="3">
        <f t="shared" si="36"/>
        <v>8105.3873887999998</v>
      </c>
      <c r="AA32" s="3">
        <f>SUM(Z1:Z32)</f>
        <v>282044.81050720008</v>
      </c>
    </row>
    <row r="33" spans="1:27" ht="16.2" thickBot="1" x14ac:dyDescent="0.35">
      <c r="A33" s="137" t="s">
        <v>23</v>
      </c>
      <c r="B33" s="137">
        <f>SUM(B3:B32)</f>
        <v>6524</v>
      </c>
      <c r="C33" s="137">
        <v>0</v>
      </c>
      <c r="D33" s="137">
        <f>SUM(D3:D32)</f>
        <v>19680</v>
      </c>
      <c r="E33" s="56">
        <v>0</v>
      </c>
      <c r="F33" s="56">
        <f>SUM(F3:F32)</f>
        <v>644680</v>
      </c>
      <c r="G33" s="56">
        <v>0</v>
      </c>
      <c r="H33" s="56">
        <f>SUM(H3:H32)</f>
        <v>1593828</v>
      </c>
      <c r="I33" s="56">
        <f>SUM(I3:I32)</f>
        <v>2238508</v>
      </c>
      <c r="J33" s="56">
        <v>0</v>
      </c>
      <c r="K33" s="56">
        <f>SUM(K3:K32)</f>
        <v>300177</v>
      </c>
      <c r="L33" s="56">
        <v>0</v>
      </c>
      <c r="M33" s="56">
        <f>SUM(M3:M32)</f>
        <v>201751</v>
      </c>
      <c r="N33" s="56">
        <v>0</v>
      </c>
      <c r="O33" s="56">
        <f>SUM(O3:O32)</f>
        <v>437150</v>
      </c>
      <c r="P33" s="56">
        <v>0</v>
      </c>
      <c r="Q33" s="56">
        <f>SUM(Q3:Q32)</f>
        <v>398406</v>
      </c>
      <c r="R33" s="56">
        <v>0</v>
      </c>
      <c r="S33" s="56">
        <f>SUM(S3:S32)</f>
        <v>318020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345651</v>
      </c>
      <c r="X33" s="56">
        <f>SUM(X3:X32)</f>
        <v>2001155</v>
      </c>
      <c r="Y33" s="56">
        <f>SUM(Y3:Y32)</f>
        <v>237353</v>
      </c>
      <c r="Z33" s="56">
        <f>SUM(Z3:Z32)</f>
        <v>282044.81050720008</v>
      </c>
      <c r="AA33" s="56">
        <f>SUM(AA3:AA32)</f>
        <v>4371688.0899536004</v>
      </c>
    </row>
    <row r="35" spans="1:27" x14ac:dyDescent="0.3">
      <c r="H35" s="166"/>
    </row>
    <row r="36" spans="1:27" x14ac:dyDescent="0.3">
      <c r="D36" s="164"/>
      <c r="H36" s="166"/>
    </row>
    <row r="37" spans="1:27" x14ac:dyDescent="0.3">
      <c r="E37" s="166"/>
      <c r="F37" s="166"/>
    </row>
    <row r="39" spans="1:27" x14ac:dyDescent="0.3">
      <c r="E39" s="166"/>
      <c r="H39" s="166"/>
      <c r="L39" s="166"/>
    </row>
    <row r="42" spans="1:27" x14ac:dyDescent="0.3">
      <c r="J42" s="166"/>
    </row>
    <row r="44" spans="1:27" ht="15" x14ac:dyDescent="0.25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3"/>
  <sheetViews>
    <sheetView zoomScaleNormal="100" workbookViewId="0">
      <pane ySplit="1" topLeftCell="A2" activePane="bottomLeft" state="frozen"/>
      <selection pane="bottomLeft" activeCell="B35" sqref="B35"/>
    </sheetView>
  </sheetViews>
  <sheetFormatPr defaultRowHeight="13.2" x14ac:dyDescent="0.25"/>
  <cols>
    <col min="1" max="1" width="20.88671875" style="16" bestFit="1" customWidth="1"/>
    <col min="2" max="2" width="20.6640625" bestFit="1" customWidth="1"/>
    <col min="3" max="3" width="14.109375" customWidth="1"/>
    <col min="4" max="4" width="16.5546875" bestFit="1" customWidth="1"/>
    <col min="5" max="5" width="19.88671875" bestFit="1" customWidth="1"/>
    <col min="6" max="6" width="15.5546875" bestFit="1" customWidth="1"/>
    <col min="7" max="7" width="13.6640625" bestFit="1" customWidth="1"/>
    <col min="8" max="8" width="12.88671875" bestFit="1" customWidth="1"/>
    <col min="9" max="9" width="15" style="36" bestFit="1" customWidth="1"/>
    <col min="10" max="10" width="17.5546875" bestFit="1" customWidth="1"/>
    <col min="11" max="11" width="16.109375" bestFit="1" customWidth="1"/>
    <col min="13" max="13" width="10" bestFit="1" customWidth="1"/>
    <col min="25" max="25" width="18.33203125" bestFit="1" customWidth="1"/>
  </cols>
  <sheetData>
    <row r="1" spans="1:14" ht="16.2" thickBot="1" x14ac:dyDescent="0.35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2" thickBot="1" x14ac:dyDescent="0.35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2" thickBot="1" x14ac:dyDescent="0.35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2" thickBot="1" x14ac:dyDescent="0.35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2" thickBot="1" x14ac:dyDescent="0.35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2" thickBot="1" x14ac:dyDescent="0.35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2" thickBot="1" x14ac:dyDescent="0.35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2" thickBot="1" x14ac:dyDescent="0.35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2" thickBot="1" x14ac:dyDescent="0.35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2" thickBot="1" x14ac:dyDescent="0.35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2" thickBot="1" x14ac:dyDescent="0.35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2" thickBot="1" x14ac:dyDescent="0.35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2" thickBot="1" x14ac:dyDescent="0.35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2" thickBot="1" x14ac:dyDescent="0.35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2" thickBot="1" x14ac:dyDescent="0.35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2" thickBot="1" x14ac:dyDescent="0.35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2" thickBot="1" x14ac:dyDescent="0.35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2" thickBot="1" x14ac:dyDescent="0.35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2" thickBot="1" x14ac:dyDescent="0.35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2" thickBot="1" x14ac:dyDescent="0.35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2" thickBot="1" x14ac:dyDescent="0.35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2" thickBot="1" x14ac:dyDescent="0.35">
      <c r="A22" s="9">
        <v>44732</v>
      </c>
      <c r="B22" s="3">
        <v>452284</v>
      </c>
      <c r="C22" s="39">
        <f t="shared" si="5"/>
        <v>940</v>
      </c>
      <c r="D22" s="3">
        <v>9765</v>
      </c>
      <c r="E22" s="39">
        <f t="shared" si="6"/>
        <v>500</v>
      </c>
      <c r="F22" s="3">
        <v>9705700</v>
      </c>
      <c r="G22" s="39">
        <f t="shared" si="3"/>
        <v>410.4</v>
      </c>
      <c r="H22" s="3">
        <v>797768</v>
      </c>
      <c r="I22" s="44">
        <f t="shared" si="4"/>
        <v>5.0759999999999996</v>
      </c>
      <c r="J22" s="19">
        <f t="shared" si="1"/>
        <v>1855.4760000000001</v>
      </c>
      <c r="K22" s="20">
        <f t="shared" si="2"/>
        <v>10873.089360000002</v>
      </c>
      <c r="P22" t="s">
        <v>12</v>
      </c>
      <c r="S22" s="26" t="s">
        <v>12</v>
      </c>
    </row>
    <row r="23" spans="1:25" ht="16.2" thickBot="1" x14ac:dyDescent="0.35">
      <c r="A23" s="9">
        <v>44733</v>
      </c>
      <c r="B23" s="3">
        <v>452383</v>
      </c>
      <c r="C23" s="39">
        <f t="shared" si="5"/>
        <v>990</v>
      </c>
      <c r="D23" s="3">
        <v>9803</v>
      </c>
      <c r="E23" s="39">
        <f t="shared" si="6"/>
        <v>380</v>
      </c>
      <c r="F23" s="3">
        <v>9725300</v>
      </c>
      <c r="G23" s="39">
        <f t="shared" si="3"/>
        <v>529.20000000000005</v>
      </c>
      <c r="H23" s="3">
        <v>797926</v>
      </c>
      <c r="I23" s="44">
        <f t="shared" si="4"/>
        <v>4.266</v>
      </c>
      <c r="J23" s="19">
        <f t="shared" si="1"/>
        <v>1903.4660000000001</v>
      </c>
      <c r="K23" s="20">
        <f t="shared" si="2"/>
        <v>11154.310760000002</v>
      </c>
      <c r="Q23" t="s">
        <v>12</v>
      </c>
    </row>
    <row r="24" spans="1:25" ht="16.2" thickBot="1" x14ac:dyDescent="0.35">
      <c r="A24" s="9">
        <v>44734</v>
      </c>
      <c r="B24" s="3">
        <v>452482</v>
      </c>
      <c r="C24" s="39">
        <f t="shared" si="5"/>
        <v>990</v>
      </c>
      <c r="D24" s="3">
        <v>9846</v>
      </c>
      <c r="E24" s="39">
        <f t="shared" si="6"/>
        <v>430</v>
      </c>
      <c r="F24" s="3">
        <v>9740100</v>
      </c>
      <c r="G24" s="39">
        <f t="shared" si="3"/>
        <v>399.6</v>
      </c>
      <c r="H24" s="3">
        <v>798090</v>
      </c>
      <c r="I24" s="44">
        <f t="shared" si="4"/>
        <v>4.4279999999999999</v>
      </c>
      <c r="J24" s="19">
        <f t="shared" si="1"/>
        <v>1824.028</v>
      </c>
      <c r="K24" s="20">
        <f t="shared" si="2"/>
        <v>10688.80408</v>
      </c>
    </row>
    <row r="25" spans="1:25" ht="17.25" customHeight="1" thickBot="1" x14ac:dyDescent="0.45">
      <c r="A25" s="9">
        <v>44735</v>
      </c>
      <c r="B25" s="3">
        <v>452574</v>
      </c>
      <c r="C25" s="39">
        <f t="shared" si="5"/>
        <v>920</v>
      </c>
      <c r="D25" s="3">
        <v>9896</v>
      </c>
      <c r="E25" s="39">
        <f t="shared" si="6"/>
        <v>500</v>
      </c>
      <c r="F25" s="3">
        <v>9757400</v>
      </c>
      <c r="G25" s="39">
        <f t="shared" si="3"/>
        <v>467.1</v>
      </c>
      <c r="H25" s="3">
        <v>798272</v>
      </c>
      <c r="I25" s="44">
        <f t="shared" si="4"/>
        <v>4.9139999999999997</v>
      </c>
      <c r="J25" s="19">
        <f t="shared" si="1"/>
        <v>1892.0139999999999</v>
      </c>
      <c r="K25" s="20">
        <f t="shared" si="2"/>
        <v>11087.20204</v>
      </c>
      <c r="Y25" s="55"/>
    </row>
    <row r="26" spans="1:25" ht="16.2" thickBot="1" x14ac:dyDescent="0.35">
      <c r="A26" s="9">
        <v>44736</v>
      </c>
      <c r="B26" s="3">
        <v>452674</v>
      </c>
      <c r="C26" s="39">
        <f t="shared" si="5"/>
        <v>1000</v>
      </c>
      <c r="D26" s="3">
        <v>9942</v>
      </c>
      <c r="E26" s="39">
        <f t="shared" si="6"/>
        <v>460</v>
      </c>
      <c r="F26" s="3">
        <v>9776300</v>
      </c>
      <c r="G26" s="39">
        <f t="shared" si="3"/>
        <v>510.3</v>
      </c>
      <c r="H26" s="3">
        <v>798415</v>
      </c>
      <c r="I26" s="44">
        <f t="shared" si="4"/>
        <v>3.8609999999999998</v>
      </c>
      <c r="J26" s="19">
        <f t="shared" si="1"/>
        <v>1974.1610000000001</v>
      </c>
      <c r="K26" s="20">
        <f t="shared" si="2"/>
        <v>11568.583460000002</v>
      </c>
      <c r="L26" t="s">
        <v>12</v>
      </c>
    </row>
    <row r="27" spans="1:25" ht="16.2" thickBot="1" x14ac:dyDescent="0.35">
      <c r="A27" s="9">
        <v>44737</v>
      </c>
      <c r="B27" s="3">
        <v>452799</v>
      </c>
      <c r="C27" s="39">
        <f t="shared" si="5"/>
        <v>1250</v>
      </c>
      <c r="D27" s="3">
        <v>9993</v>
      </c>
      <c r="E27" s="39">
        <f t="shared" si="6"/>
        <v>510</v>
      </c>
      <c r="F27" s="3">
        <v>9798800</v>
      </c>
      <c r="G27" s="39">
        <f t="shared" si="3"/>
        <v>607.5</v>
      </c>
      <c r="H27" s="3">
        <v>798581</v>
      </c>
      <c r="I27" s="44">
        <f t="shared" si="4"/>
        <v>4.4820000000000002</v>
      </c>
      <c r="J27" s="19">
        <f t="shared" si="1"/>
        <v>2371.982</v>
      </c>
      <c r="K27" s="20">
        <f t="shared" si="2"/>
        <v>13899.81452</v>
      </c>
      <c r="O27" t="s">
        <v>12</v>
      </c>
    </row>
    <row r="28" spans="1:25" ht="16.2" thickBot="1" x14ac:dyDescent="0.35">
      <c r="A28" s="9">
        <v>44738</v>
      </c>
      <c r="B28" s="3">
        <v>452891</v>
      </c>
      <c r="C28" s="39">
        <f t="shared" si="5"/>
        <v>920</v>
      </c>
      <c r="D28" s="3">
        <v>10044</v>
      </c>
      <c r="E28" s="39">
        <f t="shared" si="6"/>
        <v>510</v>
      </c>
      <c r="F28" s="3">
        <v>9817700</v>
      </c>
      <c r="G28" s="39">
        <f t="shared" si="3"/>
        <v>510.3</v>
      </c>
      <c r="H28" s="3">
        <v>798745</v>
      </c>
      <c r="I28" s="44">
        <f t="shared" si="4"/>
        <v>4.4279999999999999</v>
      </c>
      <c r="J28" s="19">
        <f t="shared" si="1"/>
        <v>1944.7280000000001</v>
      </c>
      <c r="K28" s="20">
        <f t="shared" si="2"/>
        <v>11396.106080000001</v>
      </c>
    </row>
    <row r="29" spans="1:25" ht="16.2" thickBot="1" x14ac:dyDescent="0.35">
      <c r="A29" s="9">
        <v>44739</v>
      </c>
      <c r="B29" s="3">
        <v>452998</v>
      </c>
      <c r="C29" s="39">
        <f t="shared" si="5"/>
        <v>1070</v>
      </c>
      <c r="D29" s="3">
        <v>10093</v>
      </c>
      <c r="E29" s="39">
        <f t="shared" si="6"/>
        <v>490</v>
      </c>
      <c r="F29" s="3">
        <v>9837000</v>
      </c>
      <c r="G29" s="39">
        <f t="shared" si="3"/>
        <v>521.1</v>
      </c>
      <c r="H29" s="3">
        <v>798951</v>
      </c>
      <c r="I29" s="44">
        <f t="shared" si="4"/>
        <v>5.5620000000000003</v>
      </c>
      <c r="J29" s="19">
        <f t="shared" si="1"/>
        <v>2086.6619999999998</v>
      </c>
      <c r="K29" s="20">
        <f t="shared" si="2"/>
        <v>12227.839319999999</v>
      </c>
    </row>
    <row r="30" spans="1:25" ht="16.2" thickBot="1" x14ac:dyDescent="0.35">
      <c r="A30" s="9">
        <v>44740</v>
      </c>
      <c r="B30" s="3">
        <v>453108</v>
      </c>
      <c r="C30" s="39">
        <f t="shared" si="5"/>
        <v>1100</v>
      </c>
      <c r="D30" s="3">
        <v>10137</v>
      </c>
      <c r="E30" s="39">
        <f t="shared" si="6"/>
        <v>440</v>
      </c>
      <c r="F30" s="3">
        <v>9866800</v>
      </c>
      <c r="G30" s="39">
        <f t="shared" si="3"/>
        <v>804.6</v>
      </c>
      <c r="H30" s="3">
        <v>799154</v>
      </c>
      <c r="I30" s="44">
        <f t="shared" si="4"/>
        <v>5.4809999999999999</v>
      </c>
      <c r="J30" s="19">
        <f t="shared" si="1"/>
        <v>2350.0810000000001</v>
      </c>
      <c r="K30" s="20">
        <f t="shared" si="2"/>
        <v>13771.474660000002</v>
      </c>
    </row>
    <row r="31" spans="1:25" ht="16.2" thickBot="1" x14ac:dyDescent="0.35">
      <c r="A31" s="9">
        <v>44741</v>
      </c>
      <c r="B31" s="3">
        <v>453219</v>
      </c>
      <c r="C31" s="39">
        <f t="shared" si="5"/>
        <v>1110</v>
      </c>
      <c r="D31" s="3">
        <v>10184</v>
      </c>
      <c r="E31" s="39">
        <f t="shared" si="6"/>
        <v>470</v>
      </c>
      <c r="F31" s="3">
        <v>9876700</v>
      </c>
      <c r="G31" s="39">
        <f t="shared" si="3"/>
        <v>267.3</v>
      </c>
      <c r="H31" s="3">
        <v>799337</v>
      </c>
      <c r="I31" s="44">
        <f t="shared" si="4"/>
        <v>4.9409999999999998</v>
      </c>
      <c r="J31" s="19">
        <f t="shared" si="1"/>
        <v>1852.241</v>
      </c>
      <c r="K31" s="20">
        <f t="shared" si="2"/>
        <v>10854.13226</v>
      </c>
    </row>
    <row r="32" spans="1:25" ht="16.2" thickBot="1" x14ac:dyDescent="0.35">
      <c r="A32" s="9">
        <v>44742</v>
      </c>
      <c r="B32" s="3">
        <v>453330</v>
      </c>
      <c r="C32" s="39">
        <f t="shared" si="5"/>
        <v>1110</v>
      </c>
      <c r="D32" s="3">
        <v>10231</v>
      </c>
      <c r="E32" s="39">
        <f t="shared" si="6"/>
        <v>470</v>
      </c>
      <c r="F32" s="3">
        <v>9886600</v>
      </c>
      <c r="G32" s="39">
        <f t="shared" si="3"/>
        <v>267.3</v>
      </c>
      <c r="H32" s="3">
        <v>799520</v>
      </c>
      <c r="I32" s="44">
        <f t="shared" si="4"/>
        <v>4.9409999999999998</v>
      </c>
      <c r="J32" s="19">
        <f t="shared" si="1"/>
        <v>1852.241</v>
      </c>
      <c r="K32" s="20">
        <f t="shared" si="2"/>
        <v>10854.13226</v>
      </c>
    </row>
    <row r="33" spans="1:11" ht="16.2" thickBot="1" x14ac:dyDescent="0.35">
      <c r="A33" s="56" t="s">
        <v>23</v>
      </c>
      <c r="B33" s="3"/>
      <c r="C33" s="56">
        <f>SUM(C3:C32)</f>
        <v>31620</v>
      </c>
      <c r="D33" s="3"/>
      <c r="E33" s="56">
        <f>SUM(E3:E32)</f>
        <v>14380</v>
      </c>
      <c r="F33" s="3"/>
      <c r="G33" s="56">
        <f>SUM(G3:G32)</f>
        <v>15330.599999999997</v>
      </c>
      <c r="H33" s="3"/>
      <c r="I33" s="56">
        <f>SUM(I3:I32)</f>
        <v>155.33100000000002</v>
      </c>
      <c r="J33" s="56">
        <f>SUM(J3:J32)</f>
        <v>61485.931000000004</v>
      </c>
      <c r="K33" s="56">
        <f>SUM(K3:K32)</f>
        <v>360307.5556599999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zoomScale="70" zoomScaleNormal="70" zoomScaleSheetLayoutView="80" workbookViewId="0">
      <pane ySplit="1" topLeftCell="A2" activePane="bottomLeft" state="frozen"/>
      <selection pane="bottomLeft" activeCell="C33" sqref="C33"/>
    </sheetView>
  </sheetViews>
  <sheetFormatPr defaultRowHeight="22.8" x14ac:dyDescent="0.4"/>
  <cols>
    <col min="1" max="1" width="37.109375" style="16" customWidth="1"/>
    <col min="2" max="2" width="37.109375" customWidth="1"/>
    <col min="3" max="3" width="37.109375" style="46" customWidth="1"/>
    <col min="4" max="4" width="8.5546875" bestFit="1" customWidth="1"/>
    <col min="5" max="5" width="9.33203125" customWidth="1"/>
    <col min="6" max="6" width="11" customWidth="1"/>
    <col min="7" max="7" width="9.6640625" customWidth="1"/>
    <col min="9" max="9" width="19.109375" customWidth="1"/>
  </cols>
  <sheetData>
    <row r="1" spans="1:9" ht="23.4" thickBot="1" x14ac:dyDescent="0.45">
      <c r="A1" s="25" t="s">
        <v>0</v>
      </c>
      <c r="B1" s="25" t="s">
        <v>42</v>
      </c>
      <c r="C1" s="25" t="s">
        <v>25</v>
      </c>
    </row>
    <row r="2" spans="1:9" ht="23.4" thickBot="1" x14ac:dyDescent="0.45">
      <c r="A2" s="9">
        <v>44712</v>
      </c>
      <c r="B2" s="133">
        <v>18301254</v>
      </c>
      <c r="C2" s="45"/>
    </row>
    <row r="3" spans="1:9" ht="23.4" thickBot="1" x14ac:dyDescent="0.45">
      <c r="A3" s="9">
        <v>44713</v>
      </c>
      <c r="B3" s="133">
        <v>18303874</v>
      </c>
      <c r="C3" s="45">
        <f>IF((B3-B2)&lt;0,"0",(B3-B2))</f>
        <v>2620</v>
      </c>
    </row>
    <row r="4" spans="1:9" ht="23.4" thickBot="1" x14ac:dyDescent="0.45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3.4" thickBot="1" x14ac:dyDescent="0.45">
      <c r="A5" s="9">
        <v>44715</v>
      </c>
      <c r="B5" s="133">
        <v>18309415</v>
      </c>
      <c r="C5" s="45">
        <f t="shared" si="0"/>
        <v>2737</v>
      </c>
    </row>
    <row r="6" spans="1:9" ht="23.4" thickBot="1" x14ac:dyDescent="0.45">
      <c r="A6" s="9">
        <v>44716</v>
      </c>
      <c r="B6" s="133">
        <v>18311324</v>
      </c>
      <c r="C6" s="45">
        <f t="shared" si="0"/>
        <v>1909</v>
      </c>
    </row>
    <row r="7" spans="1:9" ht="23.4" thickBot="1" x14ac:dyDescent="0.45">
      <c r="A7" s="9">
        <v>44717</v>
      </c>
      <c r="B7" s="133">
        <v>18313520</v>
      </c>
      <c r="C7" s="45">
        <f t="shared" si="0"/>
        <v>2196</v>
      </c>
    </row>
    <row r="8" spans="1:9" ht="23.4" thickBot="1" x14ac:dyDescent="0.45">
      <c r="A8" s="9">
        <v>44718</v>
      </c>
      <c r="B8" s="133">
        <v>18316054</v>
      </c>
      <c r="C8" s="45">
        <f t="shared" si="0"/>
        <v>2534</v>
      </c>
    </row>
    <row r="9" spans="1:9" ht="23.4" thickBot="1" x14ac:dyDescent="0.45">
      <c r="A9" s="9">
        <v>44719</v>
      </c>
      <c r="B9" s="133">
        <v>18318684</v>
      </c>
      <c r="C9" s="45">
        <f t="shared" si="0"/>
        <v>2630</v>
      </c>
    </row>
    <row r="10" spans="1:9" ht="23.4" thickBot="1" x14ac:dyDescent="0.45">
      <c r="A10" s="9">
        <v>44720</v>
      </c>
      <c r="B10" s="133">
        <v>18320714</v>
      </c>
      <c r="C10" s="45">
        <f t="shared" si="0"/>
        <v>2030</v>
      </c>
    </row>
    <row r="11" spans="1:9" ht="23.4" thickBot="1" x14ac:dyDescent="0.45">
      <c r="A11" s="9">
        <v>44721</v>
      </c>
      <c r="B11" s="133">
        <v>18322612</v>
      </c>
      <c r="C11" s="45">
        <f t="shared" si="0"/>
        <v>1898</v>
      </c>
    </row>
    <row r="12" spans="1:9" ht="23.4" thickBot="1" x14ac:dyDescent="0.45">
      <c r="A12" s="9">
        <v>44722</v>
      </c>
      <c r="B12" s="133">
        <v>18324901</v>
      </c>
      <c r="C12" s="45">
        <f t="shared" si="0"/>
        <v>2289</v>
      </c>
    </row>
    <row r="13" spans="1:9" ht="23.4" thickBot="1" x14ac:dyDescent="0.45">
      <c r="A13" s="9">
        <v>44723</v>
      </c>
      <c r="B13" s="133">
        <v>18327439</v>
      </c>
      <c r="C13" s="45">
        <f t="shared" si="0"/>
        <v>2538</v>
      </c>
    </row>
    <row r="14" spans="1:9" ht="23.4" thickBot="1" x14ac:dyDescent="0.45">
      <c r="A14" s="9">
        <v>44724</v>
      </c>
      <c r="B14" s="133">
        <v>18329067</v>
      </c>
      <c r="C14" s="45">
        <f t="shared" si="0"/>
        <v>1628</v>
      </c>
    </row>
    <row r="15" spans="1:9" ht="23.4" thickBot="1" x14ac:dyDescent="0.45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5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5">
      <c r="A17" s="9">
        <v>44727</v>
      </c>
      <c r="B17" s="133">
        <v>18335978</v>
      </c>
      <c r="C17" s="45">
        <f t="shared" si="0"/>
        <v>2077</v>
      </c>
    </row>
    <row r="18" spans="1:9" ht="23.4" thickBot="1" x14ac:dyDescent="0.45">
      <c r="A18" s="9">
        <v>44728</v>
      </c>
      <c r="B18" s="133">
        <v>18338214</v>
      </c>
      <c r="C18" s="45">
        <f t="shared" si="0"/>
        <v>2236</v>
      </c>
      <c r="I18" s="35"/>
    </row>
    <row r="19" spans="1:9" ht="23.4" thickBot="1" x14ac:dyDescent="0.45">
      <c r="A19" s="9">
        <v>44729</v>
      </c>
      <c r="B19" s="133">
        <v>18340341</v>
      </c>
      <c r="C19" s="45">
        <f t="shared" si="0"/>
        <v>2127</v>
      </c>
    </row>
    <row r="20" spans="1:9" ht="23.4" thickBot="1" x14ac:dyDescent="0.45">
      <c r="A20" s="9">
        <v>44730</v>
      </c>
      <c r="B20" s="133">
        <v>18341487</v>
      </c>
      <c r="C20" s="45">
        <f t="shared" si="0"/>
        <v>1146</v>
      </c>
    </row>
    <row r="21" spans="1:9" ht="23.4" thickBot="1" x14ac:dyDescent="0.45">
      <c r="A21" s="9">
        <v>44731</v>
      </c>
      <c r="B21" s="133">
        <v>18343145</v>
      </c>
      <c r="C21" s="45">
        <f t="shared" si="0"/>
        <v>1658</v>
      </c>
    </row>
    <row r="22" spans="1:9" ht="23.4" thickBot="1" x14ac:dyDescent="0.45">
      <c r="A22" s="9">
        <v>44732</v>
      </c>
      <c r="B22" s="133">
        <v>18344465</v>
      </c>
      <c r="C22" s="45">
        <f t="shared" si="0"/>
        <v>1320</v>
      </c>
    </row>
    <row r="23" spans="1:9" ht="23.4" thickBot="1" x14ac:dyDescent="0.45">
      <c r="A23" s="9">
        <v>44733</v>
      </c>
      <c r="B23" s="133">
        <v>18346342</v>
      </c>
      <c r="C23" s="45">
        <f t="shared" si="0"/>
        <v>1877</v>
      </c>
      <c r="F23" t="s">
        <v>12</v>
      </c>
    </row>
    <row r="24" spans="1:9" ht="23.4" thickBot="1" x14ac:dyDescent="0.45">
      <c r="A24" s="9">
        <v>44734</v>
      </c>
      <c r="B24" s="133">
        <v>18348954</v>
      </c>
      <c r="C24" s="45">
        <f t="shared" si="0"/>
        <v>2612</v>
      </c>
      <c r="E24" t="s">
        <v>12</v>
      </c>
    </row>
    <row r="25" spans="1:9" ht="23.4" thickBot="1" x14ac:dyDescent="0.45">
      <c r="A25" s="9">
        <v>44735</v>
      </c>
      <c r="B25" s="133">
        <v>18351271</v>
      </c>
      <c r="C25" s="45">
        <f t="shared" si="0"/>
        <v>2317</v>
      </c>
    </row>
    <row r="26" spans="1:9" ht="23.4" thickBot="1" x14ac:dyDescent="0.45">
      <c r="A26" s="9">
        <v>44736</v>
      </c>
      <c r="B26" s="133">
        <v>18353541</v>
      </c>
      <c r="C26" s="45">
        <f t="shared" si="0"/>
        <v>2270</v>
      </c>
    </row>
    <row r="27" spans="1:9" ht="23.4" thickBot="1" x14ac:dyDescent="0.45">
      <c r="A27" s="9">
        <v>44737</v>
      </c>
      <c r="B27" s="133">
        <v>18355300</v>
      </c>
      <c r="C27" s="45">
        <f t="shared" si="0"/>
        <v>1759</v>
      </c>
    </row>
    <row r="28" spans="1:9" ht="23.4" thickBot="1" x14ac:dyDescent="0.45">
      <c r="A28" s="9">
        <v>44738</v>
      </c>
      <c r="B28" s="133">
        <v>18357412</v>
      </c>
      <c r="C28" s="45">
        <f t="shared" si="0"/>
        <v>2112</v>
      </c>
      <c r="I28" t="s">
        <v>12</v>
      </c>
    </row>
    <row r="29" spans="1:9" ht="23.4" thickBot="1" x14ac:dyDescent="0.45">
      <c r="A29" s="9">
        <v>44739</v>
      </c>
      <c r="B29" s="133">
        <v>18359246</v>
      </c>
      <c r="C29" s="45">
        <f t="shared" si="0"/>
        <v>1834</v>
      </c>
    </row>
    <row r="30" spans="1:9" ht="23.4" thickBot="1" x14ac:dyDescent="0.45">
      <c r="A30" s="9">
        <v>44740</v>
      </c>
      <c r="B30" s="133">
        <v>18361541</v>
      </c>
      <c r="C30" s="45">
        <f t="shared" si="0"/>
        <v>2295</v>
      </c>
    </row>
    <row r="31" spans="1:9" ht="23.4" thickBot="1" x14ac:dyDescent="0.45">
      <c r="A31" s="9">
        <v>44741</v>
      </c>
      <c r="B31" s="133">
        <v>18363554</v>
      </c>
      <c r="C31" s="45">
        <f t="shared" si="0"/>
        <v>2013</v>
      </c>
    </row>
    <row r="32" spans="1:9" ht="23.4" thickBot="1" x14ac:dyDescent="0.45">
      <c r="A32" s="9">
        <v>44742</v>
      </c>
      <c r="B32" s="133">
        <v>18364753</v>
      </c>
      <c r="C32" s="45">
        <f t="shared" si="0"/>
        <v>1199</v>
      </c>
    </row>
    <row r="33" spans="1:3" ht="23.4" thickBot="1" x14ac:dyDescent="0.45">
      <c r="A33" s="135" t="s">
        <v>138</v>
      </c>
      <c r="B33" s="135"/>
      <c r="C33" s="135">
        <f>SUM(C3:C32)</f>
        <v>63499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6"/>
  <sheetViews>
    <sheetView zoomScale="90" zoomScaleNormal="90" workbookViewId="0">
      <pane ySplit="1" topLeftCell="A2" activePane="bottomLeft" state="frozen"/>
      <selection pane="bottomLeft" activeCell="AG34" sqref="AG34"/>
    </sheetView>
  </sheetViews>
  <sheetFormatPr defaultRowHeight="13.2" x14ac:dyDescent="0.25"/>
  <cols>
    <col min="1" max="1" width="20.88671875" bestFit="1" customWidth="1"/>
    <col min="2" max="2" width="12.88671875" style="162" bestFit="1" customWidth="1"/>
    <col min="3" max="3" width="14.88671875" style="36" customWidth="1"/>
    <col min="4" max="4" width="10.6640625" customWidth="1"/>
    <col min="5" max="5" width="11.33203125" customWidth="1"/>
    <col min="6" max="6" width="14.5546875" style="36" customWidth="1"/>
    <col min="7" max="7" width="10.6640625" customWidth="1"/>
    <col min="8" max="8" width="13.5546875" customWidth="1"/>
    <col min="9" max="9" width="12.88671875" style="36" bestFit="1" customWidth="1"/>
    <col min="10" max="10" width="10.6640625" customWidth="1"/>
    <col min="11" max="11" width="13.44140625" customWidth="1"/>
    <col min="12" max="12" width="12.44140625" style="36" customWidth="1"/>
    <col min="13" max="13" width="10.6640625" customWidth="1"/>
    <col min="14" max="14" width="11.33203125" bestFit="1" customWidth="1"/>
    <col min="15" max="15" width="12.44140625" style="36" customWidth="1"/>
    <col min="16" max="16" width="10.6640625" customWidth="1"/>
    <col min="17" max="17" width="11.6640625" customWidth="1"/>
    <col min="18" max="18" width="11.33203125" style="36" customWidth="1"/>
    <col min="19" max="19" width="10.6640625" customWidth="1"/>
    <col min="20" max="20" width="14.664062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8671875" customWidth="1"/>
    <col min="28" max="28" width="10.5546875" customWidth="1"/>
    <col min="29" max="29" width="7.109375" customWidth="1"/>
    <col min="31" max="31" width="10.5546875" customWidth="1"/>
  </cols>
  <sheetData>
    <row r="1" spans="1:33" ht="16.2" thickBot="1" x14ac:dyDescent="0.35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75" t="s">
        <v>140</v>
      </c>
      <c r="X1" s="176"/>
      <c r="Y1" s="176"/>
      <c r="Z1" s="176"/>
      <c r="AA1" s="177"/>
      <c r="AB1" s="178" t="s">
        <v>142</v>
      </c>
      <c r="AC1" s="176"/>
      <c r="AD1" s="178" t="s">
        <v>143</v>
      </c>
      <c r="AE1" s="176"/>
      <c r="AF1" s="175" t="s">
        <v>144</v>
      </c>
      <c r="AG1" s="176"/>
    </row>
    <row r="2" spans="1:33" ht="16.2" thickBot="1" x14ac:dyDescent="0.3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2" thickBot="1" x14ac:dyDescent="0.3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2" thickBot="1" x14ac:dyDescent="0.3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2" thickBot="1" x14ac:dyDescent="0.3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2" thickBot="1" x14ac:dyDescent="0.3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2" thickBot="1" x14ac:dyDescent="0.3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2" thickBot="1" x14ac:dyDescent="0.3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2" thickBot="1" x14ac:dyDescent="0.3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2" thickBot="1" x14ac:dyDescent="0.3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2" thickBot="1" x14ac:dyDescent="0.3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2" thickBot="1" x14ac:dyDescent="0.3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2" thickBot="1" x14ac:dyDescent="0.3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2" thickBot="1" x14ac:dyDescent="0.3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2" thickBot="1" x14ac:dyDescent="0.3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2" thickBot="1" x14ac:dyDescent="0.3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2" thickBot="1" x14ac:dyDescent="0.3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2" thickBot="1" x14ac:dyDescent="0.3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2" thickBot="1" x14ac:dyDescent="0.3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2" thickBot="1" x14ac:dyDescent="0.3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2" thickBot="1" x14ac:dyDescent="0.3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2" thickBot="1" x14ac:dyDescent="0.3">
      <c r="A22" s="9">
        <v>44732</v>
      </c>
      <c r="B22" s="160">
        <v>23767.006000000001</v>
      </c>
      <c r="C22" s="44">
        <f t="shared" si="22"/>
        <v>8.1190000000024156</v>
      </c>
      <c r="D22" s="28">
        <f t="shared" si="23"/>
        <v>15426.100000004588</v>
      </c>
      <c r="E22" s="160">
        <v>4295.1229999999996</v>
      </c>
      <c r="F22" s="44">
        <f t="shared" si="24"/>
        <v>2.5760000000000218</v>
      </c>
      <c r="G22" s="28">
        <f t="shared" si="25"/>
        <v>4894.4000000000406</v>
      </c>
      <c r="H22" s="160">
        <v>5473</v>
      </c>
      <c r="I22" s="44">
        <f t="shared" si="26"/>
        <v>4</v>
      </c>
      <c r="J22" s="28">
        <f t="shared" si="27"/>
        <v>7600</v>
      </c>
      <c r="K22" s="7">
        <v>14019.26</v>
      </c>
      <c r="L22" s="44">
        <f t="shared" si="28"/>
        <v>1.430000000000291</v>
      </c>
      <c r="M22" s="28">
        <f t="shared" si="29"/>
        <v>2717.000000000553</v>
      </c>
      <c r="N22" s="160">
        <v>3588.9409999999998</v>
      </c>
      <c r="O22" s="44">
        <f t="shared" si="30"/>
        <v>0.97499999999990905</v>
      </c>
      <c r="P22" s="28">
        <f t="shared" si="31"/>
        <v>1852.499999999827</v>
      </c>
      <c r="Q22" s="160">
        <v>5392</v>
      </c>
      <c r="R22" s="44">
        <f t="shared" si="32"/>
        <v>1.2600000000002183</v>
      </c>
      <c r="S22" s="28">
        <f t="shared" si="33"/>
        <v>2394.0000000004143</v>
      </c>
      <c r="T22" s="8">
        <f t="shared" si="35"/>
        <v>18.360000000002856</v>
      </c>
      <c r="U22" s="30">
        <f t="shared" si="34"/>
        <v>34884.000000005421</v>
      </c>
      <c r="W22" s="157">
        <v>44732</v>
      </c>
      <c r="X22" s="158">
        <v>182450</v>
      </c>
      <c r="Y22" s="163">
        <f t="shared" si="21"/>
        <v>172</v>
      </c>
      <c r="Z22" s="158">
        <v>9436</v>
      </c>
      <c r="AA22" s="163">
        <f t="shared" si="21"/>
        <v>4</v>
      </c>
      <c r="AB22" s="158">
        <v>28.7</v>
      </c>
      <c r="AC22" s="163">
        <f t="shared" si="21"/>
        <v>0</v>
      </c>
      <c r="AD22" s="158">
        <v>541</v>
      </c>
      <c r="AE22" s="163">
        <f t="shared" si="21"/>
        <v>7</v>
      </c>
      <c r="AF22" s="158">
        <v>7862</v>
      </c>
      <c r="AG22" s="163">
        <f t="shared" si="21"/>
        <v>10</v>
      </c>
    </row>
    <row r="23" spans="1:33" ht="16.2" thickBot="1" x14ac:dyDescent="0.3">
      <c r="A23" s="9">
        <v>44733</v>
      </c>
      <c r="B23" s="160">
        <v>23787.120999999999</v>
      </c>
      <c r="C23" s="44">
        <f t="shared" si="22"/>
        <v>20.114999999997963</v>
      </c>
      <c r="D23" s="28">
        <f t="shared" si="23"/>
        <v>38218.499999996129</v>
      </c>
      <c r="E23" s="160">
        <v>4298.223</v>
      </c>
      <c r="F23" s="44">
        <f t="shared" si="24"/>
        <v>3.1000000000003638</v>
      </c>
      <c r="G23" s="28">
        <f t="shared" si="25"/>
        <v>5890.0000000006903</v>
      </c>
      <c r="H23" s="160">
        <v>5477</v>
      </c>
      <c r="I23" s="44">
        <f t="shared" si="26"/>
        <v>4</v>
      </c>
      <c r="J23" s="28">
        <f t="shared" si="27"/>
        <v>7600</v>
      </c>
      <c r="K23" s="7">
        <v>14021.15</v>
      </c>
      <c r="L23" s="44">
        <f t="shared" si="28"/>
        <v>1.8899999999994179</v>
      </c>
      <c r="M23" s="28">
        <f t="shared" si="29"/>
        <v>3590.9999999988941</v>
      </c>
      <c r="N23" s="160">
        <v>3589.8180000000002</v>
      </c>
      <c r="O23" s="44">
        <f t="shared" si="30"/>
        <v>0.87700000000040745</v>
      </c>
      <c r="P23" s="28">
        <f t="shared" si="31"/>
        <v>1666.3000000007742</v>
      </c>
      <c r="Q23" s="160">
        <v>5394.23</v>
      </c>
      <c r="R23" s="44">
        <f t="shared" si="32"/>
        <v>2.2299999999995634</v>
      </c>
      <c r="S23" s="28">
        <f t="shared" si="33"/>
        <v>4236.9999999991705</v>
      </c>
      <c r="T23" s="8">
        <f t="shared" si="35"/>
        <v>32.211999999997715</v>
      </c>
      <c r="U23" s="30">
        <f t="shared" si="34"/>
        <v>61202.799999995652</v>
      </c>
      <c r="W23" s="157">
        <v>44733</v>
      </c>
      <c r="X23" s="158">
        <v>182663</v>
      </c>
      <c r="Y23" s="163">
        <f t="shared" si="21"/>
        <v>213</v>
      </c>
      <c r="Z23" s="158">
        <v>9443</v>
      </c>
      <c r="AA23" s="163">
        <f t="shared" si="21"/>
        <v>7</v>
      </c>
      <c r="AB23" s="158">
        <v>28.7</v>
      </c>
      <c r="AC23" s="163">
        <f t="shared" si="21"/>
        <v>0</v>
      </c>
      <c r="AD23" s="158">
        <v>542</v>
      </c>
      <c r="AE23" s="163">
        <f t="shared" si="21"/>
        <v>1</v>
      </c>
      <c r="AF23" s="158">
        <v>7871</v>
      </c>
      <c r="AG23" s="163">
        <f t="shared" si="21"/>
        <v>9</v>
      </c>
    </row>
    <row r="24" spans="1:33" ht="16.2" thickBot="1" x14ac:dyDescent="0.3">
      <c r="A24" s="9">
        <v>44734</v>
      </c>
      <c r="B24" s="160">
        <v>23793.745999999999</v>
      </c>
      <c r="C24" s="44">
        <f t="shared" si="22"/>
        <v>6.625</v>
      </c>
      <c r="D24" s="28">
        <f t="shared" si="23"/>
        <v>12587.499999999998</v>
      </c>
      <c r="E24" s="160">
        <v>4301.9639999999999</v>
      </c>
      <c r="F24" s="44">
        <f t="shared" si="24"/>
        <v>3.7409999999999854</v>
      </c>
      <c r="G24" s="28">
        <f t="shared" si="25"/>
        <v>7107.8999999999724</v>
      </c>
      <c r="H24" s="160">
        <v>5488</v>
      </c>
      <c r="I24" s="44">
        <f t="shared" si="26"/>
        <v>11</v>
      </c>
      <c r="J24" s="28">
        <f t="shared" si="27"/>
        <v>20900</v>
      </c>
      <c r="K24" s="7">
        <v>14023.8</v>
      </c>
      <c r="L24" s="44">
        <f t="shared" si="28"/>
        <v>2.6499999999996362</v>
      </c>
      <c r="M24" s="28">
        <f t="shared" si="29"/>
        <v>5034.9999999993079</v>
      </c>
      <c r="N24" s="160">
        <v>3592.4169999999999</v>
      </c>
      <c r="O24" s="44">
        <f t="shared" si="30"/>
        <v>2.5989999999997053</v>
      </c>
      <c r="P24" s="28">
        <f t="shared" si="31"/>
        <v>4938.0999999994401</v>
      </c>
      <c r="Q24" s="160">
        <v>5396.26</v>
      </c>
      <c r="R24" s="44">
        <f t="shared" si="32"/>
        <v>2.0300000000006548</v>
      </c>
      <c r="S24" s="28">
        <f t="shared" si="33"/>
        <v>3857.0000000012442</v>
      </c>
      <c r="T24" s="8">
        <f t="shared" si="35"/>
        <v>28.644999999999982</v>
      </c>
      <c r="U24" s="30">
        <f t="shared" si="34"/>
        <v>54425.499999999964</v>
      </c>
      <c r="W24" s="157">
        <v>44734</v>
      </c>
      <c r="X24" s="158">
        <v>183017</v>
      </c>
      <c r="Y24" s="163">
        <f t="shared" si="21"/>
        <v>354</v>
      </c>
      <c r="Z24" s="158">
        <v>9446</v>
      </c>
      <c r="AA24" s="163">
        <f t="shared" si="21"/>
        <v>3</v>
      </c>
      <c r="AB24" s="158">
        <v>28.7</v>
      </c>
      <c r="AC24" s="163">
        <f t="shared" si="21"/>
        <v>0</v>
      </c>
      <c r="AD24" s="158">
        <v>545</v>
      </c>
      <c r="AE24" s="163">
        <f t="shared" si="21"/>
        <v>3</v>
      </c>
      <c r="AF24" s="158">
        <v>7882</v>
      </c>
      <c r="AG24" s="163">
        <f t="shared" si="21"/>
        <v>11</v>
      </c>
    </row>
    <row r="25" spans="1:33" ht="16.2" thickBot="1" x14ac:dyDescent="0.3">
      <c r="A25" s="9">
        <v>44735</v>
      </c>
      <c r="B25" s="160">
        <v>23800.141</v>
      </c>
      <c r="C25" s="44">
        <f t="shared" si="22"/>
        <v>6.3950000000004366</v>
      </c>
      <c r="D25" s="28">
        <f t="shared" si="23"/>
        <v>12150.500000000829</v>
      </c>
      <c r="E25" s="160">
        <v>4303.88</v>
      </c>
      <c r="F25" s="44">
        <f t="shared" si="24"/>
        <v>1.9160000000001673</v>
      </c>
      <c r="G25" s="28">
        <f t="shared" si="25"/>
        <v>3640.4000000003175</v>
      </c>
      <c r="H25" s="160">
        <v>5493</v>
      </c>
      <c r="I25" s="44">
        <f t="shared" si="26"/>
        <v>5</v>
      </c>
      <c r="J25" s="28">
        <f t="shared" si="27"/>
        <v>9500</v>
      </c>
      <c r="K25" s="7">
        <v>14024.8</v>
      </c>
      <c r="L25" s="44">
        <f t="shared" si="28"/>
        <v>1</v>
      </c>
      <c r="M25" s="28">
        <f t="shared" si="29"/>
        <v>1900</v>
      </c>
      <c r="N25" s="160">
        <v>3593.2330000000002</v>
      </c>
      <c r="O25" s="44">
        <f t="shared" si="30"/>
        <v>0.8160000000002583</v>
      </c>
      <c r="P25" s="28">
        <f t="shared" si="31"/>
        <v>1550.4000000004908</v>
      </c>
      <c r="Q25" s="160">
        <v>5397.41</v>
      </c>
      <c r="R25" s="44">
        <f t="shared" si="32"/>
        <v>1.1499999999996362</v>
      </c>
      <c r="S25" s="28">
        <f t="shared" si="33"/>
        <v>2184.9999999993088</v>
      </c>
      <c r="T25" s="8">
        <f t="shared" si="35"/>
        <v>16.277000000000498</v>
      </c>
      <c r="U25" s="30">
        <f t="shared" si="34"/>
        <v>30926.300000000945</v>
      </c>
      <c r="W25" s="157">
        <v>44735</v>
      </c>
      <c r="X25" s="158">
        <v>183164</v>
      </c>
      <c r="Y25" s="163">
        <f t="shared" si="21"/>
        <v>147</v>
      </c>
      <c r="Z25" s="158">
        <v>9448</v>
      </c>
      <c r="AA25" s="163">
        <f t="shared" si="21"/>
        <v>2</v>
      </c>
      <c r="AB25" s="158">
        <v>28.8</v>
      </c>
      <c r="AC25" s="163">
        <f t="shared" si="21"/>
        <v>0.10000000000000142</v>
      </c>
      <c r="AD25" s="158">
        <v>546</v>
      </c>
      <c r="AE25" s="163">
        <f t="shared" si="21"/>
        <v>1</v>
      </c>
      <c r="AF25" s="158">
        <v>7898</v>
      </c>
      <c r="AG25" s="163">
        <f t="shared" si="21"/>
        <v>16</v>
      </c>
    </row>
    <row r="26" spans="1:33" ht="16.2" thickBot="1" x14ac:dyDescent="0.3">
      <c r="A26" s="9">
        <v>44736</v>
      </c>
      <c r="B26" s="160">
        <v>23812.848999999998</v>
      </c>
      <c r="C26" s="44">
        <f t="shared" si="22"/>
        <v>12.707999999998719</v>
      </c>
      <c r="D26" s="28">
        <f t="shared" si="23"/>
        <v>24145.199999997567</v>
      </c>
      <c r="E26" s="160">
        <v>4305.9399999999996</v>
      </c>
      <c r="F26" s="44">
        <f t="shared" si="24"/>
        <v>2.0599999999994907</v>
      </c>
      <c r="G26" s="28">
        <f t="shared" si="25"/>
        <v>3913.9999999990318</v>
      </c>
      <c r="H26" s="160">
        <v>5499</v>
      </c>
      <c r="I26" s="44">
        <f t="shared" si="26"/>
        <v>6</v>
      </c>
      <c r="J26" s="28">
        <f t="shared" si="27"/>
        <v>11399.999999999998</v>
      </c>
      <c r="K26" s="7">
        <v>14026.94</v>
      </c>
      <c r="L26" s="44">
        <f>IF((K26-K25)&lt;0,"0",(K26-K25))</f>
        <v>2.1400000000012369</v>
      </c>
      <c r="M26" s="28">
        <f t="shared" si="29"/>
        <v>4066.0000000023501</v>
      </c>
      <c r="N26" s="160">
        <v>3594.8009999999999</v>
      </c>
      <c r="O26" s="44">
        <f t="shared" si="30"/>
        <v>1.5679999999997563</v>
      </c>
      <c r="P26" s="28">
        <f t="shared" si="31"/>
        <v>2979.1999999995369</v>
      </c>
      <c r="Q26" s="160">
        <v>5399.64</v>
      </c>
      <c r="R26" s="44">
        <f t="shared" si="32"/>
        <v>2.2300000000004729</v>
      </c>
      <c r="S26" s="28">
        <f t="shared" si="33"/>
        <v>4237.0000000008977</v>
      </c>
      <c r="T26" s="8">
        <f t="shared" si="35"/>
        <v>26.705999999999676</v>
      </c>
      <c r="U26" s="30">
        <f t="shared" si="34"/>
        <v>50741.399999999383</v>
      </c>
      <c r="V26" t="s">
        <v>12</v>
      </c>
      <c r="W26" s="157">
        <v>44736</v>
      </c>
      <c r="X26" s="158">
        <v>183430</v>
      </c>
      <c r="Y26" s="163">
        <f t="shared" si="21"/>
        <v>266</v>
      </c>
      <c r="Z26" s="158">
        <v>9457</v>
      </c>
      <c r="AA26" s="163">
        <f t="shared" si="21"/>
        <v>9</v>
      </c>
      <c r="AB26" s="158">
        <v>29</v>
      </c>
      <c r="AC26" s="163">
        <f t="shared" si="21"/>
        <v>0.19999999999999929</v>
      </c>
      <c r="AD26" s="158">
        <v>548</v>
      </c>
      <c r="AE26" s="163">
        <f t="shared" si="21"/>
        <v>2</v>
      </c>
      <c r="AF26" s="158">
        <v>7915</v>
      </c>
      <c r="AG26" s="163">
        <f t="shared" si="21"/>
        <v>17</v>
      </c>
    </row>
    <row r="27" spans="1:33" ht="16.2" thickBot="1" x14ac:dyDescent="0.3">
      <c r="A27" s="9">
        <v>44737</v>
      </c>
      <c r="B27" s="160">
        <v>23826.9</v>
      </c>
      <c r="C27" s="44">
        <f t="shared" si="22"/>
        <v>14.051000000003114</v>
      </c>
      <c r="D27" s="28">
        <f t="shared" si="23"/>
        <v>26696.900000005913</v>
      </c>
      <c r="E27" s="160">
        <v>4308.3</v>
      </c>
      <c r="F27" s="44">
        <f t="shared" si="24"/>
        <v>2.3600000000005821</v>
      </c>
      <c r="G27" s="28">
        <f t="shared" si="25"/>
        <v>4484.0000000011059</v>
      </c>
      <c r="H27" s="160">
        <v>5506</v>
      </c>
      <c r="I27" s="44">
        <f t="shared" si="26"/>
        <v>7</v>
      </c>
      <c r="J27" s="28">
        <f t="shared" si="27"/>
        <v>13299.999999999998</v>
      </c>
      <c r="K27" s="7">
        <v>14029.4</v>
      </c>
      <c r="L27" s="44">
        <f t="shared" si="28"/>
        <v>2.4599999999991269</v>
      </c>
      <c r="M27" s="28">
        <f t="shared" si="29"/>
        <v>4673.9999999983411</v>
      </c>
      <c r="N27" s="160">
        <v>3596.3310000000001</v>
      </c>
      <c r="O27" s="44">
        <f t="shared" si="30"/>
        <v>1.5300000000002001</v>
      </c>
      <c r="P27" s="28">
        <f t="shared" si="31"/>
        <v>2907.0000000003802</v>
      </c>
      <c r="Q27" s="160">
        <v>5401.65</v>
      </c>
      <c r="R27" s="44">
        <f t="shared" si="32"/>
        <v>2.0099999999993088</v>
      </c>
      <c r="S27" s="28">
        <f t="shared" si="33"/>
        <v>3818.9999999986862</v>
      </c>
      <c r="T27" s="8">
        <f t="shared" si="35"/>
        <v>29.411000000002332</v>
      </c>
      <c r="U27" s="30">
        <f t="shared" si="34"/>
        <v>55880.900000004433</v>
      </c>
      <c r="V27" t="s">
        <v>12</v>
      </c>
      <c r="W27" s="157">
        <v>44737</v>
      </c>
      <c r="X27" s="158">
        <v>183752</v>
      </c>
      <c r="Y27" s="163">
        <f t="shared" si="21"/>
        <v>322</v>
      </c>
      <c r="Z27" s="158">
        <v>9462</v>
      </c>
      <c r="AA27" s="163">
        <f t="shared" si="21"/>
        <v>5</v>
      </c>
      <c r="AB27" s="158">
        <v>29</v>
      </c>
      <c r="AC27" s="163">
        <f t="shared" si="21"/>
        <v>0</v>
      </c>
      <c r="AD27" s="158">
        <v>549</v>
      </c>
      <c r="AE27" s="163">
        <f t="shared" si="21"/>
        <v>1</v>
      </c>
      <c r="AF27" s="158">
        <v>7934</v>
      </c>
      <c r="AG27" s="163">
        <f t="shared" si="21"/>
        <v>19</v>
      </c>
    </row>
    <row r="28" spans="1:33" ht="16.2" thickBot="1" x14ac:dyDescent="0.3">
      <c r="A28" s="9">
        <v>44738</v>
      </c>
      <c r="B28" s="160">
        <v>23839.598999999998</v>
      </c>
      <c r="C28" s="44">
        <f t="shared" si="22"/>
        <v>12.698999999996886</v>
      </c>
      <c r="D28" s="28">
        <f t="shared" si="23"/>
        <v>24128.09999999408</v>
      </c>
      <c r="E28" s="160">
        <v>4311.1930000000002</v>
      </c>
      <c r="F28" s="44">
        <f t="shared" si="24"/>
        <v>2.8930000000000291</v>
      </c>
      <c r="G28" s="28">
        <f t="shared" si="25"/>
        <v>5496.7000000000544</v>
      </c>
      <c r="H28" s="160">
        <v>5514</v>
      </c>
      <c r="I28" s="44">
        <f t="shared" si="26"/>
        <v>8</v>
      </c>
      <c r="J28" s="28">
        <f t="shared" si="27"/>
        <v>15200</v>
      </c>
      <c r="K28" s="7">
        <v>14031.63</v>
      </c>
      <c r="L28" s="44">
        <f t="shared" si="28"/>
        <v>2.2299999999995634</v>
      </c>
      <c r="M28" s="28">
        <f t="shared" si="29"/>
        <v>4236.9999999991705</v>
      </c>
      <c r="N28" s="160">
        <v>3597.9780000000001</v>
      </c>
      <c r="O28" s="44">
        <f t="shared" si="30"/>
        <v>1.6469999999999345</v>
      </c>
      <c r="P28" s="28">
        <f t="shared" si="31"/>
        <v>3129.2999999998756</v>
      </c>
      <c r="Q28" s="160">
        <v>5403.76</v>
      </c>
      <c r="R28" s="44">
        <f t="shared" si="32"/>
        <v>2.1100000000005821</v>
      </c>
      <c r="S28" s="28">
        <f t="shared" si="33"/>
        <v>4009.0000000011059</v>
      </c>
      <c r="T28" s="8">
        <f t="shared" si="35"/>
        <v>29.578999999996995</v>
      </c>
      <c r="U28" s="30">
        <f t="shared" si="34"/>
        <v>56200.099999994287</v>
      </c>
      <c r="W28" s="157">
        <v>44738</v>
      </c>
      <c r="X28" s="158">
        <v>184014</v>
      </c>
      <c r="Y28" s="163">
        <f t="shared" si="21"/>
        <v>262</v>
      </c>
      <c r="Z28" s="158">
        <v>9467</v>
      </c>
      <c r="AA28" s="163">
        <f t="shared" si="21"/>
        <v>5</v>
      </c>
      <c r="AB28" s="158">
        <v>29</v>
      </c>
      <c r="AC28" s="163">
        <f t="shared" si="21"/>
        <v>0</v>
      </c>
      <c r="AD28" s="158">
        <v>552</v>
      </c>
      <c r="AE28" s="163">
        <f t="shared" si="21"/>
        <v>3</v>
      </c>
      <c r="AF28" s="158">
        <v>7949</v>
      </c>
      <c r="AG28" s="163">
        <f t="shared" si="21"/>
        <v>15</v>
      </c>
    </row>
    <row r="29" spans="1:33" ht="16.2" thickBot="1" x14ac:dyDescent="0.3">
      <c r="A29" s="9">
        <v>44739</v>
      </c>
      <c r="B29" s="160">
        <v>23852.598000000002</v>
      </c>
      <c r="C29" s="44">
        <f t="shared" si="22"/>
        <v>12.999000000003434</v>
      </c>
      <c r="D29" s="28">
        <f t="shared" si="23"/>
        <v>24698.100000006521</v>
      </c>
      <c r="E29" s="160">
        <v>4314.5889999999999</v>
      </c>
      <c r="F29" s="44">
        <f t="shared" si="24"/>
        <v>3.3959999999997308</v>
      </c>
      <c r="G29" s="28">
        <f t="shared" si="25"/>
        <v>6452.3999999994885</v>
      </c>
      <c r="H29" s="160">
        <v>5521</v>
      </c>
      <c r="I29" s="44">
        <f t="shared" si="26"/>
        <v>7</v>
      </c>
      <c r="J29" s="28">
        <f t="shared" si="27"/>
        <v>13299.999999999998</v>
      </c>
      <c r="K29" s="7">
        <v>14033.95</v>
      </c>
      <c r="L29" s="44">
        <f t="shared" si="28"/>
        <v>2.320000000001528</v>
      </c>
      <c r="M29" s="28">
        <f t="shared" si="29"/>
        <v>4408.0000000029031</v>
      </c>
      <c r="N29" s="160">
        <v>3599.596</v>
      </c>
      <c r="O29" s="44">
        <f t="shared" si="30"/>
        <v>1.6179999999999382</v>
      </c>
      <c r="P29" s="28">
        <f t="shared" si="31"/>
        <v>3074.199999999882</v>
      </c>
      <c r="Q29" s="160">
        <v>5405.13</v>
      </c>
      <c r="R29" s="44">
        <f t="shared" si="32"/>
        <v>1.3699999999998909</v>
      </c>
      <c r="S29" s="28">
        <f t="shared" si="33"/>
        <v>2602.9999999997922</v>
      </c>
      <c r="T29" s="8">
        <f t="shared" si="35"/>
        <v>28.703000000004522</v>
      </c>
      <c r="U29" s="30">
        <f t="shared" si="34"/>
        <v>54535.70000000859</v>
      </c>
      <c r="W29" s="157">
        <v>44739</v>
      </c>
      <c r="X29" s="158">
        <v>184270</v>
      </c>
      <c r="Y29" s="163">
        <f t="shared" si="21"/>
        <v>256</v>
      </c>
      <c r="Z29" s="158">
        <v>9473</v>
      </c>
      <c r="AA29" s="163">
        <f t="shared" si="21"/>
        <v>6</v>
      </c>
      <c r="AB29" s="158">
        <v>29</v>
      </c>
      <c r="AC29" s="163">
        <f t="shared" si="21"/>
        <v>0</v>
      </c>
      <c r="AD29" s="158">
        <v>555</v>
      </c>
      <c r="AE29" s="163">
        <f t="shared" si="21"/>
        <v>3</v>
      </c>
      <c r="AF29" s="158">
        <v>7965</v>
      </c>
      <c r="AG29" s="163">
        <f t="shared" si="21"/>
        <v>16</v>
      </c>
    </row>
    <row r="30" spans="1:33" ht="16.2" thickBot="1" x14ac:dyDescent="0.3">
      <c r="A30" s="9">
        <v>44740</v>
      </c>
      <c r="B30" s="160">
        <v>23868.041000000001</v>
      </c>
      <c r="C30" s="44">
        <f t="shared" si="22"/>
        <v>15.442999999999302</v>
      </c>
      <c r="D30" s="28">
        <f t="shared" si="23"/>
        <v>29341.699999998669</v>
      </c>
      <c r="E30" s="160">
        <v>4318.5249999999996</v>
      </c>
      <c r="F30" s="44">
        <f t="shared" si="24"/>
        <v>3.9359999999996944</v>
      </c>
      <c r="G30" s="28">
        <f t="shared" si="25"/>
        <v>7478.3999999994185</v>
      </c>
      <c r="H30" s="160">
        <v>5529</v>
      </c>
      <c r="I30" s="44">
        <f t="shared" si="26"/>
        <v>8</v>
      </c>
      <c r="J30" s="28">
        <f t="shared" si="27"/>
        <v>15200</v>
      </c>
      <c r="K30" s="7">
        <v>14036.89</v>
      </c>
      <c r="L30" s="44">
        <f t="shared" si="28"/>
        <v>2.9399999999986903</v>
      </c>
      <c r="M30" s="28">
        <f t="shared" si="29"/>
        <v>5585.9999999975116</v>
      </c>
      <c r="N30" s="160">
        <v>3601.547</v>
      </c>
      <c r="O30" s="44">
        <f t="shared" si="30"/>
        <v>1.9510000000000218</v>
      </c>
      <c r="P30" s="28">
        <f t="shared" si="31"/>
        <v>3706.9000000000415</v>
      </c>
      <c r="Q30" s="160">
        <v>5407.82</v>
      </c>
      <c r="R30" s="44">
        <f t="shared" si="32"/>
        <v>2.6899999999995998</v>
      </c>
      <c r="S30" s="28">
        <f t="shared" si="33"/>
        <v>5110.9999999992397</v>
      </c>
      <c r="T30" s="8">
        <f t="shared" si="35"/>
        <v>34.959999999997308</v>
      </c>
      <c r="U30" s="30">
        <f t="shared" si="34"/>
        <v>66423.999999994878</v>
      </c>
      <c r="W30" s="157">
        <v>44740</v>
      </c>
      <c r="X30" s="158">
        <v>184500</v>
      </c>
      <c r="Y30" s="163">
        <f t="shared" si="21"/>
        <v>230</v>
      </c>
      <c r="Z30" s="158">
        <v>9478</v>
      </c>
      <c r="AA30" s="163">
        <f t="shared" si="21"/>
        <v>5</v>
      </c>
      <c r="AB30" s="158">
        <v>29</v>
      </c>
      <c r="AC30" s="163">
        <f t="shared" si="21"/>
        <v>0</v>
      </c>
      <c r="AD30" s="158">
        <v>558</v>
      </c>
      <c r="AE30" s="163">
        <f t="shared" si="21"/>
        <v>3</v>
      </c>
      <c r="AF30" s="158">
        <v>7979</v>
      </c>
      <c r="AG30" s="163">
        <f t="shared" si="21"/>
        <v>14</v>
      </c>
    </row>
    <row r="31" spans="1:33" ht="16.2" thickBot="1" x14ac:dyDescent="0.3">
      <c r="A31" s="9">
        <v>44741</v>
      </c>
      <c r="B31" s="160">
        <v>23877.508999999998</v>
      </c>
      <c r="C31" s="44">
        <f t="shared" si="22"/>
        <v>9.4679999999971187</v>
      </c>
      <c r="D31" s="28">
        <f t="shared" si="23"/>
        <v>17989.199999994526</v>
      </c>
      <c r="E31" s="160">
        <v>4320.8639999999996</v>
      </c>
      <c r="F31" s="44">
        <f t="shared" si="24"/>
        <v>2.3389999999999418</v>
      </c>
      <c r="G31" s="28">
        <f t="shared" si="25"/>
        <v>4444.0999999998894</v>
      </c>
      <c r="H31" s="160">
        <v>5534</v>
      </c>
      <c r="I31" s="44">
        <f t="shared" si="26"/>
        <v>5</v>
      </c>
      <c r="J31" s="28">
        <f t="shared" si="27"/>
        <v>9500</v>
      </c>
      <c r="K31" s="7">
        <v>14038.13</v>
      </c>
      <c r="L31" s="44">
        <f t="shared" si="28"/>
        <v>1.2399999999997817</v>
      </c>
      <c r="M31" s="28">
        <f t="shared" si="29"/>
        <v>2355.9999999995853</v>
      </c>
      <c r="N31" s="160">
        <v>3602.7739999999999</v>
      </c>
      <c r="O31" s="44">
        <f t="shared" si="30"/>
        <v>1.2269999999998618</v>
      </c>
      <c r="P31" s="28">
        <f t="shared" si="31"/>
        <v>2331.2999999997373</v>
      </c>
      <c r="Q31" s="160">
        <v>5409.67</v>
      </c>
      <c r="R31" s="44">
        <f t="shared" si="32"/>
        <v>1.8500000000003638</v>
      </c>
      <c r="S31" s="28">
        <f t="shared" si="33"/>
        <v>3515.0000000006912</v>
      </c>
      <c r="T31" s="8">
        <f t="shared" si="35"/>
        <v>21.123999999997068</v>
      </c>
      <c r="U31" s="30">
        <f t="shared" si="34"/>
        <v>40135.599999994425</v>
      </c>
      <c r="W31" s="157">
        <v>44741</v>
      </c>
      <c r="X31" s="158">
        <v>184812</v>
      </c>
      <c r="Y31" s="163">
        <f t="shared" si="21"/>
        <v>312</v>
      </c>
      <c r="Z31" s="158">
        <v>9485</v>
      </c>
      <c r="AA31" s="163">
        <f t="shared" si="21"/>
        <v>7</v>
      </c>
      <c r="AB31" s="158">
        <v>29</v>
      </c>
      <c r="AC31" s="163">
        <f t="shared" si="21"/>
        <v>0</v>
      </c>
      <c r="AD31" s="158">
        <v>561</v>
      </c>
      <c r="AE31" s="163">
        <f t="shared" si="21"/>
        <v>3</v>
      </c>
      <c r="AF31" s="158">
        <v>7994</v>
      </c>
      <c r="AG31" s="163">
        <f t="shared" si="21"/>
        <v>15</v>
      </c>
    </row>
    <row r="32" spans="1:33" ht="16.2" thickBot="1" x14ac:dyDescent="0.3">
      <c r="A32" s="9">
        <v>44742</v>
      </c>
      <c r="B32" s="160">
        <v>23890.723000000002</v>
      </c>
      <c r="C32" s="44">
        <f t="shared" si="22"/>
        <v>13.21400000000358</v>
      </c>
      <c r="D32" s="28">
        <f t="shared" si="23"/>
        <v>25106.600000006802</v>
      </c>
      <c r="E32" s="160">
        <v>4323.0460000000003</v>
      </c>
      <c r="F32" s="44">
        <f t="shared" si="24"/>
        <v>2.1820000000006985</v>
      </c>
      <c r="G32" s="28">
        <f t="shared" si="25"/>
        <v>4145.8000000013271</v>
      </c>
      <c r="H32" s="160">
        <v>5541</v>
      </c>
      <c r="I32" s="44">
        <f t="shared" si="26"/>
        <v>7</v>
      </c>
      <c r="J32" s="28">
        <f t="shared" si="27"/>
        <v>13299.999999999998</v>
      </c>
      <c r="K32" s="7">
        <v>14040.12</v>
      </c>
      <c r="L32" s="44">
        <f t="shared" si="28"/>
        <v>1.9900000000016007</v>
      </c>
      <c r="M32" s="28">
        <f t="shared" si="29"/>
        <v>3781.0000000030414</v>
      </c>
      <c r="N32" s="160">
        <v>3604.47</v>
      </c>
      <c r="O32" s="44">
        <f t="shared" si="30"/>
        <v>1.6959999999999127</v>
      </c>
      <c r="P32" s="28">
        <f t="shared" si="31"/>
        <v>3222.3999999998337</v>
      </c>
      <c r="Q32" s="160">
        <v>5411.91</v>
      </c>
      <c r="R32" s="44">
        <f t="shared" si="32"/>
        <v>2.2399999999997817</v>
      </c>
      <c r="S32" s="28">
        <f t="shared" si="33"/>
        <v>4255.9999999995853</v>
      </c>
      <c r="T32" s="8">
        <f t="shared" si="35"/>
        <v>28.322000000005573</v>
      </c>
      <c r="U32" s="30">
        <f t="shared" si="34"/>
        <v>53811.800000010582</v>
      </c>
      <c r="W32" s="157">
        <v>44742</v>
      </c>
      <c r="X32" s="158">
        <v>184999</v>
      </c>
      <c r="Y32" s="163">
        <f t="shared" ref="Y32" si="49">IF((X32-X31)&lt;0,"0",(X32-X31))</f>
        <v>187</v>
      </c>
      <c r="Z32" s="158">
        <v>9489</v>
      </c>
      <c r="AA32" s="163">
        <f t="shared" ref="AA32" si="50">IF((Z32-Z31)&lt;0,"0",(Z32-Z31))</f>
        <v>4</v>
      </c>
      <c r="AB32" s="158">
        <v>29.2</v>
      </c>
      <c r="AC32" s="163">
        <f t="shared" ref="AC32" si="51">IF((AB32-AB31)&lt;0,"0",(AB32-AB31))</f>
        <v>0.19999999999999929</v>
      </c>
      <c r="AD32" s="158">
        <v>564</v>
      </c>
      <c r="AE32" s="163">
        <f t="shared" ref="AE32" si="52">IF((AD32-AD31)&lt;0,"0",(AD32-AD31))</f>
        <v>3</v>
      </c>
      <c r="AF32" s="158">
        <v>8009</v>
      </c>
      <c r="AG32" s="163">
        <f t="shared" ref="AG32" si="53">IF((AF32-AF31)&lt;0,"0",(AF32-AF31))</f>
        <v>15</v>
      </c>
    </row>
    <row r="33" spans="1:33" s="22" customFormat="1" ht="16.2" thickBot="1" x14ac:dyDescent="0.3">
      <c r="A33" s="161" t="s">
        <v>23</v>
      </c>
      <c r="B33" s="161"/>
      <c r="C33" s="44">
        <f>SUM(C3:C32)</f>
        <v>388.18500000000131</v>
      </c>
      <c r="D33" s="137">
        <f>SUM(D3:D32)</f>
        <v>737551.50000000244</v>
      </c>
      <c r="E33" s="137"/>
      <c r="F33" s="44">
        <f>SUM(F3:F32)</f>
        <v>85.355000000000473</v>
      </c>
      <c r="G33" s="137">
        <f>SUM(G3:G32)</f>
        <v>162174.50000000084</v>
      </c>
      <c r="H33" s="137"/>
      <c r="I33" s="44">
        <f>SUM(I3:I32)</f>
        <v>222</v>
      </c>
      <c r="J33" s="137">
        <f>SUM(J3:J32)</f>
        <v>421800</v>
      </c>
      <c r="K33" s="137"/>
      <c r="L33" s="44">
        <f>SUM(L3:L32)</f>
        <v>67.210000000000946</v>
      </c>
      <c r="M33" s="137">
        <f>SUM(M3:M32)</f>
        <v>127699.00000000176</v>
      </c>
      <c r="N33" s="137"/>
      <c r="O33" s="44">
        <f>SUM(O3:O32)</f>
        <v>45.142999999999574</v>
      </c>
      <c r="P33" s="137">
        <f>SUM(P3:P32)</f>
        <v>85771.699999999168</v>
      </c>
      <c r="Q33" s="137"/>
      <c r="R33" s="44">
        <f>SUM(R3:R32)</f>
        <v>58.109999999999673</v>
      </c>
      <c r="S33" s="137">
        <f>SUM(S3:S32)</f>
        <v>110408.99999999939</v>
      </c>
      <c r="T33" s="137">
        <f>SUM(T3:T32)</f>
        <v>866.00300000000198</v>
      </c>
      <c r="U33" s="137">
        <f>SUM(U3:U32)</f>
        <v>1645405.7000000037</v>
      </c>
      <c r="V33"/>
      <c r="W33" s="137" t="s">
        <v>141</v>
      </c>
      <c r="X33" s="137"/>
      <c r="Y33" s="137">
        <f>SUM(Y3:Y32)</f>
        <v>7809</v>
      </c>
      <c r="Z33" s="137"/>
      <c r="AA33" s="137">
        <f>SUM(AA3:AA32)</f>
        <v>175</v>
      </c>
      <c r="AB33" s="137"/>
      <c r="AC33" s="137">
        <f>SUM(AC3:AC32)</f>
        <v>1.8000000000000007</v>
      </c>
      <c r="AD33" s="137"/>
      <c r="AE33" s="137">
        <f>SUM(AE3:AE32)</f>
        <v>69</v>
      </c>
      <c r="AF33" s="137">
        <v>0</v>
      </c>
      <c r="AG33" s="137">
        <f>SUM(AG3:AG32)</f>
        <v>443</v>
      </c>
    </row>
    <row r="36" spans="1:33" x14ac:dyDescent="0.25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4"/>
  <sheetViews>
    <sheetView zoomScaleNormal="100" workbookViewId="0">
      <pane ySplit="1" topLeftCell="A14" activePane="bottomLeft" state="frozen"/>
      <selection pane="bottomLeft" activeCell="U7" sqref="U7"/>
    </sheetView>
  </sheetViews>
  <sheetFormatPr defaultRowHeight="13.2" x14ac:dyDescent="0.25"/>
  <cols>
    <col min="3" max="4" width="10.33203125" bestFit="1" customWidth="1"/>
    <col min="5" max="5" width="12" bestFit="1" customWidth="1"/>
    <col min="6" max="6" width="12.6640625" customWidth="1"/>
    <col min="7" max="7" width="16.5546875" bestFit="1" customWidth="1"/>
    <col min="8" max="8" width="10.33203125" customWidth="1"/>
    <col min="9" max="10" width="10.33203125" bestFit="1" customWidth="1"/>
    <col min="12" max="13" width="13.109375" bestFit="1" customWidth="1"/>
    <col min="14" max="14" width="16.5546875" bestFit="1" customWidth="1"/>
    <col min="15" max="15" width="20.33203125" customWidth="1"/>
    <col min="21" max="21" width="18" customWidth="1"/>
    <col min="22" max="22" width="18.6640625" customWidth="1"/>
  </cols>
  <sheetData>
    <row r="1" spans="2:22" ht="57.6" x14ac:dyDescent="0.25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147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4.4" x14ac:dyDescent="0.25">
      <c r="B2" s="57"/>
      <c r="C2" s="179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9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9">
        <v>6</v>
      </c>
      <c r="R2" s="61" t="s">
        <v>80</v>
      </c>
      <c r="S2" s="62">
        <v>287938</v>
      </c>
      <c r="T2" s="62">
        <v>288742</v>
      </c>
      <c r="U2" s="63">
        <f t="shared" ref="U2:U4" si="0">IF((T2-S2)&lt;0,"0",(T2-S2))</f>
        <v>804</v>
      </c>
      <c r="V2" s="64"/>
    </row>
    <row r="3" spans="2:22" ht="14.4" x14ac:dyDescent="0.25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250637</v>
      </c>
      <c r="T3" s="62">
        <v>250971</v>
      </c>
      <c r="U3" s="63">
        <f t="shared" si="0"/>
        <v>334</v>
      </c>
      <c r="V3" s="64"/>
    </row>
    <row r="4" spans="2:22" ht="14.4" x14ac:dyDescent="0.25">
      <c r="B4" s="57"/>
      <c r="C4" s="180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0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0"/>
      <c r="R4" s="61" t="s">
        <v>82</v>
      </c>
      <c r="S4" s="62">
        <v>196128</v>
      </c>
      <c r="T4" s="62">
        <v>196541</v>
      </c>
      <c r="U4" s="169">
        <f t="shared" si="0"/>
        <v>413</v>
      </c>
      <c r="V4" s="64"/>
    </row>
    <row r="5" spans="2:22" ht="14.4" x14ac:dyDescent="0.25">
      <c r="B5" s="57"/>
      <c r="C5" s="179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9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9">
        <v>7</v>
      </c>
      <c r="R5" s="61" t="s">
        <v>80</v>
      </c>
      <c r="S5" s="62">
        <v>253773</v>
      </c>
      <c r="T5" s="62">
        <v>255027</v>
      </c>
      <c r="U5" s="63">
        <f>IF((T5-S5)&lt;0,"0",(T5-S5))</f>
        <v>1254</v>
      </c>
      <c r="V5" s="64"/>
    </row>
    <row r="6" spans="2:22" ht="14.4" x14ac:dyDescent="0.25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156465</v>
      </c>
      <c r="T6" s="62">
        <v>156602</v>
      </c>
      <c r="U6" s="63">
        <f t="shared" ref="U6:U63" si="3">IF((T6-S6)&lt;0,"0",(T6-S6))</f>
        <v>137</v>
      </c>
      <c r="V6" s="64"/>
    </row>
    <row r="7" spans="2:22" ht="14.4" x14ac:dyDescent="0.25">
      <c r="B7" s="57"/>
      <c r="C7" s="180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0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0"/>
      <c r="R7" s="61" t="s">
        <v>82</v>
      </c>
      <c r="S7" s="62">
        <v>130529</v>
      </c>
      <c r="T7" s="62">
        <v>130857</v>
      </c>
      <c r="U7" s="169">
        <f t="shared" si="3"/>
        <v>328</v>
      </c>
      <c r="V7" s="64"/>
    </row>
    <row r="8" spans="2:22" ht="14.4" x14ac:dyDescent="0.25">
      <c r="B8" s="57"/>
      <c r="C8" s="179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9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9">
        <v>8</v>
      </c>
      <c r="R8" s="61" t="s">
        <v>80</v>
      </c>
      <c r="S8" s="62">
        <v>78348</v>
      </c>
      <c r="T8" s="62">
        <v>78755</v>
      </c>
      <c r="U8" s="63">
        <f t="shared" si="3"/>
        <v>407</v>
      </c>
      <c r="V8" s="64"/>
    </row>
    <row r="9" spans="2:22" ht="14.4" x14ac:dyDescent="0.25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4.4" x14ac:dyDescent="0.25">
      <c r="B10" s="57"/>
      <c r="C10" s="180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0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0"/>
      <c r="R10" s="61" t="s">
        <v>82</v>
      </c>
      <c r="S10" s="62">
        <v>104361</v>
      </c>
      <c r="T10" s="62">
        <v>105117</v>
      </c>
      <c r="U10" s="63">
        <f t="shared" si="3"/>
        <v>756</v>
      </c>
      <c r="V10" s="64"/>
    </row>
    <row r="11" spans="2:22" ht="14.4" x14ac:dyDescent="0.25">
      <c r="B11" s="57"/>
      <c r="C11" s="179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9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9">
        <v>9</v>
      </c>
      <c r="R11" s="61" t="s">
        <v>80</v>
      </c>
      <c r="S11" s="62">
        <v>35075</v>
      </c>
      <c r="T11" s="62">
        <v>35141</v>
      </c>
      <c r="U11" s="63">
        <f t="shared" si="3"/>
        <v>66</v>
      </c>
      <c r="V11" s="64"/>
    </row>
    <row r="12" spans="2:22" ht="14.4" x14ac:dyDescent="0.25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4.4" x14ac:dyDescent="0.25">
      <c r="B13" s="57"/>
      <c r="C13" s="180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0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0"/>
      <c r="R13" s="61" t="s">
        <v>82</v>
      </c>
      <c r="S13" s="62">
        <v>29487</v>
      </c>
      <c r="T13" s="62">
        <v>29599</v>
      </c>
      <c r="U13" s="63">
        <f t="shared" si="3"/>
        <v>112</v>
      </c>
      <c r="V13" s="64"/>
    </row>
    <row r="14" spans="2:22" ht="14.4" x14ac:dyDescent="0.25">
      <c r="B14" s="57"/>
      <c r="C14" s="179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9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9">
        <v>10</v>
      </c>
      <c r="R14" s="61" t="s">
        <v>80</v>
      </c>
      <c r="S14" s="62">
        <v>217872</v>
      </c>
      <c r="T14" s="62">
        <v>219754</v>
      </c>
      <c r="U14" s="63">
        <f t="shared" si="3"/>
        <v>1882</v>
      </c>
      <c r="V14" s="64"/>
    </row>
    <row r="15" spans="2:22" ht="14.4" x14ac:dyDescent="0.25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4.4" x14ac:dyDescent="0.25">
      <c r="B16" s="57"/>
      <c r="C16" s="180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0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0"/>
      <c r="R16" s="61" t="s">
        <v>82</v>
      </c>
      <c r="S16" s="62">
        <v>198936</v>
      </c>
      <c r="T16" s="62">
        <v>199984</v>
      </c>
      <c r="U16" s="63">
        <f t="shared" si="3"/>
        <v>1048</v>
      </c>
      <c r="V16" s="64"/>
    </row>
    <row r="17" spans="2:22" ht="14.4" x14ac:dyDescent="0.25">
      <c r="B17" s="57"/>
      <c r="C17" s="179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9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9">
        <v>11</v>
      </c>
      <c r="R17" s="61" t="s">
        <v>80</v>
      </c>
      <c r="S17" s="62">
        <v>68064</v>
      </c>
      <c r="T17" s="62">
        <v>68249</v>
      </c>
      <c r="U17" s="63">
        <f t="shared" si="3"/>
        <v>185</v>
      </c>
      <c r="V17" s="64"/>
    </row>
    <row r="18" spans="2:22" ht="14.4" x14ac:dyDescent="0.25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225269</v>
      </c>
      <c r="T18" s="62">
        <v>226416</v>
      </c>
      <c r="U18" s="63">
        <f t="shared" si="3"/>
        <v>1147</v>
      </c>
      <c r="V18" s="64"/>
    </row>
    <row r="19" spans="2:22" ht="14.4" x14ac:dyDescent="0.25">
      <c r="B19" s="57"/>
      <c r="C19" s="180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0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0"/>
      <c r="R19" s="61" t="s">
        <v>82</v>
      </c>
      <c r="S19" s="62">
        <v>31314</v>
      </c>
      <c r="T19" s="62">
        <v>31368</v>
      </c>
      <c r="U19" s="63">
        <f t="shared" si="3"/>
        <v>54</v>
      </c>
      <c r="V19" s="64"/>
    </row>
    <row r="20" spans="2:22" ht="14.4" x14ac:dyDescent="0.25">
      <c r="B20" s="57"/>
      <c r="C20" s="179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9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9">
        <v>12</v>
      </c>
      <c r="R20" s="61" t="s">
        <v>80</v>
      </c>
      <c r="S20" s="62">
        <v>147148</v>
      </c>
      <c r="T20" s="62">
        <v>147275</v>
      </c>
      <c r="U20" s="63">
        <f t="shared" si="3"/>
        <v>127</v>
      </c>
      <c r="V20" s="64"/>
    </row>
    <row r="21" spans="2:22" ht="14.4" x14ac:dyDescent="0.25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23301</v>
      </c>
      <c r="T21" s="62">
        <v>23351</v>
      </c>
      <c r="U21" s="63">
        <f t="shared" si="3"/>
        <v>50</v>
      </c>
      <c r="V21" s="64"/>
    </row>
    <row r="22" spans="2:22" ht="14.4" x14ac:dyDescent="0.25">
      <c r="B22" s="57"/>
      <c r="C22" s="180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0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0"/>
      <c r="R22" s="61" t="s">
        <v>82</v>
      </c>
      <c r="S22" s="62">
        <v>256806</v>
      </c>
      <c r="T22" s="62">
        <v>257916</v>
      </c>
      <c r="U22" s="63">
        <f t="shared" si="3"/>
        <v>1110</v>
      </c>
      <c r="V22" s="64"/>
    </row>
    <row r="23" spans="2:22" ht="14.4" x14ac:dyDescent="0.25">
      <c r="B23" s="57"/>
      <c r="C23" s="179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9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9">
        <v>14</v>
      </c>
      <c r="R23" s="61" t="s">
        <v>80</v>
      </c>
      <c r="S23" s="62">
        <v>119046</v>
      </c>
      <c r="T23" s="62">
        <v>119408</v>
      </c>
      <c r="U23" s="63">
        <f t="shared" si="3"/>
        <v>362</v>
      </c>
      <c r="V23" s="64"/>
    </row>
    <row r="24" spans="2:22" ht="14.4" x14ac:dyDescent="0.25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35994</v>
      </c>
      <c r="T24" s="62">
        <v>36899</v>
      </c>
      <c r="U24" s="63">
        <f t="shared" si="3"/>
        <v>905</v>
      </c>
      <c r="V24" s="64"/>
    </row>
    <row r="25" spans="2:22" ht="14.4" x14ac:dyDescent="0.25">
      <c r="B25" s="57"/>
      <c r="C25" s="180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0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0"/>
      <c r="R25" s="61" t="s">
        <v>82</v>
      </c>
      <c r="S25" s="62">
        <v>1968</v>
      </c>
      <c r="T25" s="62">
        <v>1984</v>
      </c>
      <c r="U25" s="169">
        <f t="shared" si="3"/>
        <v>16</v>
      </c>
      <c r="V25" s="64"/>
    </row>
    <row r="26" spans="2:22" ht="14.4" x14ac:dyDescent="0.25">
      <c r="B26" s="57"/>
      <c r="C26" s="179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9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9">
        <v>15</v>
      </c>
      <c r="R26" s="61" t="s">
        <v>80</v>
      </c>
      <c r="S26" s="62">
        <v>39357</v>
      </c>
      <c r="T26" s="62">
        <v>39357</v>
      </c>
      <c r="U26" s="63">
        <f t="shared" si="3"/>
        <v>0</v>
      </c>
      <c r="V26" s="64"/>
    </row>
    <row r="27" spans="2:22" ht="14.4" x14ac:dyDescent="0.25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85079</v>
      </c>
      <c r="T27" s="62">
        <v>85452</v>
      </c>
      <c r="U27" s="63">
        <f t="shared" si="3"/>
        <v>373</v>
      </c>
      <c r="V27" s="64"/>
    </row>
    <row r="28" spans="2:22" ht="14.4" x14ac:dyDescent="0.25">
      <c r="B28" s="57"/>
      <c r="C28" s="180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0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0"/>
      <c r="R28" s="61" t="s">
        <v>82</v>
      </c>
      <c r="S28" s="62">
        <v>164130</v>
      </c>
      <c r="T28" s="62">
        <v>165029</v>
      </c>
      <c r="U28" s="63">
        <f t="shared" si="3"/>
        <v>899</v>
      </c>
      <c r="V28" s="64"/>
    </row>
    <row r="29" spans="2:22" ht="14.4" x14ac:dyDescent="0.25">
      <c r="B29" s="57"/>
      <c r="C29" s="179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9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9">
        <v>16</v>
      </c>
      <c r="R29" s="61" t="s">
        <v>80</v>
      </c>
      <c r="S29" s="62">
        <v>97793</v>
      </c>
      <c r="T29" s="62">
        <v>97792</v>
      </c>
      <c r="U29" s="63" t="str">
        <f t="shared" si="3"/>
        <v>0</v>
      </c>
      <c r="V29" s="65" t="s">
        <v>12</v>
      </c>
    </row>
    <row r="30" spans="2:22" ht="14.4" x14ac:dyDescent="0.25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64290</v>
      </c>
      <c r="T30" s="62">
        <v>64550</v>
      </c>
      <c r="U30" s="63">
        <f t="shared" si="3"/>
        <v>260</v>
      </c>
      <c r="V30" s="64"/>
    </row>
    <row r="31" spans="2:22" ht="14.4" x14ac:dyDescent="0.25">
      <c r="B31" s="57"/>
      <c r="C31" s="180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0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0"/>
      <c r="R31" s="61" t="s">
        <v>82</v>
      </c>
      <c r="S31" s="62">
        <v>69310</v>
      </c>
      <c r="T31" s="62">
        <v>69432</v>
      </c>
      <c r="U31" s="63">
        <f t="shared" si="3"/>
        <v>122</v>
      </c>
      <c r="V31" s="70"/>
    </row>
    <row r="32" spans="2:22" ht="14.4" x14ac:dyDescent="0.25">
      <c r="B32" s="57"/>
      <c r="C32" s="179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9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9">
        <v>17</v>
      </c>
      <c r="R32" s="61" t="s">
        <v>80</v>
      </c>
      <c r="S32" s="62">
        <v>36565</v>
      </c>
      <c r="T32" s="62">
        <v>36877</v>
      </c>
      <c r="U32" s="169">
        <f t="shared" si="3"/>
        <v>312</v>
      </c>
      <c r="V32" s="64"/>
    </row>
    <row r="33" spans="2:22" ht="14.4" x14ac:dyDescent="0.25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169">
        <f t="shared" si="3"/>
        <v>0</v>
      </c>
      <c r="V33" s="64"/>
    </row>
    <row r="34" spans="2:22" ht="14.4" x14ac:dyDescent="0.25">
      <c r="B34" s="57"/>
      <c r="C34" s="180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0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0"/>
      <c r="R34" s="61" t="s">
        <v>82</v>
      </c>
      <c r="S34" s="62">
        <v>12130</v>
      </c>
      <c r="T34" s="62">
        <v>12228</v>
      </c>
      <c r="U34" s="63">
        <f t="shared" si="3"/>
        <v>98</v>
      </c>
      <c r="V34" s="70"/>
    </row>
    <row r="35" spans="2:22" ht="14.4" x14ac:dyDescent="0.25">
      <c r="B35" s="57"/>
      <c r="C35" s="179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9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9">
        <v>18</v>
      </c>
      <c r="R35" s="61" t="s">
        <v>80</v>
      </c>
      <c r="S35" s="62">
        <v>253723</v>
      </c>
      <c r="T35" s="62">
        <v>255204</v>
      </c>
      <c r="U35" s="63">
        <f t="shared" si="3"/>
        <v>1481</v>
      </c>
      <c r="V35" s="70"/>
    </row>
    <row r="36" spans="2:22" ht="14.4" x14ac:dyDescent="0.25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19334</v>
      </c>
      <c r="T36" s="62">
        <v>19865</v>
      </c>
      <c r="U36" s="169">
        <f t="shared" si="3"/>
        <v>531</v>
      </c>
      <c r="V36" s="64"/>
    </row>
    <row r="37" spans="2:22" ht="14.4" x14ac:dyDescent="0.25">
      <c r="B37" s="57"/>
      <c r="C37" s="180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0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0"/>
      <c r="R37" s="61" t="s">
        <v>82</v>
      </c>
      <c r="S37" s="62">
        <v>93299</v>
      </c>
      <c r="T37" s="62">
        <v>95011</v>
      </c>
      <c r="U37" s="169">
        <f t="shared" si="3"/>
        <v>1712</v>
      </c>
      <c r="V37" s="64"/>
    </row>
    <row r="38" spans="2:22" ht="14.4" x14ac:dyDescent="0.25">
      <c r="B38" s="57"/>
      <c r="C38" s="179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9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9">
        <v>19</v>
      </c>
      <c r="R38" s="61" t="s">
        <v>80</v>
      </c>
      <c r="S38" s="62">
        <v>23840</v>
      </c>
      <c r="T38" s="62">
        <v>24416</v>
      </c>
      <c r="U38" s="63">
        <f t="shared" si="3"/>
        <v>576</v>
      </c>
      <c r="V38" s="64"/>
    </row>
    <row r="39" spans="2:22" ht="14.4" x14ac:dyDescent="0.25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84843</v>
      </c>
      <c r="T39" s="62">
        <v>85048</v>
      </c>
      <c r="U39" s="63">
        <f t="shared" si="3"/>
        <v>205</v>
      </c>
      <c r="V39" s="70"/>
    </row>
    <row r="40" spans="2:22" ht="14.4" x14ac:dyDescent="0.25">
      <c r="B40" s="57"/>
      <c r="C40" s="180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0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0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4.4" x14ac:dyDescent="0.25">
      <c r="B41" s="57"/>
      <c r="C41" s="179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9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9">
        <v>20</v>
      </c>
      <c r="R41" s="61" t="s">
        <v>80</v>
      </c>
      <c r="S41" s="62">
        <v>121869</v>
      </c>
      <c r="T41" s="62">
        <v>122106</v>
      </c>
      <c r="U41" s="63">
        <f t="shared" si="3"/>
        <v>237</v>
      </c>
      <c r="V41" s="64"/>
    </row>
    <row r="42" spans="2:22" ht="14.4" x14ac:dyDescent="0.25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71994</v>
      </c>
      <c r="T42" s="62">
        <v>72822</v>
      </c>
      <c r="U42" s="63">
        <f t="shared" si="3"/>
        <v>828</v>
      </c>
      <c r="V42" s="64"/>
    </row>
    <row r="43" spans="2:22" ht="14.4" x14ac:dyDescent="0.25">
      <c r="B43" s="57"/>
      <c r="C43" s="180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0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0"/>
      <c r="R43" s="61" t="s">
        <v>82</v>
      </c>
      <c r="S43" s="62">
        <v>3456</v>
      </c>
      <c r="T43" s="62">
        <v>3469</v>
      </c>
      <c r="U43" s="169">
        <f t="shared" si="3"/>
        <v>13</v>
      </c>
      <c r="V43" s="64"/>
    </row>
    <row r="44" spans="2:22" ht="14.4" x14ac:dyDescent="0.25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4.4" x14ac:dyDescent="0.25">
      <c r="B45" s="57"/>
      <c r="C45" s="179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9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9">
        <v>21</v>
      </c>
      <c r="R45" s="75" t="s">
        <v>83</v>
      </c>
      <c r="S45" s="62">
        <v>3794</v>
      </c>
      <c r="T45" s="62">
        <v>3820</v>
      </c>
      <c r="U45" s="63">
        <f t="shared" si="3"/>
        <v>26</v>
      </c>
      <c r="V45" s="65" t="s">
        <v>12</v>
      </c>
    </row>
    <row r="46" spans="2:22" ht="14.4" x14ac:dyDescent="0.25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45855</v>
      </c>
      <c r="T46" s="62">
        <v>45860</v>
      </c>
      <c r="U46" s="169">
        <f t="shared" si="3"/>
        <v>5</v>
      </c>
      <c r="V46" s="64"/>
    </row>
    <row r="47" spans="2:22" ht="14.4" x14ac:dyDescent="0.25">
      <c r="B47" s="57"/>
      <c r="C47" s="179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9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9">
        <v>22</v>
      </c>
      <c r="R47" s="75" t="s">
        <v>83</v>
      </c>
      <c r="S47" s="62">
        <v>13770</v>
      </c>
      <c r="T47" s="62">
        <v>13771</v>
      </c>
      <c r="U47" s="169">
        <f t="shared" si="3"/>
        <v>1</v>
      </c>
      <c r="V47" s="64"/>
    </row>
    <row r="48" spans="2:22" ht="14.4" x14ac:dyDescent="0.25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21207</v>
      </c>
      <c r="T48" s="62">
        <v>21341</v>
      </c>
      <c r="U48" s="63">
        <f t="shared" si="3"/>
        <v>134</v>
      </c>
      <c r="V48" s="64"/>
    </row>
    <row r="49" spans="1:22" ht="14.4" x14ac:dyDescent="0.25">
      <c r="B49" s="57"/>
      <c r="C49" s="179">
        <v>23</v>
      </c>
      <c r="D49" s="61" t="s">
        <v>83</v>
      </c>
      <c r="E49" s="62"/>
      <c r="F49" s="76"/>
      <c r="G49" s="63">
        <f t="shared" si="4"/>
        <v>0</v>
      </c>
      <c r="H49" s="64"/>
      <c r="J49" s="179">
        <v>23</v>
      </c>
      <c r="K49" s="61" t="s">
        <v>83</v>
      </c>
      <c r="L49" s="76"/>
      <c r="M49" s="76"/>
      <c r="N49" s="63">
        <f t="shared" si="2"/>
        <v>0</v>
      </c>
      <c r="O49" s="64"/>
      <c r="Q49" s="179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4.4" x14ac:dyDescent="0.25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4.4" x14ac:dyDescent="0.25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4.4" x14ac:dyDescent="0.25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254504</v>
      </c>
      <c r="T52" s="62">
        <v>255854</v>
      </c>
      <c r="U52" s="63">
        <f t="shared" si="3"/>
        <v>1350</v>
      </c>
      <c r="V52" s="78"/>
    </row>
    <row r="53" spans="1:22" ht="14.4" x14ac:dyDescent="0.25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540901</v>
      </c>
      <c r="T53" s="62">
        <v>541352</v>
      </c>
      <c r="U53" s="63">
        <f t="shared" si="3"/>
        <v>451</v>
      </c>
      <c r="V53" s="70"/>
    </row>
    <row r="54" spans="1:22" ht="14.4" x14ac:dyDescent="0.25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34557</v>
      </c>
      <c r="U54" s="63" t="str">
        <f t="shared" si="3"/>
        <v>0</v>
      </c>
      <c r="V54" s="79" t="s">
        <v>12</v>
      </c>
    </row>
    <row r="55" spans="1:22" ht="14.4" x14ac:dyDescent="0.25">
      <c r="B55" s="57"/>
      <c r="C55" s="179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9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9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4.4" x14ac:dyDescent="0.25">
      <c r="B56" s="57"/>
      <c r="C56" s="180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0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0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4.4" x14ac:dyDescent="0.25">
      <c r="B57" s="57"/>
      <c r="C57" s="179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9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9">
        <v>26</v>
      </c>
      <c r="R57" s="61" t="s">
        <v>84</v>
      </c>
      <c r="S57" s="62">
        <v>740310</v>
      </c>
      <c r="T57" s="62">
        <v>743691</v>
      </c>
      <c r="U57" s="63">
        <f t="shared" si="3"/>
        <v>3381</v>
      </c>
      <c r="V57" s="64"/>
    </row>
    <row r="58" spans="1:22" ht="14.4" x14ac:dyDescent="0.25">
      <c r="A58" s="67"/>
      <c r="B58" s="57"/>
      <c r="C58" s="180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0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0"/>
      <c r="R58" s="61" t="s">
        <v>85</v>
      </c>
      <c r="S58" s="62">
        <v>816379</v>
      </c>
      <c r="T58" s="62">
        <v>820373</v>
      </c>
      <c r="U58" s="63">
        <f t="shared" si="3"/>
        <v>3994</v>
      </c>
      <c r="V58" s="70"/>
    </row>
    <row r="59" spans="1:22" ht="14.4" x14ac:dyDescent="0.25">
      <c r="A59" s="67"/>
      <c r="B59" s="57"/>
      <c r="C59" s="179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9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9">
        <v>27</v>
      </c>
      <c r="R59" s="61" t="s">
        <v>84</v>
      </c>
      <c r="S59" s="62">
        <v>251124</v>
      </c>
      <c r="T59" s="62">
        <v>252317</v>
      </c>
      <c r="U59" s="63">
        <f t="shared" si="3"/>
        <v>1193</v>
      </c>
      <c r="V59" s="64"/>
    </row>
    <row r="60" spans="1:22" ht="14.4" x14ac:dyDescent="0.25">
      <c r="A60" s="67"/>
      <c r="B60" s="57"/>
      <c r="C60" s="180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0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0"/>
      <c r="R60" s="61" t="s">
        <v>85</v>
      </c>
      <c r="S60" s="62">
        <v>106703</v>
      </c>
      <c r="T60" s="62">
        <v>107034</v>
      </c>
      <c r="U60" s="63">
        <f t="shared" si="3"/>
        <v>331</v>
      </c>
      <c r="V60" s="64"/>
    </row>
    <row r="61" spans="1:22" ht="14.4" x14ac:dyDescent="0.25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4.4" x14ac:dyDescent="0.25">
      <c r="A62" s="67"/>
      <c r="B62" s="57"/>
      <c r="C62" s="179">
        <v>28</v>
      </c>
      <c r="D62" s="181" t="s">
        <v>86</v>
      </c>
      <c r="E62" s="62"/>
      <c r="F62" s="62"/>
      <c r="G62" s="63"/>
      <c r="H62" s="183" t="s">
        <v>87</v>
      </c>
      <c r="I62" s="67"/>
      <c r="J62" s="179">
        <v>28</v>
      </c>
      <c r="K62" s="181" t="s">
        <v>86</v>
      </c>
      <c r="L62" s="62"/>
      <c r="M62" s="62"/>
      <c r="N62" s="63"/>
      <c r="O62" s="183" t="s">
        <v>87</v>
      </c>
      <c r="Q62" s="179">
        <v>28</v>
      </c>
      <c r="R62" s="181" t="s">
        <v>86</v>
      </c>
      <c r="S62" s="62"/>
      <c r="T62" s="62"/>
      <c r="U62" s="63">
        <f t="shared" si="3"/>
        <v>0</v>
      </c>
      <c r="V62" s="183" t="s">
        <v>87</v>
      </c>
    </row>
    <row r="63" spans="1:22" ht="14.4" x14ac:dyDescent="0.25">
      <c r="A63" s="67"/>
      <c r="B63" s="57"/>
      <c r="C63" s="180"/>
      <c r="D63" s="182"/>
      <c r="E63" s="62"/>
      <c r="F63" s="62"/>
      <c r="G63" s="63"/>
      <c r="H63" s="184"/>
      <c r="I63" s="67"/>
      <c r="J63" s="180"/>
      <c r="K63" s="182"/>
      <c r="L63" s="62"/>
      <c r="M63" s="62"/>
      <c r="N63" s="63"/>
      <c r="O63" s="184"/>
      <c r="Q63" s="180"/>
      <c r="R63" s="182"/>
      <c r="S63" s="62"/>
      <c r="T63" s="62"/>
      <c r="U63" s="63">
        <f t="shared" si="3"/>
        <v>0</v>
      </c>
      <c r="V63" s="184"/>
    </row>
    <row r="64" spans="1:22" ht="13.8" x14ac:dyDescent="0.25">
      <c r="A64" s="67"/>
      <c r="B64" s="57"/>
      <c r="C64" s="185" t="s">
        <v>88</v>
      </c>
      <c r="D64" s="185"/>
      <c r="E64" s="185"/>
      <c r="F64" s="185"/>
      <c r="G64" s="81">
        <f>SUM(G2:G63)</f>
        <v>35162</v>
      </c>
      <c r="H64" s="82"/>
      <c r="I64" s="67"/>
      <c r="J64" s="185" t="s">
        <v>88</v>
      </c>
      <c r="K64" s="185"/>
      <c r="L64" s="185"/>
      <c r="M64" s="185"/>
      <c r="N64" s="81">
        <f>SUM(N2:N63)</f>
        <v>295061</v>
      </c>
      <c r="O64" s="82"/>
      <c r="Q64" s="185" t="s">
        <v>88</v>
      </c>
      <c r="R64" s="185"/>
      <c r="S64" s="185"/>
      <c r="T64" s="185"/>
      <c r="U64" s="81">
        <f>SUM(U2:U63)</f>
        <v>30010</v>
      </c>
      <c r="V64" s="82"/>
    </row>
    <row r="68" spans="1:15" ht="13.8" thickBot="1" x14ac:dyDescent="0.3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8" thickBot="1" x14ac:dyDescent="0.3">
      <c r="A69" s="85"/>
      <c r="B69" s="193">
        <v>44682</v>
      </c>
      <c r="C69" s="194"/>
      <c r="D69" s="194"/>
      <c r="E69" s="195"/>
      <c r="F69" s="85"/>
      <c r="G69" s="193">
        <v>44713</v>
      </c>
      <c r="H69" s="194"/>
      <c r="I69" s="194"/>
      <c r="J69" s="195"/>
      <c r="K69" s="85"/>
      <c r="L69" s="190" t="s">
        <v>25</v>
      </c>
      <c r="M69" s="191"/>
      <c r="N69" s="191"/>
      <c r="O69" s="192"/>
    </row>
    <row r="70" spans="1:15" ht="13.8" thickBot="1" x14ac:dyDescent="0.3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4.4" thickBot="1" x14ac:dyDescent="0.3">
      <c r="A71" s="83"/>
      <c r="B71" s="87">
        <v>6</v>
      </c>
      <c r="C71" s="88">
        <v>98728</v>
      </c>
      <c r="D71" s="89">
        <v>59726</v>
      </c>
      <c r="E71" s="90">
        <v>78923</v>
      </c>
      <c r="F71" s="83"/>
      <c r="G71" s="87">
        <v>6</v>
      </c>
      <c r="H71" s="88">
        <v>99360</v>
      </c>
      <c r="I71" s="89">
        <v>60362</v>
      </c>
      <c r="J71" s="90">
        <v>78930</v>
      </c>
      <c r="K71" s="83"/>
      <c r="L71" s="86">
        <v>6</v>
      </c>
      <c r="M71" s="91">
        <f>H71-C71</f>
        <v>632</v>
      </c>
      <c r="N71" s="91">
        <f>I71-D71</f>
        <v>636</v>
      </c>
      <c r="O71" s="91">
        <f>J71-E71</f>
        <v>7</v>
      </c>
    </row>
    <row r="72" spans="1:15" ht="14.4" thickBot="1" x14ac:dyDescent="0.3">
      <c r="A72" s="83"/>
      <c r="B72" s="87">
        <v>7</v>
      </c>
      <c r="C72" s="88">
        <v>101991</v>
      </c>
      <c r="D72" s="89">
        <v>105999</v>
      </c>
      <c r="E72" s="90">
        <v>67964</v>
      </c>
      <c r="F72" s="83"/>
      <c r="G72" s="87">
        <v>7</v>
      </c>
      <c r="H72" s="88">
        <v>102341</v>
      </c>
      <c r="I72" s="89">
        <v>106256</v>
      </c>
      <c r="J72" s="90">
        <v>68121</v>
      </c>
      <c r="K72" s="83"/>
      <c r="L72" s="86">
        <v>7</v>
      </c>
      <c r="M72" s="91">
        <f t="shared" ref="M72:O94" si="6">H72-C72</f>
        <v>350</v>
      </c>
      <c r="N72" s="91">
        <f t="shared" si="6"/>
        <v>257</v>
      </c>
      <c r="O72" s="91">
        <f t="shared" si="6"/>
        <v>157</v>
      </c>
    </row>
    <row r="73" spans="1:15" ht="14.4" thickBot="1" x14ac:dyDescent="0.3">
      <c r="A73" s="83"/>
      <c r="B73" s="87">
        <v>8</v>
      </c>
      <c r="C73" s="88">
        <v>121283</v>
      </c>
      <c r="D73" s="89">
        <v>266639</v>
      </c>
      <c r="E73" s="90">
        <v>113657</v>
      </c>
      <c r="F73" s="83"/>
      <c r="G73" s="87">
        <v>8</v>
      </c>
      <c r="H73" s="88">
        <v>122145</v>
      </c>
      <c r="I73" s="89">
        <v>268694</v>
      </c>
      <c r="J73" s="90">
        <v>113860</v>
      </c>
      <c r="K73" s="83"/>
      <c r="L73" s="86">
        <v>8</v>
      </c>
      <c r="M73" s="91">
        <f t="shared" si="6"/>
        <v>862</v>
      </c>
      <c r="N73" s="91">
        <f t="shared" si="6"/>
        <v>2055</v>
      </c>
      <c r="O73" s="91">
        <f t="shared" si="6"/>
        <v>203</v>
      </c>
    </row>
    <row r="74" spans="1:15" ht="14.4" thickBot="1" x14ac:dyDescent="0.3">
      <c r="A74" s="83"/>
      <c r="B74" s="87">
        <v>9</v>
      </c>
      <c r="C74" s="88">
        <v>69664</v>
      </c>
      <c r="D74" s="89">
        <v>156891</v>
      </c>
      <c r="E74" s="90">
        <v>165552</v>
      </c>
      <c r="F74" s="83"/>
      <c r="G74" s="87">
        <v>9</v>
      </c>
      <c r="H74" s="88">
        <v>69702</v>
      </c>
      <c r="I74" s="89">
        <v>157217</v>
      </c>
      <c r="J74" s="90">
        <v>166699</v>
      </c>
      <c r="K74" s="83"/>
      <c r="L74" s="86">
        <v>9</v>
      </c>
      <c r="M74" s="91">
        <f t="shared" si="6"/>
        <v>38</v>
      </c>
      <c r="N74" s="91">
        <f t="shared" si="6"/>
        <v>326</v>
      </c>
      <c r="O74" s="91">
        <f t="shared" si="6"/>
        <v>1147</v>
      </c>
    </row>
    <row r="75" spans="1:15" ht="14.4" thickBot="1" x14ac:dyDescent="0.3">
      <c r="A75" s="83"/>
      <c r="B75" s="87">
        <v>10</v>
      </c>
      <c r="C75" s="88">
        <v>77982</v>
      </c>
      <c r="D75" s="89">
        <v>126318</v>
      </c>
      <c r="E75" s="90">
        <v>154953</v>
      </c>
      <c r="F75" s="83"/>
      <c r="G75" s="87">
        <v>10</v>
      </c>
      <c r="H75" s="88">
        <v>78103</v>
      </c>
      <c r="I75" s="89">
        <v>127365</v>
      </c>
      <c r="J75" s="90">
        <v>156965</v>
      </c>
      <c r="K75" s="83"/>
      <c r="L75" s="86">
        <v>10</v>
      </c>
      <c r="M75" s="91">
        <f t="shared" si="6"/>
        <v>121</v>
      </c>
      <c r="N75" s="91">
        <f t="shared" si="6"/>
        <v>1047</v>
      </c>
      <c r="O75" s="91">
        <f t="shared" si="6"/>
        <v>2012</v>
      </c>
    </row>
    <row r="76" spans="1:15" ht="14.4" thickBot="1" x14ac:dyDescent="0.3">
      <c r="A76" s="83"/>
      <c r="B76" s="87">
        <v>11</v>
      </c>
      <c r="C76" s="88">
        <v>163460</v>
      </c>
      <c r="D76" s="89">
        <v>189116</v>
      </c>
      <c r="E76" s="90">
        <v>214676</v>
      </c>
      <c r="F76" s="83"/>
      <c r="G76" s="87">
        <v>11</v>
      </c>
      <c r="H76" s="88">
        <v>163965</v>
      </c>
      <c r="I76" s="89">
        <v>189919</v>
      </c>
      <c r="J76" s="90">
        <v>214965</v>
      </c>
      <c r="K76" s="83"/>
      <c r="L76" s="86">
        <v>11</v>
      </c>
      <c r="M76" s="91">
        <f t="shared" si="6"/>
        <v>505</v>
      </c>
      <c r="N76" s="91">
        <f t="shared" si="6"/>
        <v>803</v>
      </c>
      <c r="O76" s="91">
        <f t="shared" si="6"/>
        <v>289</v>
      </c>
    </row>
    <row r="77" spans="1:15" ht="14.4" thickBot="1" x14ac:dyDescent="0.3">
      <c r="A77" s="83"/>
      <c r="B77" s="87">
        <v>12</v>
      </c>
      <c r="C77" s="88">
        <v>157077</v>
      </c>
      <c r="D77" s="89">
        <v>99775</v>
      </c>
      <c r="E77" s="90">
        <v>101606</v>
      </c>
      <c r="F77" s="83"/>
      <c r="G77" s="87">
        <v>12</v>
      </c>
      <c r="H77" s="88">
        <v>157726</v>
      </c>
      <c r="I77" s="89">
        <v>100105</v>
      </c>
      <c r="J77" s="90">
        <v>101879</v>
      </c>
      <c r="K77" s="83"/>
      <c r="L77" s="86">
        <v>12</v>
      </c>
      <c r="M77" s="91">
        <f t="shared" si="6"/>
        <v>649</v>
      </c>
      <c r="N77" s="91">
        <f>I77-D77</f>
        <v>330</v>
      </c>
      <c r="O77" s="91">
        <f t="shared" si="6"/>
        <v>273</v>
      </c>
    </row>
    <row r="78" spans="1:15" ht="14.4" thickBot="1" x14ac:dyDescent="0.3">
      <c r="A78" s="83"/>
      <c r="B78" s="87">
        <v>14</v>
      </c>
      <c r="C78" s="88">
        <v>123684</v>
      </c>
      <c r="D78" s="89">
        <v>49135</v>
      </c>
      <c r="E78" s="90">
        <v>51948</v>
      </c>
      <c r="F78" s="83"/>
      <c r="G78" s="87">
        <v>14</v>
      </c>
      <c r="H78" s="88">
        <v>123800</v>
      </c>
      <c r="I78" s="89">
        <v>49663</v>
      </c>
      <c r="J78" s="90">
        <v>52076</v>
      </c>
      <c r="K78" s="83"/>
      <c r="L78" s="86">
        <v>14</v>
      </c>
      <c r="M78" s="91">
        <f t="shared" si="6"/>
        <v>116</v>
      </c>
      <c r="N78" s="91">
        <f t="shared" si="6"/>
        <v>528</v>
      </c>
      <c r="O78" s="91">
        <f t="shared" si="6"/>
        <v>128</v>
      </c>
    </row>
    <row r="79" spans="1:15" ht="14.4" thickBot="1" x14ac:dyDescent="0.3">
      <c r="A79" s="83"/>
      <c r="B79" s="87">
        <v>15</v>
      </c>
      <c r="C79" s="88">
        <v>176550</v>
      </c>
      <c r="D79" s="89">
        <v>155178</v>
      </c>
      <c r="E79" s="90">
        <v>165024</v>
      </c>
      <c r="F79" s="83"/>
      <c r="G79" s="87">
        <v>15</v>
      </c>
      <c r="H79" s="88">
        <v>177077</v>
      </c>
      <c r="I79" s="89">
        <v>155961</v>
      </c>
      <c r="J79" s="90">
        <v>165634</v>
      </c>
      <c r="K79" s="83"/>
      <c r="L79" s="86">
        <v>15</v>
      </c>
      <c r="M79" s="91">
        <f t="shared" si="6"/>
        <v>527</v>
      </c>
      <c r="N79" s="91">
        <f t="shared" si="6"/>
        <v>783</v>
      </c>
      <c r="O79" s="91">
        <f t="shared" si="6"/>
        <v>610</v>
      </c>
    </row>
    <row r="80" spans="1:15" ht="14.4" thickBot="1" x14ac:dyDescent="0.3">
      <c r="A80" s="83"/>
      <c r="B80" s="87">
        <v>16</v>
      </c>
      <c r="C80" s="88">
        <v>131005</v>
      </c>
      <c r="D80" s="89">
        <v>158093</v>
      </c>
      <c r="E80" s="90">
        <v>220954</v>
      </c>
      <c r="F80" s="83"/>
      <c r="G80" s="87">
        <v>16</v>
      </c>
      <c r="H80" s="88">
        <v>131324</v>
      </c>
      <c r="I80" s="89">
        <v>158804</v>
      </c>
      <c r="J80" s="90">
        <v>221172</v>
      </c>
      <c r="K80" s="83"/>
      <c r="L80" s="86">
        <v>16</v>
      </c>
      <c r="M80" s="91">
        <f t="shared" si="6"/>
        <v>319</v>
      </c>
      <c r="N80" s="91">
        <f t="shared" si="6"/>
        <v>711</v>
      </c>
      <c r="O80" s="91">
        <f t="shared" si="6"/>
        <v>218</v>
      </c>
    </row>
    <row r="81" spans="1:15" ht="14.4" thickBot="1" x14ac:dyDescent="0.3">
      <c r="A81" s="83"/>
      <c r="B81" s="87">
        <v>17</v>
      </c>
      <c r="C81" s="88">
        <v>38476</v>
      </c>
      <c r="D81" s="89">
        <v>88865</v>
      </c>
      <c r="E81" s="90">
        <v>203858</v>
      </c>
      <c r="F81" s="83"/>
      <c r="G81" s="87">
        <v>17</v>
      </c>
      <c r="H81" s="88">
        <v>38476</v>
      </c>
      <c r="I81" s="89">
        <v>89126</v>
      </c>
      <c r="J81" s="90">
        <v>204014</v>
      </c>
      <c r="K81" s="83"/>
      <c r="L81" s="86">
        <v>17</v>
      </c>
      <c r="M81" s="91">
        <f t="shared" si="6"/>
        <v>0</v>
      </c>
      <c r="N81" s="91">
        <f t="shared" si="6"/>
        <v>261</v>
      </c>
      <c r="O81" s="91">
        <f t="shared" si="6"/>
        <v>156</v>
      </c>
    </row>
    <row r="82" spans="1:15" ht="14.4" thickBot="1" x14ac:dyDescent="0.3">
      <c r="A82" s="83"/>
      <c r="B82" s="87">
        <v>18</v>
      </c>
      <c r="C82" s="88">
        <v>140994</v>
      </c>
      <c r="D82" s="89">
        <v>75685</v>
      </c>
      <c r="E82" s="90">
        <v>166522</v>
      </c>
      <c r="F82" s="83"/>
      <c r="G82" s="87">
        <v>18</v>
      </c>
      <c r="H82" s="88">
        <v>141527</v>
      </c>
      <c r="I82" s="89">
        <v>75757</v>
      </c>
      <c r="J82" s="90">
        <v>166717</v>
      </c>
      <c r="K82" s="83"/>
      <c r="L82" s="86">
        <v>18</v>
      </c>
      <c r="M82" s="91">
        <f t="shared" si="6"/>
        <v>533</v>
      </c>
      <c r="N82" s="91">
        <f t="shared" si="6"/>
        <v>72</v>
      </c>
      <c r="O82" s="91">
        <f t="shared" si="6"/>
        <v>195</v>
      </c>
    </row>
    <row r="83" spans="1:15" ht="14.4" thickBot="1" x14ac:dyDescent="0.3">
      <c r="A83" s="83"/>
      <c r="B83" s="87">
        <v>19</v>
      </c>
      <c r="C83" s="88">
        <v>78488</v>
      </c>
      <c r="D83" s="89">
        <v>175993</v>
      </c>
      <c r="E83" s="90">
        <v>130578</v>
      </c>
      <c r="F83" s="83"/>
      <c r="G83" s="87">
        <v>19</v>
      </c>
      <c r="H83" s="88">
        <v>78546</v>
      </c>
      <c r="I83" s="89">
        <v>176831</v>
      </c>
      <c r="J83" s="90">
        <v>130950</v>
      </c>
      <c r="K83" s="83"/>
      <c r="L83" s="86">
        <v>19</v>
      </c>
      <c r="M83" s="91">
        <f t="shared" si="6"/>
        <v>58</v>
      </c>
      <c r="N83" s="91">
        <f t="shared" si="6"/>
        <v>838</v>
      </c>
      <c r="O83" s="91">
        <f t="shared" si="6"/>
        <v>372</v>
      </c>
    </row>
    <row r="84" spans="1:15" ht="14.4" thickBot="1" x14ac:dyDescent="0.3">
      <c r="A84" s="83"/>
      <c r="B84" s="87">
        <v>20</v>
      </c>
      <c r="C84" s="88">
        <v>147813</v>
      </c>
      <c r="D84" s="89">
        <v>179150</v>
      </c>
      <c r="E84" s="90">
        <v>90949</v>
      </c>
      <c r="F84" s="83"/>
      <c r="G84" s="87">
        <v>20</v>
      </c>
      <c r="H84" s="88">
        <v>148329</v>
      </c>
      <c r="I84" s="89">
        <v>180407</v>
      </c>
      <c r="J84" s="90">
        <v>91100</v>
      </c>
      <c r="K84" s="83"/>
      <c r="L84" s="86">
        <v>20</v>
      </c>
      <c r="M84" s="91">
        <f>H84-C84</f>
        <v>516</v>
      </c>
      <c r="N84" s="91">
        <f t="shared" si="6"/>
        <v>1257</v>
      </c>
      <c r="O84" s="91">
        <f t="shared" si="6"/>
        <v>151</v>
      </c>
    </row>
    <row r="85" spans="1:15" ht="14.4" thickBot="1" x14ac:dyDescent="0.3">
      <c r="A85" s="83"/>
      <c r="B85" s="87">
        <v>21</v>
      </c>
      <c r="C85" s="88">
        <v>194278</v>
      </c>
      <c r="D85" s="89">
        <v>93086</v>
      </c>
      <c r="E85" s="90">
        <v>118367</v>
      </c>
      <c r="F85" s="83"/>
      <c r="G85" s="87">
        <v>21</v>
      </c>
      <c r="H85" s="88">
        <v>194434</v>
      </c>
      <c r="I85" s="89">
        <v>93475</v>
      </c>
      <c r="J85" s="90">
        <v>118812</v>
      </c>
      <c r="K85" s="83"/>
      <c r="L85" s="86">
        <v>21</v>
      </c>
      <c r="M85" s="91">
        <f t="shared" si="6"/>
        <v>156</v>
      </c>
      <c r="N85" s="91">
        <f t="shared" si="6"/>
        <v>389</v>
      </c>
      <c r="O85" s="91">
        <f t="shared" si="6"/>
        <v>445</v>
      </c>
    </row>
    <row r="86" spans="1:15" ht="14.4" thickBot="1" x14ac:dyDescent="0.3">
      <c r="A86" s="83"/>
      <c r="B86" s="87">
        <v>22</v>
      </c>
      <c r="C86" s="88">
        <v>142784</v>
      </c>
      <c r="D86" s="89">
        <v>100769</v>
      </c>
      <c r="E86" s="90">
        <v>122914</v>
      </c>
      <c r="F86" s="83"/>
      <c r="G86" s="87">
        <v>22</v>
      </c>
      <c r="H86" s="88">
        <v>143871</v>
      </c>
      <c r="I86" s="89">
        <v>102520</v>
      </c>
      <c r="J86" s="90">
        <v>123096</v>
      </c>
      <c r="K86" s="83"/>
      <c r="L86" s="86">
        <v>22</v>
      </c>
      <c r="M86" s="91">
        <f t="shared" si="6"/>
        <v>1087</v>
      </c>
      <c r="N86" s="91">
        <f t="shared" si="6"/>
        <v>1751</v>
      </c>
      <c r="O86" s="91">
        <f t="shared" si="6"/>
        <v>182</v>
      </c>
    </row>
    <row r="87" spans="1:15" ht="14.4" thickBot="1" x14ac:dyDescent="0.3">
      <c r="A87" s="83"/>
      <c r="B87" s="87">
        <v>23</v>
      </c>
      <c r="C87" s="88">
        <v>131286</v>
      </c>
      <c r="D87" s="89">
        <v>159709</v>
      </c>
      <c r="E87" s="90">
        <v>299791</v>
      </c>
      <c r="F87" s="83"/>
      <c r="G87" s="87">
        <v>23</v>
      </c>
      <c r="H87" s="88">
        <v>131371</v>
      </c>
      <c r="I87" s="89">
        <v>160007</v>
      </c>
      <c r="J87" s="90">
        <v>301174</v>
      </c>
      <c r="K87" s="83"/>
      <c r="L87" s="86">
        <v>23</v>
      </c>
      <c r="M87" s="91">
        <f t="shared" si="6"/>
        <v>85</v>
      </c>
      <c r="N87" s="91">
        <f t="shared" si="6"/>
        <v>298</v>
      </c>
      <c r="O87" s="91">
        <f t="shared" si="6"/>
        <v>1383</v>
      </c>
    </row>
    <row r="88" spans="1:15" ht="14.4" thickBot="1" x14ac:dyDescent="0.3">
      <c r="A88" s="83"/>
      <c r="B88" s="87">
        <v>24</v>
      </c>
      <c r="C88" s="88">
        <v>81422</v>
      </c>
      <c r="D88" s="89">
        <v>155495</v>
      </c>
      <c r="E88" s="90">
        <v>102593</v>
      </c>
      <c r="F88" s="83"/>
      <c r="G88" s="87">
        <v>24</v>
      </c>
      <c r="H88" s="88">
        <v>81542</v>
      </c>
      <c r="I88" s="89">
        <v>155970</v>
      </c>
      <c r="J88" s="90">
        <v>102757</v>
      </c>
      <c r="K88" s="83"/>
      <c r="L88" s="86">
        <v>24</v>
      </c>
      <c r="M88" s="91">
        <f t="shared" si="6"/>
        <v>120</v>
      </c>
      <c r="N88" s="91">
        <f t="shared" si="6"/>
        <v>475</v>
      </c>
      <c r="O88" s="91">
        <f>J88-E88</f>
        <v>164</v>
      </c>
    </row>
    <row r="89" spans="1:15" ht="14.4" thickBot="1" x14ac:dyDescent="0.3">
      <c r="A89" s="83"/>
      <c r="B89" s="87">
        <v>25</v>
      </c>
      <c r="C89" s="88">
        <v>127005</v>
      </c>
      <c r="D89" s="89">
        <v>181906</v>
      </c>
      <c r="E89" s="90">
        <v>170782</v>
      </c>
      <c r="F89" s="83"/>
      <c r="G89" s="87">
        <v>25</v>
      </c>
      <c r="H89" s="88">
        <v>127975</v>
      </c>
      <c r="I89" s="89">
        <v>182146</v>
      </c>
      <c r="J89" s="90">
        <v>171730</v>
      </c>
      <c r="K89" s="83"/>
      <c r="L89" s="86">
        <v>25</v>
      </c>
      <c r="M89" s="91">
        <f t="shared" si="6"/>
        <v>970</v>
      </c>
      <c r="N89" s="91">
        <f t="shared" si="6"/>
        <v>240</v>
      </c>
      <c r="O89" s="91">
        <f>J89-E89</f>
        <v>948</v>
      </c>
    </row>
    <row r="90" spans="1:15" ht="14.4" thickBot="1" x14ac:dyDescent="0.3">
      <c r="A90" s="83"/>
      <c r="B90" s="87">
        <v>26</v>
      </c>
      <c r="C90" s="88">
        <v>122819</v>
      </c>
      <c r="D90" s="89">
        <v>57563</v>
      </c>
      <c r="E90" s="90">
        <v>59964</v>
      </c>
      <c r="F90" s="83"/>
      <c r="G90" s="87">
        <v>26</v>
      </c>
      <c r="H90" s="88">
        <v>124091</v>
      </c>
      <c r="I90" s="89">
        <v>58681</v>
      </c>
      <c r="J90" s="90">
        <v>60597</v>
      </c>
      <c r="K90" s="83"/>
      <c r="L90" s="86">
        <v>26</v>
      </c>
      <c r="M90" s="91">
        <f t="shared" si="6"/>
        <v>1272</v>
      </c>
      <c r="N90" s="91">
        <f t="shared" si="6"/>
        <v>1118</v>
      </c>
      <c r="O90" s="91">
        <f t="shared" si="6"/>
        <v>633</v>
      </c>
    </row>
    <row r="91" spans="1:15" ht="14.4" thickBot="1" x14ac:dyDescent="0.3">
      <c r="A91" s="83"/>
      <c r="B91" s="87">
        <v>27</v>
      </c>
      <c r="C91" s="88">
        <v>104246</v>
      </c>
      <c r="D91" s="89">
        <v>114157</v>
      </c>
      <c r="E91" s="90">
        <v>127368</v>
      </c>
      <c r="F91" s="83"/>
      <c r="G91" s="87">
        <v>27</v>
      </c>
      <c r="H91" s="88">
        <v>104383</v>
      </c>
      <c r="I91" s="89">
        <v>114627</v>
      </c>
      <c r="J91" s="90">
        <v>128208</v>
      </c>
      <c r="K91" s="83"/>
      <c r="L91" s="86">
        <v>27</v>
      </c>
      <c r="M91" s="91">
        <f t="shared" si="6"/>
        <v>137</v>
      </c>
      <c r="N91" s="91">
        <f t="shared" si="6"/>
        <v>470</v>
      </c>
      <c r="O91" s="91">
        <f t="shared" si="6"/>
        <v>840</v>
      </c>
    </row>
    <row r="92" spans="1:15" ht="14.4" thickBot="1" x14ac:dyDescent="0.3">
      <c r="A92" s="83"/>
      <c r="B92" s="87">
        <v>28</v>
      </c>
      <c r="C92" s="88">
        <v>204033</v>
      </c>
      <c r="D92" s="89">
        <v>103335</v>
      </c>
      <c r="E92" s="90">
        <v>113586</v>
      </c>
      <c r="F92" s="83"/>
      <c r="G92" s="87">
        <v>28</v>
      </c>
      <c r="H92" s="88">
        <v>204213</v>
      </c>
      <c r="I92" s="89">
        <v>103525</v>
      </c>
      <c r="J92" s="90">
        <v>114093</v>
      </c>
      <c r="K92" s="83"/>
      <c r="L92" s="86">
        <v>28</v>
      </c>
      <c r="M92" s="91">
        <f t="shared" si="6"/>
        <v>180</v>
      </c>
      <c r="N92" s="91">
        <f t="shared" si="6"/>
        <v>190</v>
      </c>
      <c r="O92" s="91">
        <f t="shared" si="6"/>
        <v>507</v>
      </c>
    </row>
    <row r="93" spans="1:15" ht="14.4" thickBot="1" x14ac:dyDescent="0.3">
      <c r="A93" s="83"/>
      <c r="B93" s="87">
        <v>29</v>
      </c>
      <c r="C93" s="88"/>
      <c r="D93" s="89">
        <v>103369</v>
      </c>
      <c r="E93" s="90"/>
      <c r="F93" s="83"/>
      <c r="G93" s="87">
        <v>29</v>
      </c>
      <c r="H93" s="88"/>
      <c r="I93" s="89">
        <v>103369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4.4" thickBot="1" x14ac:dyDescent="0.3">
      <c r="A94" s="83"/>
      <c r="B94" s="87">
        <v>30</v>
      </c>
      <c r="C94" s="88"/>
      <c r="D94" s="89"/>
      <c r="E94" s="90"/>
      <c r="F94" s="83"/>
      <c r="G94" s="87">
        <v>30</v>
      </c>
      <c r="H94" s="88"/>
      <c r="I94" s="89"/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5"/>
  <sheetViews>
    <sheetView topLeftCell="A7" zoomScale="112" zoomScaleNormal="112" workbookViewId="0">
      <selection activeCell="B37" sqref="B37"/>
    </sheetView>
  </sheetViews>
  <sheetFormatPr defaultRowHeight="13.2" x14ac:dyDescent="0.25"/>
  <cols>
    <col min="1" max="1" width="10.109375" customWidth="1"/>
    <col min="2" max="2" width="14.6640625" customWidth="1"/>
    <col min="3" max="4" width="14.5546875" bestFit="1" customWidth="1"/>
    <col min="6" max="6" width="40.88671875" customWidth="1"/>
    <col min="7" max="7" width="14.33203125" bestFit="1" customWidth="1"/>
    <col min="8" max="8" width="13.6640625" bestFit="1" customWidth="1"/>
    <col min="9" max="9" width="9.5546875" bestFit="1" customWidth="1"/>
    <col min="10" max="10" width="14.5546875" customWidth="1"/>
    <col min="11" max="11" width="15.109375" customWidth="1"/>
    <col min="12" max="12" width="10.109375" bestFit="1" customWidth="1"/>
  </cols>
  <sheetData>
    <row r="1" spans="1:13" ht="23.4" thickBot="1" x14ac:dyDescent="0.3">
      <c r="A1" s="196" t="s">
        <v>151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3" ht="13.8" thickBot="1" x14ac:dyDescent="0.3">
      <c r="A2" s="95"/>
      <c r="B2" s="96" t="s">
        <v>92</v>
      </c>
      <c r="C2" s="97">
        <f>K8+K9+K14</f>
        <v>874351</v>
      </c>
      <c r="D2" s="97">
        <f>C2*1.27</f>
        <v>1110425.77</v>
      </c>
      <c r="E2" s="98"/>
      <c r="F2" s="95"/>
      <c r="G2" s="95"/>
      <c r="H2" s="99" t="s">
        <v>93</v>
      </c>
      <c r="I2" s="100"/>
      <c r="J2" s="100"/>
      <c r="K2" s="100"/>
    </row>
    <row r="3" spans="1:13" ht="13.8" thickBot="1" x14ac:dyDescent="0.3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31740258</v>
      </c>
      <c r="K3" s="167">
        <f>J3-I3</f>
        <v>644680</v>
      </c>
    </row>
    <row r="4" spans="1:13" ht="13.8" thickBot="1" x14ac:dyDescent="0.3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1234650</v>
      </c>
      <c r="K4" s="134">
        <f>ELECT.!H33</f>
        <v>1593828</v>
      </c>
      <c r="L4" s="48" t="s">
        <v>150</v>
      </c>
    </row>
    <row r="5" spans="1:13" ht="13.8" thickBot="1" x14ac:dyDescent="0.3">
      <c r="A5" s="95"/>
      <c r="B5" s="101" t="s">
        <v>27</v>
      </c>
      <c r="C5" s="105">
        <f>(K10+K12)*0.842284+K26</f>
        <v>869815.77144799998</v>
      </c>
      <c r="D5" s="105">
        <f t="shared" ref="D5:D11" si="0">C5*1.27</f>
        <v>1104666.0297389601</v>
      </c>
      <c r="E5" s="106"/>
      <c r="F5" s="95"/>
      <c r="G5" s="95"/>
      <c r="H5" s="101" t="s">
        <v>23</v>
      </c>
      <c r="I5" s="107"/>
      <c r="J5" s="107"/>
      <c r="K5" s="127">
        <f>K3+K4</f>
        <v>2238508</v>
      </c>
    </row>
    <row r="6" spans="1:13" ht="13.8" thickBot="1" x14ac:dyDescent="0.3">
      <c r="A6" s="95"/>
      <c r="B6" s="101" t="s">
        <v>99</v>
      </c>
      <c r="C6" s="105">
        <f>(K10+K12+K26)*0.1488</f>
        <v>153115.49759999997</v>
      </c>
      <c r="D6" s="105">
        <f t="shared" si="0"/>
        <v>194456.68195199996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ELECT.!J32+9999999</f>
        <v>10074031</v>
      </c>
      <c r="K6" s="167">
        <f>J6-I6</f>
        <v>153084</v>
      </c>
      <c r="M6" s="35"/>
    </row>
    <row r="7" spans="1:13" ht="13.8" thickBot="1" x14ac:dyDescent="0.3">
      <c r="A7" s="95"/>
      <c r="B7" s="101" t="s">
        <v>101</v>
      </c>
      <c r="C7" s="105">
        <f>(K6+K7)-(C8+C9+C10+C11+K26)</f>
        <v>272741</v>
      </c>
      <c r="D7" s="105">
        <f t="shared" si="0"/>
        <v>346381.07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296483</v>
      </c>
      <c r="K7" s="167">
        <f>J7-I7</f>
        <v>201751</v>
      </c>
    </row>
    <row r="8" spans="1:13" ht="13.8" thickBot="1" x14ac:dyDescent="0.3">
      <c r="A8" s="95"/>
      <c r="B8" s="101" t="s">
        <v>103</v>
      </c>
      <c r="C8" s="105">
        <f>K21+K22+K23+K24</f>
        <v>35554</v>
      </c>
      <c r="D8" s="105">
        <f t="shared" si="0"/>
        <v>45153.58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6864831</v>
      </c>
      <c r="K8" s="92">
        <f>(J8-I8)*2</f>
        <v>437150</v>
      </c>
    </row>
    <row r="9" spans="1:13" ht="13.8" thickBot="1" x14ac:dyDescent="0.3">
      <c r="A9" s="95"/>
      <c r="B9" s="101" t="s">
        <v>137</v>
      </c>
      <c r="C9" s="105">
        <f>K25+K16+K17</f>
        <v>7602</v>
      </c>
      <c r="D9" s="105">
        <f t="shared" si="0"/>
        <v>9654.5400000000009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7034662</v>
      </c>
      <c r="K9" s="92">
        <f>J9-I9</f>
        <v>398406</v>
      </c>
    </row>
    <row r="10" spans="1:13" ht="13.8" thickBot="1" x14ac:dyDescent="0.3">
      <c r="A10" s="95"/>
      <c r="B10" s="101" t="s">
        <v>106</v>
      </c>
      <c r="C10" s="105">
        <f>K18</f>
        <v>15040</v>
      </c>
      <c r="D10" s="105">
        <f t="shared" si="0"/>
        <v>19100.8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21540253</v>
      </c>
      <c r="K10" s="92">
        <f>J10-I10</f>
        <v>318020</v>
      </c>
    </row>
    <row r="11" spans="1:13" ht="13.8" thickBot="1" x14ac:dyDescent="0.3">
      <c r="A11" s="95"/>
      <c r="B11" s="101" t="s">
        <v>108</v>
      </c>
      <c r="C11" s="105">
        <f>K19+K20</f>
        <v>4218</v>
      </c>
      <c r="D11" s="105">
        <f t="shared" si="0"/>
        <v>5356.86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8" thickBot="1" x14ac:dyDescent="0.3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9504597</v>
      </c>
      <c r="K12" s="92">
        <f>(J12-I12)*2</f>
        <v>691302</v>
      </c>
    </row>
    <row r="13" spans="1:13" ht="13.8" thickBot="1" x14ac:dyDescent="0.3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2199713</v>
      </c>
    </row>
    <row r="14" spans="1:13" ht="13.8" thickBot="1" x14ac:dyDescent="0.3">
      <c r="A14" s="95"/>
      <c r="B14" s="101" t="s">
        <v>42</v>
      </c>
      <c r="C14" s="105">
        <f>K29</f>
        <v>31620</v>
      </c>
      <c r="D14" s="113">
        <f t="shared" ref="D14:D22" si="1">C14*10.03</f>
        <v>317148.59999999998</v>
      </c>
      <c r="E14" s="114"/>
      <c r="F14" s="95"/>
      <c r="G14" s="95"/>
      <c r="H14" s="101" t="s">
        <v>114</v>
      </c>
      <c r="I14" s="110"/>
      <c r="J14" s="111"/>
      <c r="K14" s="93">
        <f>K5-K13</f>
        <v>38795</v>
      </c>
    </row>
    <row r="15" spans="1:13" ht="13.8" thickBot="1" x14ac:dyDescent="0.3">
      <c r="A15" s="95"/>
      <c r="B15" s="101" t="s">
        <v>115</v>
      </c>
      <c r="C15" s="115">
        <f>K30</f>
        <v>155.33099999999999</v>
      </c>
      <c r="D15" s="113">
        <f t="shared" si="1"/>
        <v>1557.9699299999997</v>
      </c>
      <c r="E15" s="114"/>
      <c r="F15" s="95"/>
      <c r="G15" s="95"/>
      <c r="H15" s="95"/>
      <c r="I15" s="95"/>
      <c r="J15" s="95"/>
      <c r="K15" s="95"/>
    </row>
    <row r="16" spans="1:13" ht="13.8" thickBot="1" x14ac:dyDescent="0.3">
      <c r="A16" s="95"/>
      <c r="B16" s="101" t="s">
        <v>99</v>
      </c>
      <c r="C16" s="115">
        <f>(C14-C15-C17-C18-C19-C20-C21)*0.1318</f>
        <v>3379.9673742000004</v>
      </c>
      <c r="D16" s="113">
        <f t="shared" si="1"/>
        <v>33901.072763226002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4015</v>
      </c>
      <c r="K16" s="94">
        <f>(J16-I16)*160</f>
        <v>2880</v>
      </c>
    </row>
    <row r="17" spans="1:11" ht="13.8" thickBot="1" x14ac:dyDescent="0.3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321030</v>
      </c>
      <c r="K17" s="94">
        <f>(J17-I17)</f>
        <v>4626</v>
      </c>
    </row>
    <row r="18" spans="1:11" ht="13.8" thickBot="1" x14ac:dyDescent="0.3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26265</v>
      </c>
      <c r="K18" s="94">
        <f>(J18-I18)*160</f>
        <v>15040</v>
      </c>
    </row>
    <row r="19" spans="1:11" ht="15.6" thickBot="1" x14ac:dyDescent="0.3">
      <c r="A19" s="95"/>
      <c r="B19" s="101" t="s">
        <v>137</v>
      </c>
      <c r="C19" s="115">
        <v>600</v>
      </c>
      <c r="D19" s="113">
        <f t="shared" si="1"/>
        <v>6018</v>
      </c>
      <c r="E19" s="197" t="s">
        <v>116</v>
      </c>
      <c r="F19" s="198"/>
      <c r="G19" s="95"/>
      <c r="H19" s="116" t="s">
        <v>117</v>
      </c>
      <c r="I19" s="117">
        <f>'Mall, Citadel, Rotana'!P2</f>
        <v>154366</v>
      </c>
      <c r="J19" s="117">
        <f>'Mall, Citadel, Rotana'!P32</f>
        <v>158584</v>
      </c>
      <c r="K19" s="94">
        <f>J19-I19</f>
        <v>4218</v>
      </c>
    </row>
    <row r="20" spans="1:11" ht="13.8" thickBot="1" x14ac:dyDescent="0.3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8" thickBot="1" x14ac:dyDescent="0.3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47229</v>
      </c>
      <c r="K21" s="94">
        <f>(J21-I21)*120</f>
        <v>17040</v>
      </c>
    </row>
    <row r="22" spans="1:11" ht="13.8" thickBot="1" x14ac:dyDescent="0.3">
      <c r="A22" s="95"/>
      <c r="B22" s="101" t="s">
        <v>119</v>
      </c>
      <c r="C22" s="113">
        <f>C14-(C15+C16+C17+C18+C19+C20+C21)</f>
        <v>22264.7016258</v>
      </c>
      <c r="D22" s="113">
        <f t="shared" si="1"/>
        <v>223314.95730677398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40735</v>
      </c>
      <c r="K22" s="94">
        <f>(J22-I22)*160</f>
        <v>15520</v>
      </c>
    </row>
    <row r="23" spans="1:11" x14ac:dyDescent="0.25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21796</v>
      </c>
      <c r="K23" s="94">
        <f>(J23-I23)*20</f>
        <v>2180</v>
      </c>
    </row>
    <row r="24" spans="1:11" x14ac:dyDescent="0.25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256113</v>
      </c>
      <c r="K24" s="94">
        <f>J24-I24</f>
        <v>814</v>
      </c>
    </row>
    <row r="25" spans="1:11" ht="13.8" thickBot="1" x14ac:dyDescent="0.3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226132</v>
      </c>
      <c r="K25" s="94">
        <f>J25-I25</f>
        <v>96</v>
      </c>
    </row>
    <row r="26" spans="1:11" ht="13.8" thickBot="1" x14ac:dyDescent="0.3">
      <c r="A26" s="95"/>
      <c r="B26" s="101" t="s">
        <v>42</v>
      </c>
      <c r="C26" s="119">
        <f>K35</f>
        <v>63499</v>
      </c>
      <c r="D26" s="105">
        <f>C26*3.65</f>
        <v>231771.35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19799</v>
      </c>
      <c r="K26" s="94">
        <f>(J26-I26)*160</f>
        <v>19680</v>
      </c>
    </row>
    <row r="27" spans="1:11" ht="13.8" thickBot="1" x14ac:dyDescent="0.3">
      <c r="A27" s="95"/>
      <c r="B27" s="96" t="s">
        <v>124</v>
      </c>
      <c r="C27" s="119">
        <f>C26</f>
        <v>63499</v>
      </c>
      <c r="D27" s="105">
        <f>C27*3.65</f>
        <v>231771.35</v>
      </c>
      <c r="E27" s="106"/>
      <c r="F27" s="95"/>
      <c r="G27" s="95"/>
      <c r="H27" s="99"/>
      <c r="I27" s="120"/>
      <c r="J27" s="95"/>
      <c r="K27" s="95"/>
    </row>
    <row r="28" spans="1:11" x14ac:dyDescent="0.25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5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453330</v>
      </c>
      <c r="K29" s="94">
        <f>(J29-I29)*10</f>
        <v>31620</v>
      </c>
    </row>
    <row r="30" spans="1:11" x14ac:dyDescent="0.25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799520</v>
      </c>
      <c r="K30" s="94">
        <f>(J30-I30)*0.027</f>
        <v>155.33099999999999</v>
      </c>
    </row>
    <row r="31" spans="1:11" x14ac:dyDescent="0.25">
      <c r="A31" s="170"/>
      <c r="B31" s="170" t="s">
        <v>153</v>
      </c>
      <c r="C31" s="170" t="s">
        <v>97</v>
      </c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10231</v>
      </c>
      <c r="K31" s="94">
        <f>(J31-I31)*0.027</f>
        <v>38.826000000000001</v>
      </c>
    </row>
    <row r="32" spans="1:11" x14ac:dyDescent="0.25">
      <c r="A32" s="170" t="s">
        <v>152</v>
      </c>
      <c r="B32" s="171">
        <v>1321185.7707509883</v>
      </c>
      <c r="C32" s="172">
        <v>1671300</v>
      </c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9886600</v>
      </c>
      <c r="K32" s="94">
        <f>(J32-I32)*0.027</f>
        <v>15330.6</v>
      </c>
    </row>
    <row r="33" spans="1:11" x14ac:dyDescent="0.25">
      <c r="A33" s="173" t="s">
        <v>111</v>
      </c>
      <c r="B33" s="174">
        <v>23789.704271631981</v>
      </c>
      <c r="C33" s="172">
        <v>217200</v>
      </c>
      <c r="D33" s="121"/>
      <c r="E33" s="121"/>
      <c r="F33" s="121"/>
      <c r="G33" s="121"/>
      <c r="H33" s="121"/>
      <c r="I33" s="121"/>
      <c r="J33" s="121"/>
      <c r="K33" s="121"/>
    </row>
    <row r="34" spans="1:11" x14ac:dyDescent="0.25">
      <c r="A34" s="173" t="s">
        <v>120</v>
      </c>
      <c r="B34" s="174">
        <v>46246.575342465752</v>
      </c>
      <c r="C34" s="172">
        <v>168800</v>
      </c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5">
      <c r="A35" s="125"/>
      <c r="B35" s="125"/>
      <c r="C35" s="125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18364753</v>
      </c>
      <c r="K35" s="125">
        <f>J35-I35</f>
        <v>63499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Khoury</cp:lastModifiedBy>
  <cp:lastPrinted>2022-04-01T09:07:25Z</cp:lastPrinted>
  <dcterms:created xsi:type="dcterms:W3CDTF">2017-07-31T14:40:49Z</dcterms:created>
  <dcterms:modified xsi:type="dcterms:W3CDTF">2022-07-05T06:58:14Z</dcterms:modified>
</cp:coreProperties>
</file>