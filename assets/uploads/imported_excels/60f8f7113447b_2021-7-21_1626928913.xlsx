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4" i="9" l="1"/>
  <c r="R25" i="9"/>
  <c r="R26" i="9"/>
  <c r="R27" i="9"/>
  <c r="R28" i="9"/>
  <c r="R29" i="9"/>
  <c r="R30" i="9"/>
  <c r="R31" i="9"/>
  <c r="R32" i="9"/>
  <c r="Q24" i="9"/>
  <c r="Q25" i="9"/>
  <c r="Q26" i="9"/>
  <c r="Q27" i="9"/>
  <c r="Q28" i="9"/>
  <c r="Q29" i="9"/>
  <c r="Q30" i="9"/>
  <c r="Q31" i="9"/>
  <c r="Q32" i="9"/>
  <c r="P24" i="9"/>
  <c r="P25" i="9"/>
  <c r="P26" i="9"/>
  <c r="P27" i="9"/>
  <c r="P28" i="9"/>
  <c r="P29" i="9"/>
  <c r="P30" i="9"/>
  <c r="P31" i="9"/>
  <c r="P32" i="9"/>
  <c r="O24" i="9"/>
  <c r="O25" i="9"/>
  <c r="O26" i="9"/>
  <c r="O27" i="9"/>
  <c r="O28" i="9"/>
  <c r="O29" i="9"/>
  <c r="O30" i="9"/>
  <c r="O31" i="9"/>
  <c r="O32" i="9"/>
  <c r="N24" i="9"/>
  <c r="N25" i="9"/>
  <c r="N26" i="9"/>
  <c r="N27" i="9"/>
  <c r="N28" i="9"/>
  <c r="N29" i="9"/>
  <c r="N30" i="9"/>
  <c r="N31" i="9"/>
  <c r="M24" i="9"/>
  <c r="M25" i="9"/>
  <c r="M26" i="9"/>
  <c r="M27" i="9"/>
  <c r="M28" i="9"/>
  <c r="M29" i="9"/>
  <c r="M30" i="9"/>
  <c r="M31" i="9"/>
  <c r="M32" i="9"/>
  <c r="L24" i="9"/>
  <c r="L25" i="9"/>
  <c r="L26" i="9"/>
  <c r="L27" i="9"/>
  <c r="L28" i="9"/>
  <c r="L29" i="9"/>
  <c r="L30" i="9"/>
  <c r="L31" i="9"/>
  <c r="L32" i="9"/>
  <c r="K24" i="9"/>
  <c r="K25" i="9"/>
  <c r="K26" i="9"/>
  <c r="K27" i="9"/>
  <c r="K28" i="9"/>
  <c r="K29" i="9"/>
  <c r="K30" i="9"/>
  <c r="K31" i="9"/>
  <c r="K32" i="9"/>
  <c r="J24" i="9"/>
  <c r="J25" i="9"/>
  <c r="J26" i="9"/>
  <c r="J27" i="9"/>
  <c r="J28" i="9"/>
  <c r="J29" i="9"/>
  <c r="J30" i="9"/>
  <c r="J31" i="9"/>
  <c r="J32" i="9"/>
  <c r="I24" i="9"/>
  <c r="I25" i="9"/>
  <c r="I26" i="9"/>
  <c r="I27" i="9"/>
  <c r="I28" i="9"/>
  <c r="I29" i="9"/>
  <c r="I30" i="9"/>
  <c r="I31" i="9"/>
  <c r="I32" i="9"/>
  <c r="H24" i="9"/>
  <c r="H25" i="9"/>
  <c r="H26" i="9"/>
  <c r="H27" i="9"/>
  <c r="H30" i="9"/>
  <c r="H31" i="9"/>
  <c r="H32" i="9"/>
  <c r="G24" i="9"/>
  <c r="G25" i="9"/>
  <c r="G26" i="9"/>
  <c r="G27" i="9"/>
  <c r="G28" i="9"/>
  <c r="G29" i="9"/>
  <c r="G30" i="9"/>
  <c r="G31" i="9"/>
  <c r="G32" i="9"/>
  <c r="F24" i="9"/>
  <c r="F25" i="9"/>
  <c r="F26" i="9"/>
  <c r="F27" i="9"/>
  <c r="F28" i="9"/>
  <c r="F29" i="9"/>
  <c r="F30" i="9"/>
  <c r="F31" i="9"/>
  <c r="F32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H28" i="9" s="1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8" i="7" l="1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I2" i="9"/>
  <c r="U38" i="7"/>
  <c r="E2" i="9"/>
  <c r="Q38" i="7"/>
  <c r="AO7" i="7"/>
  <c r="Z38" i="7"/>
  <c r="J2" i="9"/>
  <c r="V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O38" i="7"/>
  <c r="AI38" i="7"/>
  <c r="AR38" i="7"/>
  <c r="AQ38" i="7"/>
  <c r="AP38" i="7"/>
  <c r="AN38" i="7"/>
  <c r="AM38" i="7"/>
  <c r="AL38" i="7"/>
  <c r="AJ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<sst xmlns="http://schemas.openxmlformats.org/spreadsheetml/2006/main" count="128" uniqueCount="49">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</sst>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65150</v>
      </c>
      <c r="F2" s="11">
        <v>5.0000000000000001E-3</v>
      </c>
      <c r="G2" s="12">
        <f>Submetering!R2</f>
        <v>1190.1329040000001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60430</v>
      </c>
      <c r="F3" s="11">
        <v>5.0000000000000001E-3</v>
      </c>
      <c r="G3" s="12">
        <f>Submetering!R3</f>
        <v>1005.0263550000001</v>
      </c>
      <c r="H3" s="11">
        <v>0.52800000000000002</v>
      </c>
      <c r="I3" s="12">
        <f>Hotel!B8</f>
        <v>163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62200</v>
      </c>
      <c r="F4" s="11">
        <v>5.0000000000000001E-3</v>
      </c>
      <c r="G4" s="12">
        <f>Submetering!R4</f>
        <v>1086.0341289999999</v>
      </c>
      <c r="H4" s="11">
        <v>0.52800000000000002</v>
      </c>
      <c r="I4" s="12">
        <f>Hotel!B9</f>
        <v>87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61290</v>
      </c>
      <c r="F5" s="11">
        <v>5.0000000000000001E-3</v>
      </c>
      <c r="G5" s="12">
        <f>Submetering!R5</f>
        <v>1086.0341289999999</v>
      </c>
      <c r="H5" s="11">
        <v>0.52800000000000002</v>
      </c>
      <c r="I5" s="12">
        <f>Hotel!B10</f>
        <v>76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58240</v>
      </c>
      <c r="F6" s="11">
        <v>5.0000000000000001E-3</v>
      </c>
      <c r="G6" s="12">
        <f>Submetering!R6</f>
        <v>1021.6821590000001</v>
      </c>
      <c r="H6" s="11">
        <v>0.52800000000000002</v>
      </c>
      <c r="I6" s="12">
        <f>Hotel!B11</f>
        <v>77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64250</v>
      </c>
      <c r="F7" s="11">
        <v>5.0000000000000001E-3</v>
      </c>
      <c r="G7" s="12">
        <f>Submetering!R7</f>
        <v>1126.538016</v>
      </c>
      <c r="H7" s="11">
        <v>0.52800000000000002</v>
      </c>
      <c r="I7" s="12">
        <f>Hotel!B12</f>
        <v>84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55170</v>
      </c>
      <c r="F8" s="11">
        <v>5.0000000000000001E-3</v>
      </c>
      <c r="G8" s="12">
        <f>Submetering!R8</f>
        <v>969.82204200000001</v>
      </c>
      <c r="H8" s="11">
        <v>0.52800000000000002</v>
      </c>
      <c r="I8" s="12">
        <f>Hotel!B13</f>
        <v>95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62890</v>
      </c>
      <c r="F9" s="11">
        <v>5.0000000000000001E-3</v>
      </c>
      <c r="G9" s="12">
        <f>Submetering!R9</f>
        <v>1227.608463</v>
      </c>
      <c r="H9" s="11">
        <v>0.52800000000000002</v>
      </c>
      <c r="I9" s="12">
        <f>Hotel!B14</f>
        <v>105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61090</v>
      </c>
      <c r="F10" s="11">
        <v>5.0000000000000001E-3</v>
      </c>
      <c r="G10" s="12">
        <f>Submetering!R10</f>
        <v>918.71900699999992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63110</v>
      </c>
      <c r="F11" s="11">
        <v>5.0000000000000001E-3</v>
      </c>
      <c r="G11" s="12">
        <f>Submetering!R11</f>
        <v>1070.513948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57330</v>
      </c>
      <c r="F12" s="11">
        <v>5.0000000000000001E-3</v>
      </c>
      <c r="G12" s="12">
        <f>Submetering!R12</f>
        <v>1076.192063</v>
      </c>
      <c r="H12" s="11">
        <v>0.52800000000000002</v>
      </c>
      <c r="I12" s="12">
        <f>Hotel!B17</f>
        <v>100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60110</v>
      </c>
      <c r="F13" s="11">
        <v>5.0000000000000001E-3</v>
      </c>
      <c r="G13" s="12">
        <f>Submetering!R13</f>
        <v>1071.6495709999999</v>
      </c>
      <c r="H13" s="11">
        <v>0.52800000000000002</v>
      </c>
      <c r="I13" s="12">
        <f>Hotel!B18</f>
        <v>105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60790</v>
      </c>
      <c r="F14" s="11">
        <v>5.0000000000000001E-3</v>
      </c>
      <c r="G14" s="12">
        <f>Submetering!R14</f>
        <v>1028.117356</v>
      </c>
      <c r="H14" s="11">
        <v>0.52800000000000002</v>
      </c>
      <c r="I14" s="12">
        <f>Hotel!B19</f>
        <v>85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63740</v>
      </c>
      <c r="F15" s="11">
        <v>5.0000000000000001E-3</v>
      </c>
      <c r="G15" s="12">
        <f>Submetering!R15</f>
        <v>1068.621243</v>
      </c>
      <c r="H15" s="11">
        <v>0.52800000000000002</v>
      </c>
      <c r="I15" s="12">
        <f>Hotel!B20</f>
        <v>91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61250</v>
      </c>
      <c r="F16" s="11">
        <v>5.0000000000000001E-3</v>
      </c>
      <c r="G16" s="12">
        <f>Submetering!R16</f>
        <v>1467.6034569999999</v>
      </c>
      <c r="H16" s="11">
        <v>0.52800000000000002</v>
      </c>
      <c r="I16" s="12">
        <f>Hotel!B21</f>
        <v>124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67630</v>
      </c>
      <c r="F17" s="11">
        <v>5.0000000000000001E-3</v>
      </c>
      <c r="G17" s="12">
        <f>Submetering!R17</f>
        <v>1139.4084099999998</v>
      </c>
      <c r="H17" s="11">
        <v>0.52800000000000002</v>
      </c>
      <c r="I17" s="12">
        <f>Hotel!B22</f>
        <v>134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67240</v>
      </c>
      <c r="F18" s="11">
        <v>5.0000000000000001E-3</v>
      </c>
      <c r="G18" s="12">
        <f>Submetering!R18</f>
        <v>1211.3312000000001</v>
      </c>
      <c r="H18" s="11">
        <v>0.52800000000000002</v>
      </c>
      <c r="I18" s="12">
        <f>Hotel!B23</f>
        <v>138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65560</v>
      </c>
      <c r="F19" s="11">
        <v>5.0000000000000001E-3</v>
      </c>
      <c r="G19" s="12">
        <f>Submetering!R19</f>
        <v>1022.0606999999999</v>
      </c>
      <c r="H19" s="11">
        <v>0.52800000000000002</v>
      </c>
      <c r="I19" s="12">
        <f>Hotel!B24</f>
        <v>78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73900</v>
      </c>
      <c r="F20" s="11">
        <v>5.0000000000000001E-3</v>
      </c>
      <c r="G20" s="12">
        <f>Submetering!R20</f>
        <v>1015.6255030000001</v>
      </c>
      <c r="H20" s="11">
        <v>0.52800000000000002</v>
      </c>
      <c r="I20" s="12">
        <f>Hotel!B25</f>
        <v>58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1130.3234259999999</v>
      </c>
      <c r="H21" s="11">
        <v>0.52800000000000002</v>
      </c>
      <c r="I21" s="12">
        <f>Hotel!B26</f>
        <v>114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75850</v>
      </c>
      <c r="F22" s="11">
        <v>5.0000000000000001E-3</v>
      </c>
      <c r="G22" s="12">
        <f>Submetering!R22</f>
        <v>882.37907099999995</v>
      </c>
      <c r="H22" s="11">
        <v>0.52800000000000002</v>
      </c>
      <c r="I22" s="12">
        <f>Hotel!B27</f>
        <v>176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2021</v>
      </c>
      <c r="E2" s="4">
        <f>Hotel!Q7</f>
        <v>1080</v>
      </c>
      <c r="F2" s="4">
        <f>Hotel!R7</f>
        <v>14400</v>
      </c>
      <c r="G2" s="4">
        <f>Hotel!S7</f>
        <v>3680</v>
      </c>
      <c r="H2" s="4">
        <f>Hotel!T7</f>
        <v>1780</v>
      </c>
      <c r="I2" s="4">
        <f>Hotel!U7</f>
        <v>4880</v>
      </c>
      <c r="J2" s="4">
        <f>Hotel!V7</f>
        <v>3840</v>
      </c>
      <c r="K2" s="4">
        <f>Hotel!W7</f>
        <v>2500</v>
      </c>
      <c r="L2" s="4">
        <f>Hotel!X7</f>
        <v>4400</v>
      </c>
      <c r="M2" s="4">
        <f>Hotel!Y7</f>
        <v>5150</v>
      </c>
      <c r="N2" s="4">
        <f>Hotel!Z7</f>
        <v>2950</v>
      </c>
      <c r="O2" s="4">
        <f>Hotel!AA7</f>
        <v>3610</v>
      </c>
      <c r="P2" s="4">
        <f>Hotel!AB7</f>
        <v>7560</v>
      </c>
      <c r="Q2" s="4">
        <f>Hotel!AC7</f>
        <v>9320</v>
      </c>
      <c r="R2" s="4">
        <f>Hotel!AV7*0.00378541*100</f>
        <v>1190.1329040000001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2021</v>
      </c>
      <c r="E3" s="4">
        <f>Hotel!Q8</f>
        <v>970</v>
      </c>
      <c r="F3" s="4">
        <f>Hotel!R8</f>
        <v>13200</v>
      </c>
      <c r="G3" s="4">
        <f>Hotel!S8</f>
        <v>3470</v>
      </c>
      <c r="H3" s="4">
        <f>Hotel!T8</f>
        <v>1620</v>
      </c>
      <c r="I3" s="4">
        <f>Hotel!U8</f>
        <v>4560</v>
      </c>
      <c r="J3" s="4">
        <f>Hotel!V8</f>
        <v>3390</v>
      </c>
      <c r="K3" s="4">
        <f>Hotel!W8</f>
        <v>2260</v>
      </c>
      <c r="L3" s="4">
        <f>Hotel!X8</f>
        <v>4050</v>
      </c>
      <c r="M3" s="4">
        <f>Hotel!Y8</f>
        <v>5120</v>
      </c>
      <c r="N3" s="4">
        <f>Hotel!Z8</f>
        <v>2760</v>
      </c>
      <c r="O3" s="4">
        <f>Hotel!AA8</f>
        <v>3390</v>
      </c>
      <c r="P3" s="4">
        <f>Hotel!AB8</f>
        <v>6860</v>
      </c>
      <c r="Q3" s="4">
        <f>Hotel!AC8</f>
        <v>8780</v>
      </c>
      <c r="R3" s="4">
        <f>Hotel!AV8*0.00378541*100</f>
        <v>1005.0263550000001</v>
      </c>
      <c r="S3" s="4">
        <f>Hotel!B8</f>
        <v>163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2021</v>
      </c>
      <c r="E4" s="4">
        <f>Hotel!Q9</f>
        <v>1010</v>
      </c>
      <c r="F4" s="4">
        <f>Hotel!R9</f>
        <v>13480</v>
      </c>
      <c r="G4" s="4">
        <f>Hotel!S9</f>
        <v>3530</v>
      </c>
      <c r="H4" s="4">
        <f>Hotel!T9</f>
        <v>1670</v>
      </c>
      <c r="I4" s="4">
        <f>Hotel!U9</f>
        <v>4400</v>
      </c>
      <c r="J4" s="4">
        <f>Hotel!V9</f>
        <v>3410</v>
      </c>
      <c r="K4" s="4">
        <f>Hotel!W9</f>
        <v>2320</v>
      </c>
      <c r="L4" s="4">
        <f>Hotel!X9</f>
        <v>3880</v>
      </c>
      <c r="M4" s="4">
        <f>Hotel!Y9</f>
        <v>5350</v>
      </c>
      <c r="N4" s="4">
        <f>Hotel!Z9</f>
        <v>2740</v>
      </c>
      <c r="O4" s="4">
        <f>Hotel!AA9</f>
        <v>3290</v>
      </c>
      <c r="P4" s="4">
        <f>Hotel!AB9</f>
        <v>7080</v>
      </c>
      <c r="Q4" s="4">
        <f>Hotel!AC9</f>
        <v>10040</v>
      </c>
      <c r="R4" s="4">
        <f>Hotel!AV9*0.00378541*100</f>
        <v>1086.0341289999999</v>
      </c>
      <c r="S4" s="4">
        <f>Hotel!B9</f>
        <v>87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2021</v>
      </c>
      <c r="E5" s="4">
        <f>Hotel!Q10</f>
        <v>990</v>
      </c>
      <c r="F5" s="4">
        <f>Hotel!R10</f>
        <v>13530</v>
      </c>
      <c r="G5" s="4">
        <f>Hotel!S10</f>
        <v>3470</v>
      </c>
      <c r="H5" s="4">
        <f>Hotel!T10</f>
        <v>1690</v>
      </c>
      <c r="I5" s="4">
        <f>Hotel!U10</f>
        <v>4330</v>
      </c>
      <c r="J5" s="4">
        <f>Hotel!V10</f>
        <v>3330</v>
      </c>
      <c r="K5" s="4">
        <f>Hotel!W10</f>
        <v>2330</v>
      </c>
      <c r="L5" s="4">
        <f>Hotel!X10</f>
        <v>3530</v>
      </c>
      <c r="M5" s="4">
        <f>Hotel!Y10</f>
        <v>5170</v>
      </c>
      <c r="N5" s="4">
        <f>Hotel!Z10</f>
        <v>2560</v>
      </c>
      <c r="O5" s="4">
        <f>Hotel!AA10</f>
        <v>3270</v>
      </c>
      <c r="P5" s="4">
        <f>Hotel!AB10</f>
        <v>7010</v>
      </c>
      <c r="Q5" s="4">
        <f>Hotel!AC10</f>
        <v>10080</v>
      </c>
      <c r="R5" s="4">
        <f>Hotel!AV10*0.00378541*100</f>
        <v>1086.0341289999999</v>
      </c>
      <c r="S5" s="4">
        <f>Hotel!B10</f>
        <v>76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2021</v>
      </c>
      <c r="E6" s="4">
        <f>Hotel!Q11</f>
        <v>970</v>
      </c>
      <c r="F6" s="4">
        <f>Hotel!R11</f>
        <v>12900</v>
      </c>
      <c r="G6" s="4">
        <f>Hotel!S11</f>
        <v>3380</v>
      </c>
      <c r="H6" s="4">
        <f>Hotel!T11</f>
        <v>1640</v>
      </c>
      <c r="I6" s="4">
        <f>Hotel!U11</f>
        <v>4150</v>
      </c>
      <c r="J6" s="4">
        <f>Hotel!V11</f>
        <v>3170</v>
      </c>
      <c r="K6" s="4">
        <f>Hotel!W11</f>
        <v>2250</v>
      </c>
      <c r="L6" s="4">
        <f>Hotel!X11</f>
        <v>3340</v>
      </c>
      <c r="M6" s="4">
        <f>Hotel!Y11</f>
        <v>4880</v>
      </c>
      <c r="N6" s="4">
        <f>Hotel!Z11</f>
        <v>2380</v>
      </c>
      <c r="O6" s="4">
        <f>Hotel!AA11</f>
        <v>3130</v>
      </c>
      <c r="P6" s="4">
        <f>Hotel!AB11</f>
        <v>6860</v>
      </c>
      <c r="Q6" s="4">
        <f>Hotel!AC11</f>
        <v>9190</v>
      </c>
      <c r="R6" s="4">
        <f>Hotel!AV11*0.00378541*100</f>
        <v>1021.6821590000001</v>
      </c>
      <c r="S6" s="4">
        <f>Hotel!B11</f>
        <v>77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2021</v>
      </c>
      <c r="E7" s="4">
        <f>Hotel!Q12</f>
        <v>1080</v>
      </c>
      <c r="F7" s="4">
        <f>Hotel!R12</f>
        <v>14430</v>
      </c>
      <c r="G7" s="4">
        <f>Hotel!S12</f>
        <v>3780</v>
      </c>
      <c r="H7" s="4">
        <f>Hotel!T12</f>
        <v>1800</v>
      </c>
      <c r="I7" s="4">
        <f>Hotel!U12</f>
        <v>4480</v>
      </c>
      <c r="J7" s="4">
        <f>Hotel!V12</f>
        <v>3600</v>
      </c>
      <c r="K7" s="4">
        <f>Hotel!W12</f>
        <v>2490</v>
      </c>
      <c r="L7" s="4">
        <f>Hotel!X12</f>
        <v>4020</v>
      </c>
      <c r="M7" s="4">
        <f>Hotel!Y12</f>
        <v>5530</v>
      </c>
      <c r="N7" s="4">
        <f>Hotel!Z12</f>
        <v>2770</v>
      </c>
      <c r="O7" s="4">
        <f>Hotel!AA12</f>
        <v>3520</v>
      </c>
      <c r="P7" s="4">
        <f>Hotel!AB12</f>
        <v>7620</v>
      </c>
      <c r="Q7" s="4">
        <f>Hotel!AC12</f>
        <v>9130</v>
      </c>
      <c r="R7" s="4">
        <f>Hotel!AV12*0.00378541*100</f>
        <v>1126.538016</v>
      </c>
      <c r="S7" s="4">
        <f>Hotel!B12</f>
        <v>84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2021</v>
      </c>
      <c r="E8" s="4">
        <f>Hotel!Q13</f>
        <v>930</v>
      </c>
      <c r="F8" s="4">
        <f>Hotel!R13</f>
        <v>12240</v>
      </c>
      <c r="G8" s="4">
        <f>Hotel!S13</f>
        <v>3290</v>
      </c>
      <c r="H8" s="4">
        <f>Hotel!T13</f>
        <v>1550</v>
      </c>
      <c r="I8" s="4">
        <f>Hotel!U13</f>
        <v>4010</v>
      </c>
      <c r="J8" s="4">
        <f>Hotel!V13</f>
        <v>3130</v>
      </c>
      <c r="K8" s="4">
        <f>Hotel!W13</f>
        <v>2150</v>
      </c>
      <c r="L8" s="4">
        <f>Hotel!X13</f>
        <v>3740</v>
      </c>
      <c r="M8" s="4">
        <f>Hotel!Y13</f>
        <v>4720</v>
      </c>
      <c r="N8" s="4">
        <f>Hotel!Z13</f>
        <v>2500</v>
      </c>
      <c r="O8" s="4">
        <f>Hotel!AA13</f>
        <v>2900</v>
      </c>
      <c r="P8" s="4">
        <f>Hotel!AB13</f>
        <v>6420</v>
      </c>
      <c r="Q8" s="4">
        <f>Hotel!AC13</f>
        <v>7590</v>
      </c>
      <c r="R8" s="4">
        <f>Hotel!AV13*0.00378541*100</f>
        <v>969.82204200000001</v>
      </c>
      <c r="S8" s="4">
        <f>Hotel!B13</f>
        <v>95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2021</v>
      </c>
      <c r="E9" s="4">
        <f>Hotel!Q14</f>
        <v>1040</v>
      </c>
      <c r="F9" s="4">
        <f>Hotel!R14</f>
        <v>13910</v>
      </c>
      <c r="G9" s="4">
        <f>Hotel!S14</f>
        <v>3700</v>
      </c>
      <c r="H9" s="4">
        <f>Hotel!T14</f>
        <v>1740</v>
      </c>
      <c r="I9" s="4">
        <f>Hotel!U14</f>
        <v>4520</v>
      </c>
      <c r="J9" s="4">
        <f>Hotel!V14</f>
        <v>3470</v>
      </c>
      <c r="K9" s="4">
        <f>Hotel!W14</f>
        <v>2390</v>
      </c>
      <c r="L9" s="4">
        <f>Hotel!X14</f>
        <v>4100</v>
      </c>
      <c r="M9" s="4">
        <f>Hotel!Y14</f>
        <v>5230</v>
      </c>
      <c r="N9" s="4">
        <f>Hotel!Z14</f>
        <v>2840</v>
      </c>
      <c r="O9" s="4">
        <f>Hotel!AA14</f>
        <v>3370</v>
      </c>
      <c r="P9" s="4">
        <f>Hotel!AB14</f>
        <v>7460</v>
      </c>
      <c r="Q9" s="4">
        <f>Hotel!AC14</f>
        <v>9120</v>
      </c>
      <c r="R9" s="4">
        <f>Hotel!AV14*0.00378541*100</f>
        <v>1227.608463</v>
      </c>
      <c r="S9" s="4">
        <f>Hotel!B14</f>
        <v>105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2021</v>
      </c>
      <c r="E10" s="4">
        <f>Hotel!Q15</f>
        <v>1000</v>
      </c>
      <c r="F10" s="4">
        <f>Hotel!R15</f>
        <v>13440</v>
      </c>
      <c r="G10" s="4">
        <f>Hotel!S15</f>
        <v>3580</v>
      </c>
      <c r="H10" s="4">
        <f>Hotel!T15</f>
        <v>1660</v>
      </c>
      <c r="I10" s="4">
        <f>Hotel!U15</f>
        <v>4370</v>
      </c>
      <c r="J10" s="4">
        <f>Hotel!V15</f>
        <v>3280</v>
      </c>
      <c r="K10" s="4">
        <f>Hotel!W15</f>
        <v>2260</v>
      </c>
      <c r="L10" s="4">
        <f>Hotel!X15</f>
        <v>4030</v>
      </c>
      <c r="M10" s="4">
        <f>Hotel!Y15</f>
        <v>4910</v>
      </c>
      <c r="N10" s="4">
        <f>Hotel!Z15</f>
        <v>2730</v>
      </c>
      <c r="O10" s="4">
        <f>Hotel!AA15</f>
        <v>3130</v>
      </c>
      <c r="P10" s="4">
        <f>Hotel!AB15</f>
        <v>6930</v>
      </c>
      <c r="Q10" s="4">
        <f>Hotel!AC15</f>
        <v>9770</v>
      </c>
      <c r="R10" s="4">
        <f>Hotel!AV15*0.00378541*100</f>
        <v>918.71900699999992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2021</v>
      </c>
      <c r="E11" s="4">
        <f>Hotel!Q16</f>
        <v>1050</v>
      </c>
      <c r="F11" s="4">
        <f>Hotel!R16</f>
        <v>14040</v>
      </c>
      <c r="G11" s="4">
        <f>Hotel!S16</f>
        <v>3750</v>
      </c>
      <c r="H11" s="4">
        <f>Hotel!T16</f>
        <v>1750</v>
      </c>
      <c r="I11" s="4">
        <f>Hotel!U16</f>
        <v>4490</v>
      </c>
      <c r="J11" s="4">
        <f>Hotel!V16</f>
        <v>3580</v>
      </c>
      <c r="K11" s="4">
        <f>Hotel!W16</f>
        <v>2410</v>
      </c>
      <c r="L11" s="4">
        <f>Hotel!X16</f>
        <v>4160</v>
      </c>
      <c r="M11" s="4">
        <f>Hotel!Y16</f>
        <v>5130</v>
      </c>
      <c r="N11" s="4">
        <f>Hotel!Z16</f>
        <v>2740</v>
      </c>
      <c r="O11" s="4">
        <f>Hotel!AA16</f>
        <v>3380</v>
      </c>
      <c r="P11" s="4">
        <f>Hotel!AB16</f>
        <v>7220</v>
      </c>
      <c r="Q11" s="4">
        <f>Hotel!AC16</f>
        <v>9410</v>
      </c>
      <c r="R11" s="4">
        <f>Hotel!AV16*0.00378541*100</f>
        <v>1070.513948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2021</v>
      </c>
      <c r="E12" s="4">
        <f>Hotel!Q17</f>
        <v>960</v>
      </c>
      <c r="F12" s="4">
        <f>Hotel!R17</f>
        <v>12650</v>
      </c>
      <c r="G12" s="4">
        <f>Hotel!S17</f>
        <v>3350</v>
      </c>
      <c r="H12" s="4">
        <f>Hotel!T17</f>
        <v>1590</v>
      </c>
      <c r="I12" s="4">
        <f>Hotel!U17</f>
        <v>4180</v>
      </c>
      <c r="J12" s="4">
        <f>Hotel!V17</f>
        <v>3250</v>
      </c>
      <c r="K12" s="4">
        <f>Hotel!W17</f>
        <v>2190</v>
      </c>
      <c r="L12" s="4">
        <f>Hotel!X17</f>
        <v>4590</v>
      </c>
      <c r="M12" s="4">
        <f>Hotel!Y17</f>
        <v>4790</v>
      </c>
      <c r="N12" s="4">
        <f>Hotel!Z17</f>
        <v>2390</v>
      </c>
      <c r="O12" s="4">
        <f>Hotel!AA17</f>
        <v>3100</v>
      </c>
      <c r="P12" s="4">
        <f>Hotel!AB17</f>
        <v>6490</v>
      </c>
      <c r="Q12" s="4">
        <f>Hotel!AC17</f>
        <v>7800</v>
      </c>
      <c r="R12" s="4">
        <f>Hotel!AV17*0.00378541*100</f>
        <v>1076.192063</v>
      </c>
      <c r="S12" s="4">
        <f>Hotel!B17</f>
        <v>100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2021</v>
      </c>
      <c r="E13" s="4">
        <f>Hotel!Q18</f>
        <v>1020</v>
      </c>
      <c r="F13" s="4">
        <f>Hotel!R18</f>
        <v>13830</v>
      </c>
      <c r="G13" s="4">
        <f>Hotel!S18</f>
        <v>3710</v>
      </c>
      <c r="H13" s="4">
        <f>Hotel!T18</f>
        <v>1710</v>
      </c>
      <c r="I13" s="4">
        <f>Hotel!U18</f>
        <v>4280</v>
      </c>
      <c r="J13" s="4">
        <f>Hotel!V18</f>
        <v>3510</v>
      </c>
      <c r="K13" s="4">
        <f>Hotel!W18</f>
        <v>2320</v>
      </c>
      <c r="L13" s="4">
        <f>Hotel!X18</f>
        <v>2700</v>
      </c>
      <c r="M13" s="4">
        <f>Hotel!Y18</f>
        <v>5250</v>
      </c>
      <c r="N13" s="4">
        <f>Hotel!Z18</f>
        <v>2520</v>
      </c>
      <c r="O13" s="4">
        <f>Hotel!AA18</f>
        <v>3180</v>
      </c>
      <c r="P13" s="4">
        <f>Hotel!AB18</f>
        <v>7110</v>
      </c>
      <c r="Q13" s="4">
        <f>Hotel!AC18</f>
        <v>8970</v>
      </c>
      <c r="R13" s="4">
        <f>Hotel!AV18*0.00378541*100</f>
        <v>1071.6495709999999</v>
      </c>
      <c r="S13" s="4">
        <f>Hotel!B18</f>
        <v>105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2021</v>
      </c>
      <c r="E14" s="4">
        <f>Hotel!Q19</f>
        <v>980</v>
      </c>
      <c r="F14" s="4">
        <f>Hotel!R19</f>
        <v>13680</v>
      </c>
      <c r="G14" s="4">
        <f>Hotel!S19</f>
        <v>3690</v>
      </c>
      <c r="H14" s="4">
        <f>Hotel!T19</f>
        <v>1660</v>
      </c>
      <c r="I14" s="4">
        <f>Hotel!U19</f>
        <v>4180</v>
      </c>
      <c r="J14" s="4">
        <f>Hotel!V19</f>
        <v>3350</v>
      </c>
      <c r="K14" s="4">
        <f>Hotel!W19</f>
        <v>2250</v>
      </c>
      <c r="L14" s="4">
        <f>Hotel!X19</f>
        <v>3850</v>
      </c>
      <c r="M14" s="4">
        <f>Hotel!Y19</f>
        <v>5240</v>
      </c>
      <c r="N14" s="4">
        <f>Hotel!Z19</f>
        <v>2340</v>
      </c>
      <c r="O14" s="4">
        <f>Hotel!AA19</f>
        <v>3020</v>
      </c>
      <c r="P14" s="4">
        <f>Hotel!AB19</f>
        <v>6930</v>
      </c>
      <c r="Q14" s="4">
        <f>Hotel!AC19</f>
        <v>9620</v>
      </c>
      <c r="R14" s="4">
        <f>Hotel!AV19*0.00378541*100</f>
        <v>1028.117356</v>
      </c>
      <c r="S14" s="4">
        <f>Hotel!B19</f>
        <v>85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2021</v>
      </c>
      <c r="E15" s="4">
        <f>Hotel!Q20</f>
        <v>1040</v>
      </c>
      <c r="F15" s="4">
        <f>Hotel!R20</f>
        <v>14300</v>
      </c>
      <c r="G15" s="4">
        <f>Hotel!S20</f>
        <v>3840</v>
      </c>
      <c r="H15" s="4">
        <f>Hotel!T20</f>
        <v>1770</v>
      </c>
      <c r="I15" s="4">
        <f>Hotel!U20</f>
        <v>4530</v>
      </c>
      <c r="J15" s="4">
        <f>Hotel!V20</f>
        <v>3570</v>
      </c>
      <c r="K15" s="4">
        <f>Hotel!W20</f>
        <v>2390</v>
      </c>
      <c r="L15" s="4">
        <f>Hotel!X20</f>
        <v>4010</v>
      </c>
      <c r="M15" s="4">
        <f>Hotel!Y20</f>
        <v>5800</v>
      </c>
      <c r="N15" s="4">
        <f>Hotel!Z20</f>
        <v>2610</v>
      </c>
      <c r="O15" s="4">
        <f>Hotel!AA20</f>
        <v>3110</v>
      </c>
      <c r="P15" s="4">
        <f>Hotel!AB20</f>
        <v>7330</v>
      </c>
      <c r="Q15" s="4">
        <f>Hotel!AC20</f>
        <v>9440</v>
      </c>
      <c r="R15" s="4">
        <f>Hotel!AV20*0.00378541*100</f>
        <v>1068.621243</v>
      </c>
      <c r="S15" s="4">
        <f>Hotel!B20</f>
        <v>91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2021</v>
      </c>
      <c r="E16" s="4">
        <f>Hotel!Q21</f>
        <v>1020</v>
      </c>
      <c r="F16" s="4">
        <f>Hotel!R21</f>
        <v>13830</v>
      </c>
      <c r="G16" s="4">
        <f>Hotel!S21</f>
        <v>3710</v>
      </c>
      <c r="H16" s="4">
        <f>Hotel!T21</f>
        <v>1710</v>
      </c>
      <c r="I16" s="4">
        <f>Hotel!U21</f>
        <v>4550</v>
      </c>
      <c r="J16" s="4">
        <f>Hotel!V21</f>
        <v>3400</v>
      </c>
      <c r="K16" s="4">
        <f>Hotel!W21</f>
        <v>2330</v>
      </c>
      <c r="L16" s="4">
        <f>Hotel!X21</f>
        <v>3800</v>
      </c>
      <c r="M16" s="4">
        <f>Hotel!Y21</f>
        <v>5580</v>
      </c>
      <c r="N16" s="4">
        <f>Hotel!Z21</f>
        <v>2660</v>
      </c>
      <c r="O16" s="4">
        <f>Hotel!AA21</f>
        <v>3180</v>
      </c>
      <c r="P16" s="4">
        <f>Hotel!AB21</f>
        <v>7020</v>
      </c>
      <c r="Q16" s="4">
        <f>Hotel!AC21</f>
        <v>8460</v>
      </c>
      <c r="R16" s="4">
        <f>Hotel!AV21*0.00378541*100</f>
        <v>1467.6034569999999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2021</v>
      </c>
      <c r="E17" s="4">
        <f>Hotel!Q22</f>
        <v>1080</v>
      </c>
      <c r="F17" s="4">
        <f>Hotel!R22</f>
        <v>14900</v>
      </c>
      <c r="G17" s="4">
        <f>Hotel!S22</f>
        <v>3990</v>
      </c>
      <c r="H17" s="4">
        <f>Hotel!T22</f>
        <v>1820</v>
      </c>
      <c r="I17" s="4">
        <f>Hotel!U22</f>
        <v>4990</v>
      </c>
      <c r="J17" s="4">
        <f>Hotel!V22</f>
        <v>3680</v>
      </c>
      <c r="K17" s="4">
        <f>Hotel!W22</f>
        <v>2490</v>
      </c>
      <c r="L17" s="4">
        <f>Hotel!X22</f>
        <v>4230</v>
      </c>
      <c r="M17" s="4">
        <f>Hotel!Y22</f>
        <v>6140</v>
      </c>
      <c r="N17" s="4">
        <f>Hotel!Z22</f>
        <v>3020</v>
      </c>
      <c r="O17" s="4">
        <f>Hotel!AA22</f>
        <v>3530</v>
      </c>
      <c r="P17" s="4">
        <f>Hotel!AB22</f>
        <v>7820</v>
      </c>
      <c r="Q17" s="4">
        <f>Hotel!AC22</f>
        <v>9940</v>
      </c>
      <c r="R17" s="4">
        <f>Hotel!AV22*0.00378541*100</f>
        <v>1139.4084099999998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2021</v>
      </c>
      <c r="E18" s="4">
        <f>Hotel!Q23</f>
        <v>2900</v>
      </c>
      <c r="F18" s="4">
        <f>Hotel!R23</f>
        <v>16120</v>
      </c>
      <c r="G18" s="4">
        <f>Hotel!S23</f>
        <v>4460</v>
      </c>
      <c r="H18" s="4">
        <f>Hotel!T23</f>
        <v>1710</v>
      </c>
      <c r="I18" s="4">
        <f>Hotel!U23</f>
        <v>4480</v>
      </c>
      <c r="J18" s="4">
        <f>Hotel!V23</f>
        <v>3420</v>
      </c>
      <c r="K18" s="4">
        <f>Hotel!W23</f>
        <v>2320</v>
      </c>
      <c r="L18" s="4">
        <f>Hotel!X23</f>
        <v>3910</v>
      </c>
      <c r="M18" s="4">
        <f>Hotel!Y23</f>
        <v>5710</v>
      </c>
      <c r="N18" s="4">
        <f>Hotel!Z23</f>
        <v>2770</v>
      </c>
      <c r="O18" s="4">
        <f>Hotel!AA23</f>
        <v>3260</v>
      </c>
      <c r="P18" s="4">
        <f>Hotel!AB23</f>
        <v>7480</v>
      </c>
      <c r="Q18" s="4">
        <f>Hotel!AC23</f>
        <v>8700</v>
      </c>
      <c r="R18" s="4">
        <f>Hotel!AV23*0.00378541*100</f>
        <v>1211.3312000000001</v>
      </c>
      <c r="S18" s="4">
        <f>Hotel!B23</f>
        <v>138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2021</v>
      </c>
      <c r="E19" s="4">
        <f>Hotel!Q24</f>
        <v>6720</v>
      </c>
      <c r="F19" s="4">
        <f>Hotel!R24</f>
        <v>14950</v>
      </c>
      <c r="G19" s="4">
        <f>Hotel!S24</f>
        <v>4020</v>
      </c>
      <c r="H19" s="4">
        <f>Hotel!T24</f>
        <v>1660</v>
      </c>
      <c r="I19" s="4">
        <f>Hotel!U24</f>
        <v>4340</v>
      </c>
      <c r="J19" s="4">
        <f>Hotel!V24</f>
        <v>3220</v>
      </c>
      <c r="K19" s="4">
        <f>Hotel!W24</f>
        <v>2190</v>
      </c>
      <c r="L19" s="4">
        <f>Hotel!X24</f>
        <v>3230</v>
      </c>
      <c r="M19" s="4">
        <f>Hotel!Y24</f>
        <v>5250</v>
      </c>
      <c r="N19" s="4">
        <f>Hotel!Z24</f>
        <v>2380</v>
      </c>
      <c r="O19" s="4">
        <f>Hotel!AA24</f>
        <v>2850</v>
      </c>
      <c r="P19" s="4">
        <f>Hotel!AB24</f>
        <v>6830</v>
      </c>
      <c r="Q19" s="4">
        <f>Hotel!AC24</f>
        <v>7920</v>
      </c>
      <c r="R19" s="4">
        <f>Hotel!AV24*0.00378541*100</f>
        <v>1022.0606999999999</v>
      </c>
      <c r="S19" s="4">
        <f>Hotel!B24</f>
        <v>78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2021</v>
      </c>
      <c r="E20" s="4">
        <f>Hotel!Q25</f>
        <v>11990</v>
      </c>
      <c r="F20" s="4">
        <f>Hotel!R25</f>
        <v>16090</v>
      </c>
      <c r="G20" s="4">
        <f>Hotel!S25</f>
        <v>4110</v>
      </c>
      <c r="H20" s="4">
        <f>Hotel!T25</f>
        <v>1760</v>
      </c>
      <c r="I20" s="4">
        <f>Hotel!U25</f>
        <v>4290</v>
      </c>
      <c r="J20" s="4">
        <f>Hotel!V25</f>
        <v>3400</v>
      </c>
      <c r="K20" s="4">
        <f>Hotel!W25</f>
        <v>2320</v>
      </c>
      <c r="L20" s="4">
        <f>Hotel!X25</f>
        <v>3520</v>
      </c>
      <c r="M20" s="4">
        <f>Hotel!Y25</f>
        <v>5460</v>
      </c>
      <c r="N20" s="4">
        <f>Hotel!Z25</f>
        <v>2480</v>
      </c>
      <c r="O20" s="4">
        <f>Hotel!AA25</f>
        <v>2860</v>
      </c>
      <c r="P20" s="4">
        <f>Hotel!AB25</f>
        <v>7130</v>
      </c>
      <c r="Q20" s="4">
        <f>Hotel!AC25</f>
        <v>8490</v>
      </c>
      <c r="R20" s="4">
        <f>Hotel!AV25*0.00378541*100</f>
        <v>1015.6255030000001</v>
      </c>
      <c r="S20" s="4">
        <f>Hotel!B25</f>
        <v>58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2021</v>
      </c>
      <c r="E21" s="4">
        <f>Hotel!Q26</f>
        <v>11200</v>
      </c>
      <c r="F21" s="4">
        <f>Hotel!R26</f>
        <v>15390</v>
      </c>
      <c r="G21" s="4">
        <f>Hotel!S26</f>
        <v>3710</v>
      </c>
      <c r="H21" s="4">
        <f>Hotel!T26</f>
        <v>1820</v>
      </c>
      <c r="I21" s="4">
        <f>Hotel!U26</f>
        <v>4560</v>
      </c>
      <c r="J21" s="4">
        <f>Hotel!V26</f>
        <v>3580</v>
      </c>
      <c r="K21" s="4">
        <f>Hotel!W26</f>
        <v>2470</v>
      </c>
      <c r="L21" s="4">
        <f>Hotel!X26</f>
        <v>4240</v>
      </c>
      <c r="M21" s="4">
        <f>Hotel!Y26</f>
        <v>5630</v>
      </c>
      <c r="N21" s="4">
        <f>Hotel!Z26</f>
        <v>2690</v>
      </c>
      <c r="O21" s="4">
        <f>Hotel!AA26</f>
        <v>3250</v>
      </c>
      <c r="P21" s="4">
        <f>Hotel!AB26</f>
        <v>7870</v>
      </c>
      <c r="Q21" s="4">
        <f>Hotel!AC26</f>
        <v>8670</v>
      </c>
      <c r="R21" s="4">
        <f>Hotel!AV26*0.00378541*100</f>
        <v>1130.3234259999999</v>
      </c>
      <c r="S21" s="4">
        <f>Hotel!B26</f>
        <v>114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2021</v>
      </c>
      <c r="E22" s="4">
        <f>Hotel!Q27</f>
        <v>11960</v>
      </c>
      <c r="F22" s="4">
        <f>Hotel!R27</f>
        <v>15980</v>
      </c>
      <c r="G22" s="4">
        <f>Hotel!S27</f>
        <v>4080</v>
      </c>
      <c r="H22" s="4">
        <f>Hotel!T27</f>
        <v>1740</v>
      </c>
      <c r="I22" s="4">
        <f>Hotel!U27</f>
        <v>4470</v>
      </c>
      <c r="J22" s="4">
        <f>Hotel!V27</f>
        <v>3510</v>
      </c>
      <c r="K22" s="4">
        <f>Hotel!W27</f>
        <v>2320</v>
      </c>
      <c r="L22" s="4">
        <f>Hotel!X27</f>
        <v>3990</v>
      </c>
      <c r="M22" s="4">
        <f>Hotel!Y27</f>
        <v>5670</v>
      </c>
      <c r="N22" s="4">
        <f>Hotel!Z27</f>
        <v>2780</v>
      </c>
      <c r="O22" s="4">
        <f>Hotel!AA27</f>
        <v>3280</v>
      </c>
      <c r="P22" s="4">
        <f>Hotel!AB27</f>
        <v>7550</v>
      </c>
      <c r="Q22" s="4">
        <f>Hotel!AC27</f>
        <v>8520</v>
      </c>
      <c r="R22" s="4">
        <f>Hotel!AV27*0.00378541*100</f>
        <v>882.37907099999995</v>
      </c>
      <c r="S22" s="4">
        <f>Hotel!B27</f>
        <v>176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2021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U30" sqref="AU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44377</v>
      </c>
      <c r="B2" s="40">
        <v>104</v>
      </c>
      <c r="C2" s="24">
        <v>6627720</v>
      </c>
      <c r="D2" s="24">
        <v>15903600</v>
      </c>
      <c r="E2" s="24">
        <v>2805750</v>
      </c>
      <c r="F2" s="24">
        <v>3520070</v>
      </c>
      <c r="G2" s="24">
        <v>10475110</v>
      </c>
      <c r="H2" s="24">
        <v>5583880</v>
      </c>
      <c r="I2" s="24">
        <v>5131160</v>
      </c>
      <c r="J2" s="53">
        <v>5990830</v>
      </c>
      <c r="K2" s="24">
        <v>9272230</v>
      </c>
      <c r="L2" s="24">
        <v>3881580</v>
      </c>
      <c r="M2" s="24">
        <v>7961700</v>
      </c>
      <c r="N2" s="24">
        <v>12166320</v>
      </c>
      <c r="O2" s="24">
        <v>16835970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21728</v>
      </c>
    </row>
    <row r="7" spans="1:49" x14ac:dyDescent="0.25">
      <c r="A7" s="23">
        <v>44378</v>
      </c>
      <c r="B7" s="40">
        <v>160</v>
      </c>
      <c r="C7" s="24">
        <v>6628800</v>
      </c>
      <c r="D7" s="24">
        <v>15918000</v>
      </c>
      <c r="E7" s="24">
        <v>2809430</v>
      </c>
      <c r="F7" s="24">
        <v>3521850</v>
      </c>
      <c r="G7" s="24">
        <v>10479990</v>
      </c>
      <c r="H7" s="24">
        <v>5587720</v>
      </c>
      <c r="I7" s="24">
        <v>5133660</v>
      </c>
      <c r="J7" s="24">
        <v>5995230</v>
      </c>
      <c r="K7" s="24">
        <v>9277380</v>
      </c>
      <c r="L7" s="24">
        <v>3884530</v>
      </c>
      <c r="M7" s="24">
        <v>7965310</v>
      </c>
      <c r="N7" s="24">
        <v>12173880</v>
      </c>
      <c r="O7" s="24">
        <v>16845290</v>
      </c>
      <c r="Q7" s="37">
        <f>IF((C7-C2&lt;0), "0",C7-C2)</f>
        <v>1080</v>
      </c>
      <c r="R7" s="37">
        <f t="shared" ref="R7:AC7" si="0">IF((D7-D2&lt;0), "0",D7-D2)</f>
        <v>14400</v>
      </c>
      <c r="S7" s="37">
        <f>IF((E7-E2&lt;0), "0",E7-E2)</f>
        <v>3680</v>
      </c>
      <c r="T7" s="37">
        <f t="shared" si="0"/>
        <v>1780</v>
      </c>
      <c r="U7" s="37">
        <f t="shared" si="0"/>
        <v>4880</v>
      </c>
      <c r="V7" s="37">
        <f t="shared" si="0"/>
        <v>3840</v>
      </c>
      <c r="W7" s="37">
        <f t="shared" si="0"/>
        <v>2500</v>
      </c>
      <c r="X7" s="37">
        <f t="shared" si="0"/>
        <v>4400</v>
      </c>
      <c r="Y7" s="37">
        <f t="shared" si="0"/>
        <v>5150</v>
      </c>
      <c r="Z7" s="37">
        <f t="shared" si="0"/>
        <v>2950</v>
      </c>
      <c r="AA7" s="37">
        <f t="shared" si="0"/>
        <v>3610</v>
      </c>
      <c r="AB7" s="37">
        <f t="shared" si="0"/>
        <v>7560</v>
      </c>
      <c r="AC7" s="37">
        <f t="shared" si="0"/>
        <v>9320</v>
      </c>
      <c r="AD7" s="34">
        <f>SUM(Q7:AC7)</f>
        <v>65150</v>
      </c>
      <c r="AF7" s="20">
        <f t="shared" ref="AF7:AF36" si="1">Q7*$D$39</f>
        <v>5.4</v>
      </c>
      <c r="AG7" s="20">
        <f t="shared" ref="AG7:AG36" si="2">R7*$D$39</f>
        <v>72</v>
      </c>
      <c r="AH7" s="20">
        <f t="shared" ref="AH7:AH36" si="3">S7*$D$39</f>
        <v>18.400000000000002</v>
      </c>
      <c r="AI7" s="20">
        <f t="shared" ref="AI7:AI36" si="4">T7*$D$39</f>
        <v>8.9</v>
      </c>
      <c r="AJ7" s="20">
        <f t="shared" ref="AJ7:AJ36" si="5">U7*$D$39</f>
        <v>24.400000000000002</v>
      </c>
      <c r="AK7" s="20">
        <f t="shared" ref="AK7:AK36" si="6">V7*$D$39</f>
        <v>19.2</v>
      </c>
      <c r="AL7" s="20">
        <f t="shared" ref="AL7:AL36" si="7">W7*$D$39</f>
        <v>12.5</v>
      </c>
      <c r="AM7" s="20">
        <f t="shared" ref="AM7:AM36" si="8">X7*$D$39</f>
        <v>22</v>
      </c>
      <c r="AN7" s="20">
        <f t="shared" ref="AN7:AN36" si="9">Y7*$D$39</f>
        <v>25.75</v>
      </c>
      <c r="AO7" s="20">
        <f t="shared" ref="AO7:AO36" si="10">Z7*$D$39</f>
        <v>14.75</v>
      </c>
      <c r="AP7" s="20">
        <f t="shared" ref="AP7:AP36" si="11">AA7*$D$39</f>
        <v>18.05</v>
      </c>
      <c r="AQ7" s="20">
        <f t="shared" ref="AQ7:AQ36" si="12">AB7*$D$39</f>
        <v>37.800000000000004</v>
      </c>
      <c r="AR7" s="20">
        <f t="shared" ref="AR7:AR36" si="13">AC7*$D$39</f>
        <v>46.6</v>
      </c>
      <c r="AS7" s="35">
        <f>SUM(AF7:AR7)</f>
        <v>325.75000000000006</v>
      </c>
      <c r="AU7" s="47">
        <v>24872</v>
      </c>
      <c r="AV7" s="37">
        <f>IF((AU7-AU6&lt;0),"0",AU7-AU6)</f>
        <v>3144</v>
      </c>
      <c r="AW7" s="50">
        <v>0</v>
      </c>
    </row>
    <row r="8" spans="1:49" x14ac:dyDescent="0.25">
      <c r="A8" s="23">
        <v>44379</v>
      </c>
      <c r="B8" s="40">
        <v>163</v>
      </c>
      <c r="C8" s="24">
        <v>6629770</v>
      </c>
      <c r="D8" s="24">
        <v>15931200</v>
      </c>
      <c r="E8" s="24">
        <v>2812900</v>
      </c>
      <c r="F8" s="24">
        <v>3523470</v>
      </c>
      <c r="G8" s="24">
        <v>10484550</v>
      </c>
      <c r="H8" s="24">
        <v>5591110</v>
      </c>
      <c r="I8" s="24">
        <v>5135920</v>
      </c>
      <c r="J8" s="24">
        <v>5999280</v>
      </c>
      <c r="K8" s="24">
        <v>9282500</v>
      </c>
      <c r="L8" s="24">
        <v>3887290</v>
      </c>
      <c r="M8" s="24">
        <v>7968700</v>
      </c>
      <c r="N8" s="24">
        <v>12180740</v>
      </c>
      <c r="O8" s="24">
        <v>16854070</v>
      </c>
      <c r="Q8" s="37">
        <f>IF((C8-C7&lt;0), "0",C8-C7)</f>
        <v>970</v>
      </c>
      <c r="R8" s="37">
        <f t="shared" ref="R8:AC8" si="14">IF((D8-D7&lt;0), "0",D8-D7)</f>
        <v>13200</v>
      </c>
      <c r="S8" s="37">
        <f t="shared" ref="S8:S35" si="15">IF((E8-E7&lt;0), "0",E8-E7)</f>
        <v>3470</v>
      </c>
      <c r="T8" s="37">
        <f t="shared" si="14"/>
        <v>1620</v>
      </c>
      <c r="U8" s="37">
        <f t="shared" si="14"/>
        <v>4560</v>
      </c>
      <c r="V8" s="37">
        <f t="shared" si="14"/>
        <v>3390</v>
      </c>
      <c r="W8" s="37">
        <f t="shared" si="14"/>
        <v>2260</v>
      </c>
      <c r="X8" s="37">
        <f t="shared" si="14"/>
        <v>4050</v>
      </c>
      <c r="Y8" s="37">
        <f t="shared" si="14"/>
        <v>5120</v>
      </c>
      <c r="Z8" s="37">
        <f t="shared" si="14"/>
        <v>2760</v>
      </c>
      <c r="AA8" s="37">
        <f t="shared" si="14"/>
        <v>3390</v>
      </c>
      <c r="AB8" s="37">
        <f t="shared" si="14"/>
        <v>6860</v>
      </c>
      <c r="AC8" s="37">
        <f t="shared" si="14"/>
        <v>8780</v>
      </c>
      <c r="AD8" s="35">
        <f>SUM(Q8:AC8)</f>
        <v>60430</v>
      </c>
      <c r="AF8" s="20">
        <f t="shared" si="1"/>
        <v>4.8500000000000005</v>
      </c>
      <c r="AG8" s="20">
        <f t="shared" si="2"/>
        <v>66</v>
      </c>
      <c r="AH8" s="20">
        <f t="shared" si="3"/>
        <v>17.350000000000001</v>
      </c>
      <c r="AI8" s="20">
        <f t="shared" si="4"/>
        <v>8.1</v>
      </c>
      <c r="AJ8" s="20">
        <f t="shared" si="5"/>
        <v>22.8</v>
      </c>
      <c r="AK8" s="20">
        <f t="shared" si="6"/>
        <v>16.95</v>
      </c>
      <c r="AL8" s="20">
        <f t="shared" si="7"/>
        <v>11.3</v>
      </c>
      <c r="AM8" s="20">
        <f t="shared" si="8"/>
        <v>20.25</v>
      </c>
      <c r="AN8" s="20">
        <f t="shared" si="9"/>
        <v>25.6</v>
      </c>
      <c r="AO8" s="20">
        <f t="shared" si="10"/>
        <v>13.8</v>
      </c>
      <c r="AP8" s="20">
        <f t="shared" si="11"/>
        <v>16.95</v>
      </c>
      <c r="AQ8" s="20">
        <f t="shared" si="12"/>
        <v>34.300000000000004</v>
      </c>
      <c r="AR8" s="20">
        <f t="shared" si="13"/>
        <v>43.9</v>
      </c>
      <c r="AS8" s="35">
        <f>SUM(AF8:AR8)</f>
        <v>302.14999999999998</v>
      </c>
      <c r="AU8" s="47">
        <v>27527</v>
      </c>
      <c r="AV8" s="37">
        <f>IF((AU8-AU7&lt;0),"0",AU8-AU7)</f>
        <v>2655</v>
      </c>
      <c r="AW8" s="35">
        <v>0</v>
      </c>
    </row>
    <row r="9" spans="1:49" x14ac:dyDescent="0.25">
      <c r="A9" s="23">
        <v>44380</v>
      </c>
      <c r="B9" s="40">
        <v>87</v>
      </c>
      <c r="C9" s="24">
        <v>6630780</v>
      </c>
      <c r="D9" s="24">
        <v>15944680</v>
      </c>
      <c r="E9" s="24">
        <v>2816430</v>
      </c>
      <c r="F9" s="24">
        <v>3525140</v>
      </c>
      <c r="G9" s="24">
        <v>10488950</v>
      </c>
      <c r="H9" s="24">
        <v>5594520</v>
      </c>
      <c r="I9" s="24">
        <v>5138240</v>
      </c>
      <c r="J9" s="24">
        <v>6003160</v>
      </c>
      <c r="K9" s="24">
        <v>9287850</v>
      </c>
      <c r="L9" s="24">
        <v>3890030</v>
      </c>
      <c r="M9" s="24">
        <v>7971990</v>
      </c>
      <c r="N9" s="24">
        <v>12187820</v>
      </c>
      <c r="O9" s="24">
        <v>16864110</v>
      </c>
      <c r="Q9" s="37">
        <f t="shared" ref="Q9:Q30" si="16">IF((C9-C8&lt;0), "0",C9-C8)</f>
        <v>1010</v>
      </c>
      <c r="R9" s="37">
        <f t="shared" ref="R9:R35" si="17">IF((D9-D8&lt;0), "0",D9-D8)</f>
        <v>13480</v>
      </c>
      <c r="S9" s="37">
        <f t="shared" si="15"/>
        <v>3530</v>
      </c>
      <c r="T9" s="37">
        <f t="shared" ref="T9:T35" si="18">IF((F9-F8&lt;0), "0",F9-F8)</f>
        <v>1670</v>
      </c>
      <c r="U9" s="37">
        <f t="shared" ref="U9:U35" si="19">IF((G9-G8&lt;0), "0",G9-G8)</f>
        <v>4400</v>
      </c>
      <c r="V9" s="37">
        <f t="shared" ref="V9:V35" si="20">IF((H9-H8&lt;0), "0",H9-H8)</f>
        <v>3410</v>
      </c>
      <c r="W9" s="37">
        <f t="shared" ref="W9:W35" si="21">IF((I9-I8&lt;0), "0",I9-I8)</f>
        <v>2320</v>
      </c>
      <c r="X9" s="37">
        <f t="shared" ref="X9:X35" si="22">IF((J9-J8&lt;0), "0",J9-J8)</f>
        <v>3880</v>
      </c>
      <c r="Y9" s="37">
        <f t="shared" ref="Y9:Y35" si="23">IF((K9-K8&lt;0), "0",K9-K8)</f>
        <v>5350</v>
      </c>
      <c r="Z9" s="37">
        <f t="shared" ref="Z9:Z35" si="24">IF((L9-L8&lt;0), "0",L9-L8)</f>
        <v>2740</v>
      </c>
      <c r="AA9" s="37">
        <f t="shared" ref="AA9:AA35" si="25">IF((M9-M8&lt;0), "0",M9-M8)</f>
        <v>3290</v>
      </c>
      <c r="AB9" s="37">
        <f t="shared" ref="AB9:AB37" si="26">IF((N9-N8&lt;0), "0",N9-N8)</f>
        <v>7080</v>
      </c>
      <c r="AC9" s="37">
        <f t="shared" ref="AC9:AC37" si="27">IF((O9-O8&lt;0), "0",O9-O8)</f>
        <v>10040</v>
      </c>
      <c r="AD9" s="35">
        <f t="shared" ref="AD9:AD37" si="28">SUM(Q9:AC9)</f>
        <v>62200</v>
      </c>
      <c r="AF9" s="20">
        <f t="shared" si="1"/>
        <v>5.05</v>
      </c>
      <c r="AG9" s="20">
        <f t="shared" si="2"/>
        <v>67.400000000000006</v>
      </c>
      <c r="AH9" s="20">
        <f t="shared" si="3"/>
        <v>17.650000000000002</v>
      </c>
      <c r="AI9" s="20">
        <f t="shared" si="4"/>
        <v>8.35</v>
      </c>
      <c r="AJ9" s="20">
        <f t="shared" si="5"/>
        <v>22</v>
      </c>
      <c r="AK9" s="20">
        <f t="shared" si="6"/>
        <v>17.05</v>
      </c>
      <c r="AL9" s="20">
        <f t="shared" si="7"/>
        <v>11.6</v>
      </c>
      <c r="AM9" s="20">
        <f t="shared" si="8"/>
        <v>19.400000000000002</v>
      </c>
      <c r="AN9" s="20">
        <f t="shared" si="9"/>
        <v>26.75</v>
      </c>
      <c r="AO9" s="20">
        <f t="shared" si="10"/>
        <v>13.700000000000001</v>
      </c>
      <c r="AP9" s="20">
        <f t="shared" si="11"/>
        <v>16.45</v>
      </c>
      <c r="AQ9" s="20">
        <f t="shared" si="12"/>
        <v>35.4</v>
      </c>
      <c r="AR9" s="20">
        <f t="shared" si="13"/>
        <v>50.2</v>
      </c>
      <c r="AS9" s="35">
        <f t="shared" ref="AS9:AS33" si="29">SUM(AF9:AR9)</f>
        <v>310.99999999999994</v>
      </c>
      <c r="AU9" s="47">
        <v>30396</v>
      </c>
      <c r="AV9" s="37">
        <f>IF((AU9-AU8&lt;0),"0",AU9-AU8)</f>
        <v>2869</v>
      </c>
      <c r="AW9" s="35">
        <f t="shared" ref="AW9:AW35" si="30">AV9*$D$40</f>
        <v>5.7380000000000004</v>
      </c>
    </row>
    <row r="10" spans="1:49" x14ac:dyDescent="0.25">
      <c r="A10" s="23">
        <v>44381</v>
      </c>
      <c r="B10" s="40">
        <v>76</v>
      </c>
      <c r="C10" s="24">
        <v>6631770</v>
      </c>
      <c r="D10" s="24">
        <v>15958210</v>
      </c>
      <c r="E10" s="24">
        <v>2819900</v>
      </c>
      <c r="F10" s="24">
        <v>3526830</v>
      </c>
      <c r="G10" s="24">
        <v>10493280</v>
      </c>
      <c r="H10" s="24">
        <v>5597850</v>
      </c>
      <c r="I10" s="24">
        <v>5140570</v>
      </c>
      <c r="J10" s="24">
        <v>6006690</v>
      </c>
      <c r="K10" s="24">
        <v>9293020</v>
      </c>
      <c r="L10" s="24">
        <v>3892590</v>
      </c>
      <c r="M10" s="24">
        <v>7975260</v>
      </c>
      <c r="N10" s="24">
        <v>12194830</v>
      </c>
      <c r="O10" s="24">
        <v>16874190</v>
      </c>
      <c r="Q10" s="37">
        <f t="shared" si="16"/>
        <v>990</v>
      </c>
      <c r="R10" s="37">
        <f t="shared" si="17"/>
        <v>13530</v>
      </c>
      <c r="S10" s="37">
        <f t="shared" si="15"/>
        <v>3470</v>
      </c>
      <c r="T10" s="37">
        <f t="shared" si="18"/>
        <v>1690</v>
      </c>
      <c r="U10" s="37">
        <f t="shared" si="19"/>
        <v>4330</v>
      </c>
      <c r="V10" s="37">
        <f t="shared" si="20"/>
        <v>3330</v>
      </c>
      <c r="W10" s="37">
        <f t="shared" si="21"/>
        <v>2330</v>
      </c>
      <c r="X10" s="37">
        <f t="shared" si="22"/>
        <v>3530</v>
      </c>
      <c r="Y10" s="37">
        <f t="shared" si="23"/>
        <v>5170</v>
      </c>
      <c r="Z10" s="37">
        <f t="shared" si="24"/>
        <v>2560</v>
      </c>
      <c r="AA10" s="37">
        <f t="shared" si="25"/>
        <v>3270</v>
      </c>
      <c r="AB10" s="37">
        <f t="shared" si="26"/>
        <v>7010</v>
      </c>
      <c r="AC10" s="37">
        <f t="shared" si="27"/>
        <v>10080</v>
      </c>
      <c r="AD10" s="35">
        <f t="shared" si="28"/>
        <v>61290</v>
      </c>
      <c r="AF10" s="20">
        <f t="shared" si="1"/>
        <v>4.95</v>
      </c>
      <c r="AG10" s="20">
        <f t="shared" si="2"/>
        <v>67.650000000000006</v>
      </c>
      <c r="AH10" s="20">
        <f t="shared" si="3"/>
        <v>17.350000000000001</v>
      </c>
      <c r="AI10" s="20">
        <f t="shared" si="4"/>
        <v>8.4499999999999993</v>
      </c>
      <c r="AJ10" s="20">
        <f t="shared" si="5"/>
        <v>21.650000000000002</v>
      </c>
      <c r="AK10" s="20">
        <f t="shared" si="6"/>
        <v>16.649999999999999</v>
      </c>
      <c r="AL10" s="20">
        <f t="shared" si="7"/>
        <v>11.65</v>
      </c>
      <c r="AM10" s="20">
        <f t="shared" si="8"/>
        <v>17.650000000000002</v>
      </c>
      <c r="AN10" s="20">
        <f t="shared" si="9"/>
        <v>25.85</v>
      </c>
      <c r="AO10" s="20">
        <f t="shared" si="10"/>
        <v>12.8</v>
      </c>
      <c r="AP10" s="20">
        <f t="shared" si="11"/>
        <v>16.350000000000001</v>
      </c>
      <c r="AQ10" s="20">
        <f t="shared" si="12"/>
        <v>35.050000000000004</v>
      </c>
      <c r="AR10" s="20">
        <f t="shared" si="13"/>
        <v>50.4</v>
      </c>
      <c r="AS10" s="35">
        <f t="shared" si="29"/>
        <v>306.45</v>
      </c>
      <c r="AU10" s="47">
        <v>33265</v>
      </c>
      <c r="AV10" s="37">
        <f t="shared" ref="AV10:AV26" si="31">IF((AU10-AU9&lt;0),"0",AU10-AU9)</f>
        <v>2869</v>
      </c>
      <c r="AW10" s="35">
        <f t="shared" si="30"/>
        <v>5.7380000000000004</v>
      </c>
    </row>
    <row r="11" spans="1:49" x14ac:dyDescent="0.25">
      <c r="A11" s="23">
        <v>44382</v>
      </c>
      <c r="B11" s="40">
        <v>77</v>
      </c>
      <c r="C11" s="24">
        <v>6632740</v>
      </c>
      <c r="D11" s="24">
        <v>15971110</v>
      </c>
      <c r="E11" s="24">
        <v>2823280</v>
      </c>
      <c r="F11" s="24">
        <v>3528470</v>
      </c>
      <c r="G11" s="24">
        <v>10497430</v>
      </c>
      <c r="H11" s="24">
        <v>5601020</v>
      </c>
      <c r="I11" s="24">
        <v>5142820</v>
      </c>
      <c r="J11" s="24">
        <v>6010030</v>
      </c>
      <c r="K11" s="24">
        <v>9297900</v>
      </c>
      <c r="L11" s="24">
        <v>3894970</v>
      </c>
      <c r="M11" s="24">
        <v>7978390</v>
      </c>
      <c r="N11" s="24">
        <v>12201690</v>
      </c>
      <c r="O11" s="24">
        <v>16883380</v>
      </c>
      <c r="Q11" s="37">
        <f t="shared" si="16"/>
        <v>970</v>
      </c>
      <c r="R11" s="37">
        <f t="shared" si="17"/>
        <v>12900</v>
      </c>
      <c r="S11" s="37">
        <f t="shared" si="15"/>
        <v>3380</v>
      </c>
      <c r="T11" s="37">
        <f t="shared" si="18"/>
        <v>1640</v>
      </c>
      <c r="U11" s="37">
        <f t="shared" si="19"/>
        <v>4150</v>
      </c>
      <c r="V11" s="37">
        <f t="shared" si="20"/>
        <v>3170</v>
      </c>
      <c r="W11" s="37">
        <f t="shared" si="21"/>
        <v>2250</v>
      </c>
      <c r="X11" s="37">
        <f t="shared" si="22"/>
        <v>3340</v>
      </c>
      <c r="Y11" s="37">
        <f t="shared" si="23"/>
        <v>4880</v>
      </c>
      <c r="Z11" s="37">
        <f t="shared" si="24"/>
        <v>2380</v>
      </c>
      <c r="AA11" s="37">
        <f t="shared" si="25"/>
        <v>3130</v>
      </c>
      <c r="AB11" s="37">
        <f t="shared" si="26"/>
        <v>6860</v>
      </c>
      <c r="AC11" s="37">
        <f t="shared" si="27"/>
        <v>9190</v>
      </c>
      <c r="AD11" s="35">
        <f t="shared" si="28"/>
        <v>58240</v>
      </c>
      <c r="AF11" s="20">
        <f t="shared" si="1"/>
        <v>4.8500000000000005</v>
      </c>
      <c r="AG11" s="20">
        <f t="shared" si="2"/>
        <v>64.5</v>
      </c>
      <c r="AH11" s="20">
        <f t="shared" si="3"/>
        <v>16.899999999999999</v>
      </c>
      <c r="AI11" s="20">
        <f t="shared" si="4"/>
        <v>8.1999999999999993</v>
      </c>
      <c r="AJ11" s="20">
        <f t="shared" si="5"/>
        <v>20.75</v>
      </c>
      <c r="AK11" s="20">
        <f t="shared" si="6"/>
        <v>15.85</v>
      </c>
      <c r="AL11" s="20">
        <f t="shared" si="7"/>
        <v>11.25</v>
      </c>
      <c r="AM11" s="20">
        <f t="shared" si="8"/>
        <v>16.7</v>
      </c>
      <c r="AN11" s="20">
        <f t="shared" si="9"/>
        <v>24.400000000000002</v>
      </c>
      <c r="AO11" s="20">
        <f t="shared" si="10"/>
        <v>11.9</v>
      </c>
      <c r="AP11" s="20">
        <f t="shared" si="11"/>
        <v>15.65</v>
      </c>
      <c r="AQ11" s="20">
        <f t="shared" si="12"/>
        <v>34.300000000000004</v>
      </c>
      <c r="AR11" s="20">
        <f t="shared" si="13"/>
        <v>45.95</v>
      </c>
      <c r="AS11" s="35">
        <f t="shared" si="29"/>
        <v>291.20000000000005</v>
      </c>
      <c r="AU11" s="47">
        <v>35964</v>
      </c>
      <c r="AV11" s="37">
        <f t="shared" si="31"/>
        <v>2699</v>
      </c>
      <c r="AW11" s="35">
        <f t="shared" si="30"/>
        <v>5.3979999999999997</v>
      </c>
    </row>
    <row r="12" spans="1:49" x14ac:dyDescent="0.25">
      <c r="A12" s="23">
        <v>44383</v>
      </c>
      <c r="B12" s="40">
        <v>84</v>
      </c>
      <c r="C12" s="49">
        <v>6633820</v>
      </c>
      <c r="D12" s="24">
        <v>15985540</v>
      </c>
      <c r="E12" s="24">
        <v>2827060</v>
      </c>
      <c r="F12" s="24">
        <v>3530270</v>
      </c>
      <c r="G12" s="24">
        <v>10501910</v>
      </c>
      <c r="H12" s="24">
        <v>5604620</v>
      </c>
      <c r="I12" s="24">
        <v>5145310</v>
      </c>
      <c r="J12" s="24">
        <v>6014050</v>
      </c>
      <c r="K12" s="24">
        <v>9303430</v>
      </c>
      <c r="L12" s="24">
        <v>3897740</v>
      </c>
      <c r="M12" s="24">
        <v>7981910</v>
      </c>
      <c r="N12" s="24">
        <v>12209310</v>
      </c>
      <c r="O12" s="24">
        <v>16892510</v>
      </c>
      <c r="Q12" s="37">
        <f t="shared" si="16"/>
        <v>1080</v>
      </c>
      <c r="R12" s="37">
        <f t="shared" si="17"/>
        <v>14430</v>
      </c>
      <c r="S12" s="37">
        <f t="shared" si="15"/>
        <v>3780</v>
      </c>
      <c r="T12" s="37">
        <f t="shared" ref="T12:W14" si="32">IF((F12-F11&lt;0), "0",F12-F11)</f>
        <v>1800</v>
      </c>
      <c r="U12" s="37">
        <f t="shared" si="32"/>
        <v>4480</v>
      </c>
      <c r="V12" s="37">
        <f t="shared" si="32"/>
        <v>3600</v>
      </c>
      <c r="W12" s="37">
        <f t="shared" si="32"/>
        <v>2490</v>
      </c>
      <c r="X12" s="37">
        <f t="shared" si="22"/>
        <v>4020</v>
      </c>
      <c r="Y12" s="37">
        <f t="shared" si="23"/>
        <v>5530</v>
      </c>
      <c r="Z12" s="37">
        <f>IF((L12-L11&lt;0), "0",L12-L11)</f>
        <v>2770</v>
      </c>
      <c r="AA12" s="37">
        <f t="shared" si="25"/>
        <v>3520</v>
      </c>
      <c r="AB12" s="37">
        <f t="shared" si="26"/>
        <v>7620</v>
      </c>
      <c r="AC12" s="37">
        <f t="shared" si="27"/>
        <v>9130</v>
      </c>
      <c r="AD12" s="35">
        <f t="shared" si="28"/>
        <v>64250</v>
      </c>
      <c r="AF12" s="20">
        <f t="shared" si="1"/>
        <v>5.4</v>
      </c>
      <c r="AG12" s="20">
        <f t="shared" si="2"/>
        <v>72.150000000000006</v>
      </c>
      <c r="AH12" s="20">
        <f t="shared" si="3"/>
        <v>18.900000000000002</v>
      </c>
      <c r="AI12" s="20">
        <f t="shared" si="4"/>
        <v>9</v>
      </c>
      <c r="AJ12" s="20">
        <f t="shared" si="5"/>
        <v>22.400000000000002</v>
      </c>
      <c r="AK12" s="20">
        <f t="shared" si="6"/>
        <v>18</v>
      </c>
      <c r="AL12" s="20">
        <f t="shared" si="7"/>
        <v>12.450000000000001</v>
      </c>
      <c r="AM12" s="20">
        <f t="shared" si="8"/>
        <v>20.100000000000001</v>
      </c>
      <c r="AN12" s="20">
        <f t="shared" si="9"/>
        <v>27.650000000000002</v>
      </c>
      <c r="AO12" s="20">
        <f t="shared" si="10"/>
        <v>13.85</v>
      </c>
      <c r="AP12" s="20">
        <f t="shared" si="11"/>
        <v>17.600000000000001</v>
      </c>
      <c r="AQ12" s="20">
        <f t="shared" si="12"/>
        <v>38.1</v>
      </c>
      <c r="AR12" s="20">
        <f t="shared" si="13"/>
        <v>45.65</v>
      </c>
      <c r="AS12" s="35">
        <f t="shared" si="29"/>
        <v>321.25</v>
      </c>
      <c r="AU12" s="47">
        <v>38940</v>
      </c>
      <c r="AV12" s="37">
        <f t="shared" si="31"/>
        <v>2976</v>
      </c>
      <c r="AW12" s="35">
        <f t="shared" si="30"/>
        <v>5.952</v>
      </c>
    </row>
    <row r="13" spans="1:49" x14ac:dyDescent="0.25">
      <c r="A13" s="23">
        <v>44384</v>
      </c>
      <c r="B13" s="40">
        <v>95</v>
      </c>
      <c r="C13" s="24">
        <v>6634750</v>
      </c>
      <c r="D13" s="24">
        <v>15997780</v>
      </c>
      <c r="E13" s="24">
        <v>2830350</v>
      </c>
      <c r="F13" s="24">
        <v>3531820</v>
      </c>
      <c r="G13" s="24">
        <v>10505920</v>
      </c>
      <c r="H13" s="24">
        <v>5607750</v>
      </c>
      <c r="I13" s="24">
        <v>5147460</v>
      </c>
      <c r="J13" s="24">
        <v>6017790</v>
      </c>
      <c r="K13" s="24">
        <v>9308150</v>
      </c>
      <c r="L13" s="24">
        <v>3900240</v>
      </c>
      <c r="M13" s="24">
        <v>7984810</v>
      </c>
      <c r="N13" s="24">
        <v>12215730</v>
      </c>
      <c r="O13" s="24">
        <v>16900100</v>
      </c>
      <c r="Q13" s="37">
        <f t="shared" si="16"/>
        <v>930</v>
      </c>
      <c r="R13" s="37">
        <f t="shared" si="17"/>
        <v>12240</v>
      </c>
      <c r="S13" s="37">
        <f t="shared" si="15"/>
        <v>3290</v>
      </c>
      <c r="T13" s="37">
        <f t="shared" si="32"/>
        <v>1550</v>
      </c>
      <c r="U13" s="37">
        <f t="shared" si="32"/>
        <v>4010</v>
      </c>
      <c r="V13" s="37">
        <f t="shared" si="32"/>
        <v>3130</v>
      </c>
      <c r="W13" s="37">
        <f t="shared" si="32"/>
        <v>2150</v>
      </c>
      <c r="X13" s="37">
        <f t="shared" si="22"/>
        <v>3740</v>
      </c>
      <c r="Y13" s="37">
        <f t="shared" si="23"/>
        <v>4720</v>
      </c>
      <c r="Z13" s="37">
        <f>IF((L13-L12&lt;0), "0",L13-L12)</f>
        <v>2500</v>
      </c>
      <c r="AA13" s="37">
        <f t="shared" si="25"/>
        <v>2900</v>
      </c>
      <c r="AB13" s="37">
        <f t="shared" si="26"/>
        <v>6420</v>
      </c>
      <c r="AC13" s="37">
        <f t="shared" si="27"/>
        <v>7590</v>
      </c>
      <c r="AD13" s="35">
        <f t="shared" si="28"/>
        <v>55170</v>
      </c>
      <c r="AF13" s="20">
        <f t="shared" si="1"/>
        <v>4.6500000000000004</v>
      </c>
      <c r="AG13" s="20">
        <f t="shared" si="2"/>
        <v>61.2</v>
      </c>
      <c r="AH13" s="20">
        <f t="shared" si="3"/>
        <v>16.45</v>
      </c>
      <c r="AI13" s="20">
        <f t="shared" si="4"/>
        <v>7.75</v>
      </c>
      <c r="AJ13" s="20">
        <f t="shared" si="5"/>
        <v>20.05</v>
      </c>
      <c r="AK13" s="20">
        <f t="shared" si="6"/>
        <v>15.65</v>
      </c>
      <c r="AL13" s="20">
        <f t="shared" si="7"/>
        <v>10.75</v>
      </c>
      <c r="AM13" s="20">
        <f t="shared" si="8"/>
        <v>18.7</v>
      </c>
      <c r="AN13" s="20">
        <f t="shared" si="9"/>
        <v>23.6</v>
      </c>
      <c r="AO13" s="20">
        <f t="shared" si="10"/>
        <v>12.5</v>
      </c>
      <c r="AP13" s="20">
        <f t="shared" si="11"/>
        <v>14.5</v>
      </c>
      <c r="AQ13" s="20">
        <f t="shared" si="12"/>
        <v>32.1</v>
      </c>
      <c r="AR13" s="20">
        <f t="shared" si="13"/>
        <v>37.950000000000003</v>
      </c>
      <c r="AS13" s="35">
        <f t="shared" si="29"/>
        <v>275.84999999999997</v>
      </c>
      <c r="AU13" s="47">
        <v>41502</v>
      </c>
      <c r="AV13" s="37">
        <f t="shared" si="31"/>
        <v>2562</v>
      </c>
      <c r="AW13" s="35">
        <f t="shared" si="30"/>
        <v>5.1239999999999997</v>
      </c>
    </row>
    <row r="14" spans="1:49" x14ac:dyDescent="0.25">
      <c r="A14" s="23">
        <v>44385</v>
      </c>
      <c r="B14" s="40">
        <v>105</v>
      </c>
      <c r="C14" s="24">
        <v>6635790</v>
      </c>
      <c r="D14" s="24">
        <v>16011690</v>
      </c>
      <c r="E14" s="24">
        <v>2834050</v>
      </c>
      <c r="F14" s="24">
        <v>3533560</v>
      </c>
      <c r="G14" s="24">
        <v>10510440</v>
      </c>
      <c r="H14" s="24">
        <v>5611220</v>
      </c>
      <c r="I14" s="24">
        <v>5149850</v>
      </c>
      <c r="J14" s="24">
        <v>6021890</v>
      </c>
      <c r="K14" s="24">
        <v>9313380</v>
      </c>
      <c r="L14" s="24">
        <v>3903080</v>
      </c>
      <c r="M14" s="24">
        <v>7988180</v>
      </c>
      <c r="N14" s="24">
        <v>12223190</v>
      </c>
      <c r="O14" s="24">
        <v>16909220</v>
      </c>
      <c r="P14" s="54"/>
      <c r="Q14" s="37">
        <f t="shared" si="16"/>
        <v>1040</v>
      </c>
      <c r="R14" s="37">
        <f t="shared" si="17"/>
        <v>13910</v>
      </c>
      <c r="S14" s="37">
        <f t="shared" si="15"/>
        <v>3700</v>
      </c>
      <c r="T14" s="37">
        <f t="shared" si="32"/>
        <v>1740</v>
      </c>
      <c r="U14" s="37">
        <f t="shared" si="32"/>
        <v>4520</v>
      </c>
      <c r="V14" s="37">
        <f t="shared" si="32"/>
        <v>3470</v>
      </c>
      <c r="W14" s="37">
        <f t="shared" si="32"/>
        <v>2390</v>
      </c>
      <c r="X14" s="37">
        <f t="shared" si="22"/>
        <v>4100</v>
      </c>
      <c r="Y14" s="37">
        <f t="shared" si="23"/>
        <v>5230</v>
      </c>
      <c r="Z14" s="37">
        <f>IF((L14-L13&lt;0), "0",L14-L13)</f>
        <v>2840</v>
      </c>
      <c r="AA14" s="37">
        <f t="shared" si="25"/>
        <v>3370</v>
      </c>
      <c r="AB14" s="37">
        <f t="shared" si="26"/>
        <v>7460</v>
      </c>
      <c r="AC14" s="37">
        <f t="shared" si="27"/>
        <v>9120</v>
      </c>
      <c r="AD14" s="35">
        <f t="shared" si="28"/>
        <v>62890</v>
      </c>
      <c r="AF14" s="20">
        <f t="shared" si="1"/>
        <v>5.2</v>
      </c>
      <c r="AG14" s="20">
        <f t="shared" si="2"/>
        <v>69.55</v>
      </c>
      <c r="AH14" s="20">
        <f t="shared" si="3"/>
        <v>18.5</v>
      </c>
      <c r="AI14" s="20">
        <f t="shared" si="4"/>
        <v>8.7000000000000011</v>
      </c>
      <c r="AJ14" s="20">
        <f t="shared" si="5"/>
        <v>22.6</v>
      </c>
      <c r="AK14" s="20">
        <f t="shared" si="6"/>
        <v>17.350000000000001</v>
      </c>
      <c r="AL14" s="20">
        <f t="shared" si="7"/>
        <v>11.950000000000001</v>
      </c>
      <c r="AM14" s="20">
        <f t="shared" si="8"/>
        <v>20.5</v>
      </c>
      <c r="AN14" s="20">
        <f t="shared" si="9"/>
        <v>26.150000000000002</v>
      </c>
      <c r="AO14" s="20">
        <f t="shared" si="10"/>
        <v>14.200000000000001</v>
      </c>
      <c r="AP14" s="20">
        <f t="shared" si="11"/>
        <v>16.850000000000001</v>
      </c>
      <c r="AQ14" s="20">
        <f t="shared" si="12"/>
        <v>37.300000000000004</v>
      </c>
      <c r="AR14" s="20">
        <f t="shared" si="13"/>
        <v>45.6</v>
      </c>
      <c r="AS14" s="35">
        <f t="shared" si="29"/>
        <v>314.45</v>
      </c>
      <c r="AU14" s="47">
        <v>44745</v>
      </c>
      <c r="AV14" s="37">
        <f t="shared" si="31"/>
        <v>3243</v>
      </c>
      <c r="AW14" s="35">
        <f t="shared" si="30"/>
        <v>6.4859999999999998</v>
      </c>
    </row>
    <row r="15" spans="1:49" x14ac:dyDescent="0.25">
      <c r="A15" s="23">
        <v>44386</v>
      </c>
      <c r="B15" s="40">
        <v>141</v>
      </c>
      <c r="C15" s="24">
        <v>6636790</v>
      </c>
      <c r="D15" s="24">
        <v>16025130</v>
      </c>
      <c r="E15" s="24">
        <v>2837630</v>
      </c>
      <c r="F15" s="24">
        <v>3535220</v>
      </c>
      <c r="G15" s="24">
        <v>10514810</v>
      </c>
      <c r="H15" s="24">
        <v>5614500</v>
      </c>
      <c r="I15" s="24">
        <v>5152110</v>
      </c>
      <c r="J15" s="24">
        <v>6025920</v>
      </c>
      <c r="K15" s="24">
        <v>9318290</v>
      </c>
      <c r="L15" s="24">
        <v>3905810</v>
      </c>
      <c r="M15" s="24">
        <v>7991310</v>
      </c>
      <c r="N15" s="24">
        <v>12230120</v>
      </c>
      <c r="O15" s="24">
        <v>16918990</v>
      </c>
      <c r="Q15" s="37">
        <f t="shared" si="16"/>
        <v>1000</v>
      </c>
      <c r="R15" s="37">
        <f t="shared" si="17"/>
        <v>13440</v>
      </c>
      <c r="S15" s="37">
        <f t="shared" si="15"/>
        <v>3580</v>
      </c>
      <c r="T15" s="37">
        <f t="shared" si="18"/>
        <v>1660</v>
      </c>
      <c r="U15" s="37">
        <f t="shared" si="19"/>
        <v>4370</v>
      </c>
      <c r="V15" s="37">
        <f t="shared" si="20"/>
        <v>3280</v>
      </c>
      <c r="W15" s="37">
        <f t="shared" si="21"/>
        <v>2260</v>
      </c>
      <c r="X15" s="37">
        <f t="shared" si="22"/>
        <v>4030</v>
      </c>
      <c r="Y15" s="37">
        <f t="shared" si="23"/>
        <v>4910</v>
      </c>
      <c r="Z15" s="37">
        <f t="shared" si="24"/>
        <v>2730</v>
      </c>
      <c r="AA15" s="37">
        <f t="shared" si="25"/>
        <v>3130</v>
      </c>
      <c r="AB15" s="37">
        <f t="shared" si="26"/>
        <v>6930</v>
      </c>
      <c r="AC15" s="37">
        <f t="shared" si="27"/>
        <v>9770</v>
      </c>
      <c r="AD15" s="35">
        <f t="shared" si="28"/>
        <v>61090</v>
      </c>
      <c r="AF15" s="20">
        <f t="shared" si="1"/>
        <v>5</v>
      </c>
      <c r="AG15" s="20">
        <f t="shared" si="2"/>
        <v>67.2</v>
      </c>
      <c r="AH15" s="20">
        <f t="shared" si="3"/>
        <v>17.900000000000002</v>
      </c>
      <c r="AI15" s="20">
        <f t="shared" si="4"/>
        <v>8.3000000000000007</v>
      </c>
      <c r="AJ15" s="20">
        <f t="shared" si="5"/>
        <v>21.85</v>
      </c>
      <c r="AK15" s="20">
        <f t="shared" si="6"/>
        <v>16.399999999999999</v>
      </c>
      <c r="AL15" s="20">
        <f t="shared" si="7"/>
        <v>11.3</v>
      </c>
      <c r="AM15" s="20">
        <f t="shared" si="8"/>
        <v>20.150000000000002</v>
      </c>
      <c r="AN15" s="20">
        <f t="shared" si="9"/>
        <v>24.55</v>
      </c>
      <c r="AO15" s="20">
        <f t="shared" si="10"/>
        <v>13.65</v>
      </c>
      <c r="AP15" s="20">
        <f t="shared" si="11"/>
        <v>15.65</v>
      </c>
      <c r="AQ15" s="20">
        <f t="shared" si="12"/>
        <v>34.65</v>
      </c>
      <c r="AR15" s="20">
        <f t="shared" si="13"/>
        <v>48.85</v>
      </c>
      <c r="AS15" s="35">
        <f t="shared" si="29"/>
        <v>305.45000000000005</v>
      </c>
      <c r="AU15" s="47">
        <v>47172</v>
      </c>
      <c r="AV15" s="37">
        <f t="shared" si="31"/>
        <v>2427</v>
      </c>
      <c r="AW15" s="35">
        <f t="shared" si="30"/>
        <v>4.8540000000000001</v>
      </c>
    </row>
    <row r="16" spans="1:49" x14ac:dyDescent="0.25">
      <c r="A16" s="23">
        <v>44387</v>
      </c>
      <c r="B16" s="40">
        <v>97</v>
      </c>
      <c r="C16" s="24">
        <v>6637840</v>
      </c>
      <c r="D16" s="24">
        <v>16039170</v>
      </c>
      <c r="E16" s="24">
        <v>2841380</v>
      </c>
      <c r="F16" s="24">
        <v>3536970</v>
      </c>
      <c r="G16" s="24">
        <v>10519300</v>
      </c>
      <c r="H16" s="24">
        <v>5618080</v>
      </c>
      <c r="I16" s="24">
        <v>5154520</v>
      </c>
      <c r="J16" s="24">
        <v>6030080</v>
      </c>
      <c r="K16" s="24">
        <v>9323420</v>
      </c>
      <c r="L16" s="24">
        <v>3908550</v>
      </c>
      <c r="M16" s="24">
        <v>7994690</v>
      </c>
      <c r="N16" s="24">
        <v>12237340</v>
      </c>
      <c r="O16" s="24">
        <v>16928400</v>
      </c>
      <c r="Q16" s="37">
        <f t="shared" si="16"/>
        <v>1050</v>
      </c>
      <c r="R16" s="37">
        <f t="shared" si="17"/>
        <v>14040</v>
      </c>
      <c r="S16" s="37">
        <f t="shared" si="15"/>
        <v>3750</v>
      </c>
      <c r="T16" s="37">
        <f t="shared" si="18"/>
        <v>1750</v>
      </c>
      <c r="U16" s="37">
        <f t="shared" si="19"/>
        <v>4490</v>
      </c>
      <c r="V16" s="37">
        <f t="shared" si="20"/>
        <v>3580</v>
      </c>
      <c r="W16" s="37">
        <f t="shared" si="21"/>
        <v>2410</v>
      </c>
      <c r="X16" s="37">
        <f t="shared" si="22"/>
        <v>4160</v>
      </c>
      <c r="Y16" s="37">
        <f t="shared" si="23"/>
        <v>5130</v>
      </c>
      <c r="Z16" s="37">
        <f t="shared" si="24"/>
        <v>2740</v>
      </c>
      <c r="AA16" s="37">
        <f t="shared" si="25"/>
        <v>3380</v>
      </c>
      <c r="AB16" s="37">
        <f t="shared" si="26"/>
        <v>7220</v>
      </c>
      <c r="AC16" s="37">
        <f t="shared" si="27"/>
        <v>9410</v>
      </c>
      <c r="AD16" s="35">
        <f t="shared" si="28"/>
        <v>63110</v>
      </c>
      <c r="AF16" s="20">
        <f t="shared" si="1"/>
        <v>5.25</v>
      </c>
      <c r="AG16" s="20">
        <f t="shared" si="2"/>
        <v>70.2</v>
      </c>
      <c r="AH16" s="20">
        <f t="shared" si="3"/>
        <v>18.75</v>
      </c>
      <c r="AI16" s="20">
        <f t="shared" si="4"/>
        <v>8.75</v>
      </c>
      <c r="AJ16" s="20">
        <f t="shared" si="5"/>
        <v>22.45</v>
      </c>
      <c r="AK16" s="20">
        <f t="shared" si="6"/>
        <v>17.900000000000002</v>
      </c>
      <c r="AL16" s="20">
        <f t="shared" si="7"/>
        <v>12.05</v>
      </c>
      <c r="AM16" s="20">
        <f t="shared" si="8"/>
        <v>20.8</v>
      </c>
      <c r="AN16" s="20">
        <f t="shared" si="9"/>
        <v>25.650000000000002</v>
      </c>
      <c r="AO16" s="20">
        <f t="shared" si="10"/>
        <v>13.700000000000001</v>
      </c>
      <c r="AP16" s="20">
        <f t="shared" si="11"/>
        <v>16.899999999999999</v>
      </c>
      <c r="AQ16" s="20">
        <f t="shared" si="12"/>
        <v>36.1</v>
      </c>
      <c r="AR16" s="20">
        <f t="shared" si="13"/>
        <v>47.050000000000004</v>
      </c>
      <c r="AS16" s="35">
        <f t="shared" si="29"/>
        <v>315.55000000000007</v>
      </c>
      <c r="AU16" s="47">
        <v>50000</v>
      </c>
      <c r="AV16" s="37">
        <f t="shared" si="31"/>
        <v>2828</v>
      </c>
      <c r="AW16" s="35">
        <f t="shared" si="30"/>
        <v>5.6559999999999997</v>
      </c>
    </row>
    <row r="17" spans="1:49" x14ac:dyDescent="0.25">
      <c r="A17" s="23">
        <v>44388</v>
      </c>
      <c r="B17" s="40">
        <v>100</v>
      </c>
      <c r="C17" s="24">
        <v>6638800</v>
      </c>
      <c r="D17" s="24">
        <v>16051820</v>
      </c>
      <c r="E17" s="24">
        <v>2844730</v>
      </c>
      <c r="F17" s="24">
        <v>3538560</v>
      </c>
      <c r="G17" s="24">
        <v>10523480</v>
      </c>
      <c r="H17" s="24">
        <v>5621330</v>
      </c>
      <c r="I17" s="24">
        <v>5156710</v>
      </c>
      <c r="J17" s="24">
        <v>6034670</v>
      </c>
      <c r="K17" s="24">
        <v>9328210</v>
      </c>
      <c r="L17" s="24">
        <v>3910940</v>
      </c>
      <c r="M17" s="24">
        <v>7997790</v>
      </c>
      <c r="N17" s="24">
        <v>12243830</v>
      </c>
      <c r="O17" s="24">
        <v>16936200</v>
      </c>
      <c r="Q17" s="37">
        <f t="shared" si="16"/>
        <v>960</v>
      </c>
      <c r="R17" s="37">
        <f t="shared" si="17"/>
        <v>12650</v>
      </c>
      <c r="S17" s="37">
        <f t="shared" si="15"/>
        <v>3350</v>
      </c>
      <c r="T17" s="37">
        <f t="shared" si="18"/>
        <v>1590</v>
      </c>
      <c r="U17" s="37">
        <f t="shared" si="19"/>
        <v>4180</v>
      </c>
      <c r="V17" s="37">
        <f t="shared" si="20"/>
        <v>3250</v>
      </c>
      <c r="W17" s="37">
        <f t="shared" si="21"/>
        <v>2190</v>
      </c>
      <c r="X17" s="37">
        <f t="shared" si="22"/>
        <v>4590</v>
      </c>
      <c r="Y17" s="37">
        <f t="shared" si="23"/>
        <v>4790</v>
      </c>
      <c r="Z17" s="37">
        <f t="shared" si="24"/>
        <v>2390</v>
      </c>
      <c r="AA17" s="37">
        <f t="shared" si="25"/>
        <v>3100</v>
      </c>
      <c r="AB17" s="37">
        <f t="shared" si="26"/>
        <v>6490</v>
      </c>
      <c r="AC17" s="37">
        <f t="shared" si="27"/>
        <v>7800</v>
      </c>
      <c r="AD17" s="35">
        <f t="shared" si="28"/>
        <v>57330</v>
      </c>
      <c r="AF17" s="20">
        <f t="shared" si="1"/>
        <v>4.8</v>
      </c>
      <c r="AG17" s="20">
        <f t="shared" si="2"/>
        <v>63.25</v>
      </c>
      <c r="AH17" s="20">
        <f t="shared" si="3"/>
        <v>16.75</v>
      </c>
      <c r="AI17" s="20">
        <f t="shared" si="4"/>
        <v>7.95</v>
      </c>
      <c r="AJ17" s="20">
        <f t="shared" si="5"/>
        <v>20.900000000000002</v>
      </c>
      <c r="AK17" s="20">
        <f t="shared" si="6"/>
        <v>16.25</v>
      </c>
      <c r="AL17" s="20">
        <f t="shared" si="7"/>
        <v>10.950000000000001</v>
      </c>
      <c r="AM17" s="20">
        <f t="shared" si="8"/>
        <v>22.95</v>
      </c>
      <c r="AN17" s="20">
        <f t="shared" si="9"/>
        <v>23.95</v>
      </c>
      <c r="AO17" s="20">
        <f t="shared" si="10"/>
        <v>11.950000000000001</v>
      </c>
      <c r="AP17" s="20">
        <f t="shared" si="11"/>
        <v>15.5</v>
      </c>
      <c r="AQ17" s="20">
        <f t="shared" si="12"/>
        <v>32.450000000000003</v>
      </c>
      <c r="AR17" s="20">
        <f t="shared" si="13"/>
        <v>39</v>
      </c>
      <c r="AS17" s="35">
        <f t="shared" si="29"/>
        <v>286.64999999999998</v>
      </c>
      <c r="AU17" s="47">
        <v>52843</v>
      </c>
      <c r="AV17" s="37">
        <f t="shared" si="31"/>
        <v>2843</v>
      </c>
      <c r="AW17" s="35">
        <f t="shared" si="30"/>
        <v>5.6859999999999999</v>
      </c>
    </row>
    <row r="18" spans="1:49" x14ac:dyDescent="0.25">
      <c r="A18" s="23">
        <v>44389</v>
      </c>
      <c r="B18" s="40">
        <v>105</v>
      </c>
      <c r="C18" s="24">
        <v>6639820</v>
      </c>
      <c r="D18" s="24">
        <v>16065650</v>
      </c>
      <c r="E18" s="24">
        <v>2848440</v>
      </c>
      <c r="F18" s="24">
        <v>3540270</v>
      </c>
      <c r="G18" s="24">
        <v>10527760</v>
      </c>
      <c r="H18" s="24">
        <v>5624840</v>
      </c>
      <c r="I18" s="24">
        <v>5159030</v>
      </c>
      <c r="J18" s="24">
        <v>6037370</v>
      </c>
      <c r="K18" s="24">
        <v>9333460</v>
      </c>
      <c r="L18" s="24">
        <v>3913460</v>
      </c>
      <c r="M18" s="24">
        <v>8000970</v>
      </c>
      <c r="N18" s="24">
        <v>12250940</v>
      </c>
      <c r="O18" s="24">
        <v>16945170</v>
      </c>
      <c r="Q18" s="37">
        <f t="shared" si="16"/>
        <v>1020</v>
      </c>
      <c r="R18" s="37">
        <f t="shared" si="17"/>
        <v>13830</v>
      </c>
      <c r="S18" s="37">
        <f t="shared" si="15"/>
        <v>3710</v>
      </c>
      <c r="T18" s="37">
        <f t="shared" si="18"/>
        <v>1710</v>
      </c>
      <c r="U18" s="37">
        <f t="shared" si="19"/>
        <v>4280</v>
      </c>
      <c r="V18" s="37">
        <f t="shared" si="20"/>
        <v>3510</v>
      </c>
      <c r="W18" s="37">
        <f t="shared" si="21"/>
        <v>2320</v>
      </c>
      <c r="X18" s="37">
        <f t="shared" si="22"/>
        <v>2700</v>
      </c>
      <c r="Y18" s="37">
        <f t="shared" si="23"/>
        <v>5250</v>
      </c>
      <c r="Z18" s="37">
        <f t="shared" si="24"/>
        <v>2520</v>
      </c>
      <c r="AA18" s="37">
        <f t="shared" si="25"/>
        <v>3180</v>
      </c>
      <c r="AB18" s="37">
        <f t="shared" si="26"/>
        <v>7110</v>
      </c>
      <c r="AC18" s="37">
        <f t="shared" si="27"/>
        <v>8970</v>
      </c>
      <c r="AD18" s="35">
        <f t="shared" si="28"/>
        <v>60110</v>
      </c>
      <c r="AF18" s="20">
        <f t="shared" si="1"/>
        <v>5.1000000000000005</v>
      </c>
      <c r="AG18" s="20">
        <f t="shared" si="2"/>
        <v>69.150000000000006</v>
      </c>
      <c r="AH18" s="20">
        <f t="shared" si="3"/>
        <v>18.55</v>
      </c>
      <c r="AI18" s="20">
        <f t="shared" si="4"/>
        <v>8.5500000000000007</v>
      </c>
      <c r="AJ18" s="20">
        <f t="shared" si="5"/>
        <v>21.400000000000002</v>
      </c>
      <c r="AK18" s="20">
        <f t="shared" si="6"/>
        <v>17.55</v>
      </c>
      <c r="AL18" s="20">
        <f t="shared" si="7"/>
        <v>11.6</v>
      </c>
      <c r="AM18" s="20">
        <f t="shared" si="8"/>
        <v>13.5</v>
      </c>
      <c r="AN18" s="20">
        <f t="shared" si="9"/>
        <v>26.25</v>
      </c>
      <c r="AO18" s="20">
        <f t="shared" si="10"/>
        <v>12.6</v>
      </c>
      <c r="AP18" s="20">
        <f t="shared" si="11"/>
        <v>15.9</v>
      </c>
      <c r="AQ18" s="20">
        <f t="shared" si="12"/>
        <v>35.550000000000004</v>
      </c>
      <c r="AR18" s="20">
        <f t="shared" si="13"/>
        <v>44.85</v>
      </c>
      <c r="AS18" s="35">
        <f t="shared" si="29"/>
        <v>300.55</v>
      </c>
      <c r="AU18" s="47">
        <v>55674</v>
      </c>
      <c r="AV18" s="37">
        <f t="shared" si="31"/>
        <v>2831</v>
      </c>
      <c r="AW18" s="35">
        <f t="shared" si="30"/>
        <v>5.6619999999999999</v>
      </c>
    </row>
    <row r="19" spans="1:49" x14ac:dyDescent="0.25">
      <c r="A19" s="23">
        <v>44390</v>
      </c>
      <c r="B19" s="40">
        <v>85</v>
      </c>
      <c r="C19" s="24">
        <v>6640800</v>
      </c>
      <c r="D19" s="24">
        <v>16079330</v>
      </c>
      <c r="E19" s="24">
        <v>2852130</v>
      </c>
      <c r="F19" s="24">
        <v>3541930</v>
      </c>
      <c r="G19" s="24">
        <v>10531940</v>
      </c>
      <c r="H19" s="24">
        <v>5628190</v>
      </c>
      <c r="I19" s="24">
        <v>5161280</v>
      </c>
      <c r="J19" s="24">
        <v>6041220</v>
      </c>
      <c r="K19" s="24">
        <v>9338700</v>
      </c>
      <c r="L19" s="24">
        <v>3915800</v>
      </c>
      <c r="M19" s="24">
        <v>8003990</v>
      </c>
      <c r="N19" s="24">
        <v>12257870</v>
      </c>
      <c r="O19" s="24">
        <v>16954790</v>
      </c>
      <c r="Q19" s="37">
        <f t="shared" si="16"/>
        <v>980</v>
      </c>
      <c r="R19" s="37">
        <f t="shared" si="17"/>
        <v>13680</v>
      </c>
      <c r="S19" s="37">
        <f t="shared" si="15"/>
        <v>3690</v>
      </c>
      <c r="T19" s="37">
        <f t="shared" si="18"/>
        <v>1660</v>
      </c>
      <c r="U19" s="37">
        <f t="shared" si="19"/>
        <v>4180</v>
      </c>
      <c r="V19" s="37">
        <f t="shared" si="20"/>
        <v>3350</v>
      </c>
      <c r="W19" s="37">
        <f t="shared" si="21"/>
        <v>2250</v>
      </c>
      <c r="X19" s="37">
        <f t="shared" si="22"/>
        <v>3850</v>
      </c>
      <c r="Y19" s="37">
        <f t="shared" si="23"/>
        <v>5240</v>
      </c>
      <c r="Z19" s="37">
        <f t="shared" si="24"/>
        <v>2340</v>
      </c>
      <c r="AA19" s="37">
        <f t="shared" si="25"/>
        <v>3020</v>
      </c>
      <c r="AB19" s="37">
        <f t="shared" si="26"/>
        <v>6930</v>
      </c>
      <c r="AC19" s="37">
        <f t="shared" si="27"/>
        <v>9620</v>
      </c>
      <c r="AD19" s="35">
        <f t="shared" si="28"/>
        <v>60790</v>
      </c>
      <c r="AF19" s="20">
        <f t="shared" si="1"/>
        <v>4.9000000000000004</v>
      </c>
      <c r="AG19" s="20">
        <f t="shared" si="2"/>
        <v>68.400000000000006</v>
      </c>
      <c r="AH19" s="20">
        <f t="shared" si="3"/>
        <v>18.45</v>
      </c>
      <c r="AI19" s="20">
        <f t="shared" si="4"/>
        <v>8.3000000000000007</v>
      </c>
      <c r="AJ19" s="20">
        <f t="shared" si="5"/>
        <v>20.900000000000002</v>
      </c>
      <c r="AK19" s="20">
        <f t="shared" si="6"/>
        <v>16.75</v>
      </c>
      <c r="AL19" s="20">
        <f t="shared" si="7"/>
        <v>11.25</v>
      </c>
      <c r="AM19" s="20">
        <f t="shared" si="8"/>
        <v>19.25</v>
      </c>
      <c r="AN19" s="20">
        <f t="shared" si="9"/>
        <v>26.2</v>
      </c>
      <c r="AO19" s="20">
        <f t="shared" si="10"/>
        <v>11.700000000000001</v>
      </c>
      <c r="AP19" s="20">
        <f t="shared" si="11"/>
        <v>15.1</v>
      </c>
      <c r="AQ19" s="20">
        <f t="shared" si="12"/>
        <v>34.65</v>
      </c>
      <c r="AR19" s="20">
        <f t="shared" si="13"/>
        <v>48.1</v>
      </c>
      <c r="AS19" s="35">
        <f t="shared" si="29"/>
        <v>303.95</v>
      </c>
      <c r="AU19" s="47">
        <v>58390</v>
      </c>
      <c r="AV19" s="37">
        <f t="shared" si="31"/>
        <v>2716</v>
      </c>
      <c r="AW19" s="35">
        <f t="shared" si="30"/>
        <v>5.4320000000000004</v>
      </c>
    </row>
    <row r="20" spans="1:49" x14ac:dyDescent="0.25">
      <c r="A20" s="23">
        <v>44391</v>
      </c>
      <c r="B20" s="40">
        <v>91</v>
      </c>
      <c r="C20" s="24">
        <v>6641840</v>
      </c>
      <c r="D20" s="24">
        <v>16093630</v>
      </c>
      <c r="E20" s="24">
        <v>2855970</v>
      </c>
      <c r="F20" s="24">
        <v>3543700</v>
      </c>
      <c r="G20" s="24">
        <v>10536470</v>
      </c>
      <c r="H20" s="24">
        <v>5631760</v>
      </c>
      <c r="I20" s="24">
        <v>5163670</v>
      </c>
      <c r="J20" s="24">
        <v>6045230</v>
      </c>
      <c r="K20" s="24">
        <v>9344500</v>
      </c>
      <c r="L20" s="24">
        <v>3918410</v>
      </c>
      <c r="M20" s="24">
        <v>8007100</v>
      </c>
      <c r="N20" s="24">
        <v>12265200</v>
      </c>
      <c r="O20" s="24">
        <v>16964230</v>
      </c>
      <c r="Q20" s="37">
        <f t="shared" si="16"/>
        <v>1040</v>
      </c>
      <c r="R20" s="37">
        <f t="shared" si="17"/>
        <v>14300</v>
      </c>
      <c r="S20" s="37">
        <f t="shared" si="15"/>
        <v>3840</v>
      </c>
      <c r="T20" s="37">
        <f t="shared" si="18"/>
        <v>1770</v>
      </c>
      <c r="U20" s="37">
        <f t="shared" si="19"/>
        <v>4530</v>
      </c>
      <c r="V20" s="37">
        <f t="shared" si="20"/>
        <v>3570</v>
      </c>
      <c r="W20" s="37">
        <f t="shared" si="21"/>
        <v>2390</v>
      </c>
      <c r="X20" s="37">
        <f t="shared" si="22"/>
        <v>4010</v>
      </c>
      <c r="Y20" s="37">
        <f t="shared" si="23"/>
        <v>5800</v>
      </c>
      <c r="Z20" s="37">
        <f t="shared" si="24"/>
        <v>2610</v>
      </c>
      <c r="AA20" s="37">
        <f t="shared" si="25"/>
        <v>3110</v>
      </c>
      <c r="AB20" s="37">
        <f t="shared" si="26"/>
        <v>7330</v>
      </c>
      <c r="AC20" s="37">
        <f t="shared" si="27"/>
        <v>9440</v>
      </c>
      <c r="AD20" s="35">
        <f t="shared" si="28"/>
        <v>63740</v>
      </c>
      <c r="AF20" s="20">
        <f t="shared" si="1"/>
        <v>5.2</v>
      </c>
      <c r="AG20" s="20">
        <f t="shared" si="2"/>
        <v>71.5</v>
      </c>
      <c r="AH20" s="20">
        <f t="shared" si="3"/>
        <v>19.2</v>
      </c>
      <c r="AI20" s="20">
        <f t="shared" si="4"/>
        <v>8.85</v>
      </c>
      <c r="AJ20" s="20">
        <f t="shared" si="5"/>
        <v>22.650000000000002</v>
      </c>
      <c r="AK20" s="20">
        <f t="shared" si="6"/>
        <v>17.850000000000001</v>
      </c>
      <c r="AL20" s="20">
        <f t="shared" si="7"/>
        <v>11.950000000000001</v>
      </c>
      <c r="AM20" s="20">
        <f t="shared" si="8"/>
        <v>20.05</v>
      </c>
      <c r="AN20" s="20">
        <f t="shared" si="9"/>
        <v>29</v>
      </c>
      <c r="AO20" s="20">
        <f t="shared" si="10"/>
        <v>13.05</v>
      </c>
      <c r="AP20" s="20">
        <f t="shared" si="11"/>
        <v>15.55</v>
      </c>
      <c r="AQ20" s="20">
        <f t="shared" si="12"/>
        <v>36.65</v>
      </c>
      <c r="AR20" s="20">
        <f t="shared" si="13"/>
        <v>47.2</v>
      </c>
      <c r="AS20" s="35">
        <f t="shared" si="29"/>
        <v>318.7</v>
      </c>
      <c r="AU20" s="47">
        <v>61213</v>
      </c>
      <c r="AV20" s="37">
        <f t="shared" si="31"/>
        <v>2823</v>
      </c>
      <c r="AW20" s="35">
        <f t="shared" si="30"/>
        <v>5.6459999999999999</v>
      </c>
    </row>
    <row r="21" spans="1:49" x14ac:dyDescent="0.25">
      <c r="A21" s="23">
        <v>44392</v>
      </c>
      <c r="B21" s="40">
        <v>124</v>
      </c>
      <c r="C21" s="24">
        <v>6642860</v>
      </c>
      <c r="D21" s="24">
        <v>16107460</v>
      </c>
      <c r="E21" s="24">
        <v>2859680</v>
      </c>
      <c r="F21" s="24">
        <v>3545410</v>
      </c>
      <c r="G21" s="24">
        <v>10541020</v>
      </c>
      <c r="H21" s="24">
        <v>5635160</v>
      </c>
      <c r="I21" s="24">
        <v>5166000</v>
      </c>
      <c r="J21" s="24">
        <v>6049030</v>
      </c>
      <c r="K21" s="24">
        <v>9350080</v>
      </c>
      <c r="L21" s="24">
        <v>3921070</v>
      </c>
      <c r="M21" s="24">
        <v>8010280</v>
      </c>
      <c r="N21" s="24">
        <v>12272220</v>
      </c>
      <c r="O21" s="24">
        <v>16972690</v>
      </c>
      <c r="Q21" s="37">
        <f t="shared" si="16"/>
        <v>1020</v>
      </c>
      <c r="R21" s="37">
        <f t="shared" si="17"/>
        <v>13830</v>
      </c>
      <c r="S21" s="37">
        <f t="shared" si="15"/>
        <v>3710</v>
      </c>
      <c r="T21" s="37">
        <f t="shared" si="18"/>
        <v>1710</v>
      </c>
      <c r="U21" s="37">
        <f t="shared" si="19"/>
        <v>4550</v>
      </c>
      <c r="V21" s="37">
        <f t="shared" si="20"/>
        <v>3400</v>
      </c>
      <c r="W21" s="37">
        <f t="shared" si="21"/>
        <v>2330</v>
      </c>
      <c r="X21" s="37">
        <f t="shared" si="22"/>
        <v>3800</v>
      </c>
      <c r="Y21" s="37">
        <f t="shared" si="23"/>
        <v>5580</v>
      </c>
      <c r="Z21" s="37">
        <f t="shared" si="24"/>
        <v>2660</v>
      </c>
      <c r="AA21" s="37">
        <f t="shared" si="25"/>
        <v>3180</v>
      </c>
      <c r="AB21" s="37">
        <f t="shared" si="26"/>
        <v>7020</v>
      </c>
      <c r="AC21" s="37">
        <f t="shared" si="27"/>
        <v>8460</v>
      </c>
      <c r="AD21" s="35">
        <f t="shared" si="28"/>
        <v>61250</v>
      </c>
      <c r="AF21" s="20">
        <f t="shared" si="1"/>
        <v>5.1000000000000005</v>
      </c>
      <c r="AG21" s="20">
        <f t="shared" si="2"/>
        <v>69.150000000000006</v>
      </c>
      <c r="AH21" s="20">
        <f t="shared" si="3"/>
        <v>18.55</v>
      </c>
      <c r="AI21" s="20">
        <f t="shared" si="4"/>
        <v>8.5500000000000007</v>
      </c>
      <c r="AJ21" s="20">
        <f t="shared" si="5"/>
        <v>22.75</v>
      </c>
      <c r="AK21" s="20">
        <f t="shared" si="6"/>
        <v>17</v>
      </c>
      <c r="AL21" s="20">
        <f t="shared" si="7"/>
        <v>11.65</v>
      </c>
      <c r="AM21" s="20">
        <f t="shared" si="8"/>
        <v>19</v>
      </c>
      <c r="AN21" s="20">
        <f t="shared" si="9"/>
        <v>27.900000000000002</v>
      </c>
      <c r="AO21" s="20">
        <f t="shared" si="10"/>
        <v>13.3</v>
      </c>
      <c r="AP21" s="20">
        <f t="shared" si="11"/>
        <v>15.9</v>
      </c>
      <c r="AQ21" s="20">
        <f t="shared" si="12"/>
        <v>35.1</v>
      </c>
      <c r="AR21" s="20">
        <f t="shared" si="13"/>
        <v>42.300000000000004</v>
      </c>
      <c r="AS21" s="35">
        <f t="shared" si="29"/>
        <v>306.25000000000006</v>
      </c>
      <c r="AU21" s="47">
        <v>65090</v>
      </c>
      <c r="AV21" s="37">
        <f t="shared" si="31"/>
        <v>3877</v>
      </c>
      <c r="AW21" s="35">
        <f t="shared" si="30"/>
        <v>7.7540000000000004</v>
      </c>
    </row>
    <row r="22" spans="1:49" x14ac:dyDescent="0.25">
      <c r="A22" s="23">
        <v>44393</v>
      </c>
      <c r="B22" s="40">
        <v>134</v>
      </c>
      <c r="C22" s="24">
        <v>6643940</v>
      </c>
      <c r="D22" s="24">
        <v>16122360</v>
      </c>
      <c r="E22" s="24">
        <v>2863670</v>
      </c>
      <c r="F22" s="24">
        <v>3547230</v>
      </c>
      <c r="G22" s="24">
        <v>10546010</v>
      </c>
      <c r="H22" s="24">
        <v>5638840</v>
      </c>
      <c r="I22" s="24">
        <v>5168490</v>
      </c>
      <c r="J22" s="44">
        <v>6053260</v>
      </c>
      <c r="K22" s="24">
        <v>9356220</v>
      </c>
      <c r="L22" s="24">
        <v>3924090</v>
      </c>
      <c r="M22" s="24">
        <v>8013810</v>
      </c>
      <c r="N22" s="24">
        <v>12280040</v>
      </c>
      <c r="O22" s="44">
        <v>16982630</v>
      </c>
      <c r="Q22" s="37">
        <f t="shared" si="16"/>
        <v>1080</v>
      </c>
      <c r="R22" s="37">
        <f t="shared" si="17"/>
        <v>14900</v>
      </c>
      <c r="S22" s="37">
        <f t="shared" si="15"/>
        <v>3990</v>
      </c>
      <c r="T22" s="37">
        <f t="shared" si="18"/>
        <v>1820</v>
      </c>
      <c r="U22" s="37">
        <f t="shared" si="19"/>
        <v>4990</v>
      </c>
      <c r="V22" s="37">
        <f t="shared" si="20"/>
        <v>3680</v>
      </c>
      <c r="W22" s="37">
        <f t="shared" si="21"/>
        <v>2490</v>
      </c>
      <c r="X22" s="37">
        <f t="shared" si="22"/>
        <v>4230</v>
      </c>
      <c r="Y22" s="37">
        <f t="shared" si="23"/>
        <v>6140</v>
      </c>
      <c r="Z22" s="37">
        <f t="shared" si="24"/>
        <v>3020</v>
      </c>
      <c r="AA22" s="37">
        <f t="shared" si="25"/>
        <v>3530</v>
      </c>
      <c r="AB22" s="37">
        <f t="shared" si="26"/>
        <v>7820</v>
      </c>
      <c r="AC22" s="37">
        <f t="shared" si="27"/>
        <v>9940</v>
      </c>
      <c r="AD22" s="35">
        <f t="shared" si="28"/>
        <v>67630</v>
      </c>
      <c r="AF22" s="20">
        <f t="shared" si="1"/>
        <v>5.4</v>
      </c>
      <c r="AG22" s="20">
        <f t="shared" si="2"/>
        <v>74.5</v>
      </c>
      <c r="AH22" s="20">
        <f t="shared" si="3"/>
        <v>19.95</v>
      </c>
      <c r="AI22" s="20">
        <f t="shared" si="4"/>
        <v>9.1</v>
      </c>
      <c r="AJ22" s="20">
        <f t="shared" si="5"/>
        <v>24.95</v>
      </c>
      <c r="AK22" s="20">
        <f t="shared" si="6"/>
        <v>18.400000000000002</v>
      </c>
      <c r="AL22" s="20">
        <f t="shared" si="7"/>
        <v>12.450000000000001</v>
      </c>
      <c r="AM22" s="20">
        <f t="shared" si="8"/>
        <v>21.150000000000002</v>
      </c>
      <c r="AN22" s="20">
        <f t="shared" si="9"/>
        <v>30.7</v>
      </c>
      <c r="AO22" s="20">
        <f t="shared" si="10"/>
        <v>15.1</v>
      </c>
      <c r="AP22" s="20">
        <f t="shared" si="11"/>
        <v>17.650000000000002</v>
      </c>
      <c r="AQ22" s="20">
        <f t="shared" si="12"/>
        <v>39.1</v>
      </c>
      <c r="AR22" s="20">
        <f t="shared" si="13"/>
        <v>49.7</v>
      </c>
      <c r="AS22" s="35">
        <f t="shared" si="29"/>
        <v>338.15</v>
      </c>
      <c r="AU22" s="47">
        <v>68100</v>
      </c>
      <c r="AV22" s="37">
        <f t="shared" si="31"/>
        <v>3010</v>
      </c>
      <c r="AW22" s="35">
        <f t="shared" si="30"/>
        <v>6.0200000000000005</v>
      </c>
    </row>
    <row r="23" spans="1:49" x14ac:dyDescent="0.25">
      <c r="A23" s="23">
        <v>44394</v>
      </c>
      <c r="B23" s="40">
        <v>138</v>
      </c>
      <c r="C23" s="24">
        <v>6646840</v>
      </c>
      <c r="D23" s="24">
        <v>16138480</v>
      </c>
      <c r="E23" s="24">
        <v>2868130</v>
      </c>
      <c r="F23" s="24">
        <v>3548940</v>
      </c>
      <c r="G23" s="24">
        <v>10550490</v>
      </c>
      <c r="H23" s="24">
        <v>5642260</v>
      </c>
      <c r="I23" s="24">
        <v>5170810</v>
      </c>
      <c r="J23" s="24">
        <v>6057170</v>
      </c>
      <c r="K23" s="24">
        <v>9361930</v>
      </c>
      <c r="L23" s="24">
        <v>3926860</v>
      </c>
      <c r="M23" s="24">
        <v>8017070</v>
      </c>
      <c r="N23" s="24">
        <v>12287520</v>
      </c>
      <c r="O23" s="24">
        <v>16991330</v>
      </c>
      <c r="Q23" s="37">
        <f t="shared" si="16"/>
        <v>2900</v>
      </c>
      <c r="R23" s="37">
        <f t="shared" si="17"/>
        <v>16120</v>
      </c>
      <c r="S23" s="37">
        <f t="shared" si="15"/>
        <v>4460</v>
      </c>
      <c r="T23" s="37">
        <f t="shared" si="18"/>
        <v>1710</v>
      </c>
      <c r="U23" s="37">
        <f t="shared" si="19"/>
        <v>4480</v>
      </c>
      <c r="V23" s="37">
        <f t="shared" si="20"/>
        <v>3420</v>
      </c>
      <c r="W23" s="37">
        <f t="shared" si="21"/>
        <v>2320</v>
      </c>
      <c r="X23" s="37">
        <f t="shared" si="22"/>
        <v>3910</v>
      </c>
      <c r="Y23" s="37">
        <f t="shared" si="23"/>
        <v>5710</v>
      </c>
      <c r="Z23" s="37">
        <f t="shared" si="24"/>
        <v>2770</v>
      </c>
      <c r="AA23" s="37">
        <f t="shared" si="25"/>
        <v>3260</v>
      </c>
      <c r="AB23" s="37">
        <f t="shared" si="26"/>
        <v>7480</v>
      </c>
      <c r="AC23" s="37">
        <f t="shared" si="27"/>
        <v>8700</v>
      </c>
      <c r="AD23" s="35">
        <f t="shared" si="28"/>
        <v>67240</v>
      </c>
      <c r="AF23" s="20">
        <f t="shared" si="1"/>
        <v>14.5</v>
      </c>
      <c r="AG23" s="20">
        <f t="shared" si="2"/>
        <v>80.600000000000009</v>
      </c>
      <c r="AH23" s="20">
        <f t="shared" si="3"/>
        <v>22.3</v>
      </c>
      <c r="AI23" s="20">
        <f t="shared" si="4"/>
        <v>8.5500000000000007</v>
      </c>
      <c r="AJ23" s="20">
        <f t="shared" si="5"/>
        <v>22.400000000000002</v>
      </c>
      <c r="AK23" s="20">
        <f t="shared" si="6"/>
        <v>17.100000000000001</v>
      </c>
      <c r="AL23" s="20">
        <f t="shared" si="7"/>
        <v>11.6</v>
      </c>
      <c r="AM23" s="20">
        <f t="shared" si="8"/>
        <v>19.55</v>
      </c>
      <c r="AN23" s="20">
        <f t="shared" si="9"/>
        <v>28.55</v>
      </c>
      <c r="AO23" s="20">
        <f t="shared" si="10"/>
        <v>13.85</v>
      </c>
      <c r="AP23" s="20">
        <f t="shared" si="11"/>
        <v>16.3</v>
      </c>
      <c r="AQ23" s="20">
        <f t="shared" si="12"/>
        <v>37.4</v>
      </c>
      <c r="AR23" s="20">
        <f t="shared" si="13"/>
        <v>43.5</v>
      </c>
      <c r="AS23" s="35">
        <f t="shared" si="29"/>
        <v>336.2</v>
      </c>
      <c r="AU23" s="47">
        <v>71300</v>
      </c>
      <c r="AV23" s="37">
        <f t="shared" si="31"/>
        <v>3200</v>
      </c>
      <c r="AW23" s="35">
        <f t="shared" si="30"/>
        <v>6.4</v>
      </c>
    </row>
    <row r="24" spans="1:49" x14ac:dyDescent="0.25">
      <c r="A24" s="23">
        <v>44395</v>
      </c>
      <c r="B24" s="40">
        <v>78</v>
      </c>
      <c r="C24" s="24">
        <v>6653560</v>
      </c>
      <c r="D24" s="24">
        <v>16153430</v>
      </c>
      <c r="E24" s="24">
        <v>2872150</v>
      </c>
      <c r="F24" s="24">
        <v>3550600</v>
      </c>
      <c r="G24" s="24">
        <v>10554830</v>
      </c>
      <c r="H24" s="24">
        <v>5645480</v>
      </c>
      <c r="I24" s="24">
        <v>5173000</v>
      </c>
      <c r="J24" s="24">
        <v>6060400</v>
      </c>
      <c r="K24" s="24">
        <v>9367180</v>
      </c>
      <c r="L24" s="24">
        <v>3929240</v>
      </c>
      <c r="M24" s="24">
        <v>8019920</v>
      </c>
      <c r="N24" s="24">
        <v>12294350</v>
      </c>
      <c r="O24" s="24">
        <v>16999250</v>
      </c>
      <c r="Q24" s="37">
        <f t="shared" si="16"/>
        <v>6720</v>
      </c>
      <c r="R24" s="37">
        <f t="shared" si="17"/>
        <v>14950</v>
      </c>
      <c r="S24" s="37">
        <f t="shared" si="15"/>
        <v>4020</v>
      </c>
      <c r="T24" s="37">
        <f t="shared" si="18"/>
        <v>1660</v>
      </c>
      <c r="U24" s="37">
        <f t="shared" si="19"/>
        <v>4340</v>
      </c>
      <c r="V24" s="37">
        <f t="shared" si="20"/>
        <v>3220</v>
      </c>
      <c r="W24" s="37">
        <f t="shared" si="21"/>
        <v>2190</v>
      </c>
      <c r="X24" s="37">
        <f t="shared" si="22"/>
        <v>3230</v>
      </c>
      <c r="Y24" s="37">
        <f t="shared" si="23"/>
        <v>5250</v>
      </c>
      <c r="Z24" s="37">
        <f t="shared" si="24"/>
        <v>2380</v>
      </c>
      <c r="AA24" s="37">
        <f t="shared" si="25"/>
        <v>2850</v>
      </c>
      <c r="AB24" s="37">
        <f t="shared" si="26"/>
        <v>6830</v>
      </c>
      <c r="AC24" s="37">
        <f t="shared" si="27"/>
        <v>7920</v>
      </c>
      <c r="AD24" s="35">
        <f t="shared" si="28"/>
        <v>65560</v>
      </c>
      <c r="AF24" s="20">
        <f t="shared" si="1"/>
        <v>33.6</v>
      </c>
      <c r="AG24" s="20">
        <f t="shared" si="2"/>
        <v>74.75</v>
      </c>
      <c r="AH24" s="20">
        <f t="shared" si="3"/>
        <v>20.100000000000001</v>
      </c>
      <c r="AI24" s="20">
        <f t="shared" si="4"/>
        <v>8.3000000000000007</v>
      </c>
      <c r="AJ24" s="20">
        <f t="shared" si="5"/>
        <v>21.7</v>
      </c>
      <c r="AK24" s="20">
        <f t="shared" si="6"/>
        <v>16.100000000000001</v>
      </c>
      <c r="AL24" s="20">
        <f t="shared" si="7"/>
        <v>10.950000000000001</v>
      </c>
      <c r="AM24" s="20">
        <f t="shared" si="8"/>
        <v>16.149999999999999</v>
      </c>
      <c r="AN24" s="20">
        <f t="shared" si="9"/>
        <v>26.25</v>
      </c>
      <c r="AO24" s="20">
        <f t="shared" si="10"/>
        <v>11.9</v>
      </c>
      <c r="AP24" s="20">
        <f t="shared" si="11"/>
        <v>14.25</v>
      </c>
      <c r="AQ24" s="20">
        <f t="shared" si="12"/>
        <v>34.15</v>
      </c>
      <c r="AR24" s="20">
        <f t="shared" si="13"/>
        <v>39.6</v>
      </c>
      <c r="AS24" s="35">
        <f t="shared" si="29"/>
        <v>327.8</v>
      </c>
      <c r="AU24" s="47">
        <v>74000</v>
      </c>
      <c r="AV24" s="37">
        <f t="shared" si="31"/>
        <v>2700</v>
      </c>
      <c r="AW24" s="35">
        <f t="shared" si="30"/>
        <v>5.4</v>
      </c>
    </row>
    <row r="25" spans="1:49" x14ac:dyDescent="0.25">
      <c r="A25" s="23">
        <v>44396</v>
      </c>
      <c r="B25" s="40">
        <v>58</v>
      </c>
      <c r="C25" s="24">
        <v>6665550</v>
      </c>
      <c r="D25" s="24">
        <v>16169520</v>
      </c>
      <c r="E25" s="24">
        <v>2876260</v>
      </c>
      <c r="F25" s="24">
        <v>3552360</v>
      </c>
      <c r="G25" s="24">
        <v>10559120</v>
      </c>
      <c r="H25" s="24">
        <v>5648880</v>
      </c>
      <c r="I25" s="24">
        <v>5175320</v>
      </c>
      <c r="J25" s="24">
        <v>6063920</v>
      </c>
      <c r="K25" s="24">
        <v>9372640</v>
      </c>
      <c r="L25" s="24">
        <v>3931720</v>
      </c>
      <c r="M25" s="24">
        <v>8022780</v>
      </c>
      <c r="N25" s="24">
        <v>12301480</v>
      </c>
      <c r="O25" s="24">
        <v>17007740</v>
      </c>
      <c r="Q25" s="37">
        <f t="shared" ref="Q25:AC27" si="33">IF((C25-C24&lt;0), "0",C25-C24)</f>
        <v>11990</v>
      </c>
      <c r="R25" s="37">
        <f t="shared" si="33"/>
        <v>16090</v>
      </c>
      <c r="S25" s="37">
        <f t="shared" si="33"/>
        <v>4110</v>
      </c>
      <c r="T25" s="37">
        <f t="shared" si="33"/>
        <v>1760</v>
      </c>
      <c r="U25" s="37">
        <f t="shared" si="33"/>
        <v>4290</v>
      </c>
      <c r="V25" s="37">
        <f t="shared" si="33"/>
        <v>3400</v>
      </c>
      <c r="W25" s="37">
        <f t="shared" si="33"/>
        <v>2320</v>
      </c>
      <c r="X25" s="37">
        <f t="shared" si="33"/>
        <v>3520</v>
      </c>
      <c r="Y25" s="37">
        <f t="shared" si="33"/>
        <v>5460</v>
      </c>
      <c r="Z25" s="37">
        <f t="shared" si="33"/>
        <v>2480</v>
      </c>
      <c r="AA25" s="37">
        <f t="shared" si="33"/>
        <v>2860</v>
      </c>
      <c r="AB25" s="37">
        <f t="shared" si="33"/>
        <v>7130</v>
      </c>
      <c r="AC25" s="37">
        <f t="shared" si="33"/>
        <v>8490</v>
      </c>
      <c r="AD25" s="35">
        <f t="shared" si="28"/>
        <v>73900</v>
      </c>
      <c r="AF25" s="20">
        <f t="shared" si="1"/>
        <v>59.95</v>
      </c>
      <c r="AG25" s="20">
        <f t="shared" si="2"/>
        <v>80.45</v>
      </c>
      <c r="AH25" s="20">
        <f t="shared" si="3"/>
        <v>20.55</v>
      </c>
      <c r="AI25" s="20">
        <f t="shared" si="4"/>
        <v>8.8000000000000007</v>
      </c>
      <c r="AJ25" s="20">
        <f t="shared" si="5"/>
        <v>21.45</v>
      </c>
      <c r="AK25" s="20">
        <f t="shared" si="6"/>
        <v>17</v>
      </c>
      <c r="AL25" s="20">
        <f t="shared" si="7"/>
        <v>11.6</v>
      </c>
      <c r="AM25" s="20">
        <f t="shared" si="8"/>
        <v>17.600000000000001</v>
      </c>
      <c r="AN25" s="20">
        <f t="shared" si="9"/>
        <v>27.3</v>
      </c>
      <c r="AO25" s="20">
        <f t="shared" si="10"/>
        <v>12.4</v>
      </c>
      <c r="AP25" s="20">
        <f t="shared" si="11"/>
        <v>14.3</v>
      </c>
      <c r="AQ25" s="20">
        <f t="shared" si="12"/>
        <v>35.65</v>
      </c>
      <c r="AR25" s="20">
        <f t="shared" si="13"/>
        <v>42.45</v>
      </c>
      <c r="AS25" s="35">
        <f t="shared" si="29"/>
        <v>369.49999999999994</v>
      </c>
      <c r="AU25" s="47">
        <v>76683</v>
      </c>
      <c r="AV25" s="37">
        <f t="shared" si="31"/>
        <v>2683</v>
      </c>
      <c r="AW25" s="35">
        <f t="shared" si="30"/>
        <v>5.3660000000000005</v>
      </c>
    </row>
    <row r="26" spans="1:49" x14ac:dyDescent="0.25">
      <c r="A26" s="23">
        <v>44397</v>
      </c>
      <c r="B26" s="40">
        <v>114</v>
      </c>
      <c r="C26" s="24">
        <v>6676750</v>
      </c>
      <c r="D26" s="24">
        <v>16184910</v>
      </c>
      <c r="E26" s="24">
        <v>2879970</v>
      </c>
      <c r="F26" s="24">
        <v>3554180</v>
      </c>
      <c r="G26" s="24">
        <v>10563680</v>
      </c>
      <c r="H26" s="24">
        <v>5652460</v>
      </c>
      <c r="I26" s="24">
        <v>5177790</v>
      </c>
      <c r="J26" s="24">
        <v>6068160</v>
      </c>
      <c r="K26" s="24">
        <v>9378270</v>
      </c>
      <c r="L26" s="24">
        <v>3934410</v>
      </c>
      <c r="M26" s="24">
        <v>8026030</v>
      </c>
      <c r="N26" s="24">
        <v>12309350</v>
      </c>
      <c r="O26" s="24">
        <v>17016410</v>
      </c>
      <c r="Q26" s="37">
        <f t="shared" si="33"/>
        <v>11200</v>
      </c>
      <c r="R26" s="37">
        <f t="shared" si="33"/>
        <v>15390</v>
      </c>
      <c r="S26" s="37">
        <f t="shared" si="33"/>
        <v>3710</v>
      </c>
      <c r="T26" s="37">
        <f t="shared" si="33"/>
        <v>1820</v>
      </c>
      <c r="U26" s="37">
        <f t="shared" si="33"/>
        <v>4560</v>
      </c>
      <c r="V26" s="37">
        <f t="shared" si="33"/>
        <v>3580</v>
      </c>
      <c r="W26" s="37">
        <f t="shared" si="33"/>
        <v>2470</v>
      </c>
      <c r="X26" s="37">
        <f t="shared" si="33"/>
        <v>4240</v>
      </c>
      <c r="Y26" s="37">
        <f t="shared" si="33"/>
        <v>5630</v>
      </c>
      <c r="Z26" s="37">
        <f t="shared" si="33"/>
        <v>2690</v>
      </c>
      <c r="AA26" s="37">
        <f t="shared" si="33"/>
        <v>3250</v>
      </c>
      <c r="AB26" s="37">
        <f t="shared" si="33"/>
        <v>7870</v>
      </c>
      <c r="AC26" s="37">
        <f t="shared" si="33"/>
        <v>8670</v>
      </c>
      <c r="AD26" s="35">
        <f t="shared" si="28"/>
        <v>75080</v>
      </c>
      <c r="AF26" s="20">
        <f t="shared" si="1"/>
        <v>56</v>
      </c>
      <c r="AG26" s="20">
        <f t="shared" si="2"/>
        <v>76.95</v>
      </c>
      <c r="AH26" s="20">
        <f t="shared" si="3"/>
        <v>18.55</v>
      </c>
      <c r="AI26" s="20">
        <f t="shared" si="4"/>
        <v>9.1</v>
      </c>
      <c r="AJ26" s="20">
        <f t="shared" si="5"/>
        <v>22.8</v>
      </c>
      <c r="AK26" s="20">
        <f t="shared" si="6"/>
        <v>17.900000000000002</v>
      </c>
      <c r="AL26" s="20">
        <f t="shared" si="7"/>
        <v>12.35</v>
      </c>
      <c r="AM26" s="20">
        <f t="shared" si="8"/>
        <v>21.2</v>
      </c>
      <c r="AN26" s="20">
        <f t="shared" si="9"/>
        <v>28.150000000000002</v>
      </c>
      <c r="AO26" s="20">
        <f t="shared" si="10"/>
        <v>13.450000000000001</v>
      </c>
      <c r="AP26" s="20">
        <f t="shared" si="11"/>
        <v>16.25</v>
      </c>
      <c r="AQ26" s="20">
        <f t="shared" si="12"/>
        <v>39.35</v>
      </c>
      <c r="AR26" s="20">
        <f t="shared" si="13"/>
        <v>43.35</v>
      </c>
      <c r="AS26" s="35">
        <f t="shared" si="29"/>
        <v>375.40000000000003</v>
      </c>
      <c r="AU26" s="47">
        <v>79669</v>
      </c>
      <c r="AV26" s="37">
        <f t="shared" si="31"/>
        <v>2986</v>
      </c>
      <c r="AW26" s="35">
        <f t="shared" si="30"/>
        <v>5.9720000000000004</v>
      </c>
    </row>
    <row r="27" spans="1:49" x14ac:dyDescent="0.25">
      <c r="A27" s="23">
        <v>44398</v>
      </c>
      <c r="B27" s="40">
        <v>176</v>
      </c>
      <c r="C27" s="24">
        <v>6688710</v>
      </c>
      <c r="D27" s="24">
        <v>16200890</v>
      </c>
      <c r="E27" s="24">
        <v>2884050</v>
      </c>
      <c r="F27" s="24">
        <v>3555920</v>
      </c>
      <c r="G27" s="24">
        <v>10568150</v>
      </c>
      <c r="H27" s="24">
        <v>5655970</v>
      </c>
      <c r="I27" s="24">
        <v>5180110</v>
      </c>
      <c r="J27" s="24">
        <v>6072150</v>
      </c>
      <c r="K27" s="24">
        <v>9383940</v>
      </c>
      <c r="L27" s="24">
        <v>3937190</v>
      </c>
      <c r="M27" s="24">
        <v>8029310</v>
      </c>
      <c r="N27" s="24">
        <v>12316900</v>
      </c>
      <c r="O27" s="24">
        <v>17024930</v>
      </c>
      <c r="Q27" s="37">
        <f t="shared" si="33"/>
        <v>11960</v>
      </c>
      <c r="R27" s="37">
        <f t="shared" si="33"/>
        <v>15980</v>
      </c>
      <c r="S27" s="37">
        <f t="shared" si="33"/>
        <v>4080</v>
      </c>
      <c r="T27" s="37">
        <f t="shared" si="33"/>
        <v>1740</v>
      </c>
      <c r="U27" s="37">
        <f t="shared" si="33"/>
        <v>4470</v>
      </c>
      <c r="V27" s="37">
        <f t="shared" si="33"/>
        <v>3510</v>
      </c>
      <c r="W27" s="37">
        <f t="shared" si="33"/>
        <v>2320</v>
      </c>
      <c r="X27" s="37">
        <f t="shared" si="33"/>
        <v>3990</v>
      </c>
      <c r="Y27" s="37">
        <f t="shared" si="33"/>
        <v>5670</v>
      </c>
      <c r="Z27" s="37">
        <f t="shared" si="33"/>
        <v>2780</v>
      </c>
      <c r="AA27" s="37">
        <f t="shared" si="33"/>
        <v>3280</v>
      </c>
      <c r="AB27" s="37">
        <f t="shared" si="33"/>
        <v>7550</v>
      </c>
      <c r="AC27" s="37">
        <f t="shared" si="33"/>
        <v>8520</v>
      </c>
      <c r="AD27" s="35">
        <f t="shared" si="28"/>
        <v>75850</v>
      </c>
      <c r="AF27" s="20">
        <f t="shared" si="1"/>
        <v>59.800000000000004</v>
      </c>
      <c r="AG27" s="20">
        <f t="shared" si="2"/>
        <v>79.900000000000006</v>
      </c>
      <c r="AH27" s="20">
        <f t="shared" si="3"/>
        <v>20.400000000000002</v>
      </c>
      <c r="AI27" s="20">
        <f t="shared" si="4"/>
        <v>8.7000000000000011</v>
      </c>
      <c r="AJ27" s="20">
        <f t="shared" si="5"/>
        <v>22.35</v>
      </c>
      <c r="AK27" s="20">
        <f t="shared" si="6"/>
        <v>17.55</v>
      </c>
      <c r="AL27" s="20">
        <f t="shared" si="7"/>
        <v>11.6</v>
      </c>
      <c r="AM27" s="20">
        <f t="shared" si="8"/>
        <v>19.95</v>
      </c>
      <c r="AN27" s="20">
        <f t="shared" si="9"/>
        <v>28.35</v>
      </c>
      <c r="AO27" s="20">
        <f t="shared" si="10"/>
        <v>13.9</v>
      </c>
      <c r="AP27" s="20">
        <f t="shared" si="11"/>
        <v>16.399999999999999</v>
      </c>
      <c r="AQ27" s="20">
        <f t="shared" si="12"/>
        <v>37.75</v>
      </c>
      <c r="AR27" s="20">
        <f t="shared" si="13"/>
        <v>42.6</v>
      </c>
      <c r="AS27" s="35">
        <f t="shared" si="29"/>
        <v>379.25</v>
      </c>
      <c r="AU27" s="47">
        <v>82000</v>
      </c>
      <c r="AV27" s="37">
        <f>IF((AU27-AU26&lt;0),"0",AU27-AU26)</f>
        <v>2331</v>
      </c>
      <c r="AW27" s="35">
        <f t="shared" si="30"/>
        <v>4.6619999999999999</v>
      </c>
    </row>
    <row r="28" spans="1:49" x14ac:dyDescent="0.25">
      <c r="A28" s="23">
        <v>44399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6"/>
        <v>0</v>
      </c>
      <c r="R28" s="37" t="str">
        <f t="shared" si="17"/>
        <v>0</v>
      </c>
      <c r="S28" s="37" t="str">
        <f t="shared" si="15"/>
        <v>0</v>
      </c>
      <c r="T28" s="37" t="str">
        <f t="shared" si="18"/>
        <v>0</v>
      </c>
      <c r="U28" s="37" t="str">
        <f t="shared" si="19"/>
        <v>0</v>
      </c>
      <c r="V28" s="37" t="str">
        <f t="shared" si="20"/>
        <v>0</v>
      </c>
      <c r="W28" s="37" t="str">
        <f t="shared" si="21"/>
        <v>0</v>
      </c>
      <c r="X28" s="37" t="str">
        <f t="shared" si="22"/>
        <v>0</v>
      </c>
      <c r="Y28" s="37" t="str">
        <f t="shared" si="23"/>
        <v>0</v>
      </c>
      <c r="Z28" s="37" t="str">
        <f t="shared" si="24"/>
        <v>0</v>
      </c>
      <c r="AA28" s="37" t="str">
        <f t="shared" si="25"/>
        <v>0</v>
      </c>
      <c r="AB28" s="37" t="str">
        <f t="shared" si="26"/>
        <v>0</v>
      </c>
      <c r="AC28" s="37" t="str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 t="str">
        <f>IF((AU28-AU27&lt;0),"0",AU28-AU27)</f>
        <v>0</v>
      </c>
      <c r="AW28" s="35">
        <f t="shared" si="30"/>
        <v>0</v>
      </c>
    </row>
    <row r="29" spans="1:49" x14ac:dyDescent="0.25">
      <c r="A29" s="23">
        <v>44400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44401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44402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44403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44404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44405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44406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44407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44408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60990</v>
      </c>
      <c r="R38" s="38">
        <f t="shared" ref="R38:AD38" si="62">SUM(R7:R37)</f>
        <v>297290</v>
      </c>
      <c r="S38" s="38">
        <f t="shared" si="62"/>
        <v>78300</v>
      </c>
      <c r="T38" s="38">
        <f t="shared" si="62"/>
        <v>35850</v>
      </c>
      <c r="U38" s="38">
        <f t="shared" si="62"/>
        <v>93040</v>
      </c>
      <c r="V38" s="38">
        <f t="shared" si="62"/>
        <v>72090</v>
      </c>
      <c r="W38" s="38">
        <f t="shared" si="62"/>
        <v>48950</v>
      </c>
      <c r="X38" s="38">
        <f t="shared" si="62"/>
        <v>81320</v>
      </c>
      <c r="Y38" s="38">
        <f t="shared" si="62"/>
        <v>111710</v>
      </c>
      <c r="Z38" s="38">
        <f t="shared" si="62"/>
        <v>55610</v>
      </c>
      <c r="AA38" s="38">
        <f t="shared" si="62"/>
        <v>67610</v>
      </c>
      <c r="AB38" s="38">
        <f t="shared" si="62"/>
        <v>150580</v>
      </c>
      <c r="AC38" s="38">
        <f t="shared" si="62"/>
        <v>188960</v>
      </c>
      <c r="AD38" s="38">
        <f t="shared" si="62"/>
        <v>1342300</v>
      </c>
      <c r="AF38" s="35">
        <f>SUM(AF7:AF37)</f>
        <v>304.95000000000005</v>
      </c>
      <c r="AG38" s="35">
        <f t="shared" ref="AG38:AS38" si="63">SUM(AG7:AG37)</f>
        <v>1486.4500000000003</v>
      </c>
      <c r="AH38" s="35">
        <f t="shared" si="63"/>
        <v>391.5</v>
      </c>
      <c r="AI38" s="35">
        <f t="shared" si="63"/>
        <v>179.25</v>
      </c>
      <c r="AJ38" s="35">
        <f t="shared" si="63"/>
        <v>465.19999999999993</v>
      </c>
      <c r="AK38" s="35">
        <f t="shared" si="63"/>
        <v>360.45</v>
      </c>
      <c r="AL38" s="35">
        <f t="shared" si="63"/>
        <v>244.74999999999994</v>
      </c>
      <c r="AM38" s="35">
        <f t="shared" si="63"/>
        <v>406.59999999999997</v>
      </c>
      <c r="AN38" s="35">
        <f t="shared" si="63"/>
        <v>558.55000000000007</v>
      </c>
      <c r="AO38" s="35">
        <f t="shared" si="63"/>
        <v>278.04999999999995</v>
      </c>
      <c r="AP38" s="35">
        <f t="shared" si="63"/>
        <v>338.05</v>
      </c>
      <c r="AQ38" s="35">
        <f t="shared" si="63"/>
        <v>752.9</v>
      </c>
      <c r="AR38" s="35">
        <f t="shared" si="63"/>
        <v>944.80000000000018</v>
      </c>
      <c r="AS38" s="35">
        <f t="shared" si="63"/>
        <v>6711.5</v>
      </c>
      <c r="AT38" s="35"/>
      <c r="AU38" s="48"/>
      <c r="AV38" s="35">
        <f>SUM(AV7:AV34)</f>
        <v>60272</v>
      </c>
      <c r="AW38" s="34">
        <f>SUM(AW7:AW37)</f>
        <v>108.94600000000001</v>
      </c>
    </row>
    <row r="39" spans="1:49" x14ac:dyDescent="0.25">
      <c r="D39">
        <v>5.0000000000000001E-3</v>
      </c>
      <c r="AV39" s="36">
        <f>AV38*0.00378541*1000</f>
        <v>228154.23152</v>
      </c>
    </row>
    <row r="40" spans="1:49" x14ac:dyDescent="0.25">
      <c r="D40">
        <v>2E-3</v>
      </c>
      <c r="AV40">
        <f>AV39/31</f>
        <v>7359.8139199999996</v>
      </c>
    </row>
    <row r="41" spans="1:49" x14ac:dyDescent="0.25">
      <c r="AV41">
        <f>AV38*0.00378541</f>
        <v>228.15423152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2021-07-22T04:41:22Z</dcterms:modified>
</cp:coreProperties>
</file>