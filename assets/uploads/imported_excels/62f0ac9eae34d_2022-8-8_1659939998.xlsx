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20730" windowHeight="11160"/>
  </bookViews>
  <sheets>
    <sheet name="Sheet1" sheetId="1" r:id="rId1"/>
  </sheets>
  <externalReferences>
    <externalReference r:id="rId2"/>
  </externalReferenc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/>
  <c r="N2"/>
  <c r="N7"/>
  <c r="L2"/>
  <c r="L6"/>
  <c r="L5"/>
  <c r="L7"/>
  <c r="L4"/>
  <c r="L3"/>
  <c r="D2"/>
  <c r="D3"/>
  <c r="D4"/>
  <c r="P2"/>
  <c r="H2"/>
</calcChain>
</file>

<file path=xl/sharedStrings.xml><?xml version="1.0" encoding="utf-8"?>
<sst xmlns="http://schemas.openxmlformats.org/spreadsheetml/2006/main" count="29" uniqueCount="18">
  <si>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</si>
  <si>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</si>
  <si>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</si>
  <si>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</si>
  <si>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</si>
  <si>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</si>
  <si>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</si>
  <si>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liquid hazardous waste</t>
  </si>
  <si>
    <t>Total cost liquid hazardous waste</t>
  </si>
  <si>
    <t>Total (per Unit) light bulbs</t>
  </si>
  <si>
    <t>Total cost light bulbs</t>
  </si>
  <si>
    <t>Total (per Unit) food waste</t>
  </si>
  <si>
    <t>Total cost food waste</t>
  </si>
  <si>
    <t>Total (per Unit) general municipal solid waste</t>
  </si>
  <si>
    <t>Total cost general municipal solid waste</t>
  </si>
  <si>
    <t>Total cost tin</t>
  </si>
  <si>
    <t>Mumbai</t>
  </si>
  <si>
    <t>Total (per Unit) oil tin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</si>
</sst>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0" fillId="0" borderId="0" xfId="0" applyFill="1"/>
    <xf numFmtId="0" fontId="1" fillId="0" borderId="0" xfId="0" applyFont="1" applyAlignment="1">
      <alignment wrapText="1"/>
    </xf>
    <xf numFmtId="0" fontId="1" fillId="0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udhakar%20appa\desktop\Report%20HLP%202020\HLP%202022\FS%20Waste%20Data%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EP Data "/>
      <sheetName val="Summery sheet "/>
      <sheetName val="Jan 2022"/>
      <sheetName val="Feb 2022"/>
      <sheetName val="Mar 2022"/>
      <sheetName val="Apr 2022"/>
      <sheetName val="May 2022"/>
      <sheetName val="Jun22"/>
      <sheetName val="July 22"/>
      <sheetName val="Aug 22"/>
      <sheetName val="Sep 22"/>
    </sheetNames>
    <sheetDataSet>
      <sheetData sheetId="0" refreshError="1"/>
      <sheetData sheetId="1" refreshError="1"/>
      <sheetData sheetId="2" refreshError="1">
        <row r="36">
          <cell r="C36">
            <v>246</v>
          </cell>
          <cell r="D36">
            <v>29</v>
          </cell>
          <cell r="G36">
            <v>2615</v>
          </cell>
          <cell r="H36">
            <v>3085</v>
          </cell>
          <cell r="I36">
            <v>40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42"/>
  <sheetViews>
    <sheetView tabSelected="1" topLeftCell="B1" zoomScale="70" zoomScaleNormal="70" workbookViewId="0">
      <selection activeCell="B8" sqref="B8"/>
    </sheetView>
  </sheetViews>
  <sheetFormatPr defaultRowHeight="15"/>
  <cols>
    <col min="1" max="1" width="12.28515625" customWidth="1"/>
    <col min="2" max="3" width="8.42578125" customWidth="1"/>
    <col min="4" max="17" width="13.28515625" style="3" customWidth="1"/>
  </cols>
  <sheetData>
    <row r="1" spans="1:32" s="6" customFormat="1" ht="60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17</v>
      </c>
      <c r="Q1" s="5" t="s">
        <v>15</v>
      </c>
    </row>
    <row r="2" spans="1:32">
      <c r="A2" t="s">
        <v>16</v>
      </c>
      <c r="B2" s="1">
        <v>1</v>
      </c>
      <c r="C2" s="1">
        <v>2022</v>
      </c>
      <c r="D2">
        <f>1216*0.03</f>
        <v>36.479999999999997</v>
      </c>
      <c r="E2"/>
      <c r="F2">
        <f>(SUM('[1]Jan 2022'!C36))/1000</f>
        <v>0.246</v>
      </c>
      <c r="G2"/>
      <c r="H2">
        <f>'[1]Jan 2022'!I36</f>
        <v>40</v>
      </c>
      <c r="I2"/>
      <c r="J2"/>
      <c r="K2">
        <v>0</v>
      </c>
      <c r="L2">
        <f>(SUM('[1]Jan 2022'!H36))/1000</f>
        <v>3.085</v>
      </c>
      <c r="M2"/>
      <c r="N2">
        <f>('[1]Jan 2022'!G36)/1000</f>
        <v>2.6150000000000002</v>
      </c>
      <c r="O2"/>
      <c r="P2">
        <f>'[1]Jan 2022'!D36</f>
        <v>29</v>
      </c>
    </row>
    <row r="3" spans="1:32">
      <c r="A3" t="s">
        <v>16</v>
      </c>
      <c r="B3" s="1">
        <v>2</v>
      </c>
      <c r="C3" s="1">
        <v>2022</v>
      </c>
      <c r="D3">
        <f>1368*0.03</f>
        <v>41.04</v>
      </c>
      <c r="E3"/>
      <c r="F3">
        <v>0.27</v>
      </c>
      <c r="G3"/>
      <c r="H3">
        <v>30</v>
      </c>
      <c r="I3"/>
      <c r="J3"/>
      <c r="K3">
        <v>81</v>
      </c>
      <c r="L3">
        <f>4654/1000</f>
        <v>4.6539999999999999</v>
      </c>
      <c r="M3"/>
      <c r="N3">
        <v>3.028</v>
      </c>
      <c r="O3"/>
      <c r="P3">
        <v>55</v>
      </c>
    </row>
    <row r="4" spans="1:32">
      <c r="A4" t="s">
        <v>16</v>
      </c>
      <c r="B4" s="1">
        <v>3</v>
      </c>
      <c r="C4" s="1">
        <v>2022</v>
      </c>
      <c r="D4" s="3">
        <f>996*0.03</f>
        <v>29.88</v>
      </c>
      <c r="F4" s="3">
        <v>0.32100000000000001</v>
      </c>
      <c r="H4" s="3">
        <v>55</v>
      </c>
      <c r="K4" s="3">
        <v>50</v>
      </c>
      <c r="L4" s="3">
        <f>5290/1000</f>
        <v>5.29</v>
      </c>
      <c r="N4" s="3">
        <v>3.74</v>
      </c>
      <c r="P4" s="3">
        <v>55</v>
      </c>
    </row>
    <row r="5" spans="1:32">
      <c r="A5" t="s">
        <v>16</v>
      </c>
      <c r="B5" s="2">
        <v>4</v>
      </c>
      <c r="C5" s="1">
        <v>2022</v>
      </c>
      <c r="D5" s="3">
        <v>110</v>
      </c>
      <c r="F5" s="3">
        <v>0.307</v>
      </c>
      <c r="H5" s="3">
        <v>50</v>
      </c>
      <c r="K5" s="3">
        <v>0</v>
      </c>
      <c r="L5" s="3">
        <f>5046/1000</f>
        <v>5.0460000000000003</v>
      </c>
      <c r="N5" s="3">
        <v>3.5219999999999998</v>
      </c>
      <c r="P5" s="3">
        <v>166</v>
      </c>
    </row>
    <row r="6" spans="1:32">
      <c r="A6" t="s">
        <v>16</v>
      </c>
      <c r="B6" s="1">
        <v>5</v>
      </c>
      <c r="C6" s="1">
        <v>2022</v>
      </c>
      <c r="D6" s="3">
        <v>153</v>
      </c>
      <c r="F6" s="3">
        <v>0.317</v>
      </c>
      <c r="H6" s="3">
        <v>45</v>
      </c>
      <c r="K6" s="3">
        <v>37</v>
      </c>
      <c r="L6" s="3">
        <f>5391/1000</f>
        <v>5.391</v>
      </c>
      <c r="N6" s="3">
        <v>4.343</v>
      </c>
      <c r="P6" s="3">
        <v>171</v>
      </c>
    </row>
    <row r="7" spans="1:32">
      <c r="A7" t="s">
        <v>16</v>
      </c>
      <c r="B7" s="1">
        <v>6</v>
      </c>
      <c r="C7" s="1">
        <v>2022</v>
      </c>
      <c r="D7" s="3">
        <v>126</v>
      </c>
      <c r="F7" s="3">
        <v>0.30199999999999999</v>
      </c>
      <c r="H7" s="3">
        <v>30</v>
      </c>
      <c r="K7" s="3">
        <v>0</v>
      </c>
      <c r="L7" s="3">
        <f>4892/1000</f>
        <v>4.8920000000000003</v>
      </c>
      <c r="N7" s="3">
        <f>4214/1000</f>
        <v>4.2140000000000004</v>
      </c>
      <c r="P7" s="3">
        <v>147</v>
      </c>
    </row>
    <row r="8" spans="1:32">
      <c r="A8" t="s">
        <v>16</v>
      </c>
      <c r="B8" s="1">
        <v>7</v>
      </c>
      <c r="C8" s="1">
        <v>2022</v>
      </c>
      <c r="D8" s="3">
        <v>105</v>
      </c>
      <c r="F8" s="3">
        <v>0.20899999999999999</v>
      </c>
      <c r="H8" s="3">
        <v>29</v>
      </c>
      <c r="L8" s="3">
        <v>4.6900000000000004</v>
      </c>
      <c r="N8" s="3">
        <v>3.6349999999999998</v>
      </c>
      <c r="P8" s="3">
        <v>113</v>
      </c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>
      <c r="A9" t="s">
        <v>16</v>
      </c>
      <c r="B9" s="1">
        <v>8</v>
      </c>
      <c r="C9" s="1">
        <v>2022</v>
      </c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>
      <c r="A10" t="s">
        <v>16</v>
      </c>
      <c r="B10" s="1">
        <v>9</v>
      </c>
      <c r="C10" s="1">
        <v>2022</v>
      </c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>
      <c r="A11" t="s">
        <v>16</v>
      </c>
      <c r="B11" s="1">
        <v>10</v>
      </c>
      <c r="C11" s="1">
        <v>2022</v>
      </c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>
      <c r="A12" t="s">
        <v>16</v>
      </c>
      <c r="B12" s="1">
        <v>11</v>
      </c>
      <c r="C12" s="1">
        <v>2022</v>
      </c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>
      <c r="A13" t="s">
        <v>16</v>
      </c>
      <c r="B13" s="1">
        <v>12</v>
      </c>
      <c r="C13" s="1">
        <v>2022</v>
      </c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3:32"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3:32"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3:32"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3:32"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3:32"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3:32"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3:32">
      <c r="C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3:32">
      <c r="C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3:32">
      <c r="C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3:32"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3:32"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3:32"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3:32"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3:32"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22:32"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22:32"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22:32"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22:32"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22:32"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22:32"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22:32"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2:32"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2:32"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22:32"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akash.hebale</cp:lastModifiedBy>
  <dcterms:created xsi:type="dcterms:W3CDTF">2022-01-28T13:49:17Z</dcterms:created>
  <dcterms:modified xsi:type="dcterms:W3CDTF">2022-08-08T06:25:20Z</dcterms:modified>
</cp:coreProperties>
</file>