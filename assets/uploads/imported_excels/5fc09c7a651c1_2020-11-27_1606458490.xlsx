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firstSheet="2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22" i="2"/>
  <c r="N17"/>
  <c r="C17" i="76"/>
  <c r="BD19" i="5"/>
  <c r="BB19"/>
  <c r="BC19"/>
  <c r="Q15" i="2"/>
  <c r="C12" i="76"/>
  <c r="O12" i="1"/>
  <c r="AN12"/>
  <c r="A12" i="76"/>
  <c r="W9" i="2" l="1"/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30"/>
  <c r="F31" s="1"/>
  <c r="F32" s="1"/>
  <c r="F33" s="1"/>
  <c r="C3"/>
  <c r="D3"/>
  <c r="E3"/>
  <c r="F3"/>
  <c r="G3"/>
  <c r="H3"/>
  <c r="H30" s="1"/>
  <c r="H31" s="1"/>
  <c r="H32" s="1"/>
  <c r="H33" s="1"/>
  <c r="I3"/>
  <c r="J3"/>
  <c r="J30" s="1"/>
  <c r="J31" s="1"/>
  <c r="J32" s="1"/>
  <c r="J33" s="1"/>
  <c r="K3"/>
  <c r="L3"/>
  <c r="M3"/>
  <c r="N3"/>
  <c r="S3"/>
  <c r="B3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1" s="1"/>
  <c r="D12" s="1"/>
  <c r="D13" s="1"/>
  <c r="D15" s="1"/>
  <c r="D16" s="1"/>
  <c r="D17" s="1"/>
  <c r="D20" s="1"/>
  <c r="D24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1" s="1"/>
  <c r="J12" s="1"/>
  <c r="J13" s="1"/>
  <c r="J14" s="1"/>
  <c r="J15" s="1"/>
  <c r="J16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18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18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1" s="1"/>
  <c r="B12" s="1"/>
  <c r="B13" s="1"/>
  <c r="B14" s="1"/>
  <c r="B15" s="1"/>
  <c r="B16" s="1"/>
  <c r="B24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3" s="1"/>
  <c r="G15" s="1"/>
  <c r="G17" s="1"/>
  <c r="G19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3" s="1"/>
  <c r="X16" s="1"/>
  <c r="X20" s="1"/>
  <c r="X26" s="1"/>
  <c r="X27" s="1"/>
  <c r="X29" s="1"/>
  <c r="X31" s="1"/>
  <c r="X32" s="1"/>
  <c r="X33" s="1"/>
  <c r="X34" s="1"/>
  <c r="X35" s="1"/>
  <c r="X36" s="1"/>
  <c r="Y5"/>
  <c r="Z5"/>
  <c r="Z7" s="1"/>
  <c r="Z9" s="1"/>
  <c r="Z13" s="1"/>
  <c r="Z16" s="1"/>
  <c r="Z20" s="1"/>
  <c r="Z24" s="1"/>
  <c r="Z26" s="1"/>
  <c r="Z27" s="1"/>
  <c r="Z29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5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3" s="1"/>
  <c r="AT32" s="1"/>
  <c r="AT33" s="1"/>
  <c r="AT34" s="1"/>
  <c r="AT35" s="1"/>
  <c r="AT36" s="1"/>
  <c r="AU5"/>
  <c r="AV5"/>
  <c r="AV32" s="1"/>
  <c r="AV33" s="1"/>
  <c r="AV34" s="1"/>
  <c r="AV35" s="1"/>
  <c r="AV36" s="1"/>
  <c r="AW5"/>
  <c r="AX5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4" s="1"/>
  <c r="B15" s="1"/>
  <c r="B16" s="1"/>
  <c r="B18" s="1"/>
  <c r="B19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F10"/>
  <c r="F13" s="1"/>
  <c r="F17" s="1"/>
  <c r="F18" s="1"/>
  <c r="F19" s="1"/>
  <c r="F20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C4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20" s="1"/>
  <c r="K21" s="1"/>
  <c r="K22" s="1"/>
  <c r="K23" s="1"/>
  <c r="K24" s="1"/>
  <c r="K25" s="1"/>
  <c r="K29" s="1"/>
  <c r="K30" s="1"/>
  <c r="K31" s="1"/>
  <c r="K32" s="1"/>
  <c r="K33" s="1"/>
  <c r="K34" s="1"/>
  <c r="K35" s="1"/>
  <c r="L4"/>
  <c r="M4"/>
  <c r="M7" s="1"/>
  <c r="M9" s="1"/>
  <c r="M10" s="1"/>
  <c r="M11" s="1"/>
  <c r="M13" s="1"/>
  <c r="M14" s="1"/>
  <c r="M15" s="1"/>
  <c r="M16" s="1"/>
  <c r="M17" s="1"/>
  <c r="M18" s="1"/>
  <c r="M20" s="1"/>
  <c r="M21" s="1"/>
  <c r="M22" s="1"/>
  <c r="M23" s="1"/>
  <c r="M24" s="1"/>
  <c r="M25" s="1"/>
  <c r="M29" s="1"/>
  <c r="M30" s="1"/>
  <c r="M31" s="1"/>
  <c r="M32" s="1"/>
  <c r="M33" s="1"/>
  <c r="M34" s="1"/>
  <c r="M35" s="1"/>
  <c r="N4"/>
  <c r="P4"/>
  <c r="P7" s="1"/>
  <c r="P9" s="1"/>
  <c r="P26" s="1"/>
  <c r="P27" s="1"/>
  <c r="P31" s="1"/>
  <c r="P32" s="1"/>
  <c r="P33" s="1"/>
  <c r="P34" s="1"/>
  <c r="P35" s="1"/>
  <c r="Q4"/>
  <c r="Q9" s="1"/>
  <c r="Q26" s="1"/>
  <c r="Q27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31" s="1"/>
  <c r="B32" s="1"/>
  <c r="B33" s="1"/>
  <c r="B34" s="1"/>
  <c r="B35" s="1"/>
  <c r="W4" i="2"/>
  <c r="W5" s="1"/>
  <c r="W6" s="1"/>
  <c r="W7" s="1"/>
  <c r="W8" s="1"/>
  <c r="W11" s="1"/>
  <c r="W12" s="1"/>
  <c r="W29" s="1"/>
  <c r="W30" s="1"/>
  <c r="W31" s="1"/>
  <c r="W32" s="1"/>
  <c r="W33" s="1"/>
  <c r="D29"/>
  <c r="D30" s="1"/>
  <c r="D31" s="1"/>
  <c r="D32" s="1"/>
  <c r="D33" s="1"/>
  <c r="E2"/>
  <c r="F2"/>
  <c r="F29" s="1"/>
  <c r="F30" s="1"/>
  <c r="F31" s="1"/>
  <c r="F32" s="1"/>
  <c r="F33" s="1"/>
  <c r="G2"/>
  <c r="H2"/>
  <c r="H29" s="1"/>
  <c r="H30" s="1"/>
  <c r="H31" s="1"/>
  <c r="H32" s="1"/>
  <c r="H33" s="1"/>
  <c r="I2"/>
  <c r="J2"/>
  <c r="K2"/>
  <c r="L2"/>
  <c r="L29" s="1"/>
  <c r="L30" s="1"/>
  <c r="L31" s="1"/>
  <c r="L32" s="1"/>
  <c r="L33" s="1"/>
  <c r="M2"/>
  <c r="N2"/>
  <c r="O2"/>
  <c r="P2"/>
  <c r="P4" s="1"/>
  <c r="P29" s="1"/>
  <c r="P30" s="1"/>
  <c r="P31" s="1"/>
  <c r="P32" s="1"/>
  <c r="P33" s="1"/>
  <c r="Q2"/>
  <c r="R2"/>
  <c r="S2"/>
  <c r="S13" s="1"/>
  <c r="S15" s="1"/>
  <c r="S16" s="1"/>
  <c r="S18" s="1"/>
  <c r="S20" s="1"/>
  <c r="S21" s="1"/>
  <c r="S22" s="1"/>
  <c r="S23" s="1"/>
  <c r="S25" s="1"/>
  <c r="S26" s="1"/>
  <c r="S27" s="1"/>
  <c r="S28" s="1"/>
  <c r="S29" s="1"/>
  <c r="S30" s="1"/>
  <c r="S31" s="1"/>
  <c r="S32" s="1"/>
  <c r="S33" s="1"/>
  <c r="T2"/>
  <c r="U2"/>
  <c r="U5" s="1"/>
  <c r="U13" s="1"/>
  <c r="U14" s="1"/>
  <c r="U15" s="1"/>
  <c r="U16" s="1"/>
  <c r="U17" s="1"/>
  <c r="U18" s="1"/>
  <c r="U19" s="1"/>
  <c r="U20" s="1"/>
  <c r="U21" s="1"/>
  <c r="U22" s="1"/>
  <c r="U23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24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2" s="1"/>
  <c r="AA13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2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J29" l="1"/>
  <c r="J30" s="1"/>
  <c r="J31" s="1"/>
  <c r="J32" s="1"/>
  <c r="J33" s="1"/>
  <c r="H12" i="79"/>
  <c r="H13" s="1"/>
  <c r="H18" s="1"/>
  <c r="H19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3" s="1"/>
  <c r="AN14" s="1"/>
  <c r="AN15" s="1"/>
  <c r="AN16" s="1"/>
  <c r="AN17" s="1"/>
  <c r="AN18" s="1"/>
  <c r="AN19" s="1"/>
  <c r="AN20" s="1"/>
  <c r="AN21" s="1"/>
  <c r="AN22" s="1"/>
  <c r="AN23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Y6" i="5" l="1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V28" i="76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J36" i="5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Y17" i="1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Y18" i="1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N19" i="1"/>
  <c r="V19" s="1"/>
  <c r="H30" i="5"/>
  <c r="AO22" i="7"/>
  <c r="E28" i="3"/>
  <c r="C27"/>
  <c r="F27" s="1"/>
  <c r="Y29" i="5"/>
  <c r="AO29" i="1"/>
  <c r="AT28"/>
  <c r="AU28" s="1"/>
  <c r="I25" i="81" s="1"/>
  <c r="Y29" i="1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N20" i="1"/>
  <c r="V20" s="1"/>
  <c r="H31" i="5"/>
  <c r="E29" i="3"/>
  <c r="C28"/>
  <c r="F28" s="1"/>
  <c r="Y30" i="5"/>
  <c r="AO30" i="1"/>
  <c r="AT29"/>
  <c r="AU29" s="1"/>
  <c r="I26" i="81" s="1"/>
  <c r="Y30" i="1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N21" i="1"/>
  <c r="V21" s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N22" i="1"/>
  <c r="V22" s="1"/>
  <c r="AT31"/>
  <c r="AU31" s="1"/>
  <c r="H33" i="5"/>
  <c r="E31" i="3"/>
  <c r="C30"/>
  <c r="F30" s="1"/>
  <c r="Y32" i="5"/>
  <c r="Y32" i="1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J28" i="82"/>
  <c r="AN25" i="7"/>
  <c r="P23" i="3"/>
  <c r="AU29" i="5"/>
  <c r="AZ28"/>
  <c r="BC28" s="1"/>
  <c r="AB27" i="3"/>
  <c r="V28"/>
  <c r="N23" i="1"/>
  <c r="V23" s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N24" i="1"/>
  <c r="V24" s="1"/>
  <c r="X22" i="7"/>
  <c r="H35" i="5"/>
  <c r="D1"/>
  <c r="AT33" i="1"/>
  <c r="AU33" s="1"/>
  <c r="AO27" i="7"/>
  <c r="C32" i="3"/>
  <c r="F32" s="1"/>
  <c r="Y34" i="5"/>
  <c r="AO34" i="1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U35"/>
  <c r="C35"/>
  <c r="E35" s="1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N26" i="1"/>
  <c r="V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D35"/>
  <c r="D39" s="1"/>
  <c r="I35"/>
  <c r="C37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N27" i="1"/>
  <c r="V27" s="1"/>
  <c r="Y26" i="7"/>
  <c r="AR26" s="1"/>
  <c r="AO30"/>
  <c r="L35" i="76"/>
  <c r="AK31" i="3"/>
  <c r="F31" i="63"/>
  <c r="AC31" i="3"/>
  <c r="Z32"/>
  <c r="N32"/>
  <c r="AE31"/>
  <c r="AF31" s="1"/>
  <c r="AG31" s="1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N28" i="1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B28" i="65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B29" i="65"/>
  <c r="N30" i="1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N31" i="1"/>
  <c r="V31" s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B31" i="65"/>
  <c r="Y31" i="7"/>
  <c r="AR31" s="1"/>
  <c r="P35"/>
  <c r="O35"/>
  <c r="Q34"/>
  <c r="R34"/>
  <c r="T33"/>
  <c r="S33"/>
  <c r="V32"/>
  <c r="W32" s="1"/>
  <c r="U32"/>
  <c r="AN35" l="1"/>
  <c r="B32" i="65"/>
  <c r="N33" i="1"/>
  <c r="V33" s="1"/>
  <c r="Y32" i="7"/>
  <c r="AR32" s="1"/>
  <c r="X31"/>
  <c r="T34"/>
  <c r="S34"/>
  <c r="U33"/>
  <c r="V33"/>
  <c r="W33" s="1"/>
  <c r="R35"/>
  <c r="Q35"/>
  <c r="X32" l="1"/>
  <c r="N34" i="1"/>
  <c r="V34" s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1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H4" i="1"/>
  <c r="Z4"/>
  <c r="AC4"/>
  <c r="AR4"/>
  <c r="AD26" i="5" l="1"/>
  <c r="AC6" i="1"/>
  <c r="AC7" s="1"/>
  <c r="AC8" s="1"/>
  <c r="AC9" s="1"/>
  <c r="AC10" s="1"/>
  <c r="AC11" s="1"/>
  <c r="AC12" s="1"/>
  <c r="AC13" s="1"/>
  <c r="AC14" s="1"/>
  <c r="AC15" s="1"/>
  <c r="AC17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7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6" s="1"/>
  <c r="W6"/>
  <c r="AL6" s="1"/>
  <c r="AC28" l="1"/>
  <c r="AD27"/>
  <c r="V27"/>
  <c r="W26"/>
  <c r="AL26" s="1"/>
  <c r="AC18" i="1"/>
  <c r="AD17"/>
  <c r="Z18"/>
  <c r="AA17"/>
  <c r="AH17" s="1"/>
  <c r="O8" i="5"/>
  <c r="P7"/>
  <c r="W5" i="1"/>
  <c r="B5" i="65"/>
  <c r="V36" i="1"/>
  <c r="AG5"/>
  <c r="AM5"/>
  <c r="M8" i="5"/>
  <c r="N7"/>
  <c r="C5" i="65"/>
  <c r="AI5" i="1"/>
  <c r="AC29" i="5" l="1"/>
  <c r="AD28"/>
  <c r="V28"/>
  <c r="W27"/>
  <c r="AL27" s="1"/>
  <c r="AC19" i="1"/>
  <c r="AD18"/>
  <c r="AM17"/>
  <c r="F18" i="75" s="1"/>
  <c r="G18" s="1"/>
  <c r="AG17" i="1"/>
  <c r="C17" i="65"/>
  <c r="E17" s="1"/>
  <c r="AI17" i="1"/>
  <c r="AW18" i="7" s="1"/>
  <c r="Z19" i="1"/>
  <c r="AA18"/>
  <c r="AH18" s="1"/>
  <c r="Q7" i="5"/>
  <c r="M3" i="81" s="1"/>
  <c r="E5" i="65"/>
  <c r="O9" i="5"/>
  <c r="P8"/>
  <c r="AW6" i="7"/>
  <c r="F6" i="75"/>
  <c r="G6" s="1"/>
  <c r="M9" i="5"/>
  <c r="N8"/>
  <c r="AC30" l="1"/>
  <c r="AD29"/>
  <c r="V29"/>
  <c r="W28"/>
  <c r="AL28" s="1"/>
  <c r="AC20" i="1"/>
  <c r="AD19"/>
  <c r="AM18"/>
  <c r="F19" i="75" s="1"/>
  <c r="G19" s="1"/>
  <c r="AG18" i="1"/>
  <c r="AJ17"/>
  <c r="AK17" s="1"/>
  <c r="G14" i="81"/>
  <c r="AX18" i="7"/>
  <c r="Z20" i="1"/>
  <c r="AA19"/>
  <c r="AH19" s="1"/>
  <c r="C18" i="65"/>
  <c r="E18" s="1"/>
  <c r="AI18" i="1"/>
  <c r="AW19" i="7" s="1"/>
  <c r="M10" i="5"/>
  <c r="N9"/>
  <c r="Q8"/>
  <c r="M4" i="81" s="1"/>
  <c r="O10" i="5"/>
  <c r="P9"/>
  <c r="G2" i="81"/>
  <c r="AJ5" i="1"/>
  <c r="AK5" s="1"/>
  <c r="AX6" i="7"/>
  <c r="AC31" i="5" l="1"/>
  <c r="AD30"/>
  <c r="V30"/>
  <c r="W29"/>
  <c r="AL29" s="1"/>
  <c r="AM19" i="1"/>
  <c r="F20" i="75" s="1"/>
  <c r="G20" s="1"/>
  <c r="AG19" i="1"/>
  <c r="AC21"/>
  <c r="AD20"/>
  <c r="AJ18"/>
  <c r="AK18" s="1"/>
  <c r="G15" i="81"/>
  <c r="AX19" i="7"/>
  <c r="Q16" i="76"/>
  <c r="AY18" i="7"/>
  <c r="Z21" i="1"/>
  <c r="AA20"/>
  <c r="AH20" s="1"/>
  <c r="C19" i="65"/>
  <c r="E19" s="1"/>
  <c r="AI19" i="1"/>
  <c r="AW20" i="7" s="1"/>
  <c r="Q9" i="5"/>
  <c r="M5" i="81" s="1"/>
  <c r="M11" i="5"/>
  <c r="N10"/>
  <c r="O11"/>
  <c r="P10"/>
  <c r="Q4" i="76"/>
  <c r="AY6" i="7"/>
  <c r="V9" i="76"/>
  <c r="AC32" i="5" l="1"/>
  <c r="AD31"/>
  <c r="V31"/>
  <c r="W30"/>
  <c r="AL30" s="1"/>
  <c r="AC22" i="1"/>
  <c r="AD2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Z22" i="1"/>
  <c r="AA21"/>
  <c r="AH21" s="1"/>
  <c r="O12" i="5"/>
  <c r="P11"/>
  <c r="Q11" s="1"/>
  <c r="M7" i="81" s="1"/>
  <c r="M12" i="5"/>
  <c r="N11"/>
  <c r="Q10"/>
  <c r="M6" i="81" s="1"/>
  <c r="AC33" i="5" l="1"/>
  <c r="AD32"/>
  <c r="V32"/>
  <c r="W31"/>
  <c r="AL31" s="1"/>
  <c r="AC23" i="1"/>
  <c r="AD22"/>
  <c r="AM21"/>
  <c r="F22" i="75" s="1"/>
  <c r="G22" s="1"/>
  <c r="AG21" i="1"/>
  <c r="AJ20"/>
  <c r="AK20" s="1"/>
  <c r="G17" i="81"/>
  <c r="AX21" i="7"/>
  <c r="Z23" i="1"/>
  <c r="AA22"/>
  <c r="AH22" s="1"/>
  <c r="C21" i="65"/>
  <c r="E21" s="1"/>
  <c r="AI21" i="1"/>
  <c r="AW22" i="7" s="1"/>
  <c r="Q18" i="76"/>
  <c r="AY20" i="7"/>
  <c r="O13" i="5"/>
  <c r="P12"/>
  <c r="Q12" s="1"/>
  <c r="M8" i="81" s="1"/>
  <c r="M13" i="5"/>
  <c r="N12"/>
  <c r="AC34" l="1"/>
  <c r="AD33"/>
  <c r="V33"/>
  <c r="W32"/>
  <c r="AL32" s="1"/>
  <c r="AC24" i="1"/>
  <c r="AD23"/>
  <c r="AM22"/>
  <c r="F23" i="75" s="1"/>
  <c r="G23" s="1"/>
  <c r="AG22" i="1"/>
  <c r="AY21" i="7"/>
  <c r="Q19" i="76"/>
  <c r="Z24" i="1"/>
  <c r="AA23"/>
  <c r="AH23" s="1"/>
  <c r="C22" i="65"/>
  <c r="E22" s="1"/>
  <c r="AI22" i="1"/>
  <c r="AJ21"/>
  <c r="AK21" s="1"/>
  <c r="G18" i="81"/>
  <c r="AX22" i="7"/>
  <c r="O14" i="5"/>
  <c r="P13"/>
  <c r="Q13" s="1"/>
  <c r="M9" i="81" s="1"/>
  <c r="M14" i="5"/>
  <c r="N13"/>
  <c r="AC35" l="1"/>
  <c r="AD34"/>
  <c r="V34"/>
  <c r="W33"/>
  <c r="AL33" s="1"/>
  <c r="AC25" i="1"/>
  <c r="AD24"/>
  <c r="AM23"/>
  <c r="F24" i="75" s="1"/>
  <c r="G24" s="1"/>
  <c r="AG23" i="1"/>
  <c r="AY22" i="7"/>
  <c r="Q20" i="76"/>
  <c r="AW23" i="7"/>
  <c r="Z25" i="1"/>
  <c r="AA24"/>
  <c r="AH24" s="1"/>
  <c r="C23" i="65"/>
  <c r="E23" s="1"/>
  <c r="AI23" i="1"/>
  <c r="AW24" i="7" s="1"/>
  <c r="M15" i="5"/>
  <c r="N14"/>
  <c r="O15"/>
  <c r="P14"/>
  <c r="AC36" l="1"/>
  <c r="AD36" s="1"/>
  <c r="AD35"/>
  <c r="V35"/>
  <c r="W34"/>
  <c r="AL34" s="1"/>
  <c r="AG24" i="1"/>
  <c r="AM24"/>
  <c r="F25" i="75" s="1"/>
  <c r="G25" s="1"/>
  <c r="AC26" i="1"/>
  <c r="AD25"/>
  <c r="AJ22"/>
  <c r="AK22" s="1"/>
  <c r="G19" i="81"/>
  <c r="AX23" i="7"/>
  <c r="Z26" i="1"/>
  <c r="AA25"/>
  <c r="AH25" s="1"/>
  <c r="C24" i="65"/>
  <c r="E24" s="1"/>
  <c r="AI24" i="1"/>
  <c r="AW25" i="7" s="1"/>
  <c r="AJ23" i="1"/>
  <c r="AK23" s="1"/>
  <c r="G20" i="81"/>
  <c r="AX24" i="7"/>
  <c r="M16" i="5"/>
  <c r="N15"/>
  <c r="O16"/>
  <c r="P15"/>
  <c r="Q14"/>
  <c r="M10" i="81" s="1"/>
  <c r="V36" i="5" l="1"/>
  <c r="W36" s="1"/>
  <c r="AL36" s="1"/>
  <c r="W35"/>
  <c r="AL35" s="1"/>
  <c r="AL37" s="1"/>
  <c r="AC27" i="1"/>
  <c r="AD26"/>
  <c r="AM25"/>
  <c r="F26" i="75" s="1"/>
  <c r="G26" s="1"/>
  <c r="AG25" i="1"/>
  <c r="AJ24"/>
  <c r="AK24" s="1"/>
  <c r="G21" i="81"/>
  <c r="AX25" i="7"/>
  <c r="Q22" i="76"/>
  <c r="AY24" i="7"/>
  <c r="Q21" i="76"/>
  <c r="AY23" i="7"/>
  <c r="Z27" i="1"/>
  <c r="AA26"/>
  <c r="AH26" s="1"/>
  <c r="C25" i="65"/>
  <c r="E25" s="1"/>
  <c r="AI25" i="1"/>
  <c r="AW26" i="7" s="1"/>
  <c r="M17" i="5"/>
  <c r="N16"/>
  <c r="O17"/>
  <c r="P16"/>
  <c r="Q15"/>
  <c r="M11" i="81" s="1"/>
  <c r="AM26" i="1" l="1"/>
  <c r="F27" i="75" s="1"/>
  <c r="G27" s="1"/>
  <c r="AG26" i="1"/>
  <c r="AC28"/>
  <c r="AD27"/>
  <c r="AY25" i="7"/>
  <c r="Q23" i="76"/>
  <c r="Z28" i="1"/>
  <c r="AA27"/>
  <c r="AH27" s="1"/>
  <c r="C26" i="65"/>
  <c r="E26" s="1"/>
  <c r="AI26" i="1"/>
  <c r="AW27" i="7" s="1"/>
  <c r="AJ25" i="1"/>
  <c r="AK25" s="1"/>
  <c r="G22" i="81"/>
  <c r="AX26" i="7"/>
  <c r="Q16" i="5"/>
  <c r="M12" i="81" s="1"/>
  <c r="O18" i="5"/>
  <c r="P17"/>
  <c r="Q17" s="1"/>
  <c r="M13" i="81" s="1"/>
  <c r="M18" i="5"/>
  <c r="N17"/>
  <c r="AC29" i="1" l="1"/>
  <c r="AD28"/>
  <c r="AG27"/>
  <c r="AM27"/>
  <c r="F28" i="75" s="1"/>
  <c r="G28" s="1"/>
  <c r="C27" i="65"/>
  <c r="E27" s="1"/>
  <c r="AI27" i="1"/>
  <c r="AW28" i="7" s="1"/>
  <c r="Q24" i="76"/>
  <c r="AY26" i="7"/>
  <c r="Z29" i="1"/>
  <c r="AA28"/>
  <c r="AH28" s="1"/>
  <c r="AJ26"/>
  <c r="AK26" s="1"/>
  <c r="G23" i="81"/>
  <c r="AX27" i="7"/>
  <c r="O19" i="5"/>
  <c r="P18"/>
  <c r="Q18" s="1"/>
  <c r="M14" i="81" s="1"/>
  <c r="M19" i="5"/>
  <c r="N18"/>
  <c r="AC30" i="1" l="1"/>
  <c r="AD29"/>
  <c r="AG28"/>
  <c r="AM28"/>
  <c r="F29" i="75" s="1"/>
  <c r="G29" s="1"/>
  <c r="Q25" i="76"/>
  <c r="AY27" i="7"/>
  <c r="AJ27" i="1"/>
  <c r="AK27" s="1"/>
  <c r="G24" i="81"/>
  <c r="AX28" i="7"/>
  <c r="Z30" i="1"/>
  <c r="AA29"/>
  <c r="AH29" s="1"/>
  <c r="C28" i="65"/>
  <c r="E28" s="1"/>
  <c r="AI28" i="1"/>
  <c r="AW29" i="7" s="1"/>
  <c r="O20" i="5"/>
  <c r="P19"/>
  <c r="Q19" s="1"/>
  <c r="M15" i="81" s="1"/>
  <c r="M20" i="5"/>
  <c r="N19"/>
  <c r="AC31" i="1" l="1"/>
  <c r="AD30"/>
  <c r="AM29"/>
  <c r="F30" i="75" s="1"/>
  <c r="G30" s="1"/>
  <c r="AG29" i="1"/>
  <c r="AJ28"/>
  <c r="AK28" s="1"/>
  <c r="G25" i="81"/>
  <c r="AX29" i="7"/>
  <c r="Z31" i="1"/>
  <c r="AA30"/>
  <c r="AH30" s="1"/>
  <c r="Q26" i="76"/>
  <c r="AY28" i="7"/>
  <c r="C29" i="65"/>
  <c r="E29" s="1"/>
  <c r="AI29" i="1"/>
  <c r="AW30" i="7" s="1"/>
  <c r="O21" i="5"/>
  <c r="P20"/>
  <c r="Q20" s="1"/>
  <c r="M16" i="81" s="1"/>
  <c r="M21" i="5"/>
  <c r="N20"/>
  <c r="AG30" i="1" l="1"/>
  <c r="AM30"/>
  <c r="F31" i="75" s="1"/>
  <c r="G31" s="1"/>
  <c r="AC32" i="1"/>
  <c r="AD31"/>
  <c r="Z32"/>
  <c r="AA31"/>
  <c r="AH31" s="1"/>
  <c r="AJ29"/>
  <c r="AK29" s="1"/>
  <c r="G26" i="81"/>
  <c r="AX30" i="7"/>
  <c r="Q27" i="76"/>
  <c r="AY29" i="7"/>
  <c r="C30" i="65"/>
  <c r="E30" s="1"/>
  <c r="AI30" i="1"/>
  <c r="AW31" i="7" s="1"/>
  <c r="O22" i="5"/>
  <c r="P21"/>
  <c r="Q21" s="1"/>
  <c r="M17" i="81" s="1"/>
  <c r="M22" i="5"/>
  <c r="N21"/>
  <c r="AC33" i="1" l="1"/>
  <c r="AD32"/>
  <c r="AM31"/>
  <c r="F32" i="75" s="1"/>
  <c r="G32" s="1"/>
  <c r="AG31" i="1"/>
  <c r="Z33"/>
  <c r="AA32"/>
  <c r="AH32" s="1"/>
  <c r="AJ30"/>
  <c r="AK30" s="1"/>
  <c r="G27" i="81"/>
  <c r="AX31" i="7"/>
  <c r="C31" i="65"/>
  <c r="E31" s="1"/>
  <c r="AI31" i="1"/>
  <c r="AW32" i="7" s="1"/>
  <c r="AY30"/>
  <c r="Q28" i="76"/>
  <c r="O23" i="5"/>
  <c r="P22"/>
  <c r="Q22" s="1"/>
  <c r="M18" i="81" s="1"/>
  <c r="M23" i="5"/>
  <c r="N22"/>
  <c r="V11" i="76"/>
  <c r="V10"/>
  <c r="AG32" i="1" l="1"/>
  <c r="AM32"/>
  <c r="F33" i="75" s="1"/>
  <c r="G33" s="1"/>
  <c r="AC34" i="1"/>
  <c r="AD33"/>
  <c r="Z34"/>
  <c r="AA33"/>
  <c r="AH33" s="1"/>
  <c r="C32" i="65"/>
  <c r="E32" s="1"/>
  <c r="AI32" i="1"/>
  <c r="AW33" i="7" s="1"/>
  <c r="Q29" i="76"/>
  <c r="AY31" i="7"/>
  <c r="AJ31" i="1"/>
  <c r="AK31" s="1"/>
  <c r="G28" i="81"/>
  <c r="AX32" i="7"/>
  <c r="M24" i="5"/>
  <c r="N23"/>
  <c r="O24"/>
  <c r="P23"/>
  <c r="AC35" i="1" l="1"/>
  <c r="AD35" s="1"/>
  <c r="AD34"/>
  <c r="AG33"/>
  <c r="AM33"/>
  <c r="F34" i="75" s="1"/>
  <c r="G34" s="1"/>
  <c r="Q30" i="76"/>
  <c r="AY32" i="7"/>
  <c r="Z35" i="1"/>
  <c r="AA35" s="1"/>
  <c r="AH35" s="1"/>
  <c r="AA34"/>
  <c r="AH34" s="1"/>
  <c r="C33" i="65"/>
  <c r="E33" s="1"/>
  <c r="AI33" i="1"/>
  <c r="AW34" i="7" s="1"/>
  <c r="AJ32" i="1"/>
  <c r="AK32" s="1"/>
  <c r="G29" i="81"/>
  <c r="AX33" i="7"/>
  <c r="M25" i="5"/>
  <c r="N24"/>
  <c r="O2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AH36" i="1"/>
  <c r="C34" i="65"/>
  <c r="E34" s="1"/>
  <c r="AI34" i="1"/>
  <c r="AJ33"/>
  <c r="AK33" s="1"/>
  <c r="G30" i="81"/>
  <c r="AX34" i="7"/>
  <c r="O26" i="5"/>
  <c r="P25"/>
  <c r="Q25" s="1"/>
  <c r="M21" i="81" s="1"/>
  <c r="Q24" i="5"/>
  <c r="M20" i="81" s="1"/>
  <c r="M26" i="5"/>
  <c r="N25"/>
  <c r="AJ35" i="1" l="1"/>
  <c r="AK35" s="1"/>
  <c r="AX36" i="7"/>
  <c r="AY36" s="1"/>
  <c r="AY34"/>
  <c r="Q32" i="76"/>
  <c r="AW35" i="7"/>
  <c r="AI37" i="1"/>
  <c r="O27" i="5"/>
  <c r="P26"/>
  <c r="Q26" s="1"/>
  <c r="M22" i="81" s="1"/>
  <c r="M27" i="5"/>
  <c r="N26"/>
  <c r="N2" i="3"/>
  <c r="AJ34" i="1" l="1"/>
  <c r="AK34" s="1"/>
  <c r="G31" i="81"/>
  <c r="AX35" i="7"/>
  <c r="O28" i="5"/>
  <c r="P27"/>
  <c r="Q27" s="1"/>
  <c r="M23" i="81" s="1"/>
  <c r="M28" i="5"/>
  <c r="N27"/>
  <c r="AB2" i="3"/>
  <c r="Q33" i="76" l="1"/>
  <c r="AY35" i="7"/>
  <c r="AY37" s="1"/>
  <c r="AX37"/>
  <c r="Z40" i="76" s="1"/>
  <c r="O29" i="5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3" s="1"/>
  <c r="O14" s="1"/>
  <c r="O15" s="1"/>
  <c r="O16" s="1"/>
  <c r="O17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BE19" l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<sst xmlns="http://schemas.openxmlformats.org/spreadsheetml/2006/main" count="653" uniqueCount="418">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</sst>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32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3" fillId="2" borderId="1" xfId="0" applyFont="1" applyFill="1" applyBorder="1" applyAlignment="1">
      <alignment horizontal="right"/>
    </xf>
    <xf numFmtId="0" fontId="23" fillId="29" borderId="1" xfId="0" applyFont="1" applyFill="1" applyBorder="1" applyAlignment="1">
      <alignment horizontal="right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176" fontId="18" fillId="0" borderId="1" xfId="4" applyNumberFormat="1" applyFont="1" applyBorder="1" applyAlignment="1">
      <alignment horizontal="left" wrapText="1"/>
    </xf>
    <xf numFmtId="176" fontId="0" fillId="30" borderId="7" xfId="1" applyNumberFormat="1" applyFon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8791</c:v>
                </c:pt>
                <c:pt idx="13">
                  <c:v>8409</c:v>
                </c:pt>
                <c:pt idx="14">
                  <c:v>8847</c:v>
                </c:pt>
                <c:pt idx="15">
                  <c:v>5742</c:v>
                </c:pt>
                <c:pt idx="16">
                  <c:v>8525</c:v>
                </c:pt>
                <c:pt idx="17">
                  <c:v>7549</c:v>
                </c:pt>
                <c:pt idx="18">
                  <c:v>8405</c:v>
                </c:pt>
                <c:pt idx="19">
                  <c:v>7757</c:v>
                </c:pt>
                <c:pt idx="20">
                  <c:v>8155</c:v>
                </c:pt>
                <c:pt idx="21">
                  <c:v>6563</c:v>
                </c:pt>
                <c:pt idx="22">
                  <c:v>7116</c:v>
                </c:pt>
                <c:pt idx="23">
                  <c:v>8409</c:v>
                </c:pt>
                <c:pt idx="24">
                  <c:v>6185</c:v>
                </c:pt>
                <c:pt idx="25">
                  <c:v>7896</c:v>
                </c:pt>
                <c:pt idx="26">
                  <c:v>6597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66931968"/>
        <c:axId val="366933504"/>
      </c:lineChart>
      <c:catAx>
        <c:axId val="36693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6933504"/>
        <c:crosses val="autoZero"/>
        <c:auto val="1"/>
        <c:lblAlgn val="ctr"/>
        <c:lblOffset val="100"/>
      </c:catAx>
      <c:valAx>
        <c:axId val="366933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693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8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3533</c:v>
                </c:pt>
                <c:pt idx="24">
                  <c:v>2569</c:v>
                </c:pt>
                <c:pt idx="25">
                  <c:v>3242</c:v>
                </c:pt>
                <c:pt idx="26">
                  <c:v>3021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67076480"/>
        <c:axId val="367078016"/>
      </c:lineChart>
      <c:catAx>
        <c:axId val="3670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078016"/>
        <c:crosses val="autoZero"/>
        <c:auto val="1"/>
        <c:lblAlgn val="ctr"/>
        <c:lblOffset val="100"/>
      </c:catAx>
      <c:valAx>
        <c:axId val="36707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0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82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67110400"/>
        <c:axId val="367120384"/>
      </c:lineChart>
      <c:catAx>
        <c:axId val="3671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120384"/>
        <c:crosses val="autoZero"/>
        <c:auto val="1"/>
        <c:lblAlgn val="ctr"/>
        <c:lblOffset val="100"/>
      </c:catAx>
      <c:valAx>
        <c:axId val="367120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1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659"/>
          <c:y val="0.62975887529635965"/>
          <c:w val="7.9124755870162669E-2"/>
          <c:h val="4.49826989619478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67902080"/>
        <c:axId val="368731264"/>
      </c:lineChart>
      <c:catAx>
        <c:axId val="3679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731264"/>
        <c:crosses val="autoZero"/>
        <c:auto val="1"/>
        <c:lblAlgn val="ctr"/>
        <c:lblOffset val="100"/>
      </c:catAx>
      <c:valAx>
        <c:axId val="36873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9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50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209</c:v>
                </c:pt>
                <c:pt idx="12">
                  <c:v>239.6</c:v>
                </c:pt>
                <c:pt idx="13">
                  <c:v>202.25</c:v>
                </c:pt>
                <c:pt idx="14">
                  <c:v>257.33333333333331</c:v>
                </c:pt>
                <c:pt idx="15">
                  <c:v>164.625</c:v>
                </c:pt>
                <c:pt idx="16">
                  <c:v>188.4</c:v>
                </c:pt>
                <c:pt idx="17">
                  <c:v>260.5</c:v>
                </c:pt>
                <c:pt idx="18">
                  <c:v>172.33333333333334</c:v>
                </c:pt>
                <c:pt idx="19">
                  <c:v>212.5</c:v>
                </c:pt>
                <c:pt idx="20">
                  <c:v>249</c:v>
                </c:pt>
                <c:pt idx="21">
                  <c:v>221.66666666666666</c:v>
                </c:pt>
                <c:pt idx="22">
                  <c:v>180</c:v>
                </c:pt>
                <c:pt idx="23">
                  <c:v>207.66666666666666</c:v>
                </c:pt>
                <c:pt idx="24">
                  <c:v>262</c:v>
                </c:pt>
                <c:pt idx="25">
                  <c:v>122.66666666666667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68780032"/>
        <c:axId val="368781568"/>
      </c:lineChart>
      <c:catAx>
        <c:axId val="36878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781568"/>
        <c:crosses val="autoZero"/>
        <c:auto val="1"/>
        <c:lblAlgn val="ctr"/>
        <c:lblOffset val="100"/>
      </c:catAx>
      <c:valAx>
        <c:axId val="368781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78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92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73594368"/>
        <c:axId val="373600256"/>
      </c:lineChart>
      <c:catAx>
        <c:axId val="3735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600256"/>
        <c:crosses val="autoZero"/>
        <c:auto val="1"/>
        <c:lblAlgn val="ctr"/>
        <c:lblOffset val="100"/>
      </c:catAx>
      <c:valAx>
        <c:axId val="37360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5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73607808"/>
        <c:axId val="373613696"/>
      </c:lineChart>
      <c:catAx>
        <c:axId val="3736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613696"/>
        <c:crosses val="autoZero"/>
        <c:auto val="1"/>
        <c:lblAlgn val="ctr"/>
        <c:lblOffset val="100"/>
      </c:catAx>
      <c:valAx>
        <c:axId val="37361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6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117</c:v>
                </c:pt>
                <c:pt idx="13">
                  <c:v>0</c:v>
                </c:pt>
                <c:pt idx="14">
                  <c:v>152</c:v>
                </c:pt>
                <c:pt idx="15">
                  <c:v>0</c:v>
                </c:pt>
                <c:pt idx="16">
                  <c:v>191</c:v>
                </c:pt>
                <c:pt idx="17">
                  <c:v>0</c:v>
                </c:pt>
                <c:pt idx="18">
                  <c:v>94</c:v>
                </c:pt>
                <c:pt idx="19">
                  <c:v>0</c:v>
                </c:pt>
                <c:pt idx="20">
                  <c:v>220</c:v>
                </c:pt>
                <c:pt idx="21">
                  <c:v>11</c:v>
                </c:pt>
                <c:pt idx="22">
                  <c:v>185</c:v>
                </c:pt>
                <c:pt idx="23">
                  <c:v>5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77762560"/>
        <c:axId val="377764096"/>
      </c:lineChart>
      <c:catAx>
        <c:axId val="37776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764096"/>
        <c:crosses val="autoZero"/>
        <c:auto val="1"/>
        <c:lblAlgn val="ctr"/>
        <c:lblOffset val="100"/>
      </c:catAx>
      <c:valAx>
        <c:axId val="37776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7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17.5</c:v>
                </c:pt>
                <c:pt idx="22">
                  <c:v>17.5</c:v>
                </c:pt>
                <c:pt idx="23">
                  <c:v>17</c:v>
                </c:pt>
                <c:pt idx="24">
                  <c:v>16.5</c:v>
                </c:pt>
                <c:pt idx="25">
                  <c:v>16.5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77788288"/>
        <c:axId val="377789824"/>
      </c:lineChart>
      <c:catAx>
        <c:axId val="37778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789824"/>
        <c:crosses val="autoZero"/>
        <c:auto val="1"/>
        <c:lblAlgn val="ctr"/>
        <c:lblOffset val="100"/>
      </c:catAx>
      <c:valAx>
        <c:axId val="377789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78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118"/>
          <c:w val="0.1272403315177313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77809920"/>
        <c:axId val="377811712"/>
      </c:lineChart>
      <c:catAx>
        <c:axId val="37780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811712"/>
        <c:crosses val="autoZero"/>
        <c:auto val="1"/>
        <c:lblAlgn val="ctr"/>
        <c:lblOffset val="100"/>
      </c:catAx>
      <c:valAx>
        <c:axId val="37781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8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238</c:v>
                </c:pt>
                <c:pt idx="8">
                  <c:v>162</c:v>
                </c:pt>
                <c:pt idx="9">
                  <c:v>137</c:v>
                </c:pt>
                <c:pt idx="10">
                  <c:v>144</c:v>
                </c:pt>
                <c:pt idx="11">
                  <c:v>162</c:v>
                </c:pt>
                <c:pt idx="12">
                  <c:v>244</c:v>
                </c:pt>
                <c:pt idx="13">
                  <c:v>137</c:v>
                </c:pt>
                <c:pt idx="14">
                  <c:v>162</c:v>
                </c:pt>
                <c:pt idx="15">
                  <c:v>157</c:v>
                </c:pt>
                <c:pt idx="16">
                  <c:v>137</c:v>
                </c:pt>
                <c:pt idx="17">
                  <c:v>160</c:v>
                </c:pt>
                <c:pt idx="18">
                  <c:v>214</c:v>
                </c:pt>
                <c:pt idx="19">
                  <c:v>113</c:v>
                </c:pt>
                <c:pt idx="20">
                  <c:v>245</c:v>
                </c:pt>
                <c:pt idx="21">
                  <c:v>137</c:v>
                </c:pt>
                <c:pt idx="22">
                  <c:v>237</c:v>
                </c:pt>
                <c:pt idx="23">
                  <c:v>155</c:v>
                </c:pt>
                <c:pt idx="24">
                  <c:v>182</c:v>
                </c:pt>
                <c:pt idx="25">
                  <c:v>156</c:v>
                </c:pt>
                <c:pt idx="26">
                  <c:v>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91610752"/>
        <c:axId val="391612288"/>
      </c:lineChart>
      <c:catAx>
        <c:axId val="39161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612288"/>
        <c:crosses val="autoZero"/>
        <c:auto val="1"/>
        <c:lblAlgn val="ctr"/>
        <c:lblOffset val="100"/>
      </c:catAx>
      <c:valAx>
        <c:axId val="39161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6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118"/>
          <c:w val="0.135416885389351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1628288"/>
        <c:axId val="391629824"/>
      </c:lineChart>
      <c:catAx>
        <c:axId val="39162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629824"/>
        <c:crosses val="autoZero"/>
        <c:auto val="1"/>
        <c:lblAlgn val="ctr"/>
        <c:lblOffset val="100"/>
      </c:catAx>
      <c:valAx>
        <c:axId val="391629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62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11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8791</c:v>
                </c:pt>
                <c:pt idx="13">
                  <c:v>8409</c:v>
                </c:pt>
                <c:pt idx="14">
                  <c:v>8847</c:v>
                </c:pt>
                <c:pt idx="15">
                  <c:v>5742</c:v>
                </c:pt>
                <c:pt idx="16">
                  <c:v>8525</c:v>
                </c:pt>
                <c:pt idx="17">
                  <c:v>7549</c:v>
                </c:pt>
                <c:pt idx="18">
                  <c:v>8405</c:v>
                </c:pt>
                <c:pt idx="19">
                  <c:v>7757</c:v>
                </c:pt>
                <c:pt idx="20">
                  <c:v>8155</c:v>
                </c:pt>
                <c:pt idx="21">
                  <c:v>6563</c:v>
                </c:pt>
                <c:pt idx="22">
                  <c:v>7116</c:v>
                </c:pt>
                <c:pt idx="23">
                  <c:v>8409</c:v>
                </c:pt>
                <c:pt idx="24">
                  <c:v>6185</c:v>
                </c:pt>
                <c:pt idx="25">
                  <c:v>7896</c:v>
                </c:pt>
                <c:pt idx="26">
                  <c:v>6597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93550848"/>
        <c:axId val="393560832"/>
      </c:lineChart>
      <c:catAx>
        <c:axId val="39355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560832"/>
        <c:crosses val="autoZero"/>
        <c:auto val="1"/>
        <c:lblAlgn val="ctr"/>
        <c:lblOffset val="100"/>
      </c:catAx>
      <c:valAx>
        <c:axId val="39356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5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8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3533</c:v>
                </c:pt>
                <c:pt idx="24">
                  <c:v>2569</c:v>
                </c:pt>
                <c:pt idx="25">
                  <c:v>3242</c:v>
                </c:pt>
                <c:pt idx="26">
                  <c:v>3021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93576832"/>
        <c:axId val="393578368"/>
      </c:lineChart>
      <c:catAx>
        <c:axId val="39357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578368"/>
        <c:crosses val="autoZero"/>
        <c:auto val="1"/>
        <c:lblAlgn val="ctr"/>
        <c:lblOffset val="100"/>
      </c:catAx>
      <c:valAx>
        <c:axId val="39357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57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118"/>
          <c:w val="0.135416885389351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6822016"/>
        <c:axId val="396823552"/>
      </c:lineChart>
      <c:catAx>
        <c:axId val="3968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23552"/>
        <c:crosses val="autoZero"/>
        <c:auto val="1"/>
        <c:lblAlgn val="ctr"/>
        <c:lblOffset val="100"/>
      </c:catAx>
      <c:valAx>
        <c:axId val="396823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507"/>
          <c:y val="0.54325368498487869"/>
          <c:w val="0.11458355205599259"/>
          <c:h val="4.49826989619473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-683.35483870966709</c:v>
                </c:pt>
                <c:pt idx="6">
                  <c:v>-543.35483870968164</c:v>
                </c:pt>
                <c:pt idx="7">
                  <c:v>-683.3548387096962</c:v>
                </c:pt>
                <c:pt idx="8">
                  <c:v>-543.35483870966709</c:v>
                </c:pt>
                <c:pt idx="9">
                  <c:v>-613.3548387096962</c:v>
                </c:pt>
                <c:pt idx="10">
                  <c:v>-613.35483870966709</c:v>
                </c:pt>
                <c:pt idx="11">
                  <c:v>-683.35483870966709</c:v>
                </c:pt>
                <c:pt idx="12">
                  <c:v>-613.35483870966709</c:v>
                </c:pt>
                <c:pt idx="13">
                  <c:v>-613.35483870966709</c:v>
                </c:pt>
                <c:pt idx="14">
                  <c:v>-592.35483870968892</c:v>
                </c:pt>
                <c:pt idx="15">
                  <c:v>1162.0645161290231</c:v>
                </c:pt>
                <c:pt idx="16">
                  <c:v>-613.35483870966709</c:v>
                </c:pt>
                <c:pt idx="17">
                  <c:v>-613.35483870966709</c:v>
                </c:pt>
                <c:pt idx="18">
                  <c:v>-306.6774193548481</c:v>
                </c:pt>
                <c:pt idx="19">
                  <c:v>-1226.7096774193778</c:v>
                </c:pt>
                <c:pt idx="20">
                  <c:v>-306.67741935483355</c:v>
                </c:pt>
                <c:pt idx="21">
                  <c:v>-306.6774193548481</c:v>
                </c:pt>
                <c:pt idx="22">
                  <c:v>-613.35483870966709</c:v>
                </c:pt>
                <c:pt idx="23">
                  <c:v>-920.03225806451519</c:v>
                </c:pt>
                <c:pt idx="24">
                  <c:v>-683.35483870966709</c:v>
                </c:pt>
                <c:pt idx="25">
                  <c:v>-299.67741935483355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6835456"/>
        <c:axId val="396841344"/>
      </c:lineChart>
      <c:catAx>
        <c:axId val="3968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41344"/>
        <c:crosses val="autoZero"/>
        <c:auto val="1"/>
        <c:lblAlgn val="ctr"/>
        <c:lblOffset val="100"/>
      </c:catAx>
      <c:valAx>
        <c:axId val="396841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3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84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6878208"/>
        <c:axId val="396879744"/>
      </c:lineChart>
      <c:catAx>
        <c:axId val="39687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79744"/>
        <c:crosses val="autoZero"/>
        <c:auto val="1"/>
        <c:lblAlgn val="ctr"/>
        <c:lblOffset val="100"/>
      </c:catAx>
      <c:valAx>
        <c:axId val="39687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87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198"/>
          <c:h val="4.49826989619478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8145024"/>
        <c:axId val="398146560"/>
      </c:lineChart>
      <c:catAx>
        <c:axId val="39814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46560"/>
        <c:crosses val="autoZero"/>
        <c:auto val="1"/>
        <c:lblAlgn val="ctr"/>
        <c:lblOffset val="100"/>
      </c:catAx>
      <c:valAx>
        <c:axId val="398146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4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8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60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8166656"/>
        <c:axId val="398172544"/>
      </c:lineChart>
      <c:catAx>
        <c:axId val="39816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72544"/>
        <c:crosses val="autoZero"/>
        <c:auto val="1"/>
        <c:lblAlgn val="ctr"/>
        <c:lblOffset val="100"/>
      </c:catAx>
      <c:valAx>
        <c:axId val="398172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8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8188544"/>
        <c:axId val="398190080"/>
      </c:lineChart>
      <c:catAx>
        <c:axId val="39818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90080"/>
        <c:crosses val="autoZero"/>
        <c:auto val="1"/>
        <c:lblAlgn val="ctr"/>
        <c:lblOffset val="100"/>
      </c:catAx>
      <c:valAx>
        <c:axId val="39819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818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588"/>
          <c:y val="0.62975887529635965"/>
          <c:w val="0.13250539334757044"/>
          <c:h val="4.49826989619478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117</c:v>
                </c:pt>
                <c:pt idx="13">
                  <c:v>0</c:v>
                </c:pt>
                <c:pt idx="14">
                  <c:v>152</c:v>
                </c:pt>
                <c:pt idx="15">
                  <c:v>0</c:v>
                </c:pt>
                <c:pt idx="16">
                  <c:v>191</c:v>
                </c:pt>
                <c:pt idx="17">
                  <c:v>0</c:v>
                </c:pt>
                <c:pt idx="18">
                  <c:v>94</c:v>
                </c:pt>
                <c:pt idx="19">
                  <c:v>0</c:v>
                </c:pt>
                <c:pt idx="20">
                  <c:v>220</c:v>
                </c:pt>
                <c:pt idx="21">
                  <c:v>11</c:v>
                </c:pt>
                <c:pt idx="22">
                  <c:v>185</c:v>
                </c:pt>
                <c:pt idx="23">
                  <c:v>5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9402112"/>
        <c:axId val="399403648"/>
      </c:lineChart>
      <c:catAx>
        <c:axId val="39940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9403648"/>
        <c:crosses val="autoZero"/>
        <c:auto val="1"/>
        <c:lblAlgn val="ctr"/>
        <c:lblOffset val="100"/>
      </c:catAx>
      <c:valAx>
        <c:axId val="39940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940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11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17.5</c:v>
                </c:pt>
                <c:pt idx="22">
                  <c:v>17.5</c:v>
                </c:pt>
                <c:pt idx="23">
                  <c:v>17</c:v>
                </c:pt>
                <c:pt idx="24">
                  <c:v>16.5</c:v>
                </c:pt>
                <c:pt idx="25">
                  <c:v>16.5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399431936"/>
        <c:axId val="399437824"/>
      </c:lineChart>
      <c:catAx>
        <c:axId val="39943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9437824"/>
        <c:crosses val="autoZero"/>
        <c:auto val="1"/>
        <c:lblAlgn val="ctr"/>
        <c:lblOffset val="100"/>
      </c:catAx>
      <c:valAx>
        <c:axId val="39943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943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5077"/>
          <c:w val="0.1234311819809278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403919232"/>
        <c:axId val="403920768"/>
      </c:lineChart>
      <c:catAx>
        <c:axId val="403919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920768"/>
        <c:crosses val="autoZero"/>
        <c:auto val="1"/>
        <c:lblAlgn val="ctr"/>
        <c:lblOffset val="100"/>
      </c:catAx>
      <c:valAx>
        <c:axId val="4039207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91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889"/>
          <c:w val="0.156903985328216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209</c:v>
                </c:pt>
                <c:pt idx="12">
                  <c:v>239.6</c:v>
                </c:pt>
                <c:pt idx="13">
                  <c:v>202.25</c:v>
                </c:pt>
                <c:pt idx="14">
                  <c:v>257.33333333333331</c:v>
                </c:pt>
                <c:pt idx="15">
                  <c:v>164.625</c:v>
                </c:pt>
                <c:pt idx="16">
                  <c:v>188.4</c:v>
                </c:pt>
                <c:pt idx="17">
                  <c:v>260.5</c:v>
                </c:pt>
                <c:pt idx="18">
                  <c:v>172.33333333333334</c:v>
                </c:pt>
                <c:pt idx="19">
                  <c:v>212.5</c:v>
                </c:pt>
                <c:pt idx="20">
                  <c:v>249</c:v>
                </c:pt>
                <c:pt idx="21">
                  <c:v>221.66666666666666</c:v>
                </c:pt>
                <c:pt idx="22">
                  <c:v>180</c:v>
                </c:pt>
                <c:pt idx="23">
                  <c:v>207.66666666666666</c:v>
                </c:pt>
                <c:pt idx="24">
                  <c:v>262</c:v>
                </c:pt>
                <c:pt idx="25">
                  <c:v>122.66666666666667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03952768"/>
        <c:axId val="403954304"/>
      </c:lineChart>
      <c:catAx>
        <c:axId val="40395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954304"/>
        <c:crosses val="autoZero"/>
        <c:auto val="1"/>
        <c:lblAlgn val="ctr"/>
        <c:lblOffset val="100"/>
      </c:catAx>
      <c:valAx>
        <c:axId val="403954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95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376"/>
          <c:h val="4.49826989619480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17.5</c:v>
                </c:pt>
                <c:pt idx="22">
                  <c:v>17.5</c:v>
                </c:pt>
                <c:pt idx="23">
                  <c:v>17</c:v>
                </c:pt>
                <c:pt idx="24">
                  <c:v>16.5</c:v>
                </c:pt>
                <c:pt idx="25">
                  <c:v>16.5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04159104"/>
        <c:axId val="404951424"/>
      </c:lineChart>
      <c:catAx>
        <c:axId val="4041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4951424"/>
        <c:crosses val="autoZero"/>
        <c:auto val="1"/>
        <c:lblAlgn val="ctr"/>
        <c:lblOffset val="100"/>
      </c:catAx>
      <c:valAx>
        <c:axId val="40495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41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7128"/>
          <c:y val="0.62975887529635965"/>
          <c:w val="0.12164948453608219"/>
          <c:h val="4.49826989619480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11321088"/>
        <c:axId val="411322624"/>
      </c:lineChart>
      <c:catAx>
        <c:axId val="41132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322624"/>
        <c:crosses val="autoZero"/>
        <c:auto val="1"/>
        <c:lblAlgn val="ctr"/>
        <c:lblOffset val="100"/>
      </c:catAx>
      <c:valAx>
        <c:axId val="411322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32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3533</c:v>
                </c:pt>
                <c:pt idx="24">
                  <c:v>2569</c:v>
                </c:pt>
                <c:pt idx="25">
                  <c:v>3242</c:v>
                </c:pt>
                <c:pt idx="26">
                  <c:v>3021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12649344"/>
        <c:axId val="412650880"/>
      </c:lineChart>
      <c:catAx>
        <c:axId val="4126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650880"/>
        <c:crosses val="autoZero"/>
        <c:auto val="1"/>
        <c:lblAlgn val="ctr"/>
        <c:lblOffset val="100"/>
      </c:catAx>
      <c:valAx>
        <c:axId val="41265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6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3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417780096"/>
        <c:axId val="417781632"/>
      </c:lineChart>
      <c:catAx>
        <c:axId val="417780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7781632"/>
        <c:crosses val="autoZero"/>
        <c:auto val="1"/>
        <c:lblAlgn val="ctr"/>
        <c:lblOffset val="100"/>
      </c:catAx>
      <c:valAx>
        <c:axId val="417781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778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8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7.9822341275625208E-2</v>
      </c>
      <c r="G2" s="204">
        <f>-tanks!AW6</f>
        <v>205</v>
      </c>
      <c r="H2" s="333">
        <f>SUM(tanks!AV6)</f>
        <v>0.5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9.6868709062387745E-2</v>
      </c>
      <c r="G3" s="204">
        <f>-tanks!AW7</f>
        <v>97</v>
      </c>
      <c r="H3" s="333">
        <f>SUM(tanks!AV7)</f>
        <v>0.5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9.1685671564237237E-2</v>
      </c>
      <c r="G4" s="204">
        <f>-tanks!AW8</f>
        <v>0</v>
      </c>
      <c r="H4" s="333">
        <f>SUM(tanks!AV8)</f>
        <v>0.5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0.11045806365003634</v>
      </c>
      <c r="G5" s="204">
        <f>-tanks!AW9</f>
        <v>0</v>
      </c>
      <c r="H5" s="333">
        <f>SUM(tanks!AV9)</f>
        <v>0.5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0.10812478810589146</v>
      </c>
      <c r="G6" s="204">
        <f>-tanks!AW10</f>
        <v>0</v>
      </c>
      <c r="H6" s="333">
        <f>SUM(tanks!AV10)</f>
        <v>0.5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9.9338087407270709E-2</v>
      </c>
      <c r="G7" s="204">
        <f>-tanks!AW11</f>
        <v>0</v>
      </c>
      <c r="H7" s="333">
        <f>SUM(tanks!AV11)</f>
        <v>0.5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6591.6000000000931</v>
      </c>
      <c r="F8" s="333">
        <f>SUM('EDl log'!T10)</f>
        <v>8.0356136233902697E-2</v>
      </c>
      <c r="G8" s="204">
        <f>-tanks!AW12</f>
        <v>238</v>
      </c>
      <c r="H8" s="333">
        <f>SUM(tanks!AV12)</f>
        <v>0.5</v>
      </c>
      <c r="I8" s="10">
        <f>('B5'!AU11)*0.51</f>
        <v>0</v>
      </c>
      <c r="J8" s="312">
        <f>'B5'!AX11/0.51</f>
        <v>1.5686274509803921</v>
      </c>
      <c r="K8" s="204">
        <f>WATER!I12</f>
        <v>190</v>
      </c>
      <c r="L8" s="334">
        <f>SUM(WATER!J12)</f>
        <v>1.3157894736842106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7125.7999999998137</v>
      </c>
      <c r="F9" s="333">
        <f>SUM('EDl log'!T11)</f>
        <v>9.2226623830349394E-2</v>
      </c>
      <c r="G9" s="204">
        <f>-tanks!AW13</f>
        <v>162</v>
      </c>
      <c r="H9" s="333">
        <f>SUM(tanks!AV13)</f>
        <v>0.5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7376</v>
      </c>
      <c r="F10" s="333">
        <f>SUM('EDl log'!T12)</f>
        <v>8.8024447781526696E-2</v>
      </c>
      <c r="G10" s="204">
        <f>-tanks!AW14</f>
        <v>137</v>
      </c>
      <c r="H10" s="333">
        <f>SUM(tanks!AV14)</f>
        <v>0.5</v>
      </c>
      <c r="I10" s="10">
        <f>('B5'!AU13)*0.51</f>
        <v>0</v>
      </c>
      <c r="J10" s="312">
        <f>'B5'!AX13/0.51</f>
        <v>1.5686274509803921</v>
      </c>
      <c r="K10" s="204">
        <f>WATER!I14</f>
        <v>191</v>
      </c>
      <c r="L10" s="334">
        <f>SUM(WATER!J14)</f>
        <v>1.3089005235602094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7892</v>
      </c>
      <c r="F11" s="333">
        <f>SUM('EDl log'!T13)</f>
        <v>8.9490419813931438E-2</v>
      </c>
      <c r="G11" s="204">
        <f>-tanks!AW15</f>
        <v>144</v>
      </c>
      <c r="H11" s="333">
        <f>SUM(tanks!AV15)</f>
        <v>0.5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8345</v>
      </c>
      <c r="F12" s="333">
        <f>SUM('EDl log'!T14)</f>
        <v>7.7396947970837682E-2</v>
      </c>
      <c r="G12" s="204">
        <f>-tanks!AW16</f>
        <v>162</v>
      </c>
      <c r="H12" s="333">
        <f>SUM(tanks!AV16)</f>
        <v>0.5</v>
      </c>
      <c r="I12" s="10">
        <f>('B5'!AU15)*0.51</f>
        <v>0</v>
      </c>
      <c r="J12" s="312">
        <f>'B5'!AX15/0.51</f>
        <v>1.5686274509803921</v>
      </c>
      <c r="K12" s="204">
        <f>WATER!I16</f>
        <v>185</v>
      </c>
      <c r="L12" s="334">
        <f>SUM(WATER!J16)</f>
        <v>1.3513513513513513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8791</v>
      </c>
      <c r="F13" s="333">
        <f>SUM('EDl log'!T15)</f>
        <v>8.2754639776968175E-2</v>
      </c>
      <c r="G13" s="204">
        <f>-tanks!AW17</f>
        <v>244</v>
      </c>
      <c r="H13" s="333">
        <f>SUM(tanks!AV17)</f>
        <v>0.5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8409</v>
      </c>
      <c r="F14" s="333">
        <f>SUM('EDl log'!T16)</f>
        <v>8.7717061634080787E-2</v>
      </c>
      <c r="G14" s="204">
        <f>-tanks!AW18</f>
        <v>137</v>
      </c>
      <c r="H14" s="333">
        <f>SUM(tanks!AV18)</f>
        <v>0.5</v>
      </c>
      <c r="I14" s="10">
        <f>('B5'!AU17)*0.51</f>
        <v>0</v>
      </c>
      <c r="J14" s="312">
        <f>'B5'!AX17/0.51</f>
        <v>1.5686274509803921</v>
      </c>
      <c r="K14" s="204">
        <f>WATER!I18</f>
        <v>117</v>
      </c>
      <c r="L14" s="334">
        <f>SUM(WATER!J18)</f>
        <v>2.1367521367521367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8847</v>
      </c>
      <c r="F15" s="333">
        <f>SUM('EDl log'!T17)</f>
        <v>7.882252410799967E-2</v>
      </c>
      <c r="G15" s="204">
        <f>-tanks!AW19</f>
        <v>162</v>
      </c>
      <c r="H15" s="333">
        <f>SUM(tanks!AV19)</f>
        <v>0.5</v>
      </c>
      <c r="I15" s="10">
        <f>('B5'!AU18)*0.51</f>
        <v>15.3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5742</v>
      </c>
      <c r="F16" s="333">
        <f>SUM('EDl log'!T18)</f>
        <v>9.8147319562191554E-2</v>
      </c>
      <c r="G16" s="204">
        <f>-tanks!AW20</f>
        <v>157</v>
      </c>
      <c r="H16" s="333">
        <f>SUM(tanks!AV20)</f>
        <v>0.5</v>
      </c>
      <c r="I16" s="10">
        <f>('B5'!AU19)*0.51</f>
        <v>0</v>
      </c>
      <c r="J16" s="312">
        <f>'B5'!AX19/0.51</f>
        <v>1.5686274509803921</v>
      </c>
      <c r="K16" s="204">
        <f>WATER!I20</f>
        <v>152</v>
      </c>
      <c r="L16" s="334">
        <f>SUM(WATER!J20)</f>
        <v>1.6447368421052631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8525</v>
      </c>
      <c r="F17" s="333">
        <f>SUM('EDl log'!T19)</f>
        <v>-1.9379827293980457E-2</v>
      </c>
      <c r="G17" s="204">
        <f>-tanks!AW21</f>
        <v>137</v>
      </c>
      <c r="H17" s="333">
        <f>SUM(tanks!AV21)</f>
        <v>0.49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7549</v>
      </c>
      <c r="F18" s="333">
        <f>SUM('EDl log'!T20)</f>
        <v>8.8918741630399298E-2</v>
      </c>
      <c r="G18" s="204">
        <f>-tanks!AW22</f>
        <v>160</v>
      </c>
      <c r="H18" s="333">
        <f>SUM(tanks!AV22)</f>
        <v>0.49</v>
      </c>
      <c r="I18" s="10">
        <f>('B5'!AU21)*0.51</f>
        <v>0</v>
      </c>
      <c r="J18" s="312">
        <f>'B5'!AX21/0.51</f>
        <v>1.5686274509803921</v>
      </c>
      <c r="K18" s="204">
        <f>WATER!I22</f>
        <v>191</v>
      </c>
      <c r="L18" s="334">
        <f>SUM(WATER!J22)</f>
        <v>1.3089005235602094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8405</v>
      </c>
      <c r="F19" s="333">
        <f>SUM('EDl log'!T21)</f>
        <v>8.0119196025116177E-2</v>
      </c>
      <c r="G19" s="204">
        <f>-tanks!AW23</f>
        <v>214</v>
      </c>
      <c r="H19" s="333">
        <f>SUM(tanks!AV23)</f>
        <v>0.49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7757</v>
      </c>
      <c r="F20" s="333">
        <f>SUM('EDl log'!T22)</f>
        <v>6.6057620450381382E-2</v>
      </c>
      <c r="G20" s="204">
        <f>-tanks!AW24</f>
        <v>113</v>
      </c>
      <c r="H20" s="333">
        <f>SUM(tanks!AV24)</f>
        <v>0.49</v>
      </c>
      <c r="I20" s="10">
        <f>('B5'!AU23)*0.51</f>
        <v>0</v>
      </c>
      <c r="J20" s="312">
        <f>'B5'!AX23/0.51</f>
        <v>1.5686274509803921</v>
      </c>
      <c r="K20" s="204">
        <f>WATER!I24</f>
        <v>94</v>
      </c>
      <c r="L20" s="334">
        <f>SUM(WATER!J24)</f>
        <v>2.6595744680851063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8155</v>
      </c>
      <c r="F21" s="333">
        <f>SUM('EDl log'!T23)</f>
        <v>0.11684949364682666</v>
      </c>
      <c r="G21" s="204">
        <f>-tanks!AW25</f>
        <v>245</v>
      </c>
      <c r="H21" s="333">
        <f>SUM(tanks!AV25)</f>
        <v>0.49</v>
      </c>
      <c r="I21" s="10">
        <f>('B5'!AU24)*0.51</f>
        <v>-15.3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6563</v>
      </c>
      <c r="F22" s="333">
        <f>SUM('EDl log'!T24)</f>
        <v>7.7404264164893835E-2</v>
      </c>
      <c r="G22" s="204">
        <f>-tanks!AW26</f>
        <v>137</v>
      </c>
      <c r="H22" s="333">
        <f>SUM(tanks!AV26)</f>
        <v>0.49</v>
      </c>
      <c r="I22" s="10">
        <f>('B5'!AU25)*0.51</f>
        <v>0</v>
      </c>
      <c r="J22" s="312">
        <f>'B5'!AX25/0.51</f>
        <v>1.5686274509803921</v>
      </c>
      <c r="K22" s="204">
        <f>WATER!I26</f>
        <v>220</v>
      </c>
      <c r="L22" s="334">
        <f>SUM(WATER!J26)</f>
        <v>1.1363636363636365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7116</v>
      </c>
      <c r="F23" s="333">
        <f>SUM('EDl log'!T25)</f>
        <v>7.4326215089454778E-2</v>
      </c>
      <c r="G23" s="204">
        <f>-tanks!AW27</f>
        <v>237</v>
      </c>
      <c r="H23" s="333">
        <f>SUM(tanks!AV27)</f>
        <v>0.49</v>
      </c>
      <c r="I23" s="10">
        <f>('B5'!AU26)*0.51</f>
        <v>0</v>
      </c>
      <c r="J23" s="312">
        <f>'B5'!AX26/0.51</f>
        <v>1.5686274509803921</v>
      </c>
      <c r="K23" s="204">
        <f>WATER!I27</f>
        <v>11</v>
      </c>
      <c r="L23" s="334">
        <f>SUM(WATER!J27)</f>
        <v>22.727272727272727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8409</v>
      </c>
      <c r="F24" s="333">
        <f>SUM('EDl log'!T26)</f>
        <v>7.5225340196081111E-2</v>
      </c>
      <c r="G24" s="204">
        <f>-tanks!AW28</f>
        <v>155</v>
      </c>
      <c r="H24" s="333">
        <f>SUM(tanks!AV28)</f>
        <v>0.49</v>
      </c>
      <c r="I24" s="10">
        <f>('B5'!AU27)*0.51</f>
        <v>0</v>
      </c>
      <c r="J24" s="312">
        <f>'B5'!AX27/0.51</f>
        <v>1.5686274509803921</v>
      </c>
      <c r="K24" s="204">
        <f>WATER!I28</f>
        <v>185</v>
      </c>
      <c r="L24" s="334">
        <f>SUM(WATER!J28)</f>
        <v>1.3513513513513513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6185</v>
      </c>
      <c r="F25" s="333">
        <f>SUM('EDl log'!T27)</f>
        <v>0.12006985503075063</v>
      </c>
      <c r="G25" s="204">
        <f>-tanks!AW29</f>
        <v>182</v>
      </c>
      <c r="H25" s="333">
        <f>SUM(tanks!AV29)</f>
        <v>0.49</v>
      </c>
      <c r="I25" s="10">
        <f>('B5'!AU28)*0.51</f>
        <v>0</v>
      </c>
      <c r="J25" s="312">
        <f>'B5'!AX28/0.51</f>
        <v>1.5686274509803921</v>
      </c>
      <c r="K25" s="204">
        <f>WATER!I29</f>
        <v>5</v>
      </c>
      <c r="L25" s="334">
        <f>SUM(WATER!J29)</f>
        <v>50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7896</v>
      </c>
      <c r="F26" s="333">
        <f>SUM('EDl log'!T28)</f>
        <v>8.7474118575149029E-2</v>
      </c>
      <c r="G26" s="204">
        <f>-tanks!AW30</f>
        <v>156</v>
      </c>
      <c r="H26" s="333">
        <f>SUM(tanks!AV30)</f>
        <v>0.49</v>
      </c>
      <c r="I26" s="10">
        <f>('B5'!AU29)*0.51</f>
        <v>0</v>
      </c>
      <c r="J26" s="312">
        <f>'B5'!AX29/0.51</f>
        <v>1.5686274509803921</v>
      </c>
      <c r="K26" s="204">
        <f>WATER!I30</f>
        <v>2</v>
      </c>
      <c r="L26" s="334">
        <f>SUM(WATER!J30)</f>
        <v>125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6597</v>
      </c>
      <c r="F27" s="333">
        <f>SUM('EDl log'!T29)</f>
        <v>7.7163833197627027E-2</v>
      </c>
      <c r="G27" s="204">
        <f>-tanks!AW31</f>
        <v>97</v>
      </c>
      <c r="H27" s="333">
        <f>SUM(tanks!AV31)</f>
        <v>0.49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0.49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0.49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0.49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0.49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2208</v>
      </c>
      <c r="F8" s="204">
        <f>ELEC!K9</f>
        <v>860</v>
      </c>
      <c r="G8" s="204">
        <f>ELEC!I9</f>
        <v>780</v>
      </c>
      <c r="H8" s="204">
        <f>ELEC!E9</f>
        <v>2056</v>
      </c>
      <c r="I8" s="204">
        <f>ELEC!G9</f>
        <v>687.60000000009313</v>
      </c>
      <c r="J8" s="204">
        <f>WATER!Y12</f>
        <v>40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2412</v>
      </c>
      <c r="F9" s="204">
        <f>ELEC!K10</f>
        <v>940</v>
      </c>
      <c r="G9" s="204">
        <f>ELEC!I10</f>
        <v>818</v>
      </c>
      <c r="H9" s="204">
        <f>ELEC!E10</f>
        <v>2290</v>
      </c>
      <c r="I9" s="204">
        <f>ELEC!G10</f>
        <v>665.79999999981374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2168</v>
      </c>
      <c r="F10" s="204">
        <f>ELEC!K11</f>
        <v>960</v>
      </c>
      <c r="G10" s="204">
        <f>ELEC!I11</f>
        <v>828</v>
      </c>
      <c r="H10" s="204">
        <f>ELEC!E11</f>
        <v>2716</v>
      </c>
      <c r="I10" s="204">
        <f>ELEC!G11</f>
        <v>704</v>
      </c>
      <c r="J10" s="204">
        <f>WATER!Y14</f>
        <v>66</v>
      </c>
      <c r="K10" s="204">
        <f>WATER!AJ14</f>
        <v>23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2416</v>
      </c>
      <c r="F11" s="204">
        <f>ELEC!K12</f>
        <v>1392</v>
      </c>
      <c r="G11" s="204">
        <f>ELEC!I12</f>
        <v>780</v>
      </c>
      <c r="H11" s="204">
        <f>ELEC!E12</f>
        <v>2638</v>
      </c>
      <c r="I11" s="204">
        <f>ELEC!G12</f>
        <v>666</v>
      </c>
      <c r="J11" s="204">
        <f>WATER!Y15</f>
        <v>66</v>
      </c>
      <c r="K11" s="204">
        <f>WATER!AJ15</f>
        <v>24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1820</v>
      </c>
      <c r="F12" s="204">
        <f>ELEC!K13</f>
        <v>2468</v>
      </c>
      <c r="G12" s="204">
        <f>ELEC!I13</f>
        <v>832</v>
      </c>
      <c r="H12" s="204">
        <f>ELEC!E13</f>
        <v>2512</v>
      </c>
      <c r="I12" s="204">
        <f>ELEC!G13</f>
        <v>713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1766</v>
      </c>
      <c r="F13" s="204">
        <f>ELEC!K14</f>
        <v>2864</v>
      </c>
      <c r="G13" s="204">
        <f>ELEC!I14</f>
        <v>870</v>
      </c>
      <c r="H13" s="204">
        <f>ELEC!E14</f>
        <v>2592</v>
      </c>
      <c r="I13" s="204">
        <f>ELEC!G14</f>
        <v>699</v>
      </c>
      <c r="J13" s="204">
        <f>WATER!Y17</f>
        <v>83</v>
      </c>
      <c r="K13" s="204">
        <f>WATER!AJ17</f>
        <v>42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1744</v>
      </c>
      <c r="F14" s="204">
        <f>ELEC!K15</f>
        <v>2412</v>
      </c>
      <c r="G14" s="204">
        <f>ELEC!I15</f>
        <v>850</v>
      </c>
      <c r="H14" s="204">
        <f>ELEC!E15</f>
        <v>2752</v>
      </c>
      <c r="I14" s="204">
        <f>ELEC!G15</f>
        <v>651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1870</v>
      </c>
      <c r="F15" s="204">
        <f>ELEC!K16</f>
        <v>2628</v>
      </c>
      <c r="G15" s="204">
        <f>ELEC!I16</f>
        <v>932</v>
      </c>
      <c r="H15" s="204">
        <f>ELEC!E16</f>
        <v>2692</v>
      </c>
      <c r="I15" s="204">
        <f>ELEC!G16</f>
        <v>725</v>
      </c>
      <c r="J15" s="204">
        <f>WATER!Y19</f>
        <v>31</v>
      </c>
      <c r="K15" s="204">
        <f>WATER!AJ19</f>
        <v>12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1718</v>
      </c>
      <c r="F16" s="204">
        <f>ELEC!K17</f>
        <v>1016</v>
      </c>
      <c r="G16" s="204">
        <f>ELEC!I17</f>
        <v>686</v>
      </c>
      <c r="H16" s="204">
        <f>ELEC!E17</f>
        <v>1760</v>
      </c>
      <c r="I16" s="204">
        <f>ELEC!G17</f>
        <v>562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2070</v>
      </c>
      <c r="F17" s="204">
        <f>ELEC!K18</f>
        <v>2588</v>
      </c>
      <c r="G17" s="204">
        <f>ELEC!I18</f>
        <v>822</v>
      </c>
      <c r="H17" s="204">
        <f>ELEC!E18</f>
        <v>2228</v>
      </c>
      <c r="I17" s="204">
        <f>ELEC!G18</f>
        <v>817</v>
      </c>
      <c r="J17" s="204">
        <f>WATER!Y21</f>
        <v>54</v>
      </c>
      <c r="K17" s="204">
        <f>WATER!AJ21</f>
        <v>47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1988</v>
      </c>
      <c r="F18" s="204">
        <f>ELEC!K19</f>
        <v>2018</v>
      </c>
      <c r="G18" s="204">
        <f>ELEC!I19</f>
        <v>790</v>
      </c>
      <c r="H18" s="204">
        <f>ELEC!E19</f>
        <v>2096</v>
      </c>
      <c r="I18" s="204">
        <f>ELEC!G19</f>
        <v>657</v>
      </c>
      <c r="J18" s="204">
        <f>WATER!Y22</f>
        <v>23</v>
      </c>
      <c r="K18" s="204">
        <f>WATER!AJ22</f>
        <v>21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1992</v>
      </c>
      <c r="F19" s="204">
        <f>ELEC!K20</f>
        <v>2350</v>
      </c>
      <c r="G19" s="204">
        <f>ELEC!I20</f>
        <v>926</v>
      </c>
      <c r="H19" s="204">
        <f>ELEC!E20</f>
        <v>2428</v>
      </c>
      <c r="I19" s="204">
        <f>ELEC!G20</f>
        <v>709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1704</v>
      </c>
      <c r="F20" s="204">
        <f>ELEC!K21</f>
        <v>2222</v>
      </c>
      <c r="G20" s="204">
        <f>ELEC!I21</f>
        <v>798</v>
      </c>
      <c r="H20" s="204">
        <f>ELEC!E21</f>
        <v>2364</v>
      </c>
      <c r="I20" s="204">
        <f>ELEC!G21</f>
        <v>669</v>
      </c>
      <c r="J20" s="204">
        <f>WATER!Y24</f>
        <v>20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1802</v>
      </c>
      <c r="F21" s="204">
        <f>ELEC!K22</f>
        <v>2298</v>
      </c>
      <c r="G21" s="204">
        <f>ELEC!I22</f>
        <v>840</v>
      </c>
      <c r="H21" s="204">
        <f>ELEC!E22</f>
        <v>2546</v>
      </c>
      <c r="I21" s="204">
        <f>ELEC!G22</f>
        <v>669</v>
      </c>
      <c r="J21" s="204">
        <f>WATER!Y25</f>
        <v>64</v>
      </c>
      <c r="K21" s="204">
        <f>WATER!AJ25</f>
        <v>44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1818</v>
      </c>
      <c r="F22" s="204">
        <f>ELEC!K23</f>
        <v>1356</v>
      </c>
      <c r="G22" s="204">
        <f>ELEC!I23</f>
        <v>800</v>
      </c>
      <c r="H22" s="204">
        <f>ELEC!E23</f>
        <v>1986</v>
      </c>
      <c r="I22" s="204">
        <f>ELEC!G23</f>
        <v>603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2364</v>
      </c>
      <c r="F23" s="204">
        <f>ELEC!K24</f>
        <v>988</v>
      </c>
      <c r="G23" s="204">
        <f>ELEC!I24</f>
        <v>750</v>
      </c>
      <c r="H23" s="204">
        <f>ELEC!E24</f>
        <v>2428</v>
      </c>
      <c r="I23" s="204">
        <f>ELEC!G24</f>
        <v>586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2106</v>
      </c>
      <c r="F24" s="204">
        <f>ELEC!K25</f>
        <v>2036</v>
      </c>
      <c r="G24" s="204">
        <f>ELEC!I25</f>
        <v>884</v>
      </c>
      <c r="H24" s="204">
        <f>ELEC!E25</f>
        <v>2716</v>
      </c>
      <c r="I24" s="204">
        <f>ELEC!G25</f>
        <v>667</v>
      </c>
      <c r="J24" s="204">
        <f>WATER!Y28</f>
        <v>4</v>
      </c>
      <c r="K24" s="204">
        <f>WATER!AJ28</f>
        <v>47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1390</v>
      </c>
      <c r="F25" s="204">
        <f>ELEC!K26</f>
        <v>1600</v>
      </c>
      <c r="G25" s="204">
        <f>ELEC!I26</f>
        <v>672</v>
      </c>
      <c r="H25" s="204">
        <f>ELEC!E26</f>
        <v>1988</v>
      </c>
      <c r="I25" s="204">
        <f>ELEC!G26</f>
        <v>535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1708</v>
      </c>
      <c r="F26" s="204">
        <f>ELEC!K27</f>
        <v>2062</v>
      </c>
      <c r="G26" s="204">
        <f>ELEC!I27</f>
        <v>838</v>
      </c>
      <c r="H26" s="204">
        <f>ELEC!E27</f>
        <v>2548</v>
      </c>
      <c r="I26" s="204">
        <f>ELEC!G27</f>
        <v>740</v>
      </c>
      <c r="J26" s="204">
        <f>WATER!Y30</f>
        <v>100</v>
      </c>
      <c r="K26" s="204">
        <f>WATER!AJ30</f>
        <v>26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1640</v>
      </c>
      <c r="F27" s="204">
        <f>ELEC!K28</f>
        <v>1328</v>
      </c>
      <c r="G27" s="204">
        <f>ELEC!I28</f>
        <v>758</v>
      </c>
      <c r="H27" s="204">
        <f>ELEC!E28</f>
        <v>2192</v>
      </c>
      <c r="I27" s="204">
        <f>ELEC!G28</f>
        <v>679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K1" zoomScale="85" zoomScaleNormal="85" zoomScaleSheetLayoutView="100" workbookViewId="0">
      <pane ySplit="1" topLeftCell="A21" activePane="bottomLeft" state="frozen"/>
      <selection activeCell="C1" sqref="C1"/>
      <selection pane="bottomLeft" activeCell="T28" sqref="T28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629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599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599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30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599">
        <v>3897774</v>
      </c>
      <c r="G4" s="315">
        <f t="shared" si="0"/>
        <v>756</v>
      </c>
      <c r="H4" s="451">
        <v>17703516</v>
      </c>
      <c r="I4" s="315">
        <f>H4-H3</f>
        <v>894</v>
      </c>
      <c r="J4" s="599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30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599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599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599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30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599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599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30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599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599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30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599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599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599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30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v>32401830</v>
      </c>
      <c r="E9" s="314">
        <f t="shared" si="14"/>
        <v>2056</v>
      </c>
      <c r="F9" s="599">
        <v>3901347.2</v>
      </c>
      <c r="G9" s="315">
        <f t="shared" si="0"/>
        <v>687.60000000009313</v>
      </c>
      <c r="H9" s="451">
        <v>17707748</v>
      </c>
      <c r="I9" s="315">
        <f t="shared" si="15"/>
        <v>780</v>
      </c>
      <c r="J9" s="599">
        <v>28767810</v>
      </c>
      <c r="K9" s="315">
        <f t="shared" si="16"/>
        <v>860</v>
      </c>
      <c r="L9" s="451">
        <v>23824026</v>
      </c>
      <c r="M9" s="315">
        <f t="shared" si="17"/>
        <v>2208</v>
      </c>
      <c r="N9" s="313">
        <f t="shared" si="18"/>
        <v>6591.6000000000931</v>
      </c>
      <c r="O9" s="473">
        <f t="shared" si="1"/>
        <v>0</v>
      </c>
      <c r="P9" s="630">
        <v>16412</v>
      </c>
      <c r="Q9" s="455">
        <f t="shared" si="2"/>
        <v>0</v>
      </c>
      <c r="R9" s="455">
        <f t="shared" si="23"/>
        <v>6591.6000000000931</v>
      </c>
      <c r="S9" s="451">
        <v>9990</v>
      </c>
      <c r="T9" s="475">
        <f t="shared" si="3"/>
        <v>3</v>
      </c>
      <c r="U9" s="451">
        <v>397917</v>
      </c>
      <c r="V9" s="455">
        <f t="shared" si="20"/>
        <v>663</v>
      </c>
      <c r="W9" s="451">
        <f t="shared" si="8"/>
        <v>32049</v>
      </c>
      <c r="X9" s="455">
        <f t="shared" ref="X9:X32" si="25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3</v>
      </c>
      <c r="AF9" s="479">
        <f t="shared" si="13"/>
        <v>663</v>
      </c>
      <c r="AG9" s="471">
        <f t="shared" si="5"/>
        <v>221</v>
      </c>
      <c r="AI9" s="472">
        <f>R9-'EDl log'!B7</f>
        <v>-609779.39999999991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v>32404120</v>
      </c>
      <c r="E10" s="314">
        <f t="shared" si="14"/>
        <v>2290</v>
      </c>
      <c r="F10" s="599">
        <v>3902013</v>
      </c>
      <c r="G10" s="315">
        <f t="shared" si="0"/>
        <v>665.79999999981374</v>
      </c>
      <c r="H10" s="451">
        <v>17708566</v>
      </c>
      <c r="I10" s="315">
        <f t="shared" si="15"/>
        <v>818</v>
      </c>
      <c r="J10" s="599">
        <v>28768750</v>
      </c>
      <c r="K10" s="315">
        <f t="shared" si="16"/>
        <v>940</v>
      </c>
      <c r="L10" s="451">
        <v>23826438</v>
      </c>
      <c r="M10" s="315">
        <f t="shared" si="17"/>
        <v>2412</v>
      </c>
      <c r="N10" s="313">
        <f t="shared" si="18"/>
        <v>7125.7999999998137</v>
      </c>
      <c r="O10" s="473">
        <f t="shared" ref="O10:O32" si="26">IF(B10&gt;0,N10/B10,0)</f>
        <v>0</v>
      </c>
      <c r="P10" s="630">
        <v>16414</v>
      </c>
      <c r="Q10" s="455">
        <f t="shared" si="2"/>
        <v>2000</v>
      </c>
      <c r="R10" s="455">
        <f t="shared" si="23"/>
        <v>5125.7999999998137</v>
      </c>
      <c r="S10" s="451">
        <v>9995</v>
      </c>
      <c r="T10" s="475">
        <f t="shared" si="3"/>
        <v>5</v>
      </c>
      <c r="U10" s="451">
        <v>398801</v>
      </c>
      <c r="V10" s="455">
        <f t="shared" si="20"/>
        <v>884</v>
      </c>
      <c r="W10" s="451">
        <v>32049</v>
      </c>
      <c r="X10" s="455">
        <f t="shared" si="25"/>
        <v>0</v>
      </c>
      <c r="Y10" s="451">
        <f t="shared" si="9"/>
        <v>673052</v>
      </c>
      <c r="Z10" s="455">
        <f t="shared" si="24"/>
        <v>0</v>
      </c>
      <c r="AA10" s="451">
        <v>35632</v>
      </c>
      <c r="AB10" s="455">
        <f t="shared" si="21"/>
        <v>0</v>
      </c>
      <c r="AC10" s="451">
        <v>905341</v>
      </c>
      <c r="AD10" s="455">
        <f t="shared" si="22"/>
        <v>0</v>
      </c>
      <c r="AE10" s="478">
        <f t="shared" si="12"/>
        <v>5</v>
      </c>
      <c r="AF10" s="479">
        <f t="shared" si="13"/>
        <v>884</v>
      </c>
      <c r="AG10" s="471">
        <f t="shared" ref="AG10:AG32" si="27">IF(AE10&gt;0,AF10/AE10,0)</f>
        <v>176.8</v>
      </c>
      <c r="AI10" s="472">
        <f>R10-'EDl log'!B8</f>
        <v>-614554.20000000019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v>32406836</v>
      </c>
      <c r="E11" s="314">
        <f t="shared" si="14"/>
        <v>2716</v>
      </c>
      <c r="F11" s="599">
        <v>3902717</v>
      </c>
      <c r="G11" s="315">
        <f t="shared" si="0"/>
        <v>704</v>
      </c>
      <c r="H11" s="451">
        <v>17709394</v>
      </c>
      <c r="I11" s="315">
        <f t="shared" si="15"/>
        <v>828</v>
      </c>
      <c r="J11" s="599">
        <v>28769710</v>
      </c>
      <c r="K11" s="315">
        <f t="shared" si="16"/>
        <v>960</v>
      </c>
      <c r="L11" s="451">
        <v>23828606</v>
      </c>
      <c r="M11" s="315">
        <f t="shared" si="17"/>
        <v>2168</v>
      </c>
      <c r="N11" s="313">
        <f>M11+K11+I11+G11+E11</f>
        <v>7376</v>
      </c>
      <c r="O11" s="473">
        <f t="shared" si="26"/>
        <v>0</v>
      </c>
      <c r="P11" s="630">
        <v>16415</v>
      </c>
      <c r="Q11" s="455">
        <f t="shared" si="2"/>
        <v>1000</v>
      </c>
      <c r="R11" s="455">
        <f t="shared" si="23"/>
        <v>6376</v>
      </c>
      <c r="S11" s="451">
        <v>9998</v>
      </c>
      <c r="T11" s="475">
        <f t="shared" si="3"/>
        <v>3</v>
      </c>
      <c r="U11" s="599">
        <v>399403</v>
      </c>
      <c r="V11" s="455">
        <f t="shared" si="20"/>
        <v>602</v>
      </c>
      <c r="W11" s="451">
        <f t="shared" si="8"/>
        <v>32049</v>
      </c>
      <c r="X11" s="455">
        <f t="shared" si="25"/>
        <v>0</v>
      </c>
      <c r="Y11" s="451">
        <f t="shared" si="9"/>
        <v>673052</v>
      </c>
      <c r="Z11" s="455">
        <f t="shared" si="24"/>
        <v>0</v>
      </c>
      <c r="AA11" s="451">
        <v>35634</v>
      </c>
      <c r="AB11" s="455">
        <f t="shared" si="21"/>
        <v>2</v>
      </c>
      <c r="AC11" s="599">
        <v>905726</v>
      </c>
      <c r="AD11" s="455">
        <f t="shared" si="22"/>
        <v>385</v>
      </c>
      <c r="AE11" s="478">
        <f t="shared" si="12"/>
        <v>5</v>
      </c>
      <c r="AF11" s="479">
        <f t="shared" si="13"/>
        <v>987</v>
      </c>
      <c r="AG11" s="471">
        <f t="shared" si="27"/>
        <v>197.4</v>
      </c>
      <c r="AI11" s="472">
        <f>R11-'EDl log'!B9</f>
        <v>-616616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v>32409474</v>
      </c>
      <c r="E12" s="314">
        <f t="shared" si="14"/>
        <v>2638</v>
      </c>
      <c r="F12" s="599">
        <v>3903383</v>
      </c>
      <c r="G12" s="315">
        <f t="shared" si="0"/>
        <v>666</v>
      </c>
      <c r="H12" s="451">
        <v>17710174</v>
      </c>
      <c r="I12" s="315">
        <f t="shared" si="15"/>
        <v>780</v>
      </c>
      <c r="J12" s="599">
        <v>28771102</v>
      </c>
      <c r="K12" s="315">
        <f t="shared" si="16"/>
        <v>1392</v>
      </c>
      <c r="L12" s="451">
        <v>23831022</v>
      </c>
      <c r="M12" s="315">
        <f t="shared" si="17"/>
        <v>2416</v>
      </c>
      <c r="N12" s="313">
        <f>M12+K12+I12+G12+E12</f>
        <v>7892</v>
      </c>
      <c r="O12" s="473">
        <f t="shared" si="26"/>
        <v>0</v>
      </c>
      <c r="P12" s="630">
        <v>16416</v>
      </c>
      <c r="Q12" s="455">
        <f t="shared" si="2"/>
        <v>1000</v>
      </c>
      <c r="R12" s="455">
        <f t="shared" si="23"/>
        <v>6892</v>
      </c>
      <c r="S12" s="451">
        <v>10003</v>
      </c>
      <c r="T12" s="475">
        <f t="shared" si="3"/>
        <v>5</v>
      </c>
      <c r="U12" s="599">
        <v>400271</v>
      </c>
      <c r="V12" s="455">
        <f t="shared" si="20"/>
        <v>868</v>
      </c>
      <c r="W12" s="451">
        <f t="shared" si="8"/>
        <v>32049</v>
      </c>
      <c r="X12" s="455">
        <f t="shared" si="25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35634</v>
      </c>
      <c r="AB12" s="455">
        <f t="shared" si="21"/>
        <v>0</v>
      </c>
      <c r="AC12" s="451">
        <f t="shared" si="11"/>
        <v>905726</v>
      </c>
      <c r="AD12" s="455">
        <f t="shared" si="22"/>
        <v>0</v>
      </c>
      <c r="AE12" s="478">
        <f t="shared" si="12"/>
        <v>5</v>
      </c>
      <c r="AF12" s="479">
        <f t="shared" si="13"/>
        <v>868</v>
      </c>
      <c r="AG12" s="471">
        <f t="shared" si="27"/>
        <v>173.6</v>
      </c>
      <c r="AI12" s="472">
        <f>R12-'EDl log'!B10</f>
        <v>-619155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v>32411986</v>
      </c>
      <c r="E13" s="314">
        <f t="shared" si="14"/>
        <v>2512</v>
      </c>
      <c r="F13" s="599">
        <v>3904096</v>
      </c>
      <c r="G13" s="315">
        <f t="shared" si="0"/>
        <v>713</v>
      </c>
      <c r="H13" s="451">
        <v>17711006</v>
      </c>
      <c r="I13" s="315">
        <f t="shared" si="15"/>
        <v>832</v>
      </c>
      <c r="J13" s="599">
        <v>28773570</v>
      </c>
      <c r="K13" s="315">
        <f t="shared" si="16"/>
        <v>2468</v>
      </c>
      <c r="L13" s="451">
        <v>23832842</v>
      </c>
      <c r="M13" s="315">
        <f t="shared" si="17"/>
        <v>1820</v>
      </c>
      <c r="N13" s="313">
        <f t="shared" si="18"/>
        <v>8345</v>
      </c>
      <c r="O13" s="473">
        <f t="shared" si="26"/>
        <v>0</v>
      </c>
      <c r="P13" s="630">
        <v>16417</v>
      </c>
      <c r="Q13" s="455">
        <f>(P13-P12)*1000</f>
        <v>1000</v>
      </c>
      <c r="R13" s="455">
        <f t="shared" ref="R13" si="28">N13-Q13</f>
        <v>7345</v>
      </c>
      <c r="S13" s="451">
        <f t="shared" ref="S13:S33" si="29">S12</f>
        <v>10003</v>
      </c>
      <c r="T13" s="475">
        <f t="shared" si="3"/>
        <v>0</v>
      </c>
      <c r="U13" s="451">
        <f t="shared" si="19"/>
        <v>400271</v>
      </c>
      <c r="V13" s="455">
        <f t="shared" si="20"/>
        <v>0</v>
      </c>
      <c r="W13" s="451">
        <v>32057</v>
      </c>
      <c r="X13" s="455">
        <f t="shared" si="25"/>
        <v>8</v>
      </c>
      <c r="Y13" s="599">
        <v>674517</v>
      </c>
      <c r="Z13" s="455">
        <f t="shared" si="24"/>
        <v>1465</v>
      </c>
      <c r="AA13" s="451">
        <f t="shared" si="10"/>
        <v>35634</v>
      </c>
      <c r="AB13" s="455">
        <f t="shared" si="21"/>
        <v>0</v>
      </c>
      <c r="AC13" s="451">
        <f t="shared" si="11"/>
        <v>905726</v>
      </c>
      <c r="AD13" s="455">
        <f t="shared" si="22"/>
        <v>0</v>
      </c>
      <c r="AE13" s="478">
        <f t="shared" si="12"/>
        <v>8</v>
      </c>
      <c r="AF13" s="479">
        <f t="shared" si="13"/>
        <v>1465</v>
      </c>
      <c r="AG13" s="471">
        <f t="shared" si="27"/>
        <v>183.125</v>
      </c>
      <c r="AI13" s="472">
        <f>R13-'EDl log'!B11</f>
        <v>-621680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v>32414578</v>
      </c>
      <c r="E14" s="314">
        <f t="shared" si="14"/>
        <v>2592</v>
      </c>
      <c r="F14" s="599">
        <v>3904795</v>
      </c>
      <c r="G14" s="315">
        <f t="shared" si="0"/>
        <v>699</v>
      </c>
      <c r="H14" s="451">
        <v>17711876</v>
      </c>
      <c r="I14" s="315">
        <f t="shared" si="15"/>
        <v>870</v>
      </c>
      <c r="J14" s="599">
        <v>28776434</v>
      </c>
      <c r="K14" s="315">
        <f t="shared" si="16"/>
        <v>2864</v>
      </c>
      <c r="L14" s="451">
        <v>23834608</v>
      </c>
      <c r="M14" s="315">
        <f t="shared" si="17"/>
        <v>1766</v>
      </c>
      <c r="N14" s="313">
        <f t="shared" si="18"/>
        <v>8791</v>
      </c>
      <c r="O14" s="473">
        <f t="shared" si="26"/>
        <v>0</v>
      </c>
      <c r="P14" s="630">
        <v>16419</v>
      </c>
      <c r="Q14" s="455">
        <f t="shared" ref="Q14:Q33" si="30">(P14-P13)*1000</f>
        <v>2000</v>
      </c>
      <c r="R14" s="455">
        <f t="shared" ref="R14:R33" si="31">N14-Q14</f>
        <v>6791</v>
      </c>
      <c r="S14" s="451">
        <v>10003</v>
      </c>
      <c r="T14" s="475">
        <f t="shared" si="3"/>
        <v>0</v>
      </c>
      <c r="U14" s="451">
        <f t="shared" si="19"/>
        <v>400271</v>
      </c>
      <c r="V14" s="455">
        <f t="shared" si="20"/>
        <v>0</v>
      </c>
      <c r="W14" s="451">
        <v>32064</v>
      </c>
      <c r="X14" s="455">
        <f t="shared" si="25"/>
        <v>7</v>
      </c>
      <c r="Y14" s="451">
        <v>675980</v>
      </c>
      <c r="Z14" s="455">
        <f t="shared" si="24"/>
        <v>1463</v>
      </c>
      <c r="AA14" s="451">
        <v>35634</v>
      </c>
      <c r="AB14" s="455">
        <f t="shared" si="21"/>
        <v>0</v>
      </c>
      <c r="AC14" s="451">
        <v>905726</v>
      </c>
      <c r="AD14" s="455">
        <f t="shared" si="22"/>
        <v>0</v>
      </c>
      <c r="AE14" s="478">
        <f t="shared" si="12"/>
        <v>7</v>
      </c>
      <c r="AF14" s="479">
        <f t="shared" si="13"/>
        <v>1463</v>
      </c>
      <c r="AG14" s="471">
        <f t="shared" si="27"/>
        <v>209</v>
      </c>
      <c r="AI14" s="472">
        <f>R14-'EDl log'!B12</f>
        <v>-625529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v>32417330</v>
      </c>
      <c r="E15" s="314">
        <f t="shared" si="14"/>
        <v>2752</v>
      </c>
      <c r="F15" s="599">
        <v>3905446</v>
      </c>
      <c r="G15" s="315">
        <f t="shared" si="0"/>
        <v>651</v>
      </c>
      <c r="H15" s="451">
        <v>17712726</v>
      </c>
      <c r="I15" s="315">
        <f t="shared" si="15"/>
        <v>850</v>
      </c>
      <c r="J15" s="599">
        <v>28778846</v>
      </c>
      <c r="K15" s="315">
        <f t="shared" si="16"/>
        <v>2412</v>
      </c>
      <c r="L15" s="451">
        <v>23836352</v>
      </c>
      <c r="M15" s="315">
        <f t="shared" si="17"/>
        <v>1744</v>
      </c>
      <c r="N15" s="313">
        <f t="shared" si="18"/>
        <v>8409</v>
      </c>
      <c r="O15" s="473">
        <f t="shared" si="26"/>
        <v>0</v>
      </c>
      <c r="P15" s="630">
        <v>16420</v>
      </c>
      <c r="Q15" s="455">
        <f t="shared" si="30"/>
        <v>1000</v>
      </c>
      <c r="R15" s="455">
        <f t="shared" si="31"/>
        <v>7409</v>
      </c>
      <c r="S15" s="451">
        <f t="shared" si="29"/>
        <v>10003</v>
      </c>
      <c r="T15" s="475">
        <f t="shared" si="3"/>
        <v>0</v>
      </c>
      <c r="U15" s="451">
        <f t="shared" si="19"/>
        <v>400271</v>
      </c>
      <c r="V15" s="455">
        <f t="shared" si="20"/>
        <v>0</v>
      </c>
      <c r="W15" s="451">
        <v>32069</v>
      </c>
      <c r="X15" s="455">
        <f t="shared" si="25"/>
        <v>5</v>
      </c>
      <c r="Y15" s="451">
        <v>677178</v>
      </c>
      <c r="Z15" s="455">
        <f t="shared" si="24"/>
        <v>1198</v>
      </c>
      <c r="AA15" s="451">
        <f t="shared" si="10"/>
        <v>35634</v>
      </c>
      <c r="AB15" s="455">
        <f t="shared" si="21"/>
        <v>0</v>
      </c>
      <c r="AC15" s="451">
        <f t="shared" si="11"/>
        <v>905726</v>
      </c>
      <c r="AD15" s="455">
        <f t="shared" si="22"/>
        <v>0</v>
      </c>
      <c r="AE15" s="478">
        <f t="shared" si="12"/>
        <v>5</v>
      </c>
      <c r="AF15" s="479">
        <f t="shared" si="13"/>
        <v>1198</v>
      </c>
      <c r="AG15" s="471">
        <f t="shared" si="27"/>
        <v>239.6</v>
      </c>
      <c r="AI15" s="472">
        <f>R15-'EDl log'!B13</f>
        <v>-628601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v>32420022</v>
      </c>
      <c r="E16" s="314">
        <f t="shared" si="14"/>
        <v>2692</v>
      </c>
      <c r="F16" s="599">
        <v>3906171</v>
      </c>
      <c r="G16" s="315">
        <f t="shared" si="0"/>
        <v>725</v>
      </c>
      <c r="H16" s="451">
        <v>17713658</v>
      </c>
      <c r="I16" s="315">
        <f t="shared" si="15"/>
        <v>932</v>
      </c>
      <c r="J16" s="599">
        <v>28781474</v>
      </c>
      <c r="K16" s="315">
        <f t="shared" si="16"/>
        <v>2628</v>
      </c>
      <c r="L16" s="451">
        <v>23838222</v>
      </c>
      <c r="M16" s="315">
        <f t="shared" si="17"/>
        <v>1870</v>
      </c>
      <c r="N16" s="313">
        <f t="shared" si="18"/>
        <v>8847</v>
      </c>
      <c r="O16" s="473">
        <f t="shared" si="26"/>
        <v>0</v>
      </c>
      <c r="P16" s="630">
        <v>16421</v>
      </c>
      <c r="Q16" s="455">
        <f t="shared" si="30"/>
        <v>1000</v>
      </c>
      <c r="R16" s="455">
        <f t="shared" si="31"/>
        <v>7847</v>
      </c>
      <c r="S16" s="451">
        <f t="shared" si="29"/>
        <v>10003</v>
      </c>
      <c r="T16" s="475">
        <f t="shared" si="3"/>
        <v>0</v>
      </c>
      <c r="U16" s="451">
        <f t="shared" si="19"/>
        <v>400271</v>
      </c>
      <c r="V16" s="455">
        <f t="shared" si="20"/>
        <v>0</v>
      </c>
      <c r="W16" s="451">
        <v>32073</v>
      </c>
      <c r="X16" s="455">
        <f>W16-W15</f>
        <v>4</v>
      </c>
      <c r="Y16" s="451">
        <v>677987</v>
      </c>
      <c r="Z16" s="455">
        <f>Y16-Y15</f>
        <v>809</v>
      </c>
      <c r="AA16" s="451">
        <f t="shared" si="10"/>
        <v>35634</v>
      </c>
      <c r="AB16" s="455">
        <f>AA16-AA15</f>
        <v>0</v>
      </c>
      <c r="AC16" s="451">
        <f t="shared" si="11"/>
        <v>905726</v>
      </c>
      <c r="AD16" s="455">
        <f t="shared" si="22"/>
        <v>0</v>
      </c>
      <c r="AE16" s="478">
        <f t="shared" si="12"/>
        <v>4</v>
      </c>
      <c r="AF16" s="479">
        <f t="shared" si="13"/>
        <v>809</v>
      </c>
      <c r="AG16" s="471">
        <f t="shared" si="27"/>
        <v>202.25</v>
      </c>
      <c r="AI16" s="472">
        <f>R16-'EDl log'!B14</f>
        <v>-631807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v>32421782</v>
      </c>
      <c r="E17" s="314">
        <f t="shared" si="14"/>
        <v>1760</v>
      </c>
      <c r="F17" s="599">
        <v>3906733</v>
      </c>
      <c r="G17" s="315">
        <f t="shared" si="0"/>
        <v>562</v>
      </c>
      <c r="H17" s="451">
        <v>17714344</v>
      </c>
      <c r="I17" s="315">
        <f t="shared" si="15"/>
        <v>686</v>
      </c>
      <c r="J17" s="599">
        <v>28782490</v>
      </c>
      <c r="K17" s="315">
        <f t="shared" si="16"/>
        <v>1016</v>
      </c>
      <c r="L17" s="451">
        <v>23839940</v>
      </c>
      <c r="M17" s="315">
        <f t="shared" si="17"/>
        <v>1718</v>
      </c>
      <c r="N17" s="313">
        <f t="shared" si="18"/>
        <v>5742</v>
      </c>
      <c r="O17" s="473">
        <f t="shared" si="26"/>
        <v>0</v>
      </c>
      <c r="P17" s="630">
        <v>16422</v>
      </c>
      <c r="Q17" s="455">
        <f t="shared" si="30"/>
        <v>1000</v>
      </c>
      <c r="R17" s="455">
        <f t="shared" si="31"/>
        <v>4742</v>
      </c>
      <c r="S17" s="451">
        <v>10003</v>
      </c>
      <c r="T17" s="475">
        <f t="shared" si="3"/>
        <v>0</v>
      </c>
      <c r="U17" s="451">
        <f t="shared" si="19"/>
        <v>400271</v>
      </c>
      <c r="V17" s="455">
        <f t="shared" si="20"/>
        <v>0</v>
      </c>
      <c r="W17" s="451">
        <v>32076</v>
      </c>
      <c r="X17" s="455">
        <f t="shared" si="25"/>
        <v>3</v>
      </c>
      <c r="Y17" s="451">
        <v>678759</v>
      </c>
      <c r="Z17" s="455">
        <f t="shared" si="24"/>
        <v>772</v>
      </c>
      <c r="AA17" s="451">
        <f t="shared" si="10"/>
        <v>35634</v>
      </c>
      <c r="AB17" s="455">
        <f t="shared" si="21"/>
        <v>0</v>
      </c>
      <c r="AC17" s="451">
        <f t="shared" si="11"/>
        <v>905726</v>
      </c>
      <c r="AD17" s="455">
        <f t="shared" ref="AD17:AD32" si="32">AC17-AC16</f>
        <v>0</v>
      </c>
      <c r="AE17" s="478">
        <f t="shared" si="12"/>
        <v>3</v>
      </c>
      <c r="AF17" s="479">
        <f t="shared" si="13"/>
        <v>772</v>
      </c>
      <c r="AG17" s="471">
        <f t="shared" si="27"/>
        <v>257.33333333333331</v>
      </c>
      <c r="AI17" s="472">
        <f>R17-'EDl log'!B15</f>
        <v>-638797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v>32424010</v>
      </c>
      <c r="E18" s="314">
        <f t="shared" si="14"/>
        <v>2228</v>
      </c>
      <c r="F18" s="599">
        <v>3907550</v>
      </c>
      <c r="G18" s="315">
        <f t="shared" si="0"/>
        <v>817</v>
      </c>
      <c r="H18" s="451">
        <v>17715166</v>
      </c>
      <c r="I18" s="315">
        <f t="shared" si="15"/>
        <v>822</v>
      </c>
      <c r="J18" s="599">
        <v>28785078</v>
      </c>
      <c r="K18" s="315">
        <f t="shared" si="16"/>
        <v>2588</v>
      </c>
      <c r="L18" s="451">
        <v>23842010</v>
      </c>
      <c r="M18" s="315">
        <f t="shared" si="17"/>
        <v>2070</v>
      </c>
      <c r="N18" s="313">
        <f t="shared" si="18"/>
        <v>8525</v>
      </c>
      <c r="O18" s="473">
        <f t="shared" si="26"/>
        <v>0</v>
      </c>
      <c r="P18" s="630">
        <v>16423</v>
      </c>
      <c r="Q18" s="455">
        <f t="shared" si="30"/>
        <v>1000</v>
      </c>
      <c r="R18" s="455">
        <f t="shared" si="31"/>
        <v>7525</v>
      </c>
      <c r="S18" s="451">
        <f t="shared" si="29"/>
        <v>10003</v>
      </c>
      <c r="T18" s="475">
        <f t="shared" si="3"/>
        <v>0</v>
      </c>
      <c r="U18" s="451">
        <f t="shared" si="19"/>
        <v>400271</v>
      </c>
      <c r="V18" s="455">
        <f t="shared" si="20"/>
        <v>0</v>
      </c>
      <c r="W18" s="451">
        <v>32084</v>
      </c>
      <c r="X18" s="455">
        <f t="shared" si="25"/>
        <v>8</v>
      </c>
      <c r="Y18" s="451">
        <v>680076</v>
      </c>
      <c r="Z18" s="455">
        <f t="shared" si="24"/>
        <v>1317</v>
      </c>
      <c r="AA18" s="451">
        <f t="shared" si="10"/>
        <v>35634</v>
      </c>
      <c r="AB18" s="455">
        <f t="shared" si="21"/>
        <v>0</v>
      </c>
      <c r="AC18" s="451">
        <f t="shared" si="11"/>
        <v>905726</v>
      </c>
      <c r="AD18" s="455">
        <f t="shared" si="32"/>
        <v>0</v>
      </c>
      <c r="AE18" s="478">
        <f t="shared" si="12"/>
        <v>8</v>
      </c>
      <c r="AF18" s="479">
        <f t="shared" si="13"/>
        <v>1317</v>
      </c>
      <c r="AG18" s="471">
        <f t="shared" si="27"/>
        <v>164.625</v>
      </c>
      <c r="AI18" s="472">
        <f>R18-'EDl log'!B16</f>
        <v>-639660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v>32426106</v>
      </c>
      <c r="E19" s="314">
        <f t="shared" si="14"/>
        <v>2096</v>
      </c>
      <c r="F19" s="599">
        <v>3908207</v>
      </c>
      <c r="G19" s="315">
        <f t="shared" si="0"/>
        <v>657</v>
      </c>
      <c r="H19" s="451">
        <v>17715956</v>
      </c>
      <c r="I19" s="315">
        <f t="shared" si="15"/>
        <v>790</v>
      </c>
      <c r="J19" s="599">
        <v>28787096</v>
      </c>
      <c r="K19" s="315">
        <f t="shared" si="16"/>
        <v>2018</v>
      </c>
      <c r="L19" s="451">
        <v>23843998</v>
      </c>
      <c r="M19" s="315">
        <f t="shared" si="17"/>
        <v>1988</v>
      </c>
      <c r="N19" s="313">
        <f t="shared" si="18"/>
        <v>7549</v>
      </c>
      <c r="O19" s="473">
        <f t="shared" si="26"/>
        <v>0</v>
      </c>
      <c r="P19" s="630">
        <v>16425</v>
      </c>
      <c r="Q19" s="455">
        <f t="shared" si="30"/>
        <v>2000</v>
      </c>
      <c r="R19" s="455">
        <f t="shared" si="31"/>
        <v>5549</v>
      </c>
      <c r="S19" s="451">
        <v>10003</v>
      </c>
      <c r="T19" s="475">
        <f t="shared" si="3"/>
        <v>0</v>
      </c>
      <c r="U19" s="451">
        <f t="shared" si="19"/>
        <v>400271</v>
      </c>
      <c r="V19" s="455">
        <f t="shared" si="20"/>
        <v>0</v>
      </c>
      <c r="W19" s="451">
        <v>32089</v>
      </c>
      <c r="X19" s="455">
        <f t="shared" si="25"/>
        <v>5</v>
      </c>
      <c r="Y19" s="451">
        <v>681018</v>
      </c>
      <c r="Z19" s="455">
        <f t="shared" si="24"/>
        <v>942</v>
      </c>
      <c r="AA19" s="451">
        <f t="shared" si="10"/>
        <v>35634</v>
      </c>
      <c r="AB19" s="455">
        <f t="shared" si="21"/>
        <v>0</v>
      </c>
      <c r="AC19" s="451">
        <f t="shared" si="11"/>
        <v>905726</v>
      </c>
      <c r="AD19" s="455">
        <f t="shared" si="32"/>
        <v>0</v>
      </c>
      <c r="AE19" s="478">
        <f t="shared" si="12"/>
        <v>5</v>
      </c>
      <c r="AF19" s="479">
        <f t="shared" si="13"/>
        <v>942</v>
      </c>
      <c r="AG19" s="471">
        <f t="shared" si="27"/>
        <v>188.4</v>
      </c>
      <c r="AI19" s="472">
        <f>R19-'EDl log'!B17</f>
        <v>-645820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v>32428534</v>
      </c>
      <c r="E20" s="314">
        <f t="shared" si="14"/>
        <v>2428</v>
      </c>
      <c r="F20" s="599">
        <v>3908916</v>
      </c>
      <c r="G20" s="315">
        <f t="shared" si="0"/>
        <v>709</v>
      </c>
      <c r="H20" s="451">
        <v>17716882</v>
      </c>
      <c r="I20" s="315">
        <f t="shared" si="15"/>
        <v>926</v>
      </c>
      <c r="J20" s="599">
        <v>28789446</v>
      </c>
      <c r="K20" s="315">
        <f t="shared" si="16"/>
        <v>2350</v>
      </c>
      <c r="L20" s="451">
        <v>23845990</v>
      </c>
      <c r="M20" s="315">
        <f t="shared" si="17"/>
        <v>1992</v>
      </c>
      <c r="N20" s="313">
        <f t="shared" si="18"/>
        <v>8405</v>
      </c>
      <c r="O20" s="473">
        <f t="shared" si="26"/>
        <v>0</v>
      </c>
      <c r="P20" s="630">
        <v>16425.649000000001</v>
      </c>
      <c r="Q20" s="455">
        <f t="shared" si="30"/>
        <v>649.00000000125146</v>
      </c>
      <c r="R20" s="455">
        <f t="shared" si="31"/>
        <v>7755.9999999987485</v>
      </c>
      <c r="S20" s="451">
        <f t="shared" si="29"/>
        <v>10003</v>
      </c>
      <c r="T20" s="475">
        <f t="shared" si="3"/>
        <v>0</v>
      </c>
      <c r="U20" s="451">
        <f t="shared" si="19"/>
        <v>400271</v>
      </c>
      <c r="V20" s="455">
        <f t="shared" si="20"/>
        <v>0</v>
      </c>
      <c r="W20" s="451">
        <v>32093</v>
      </c>
      <c r="X20" s="455">
        <f t="shared" si="25"/>
        <v>4</v>
      </c>
      <c r="Y20" s="451">
        <v>682060</v>
      </c>
      <c r="Z20" s="455">
        <f t="shared" si="24"/>
        <v>1042</v>
      </c>
      <c r="AA20" s="451">
        <f t="shared" si="10"/>
        <v>35634</v>
      </c>
      <c r="AB20" s="455">
        <f t="shared" si="21"/>
        <v>0</v>
      </c>
      <c r="AC20" s="451">
        <f t="shared" si="11"/>
        <v>905726</v>
      </c>
      <c r="AD20" s="455">
        <f t="shared" si="32"/>
        <v>0</v>
      </c>
      <c r="AE20" s="478">
        <f t="shared" si="12"/>
        <v>4</v>
      </c>
      <c r="AF20" s="479">
        <f t="shared" si="13"/>
        <v>1042</v>
      </c>
      <c r="AG20" s="471">
        <f t="shared" si="27"/>
        <v>260.5</v>
      </c>
      <c r="AI20" s="472">
        <f>R20-'EDl log'!B18</f>
        <v>-646087.00000000128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v>32430898</v>
      </c>
      <c r="E21" s="314">
        <f t="shared" si="14"/>
        <v>2364</v>
      </c>
      <c r="F21" s="599">
        <v>3909585</v>
      </c>
      <c r="G21" s="315">
        <f t="shared" si="0"/>
        <v>669</v>
      </c>
      <c r="H21" s="451">
        <v>17717680</v>
      </c>
      <c r="I21" s="315">
        <f t="shared" si="15"/>
        <v>798</v>
      </c>
      <c r="J21" s="599">
        <v>28791668</v>
      </c>
      <c r="K21" s="315">
        <f t="shared" si="16"/>
        <v>2222</v>
      </c>
      <c r="L21" s="451">
        <v>23847694</v>
      </c>
      <c r="M21" s="315">
        <f t="shared" si="17"/>
        <v>1704</v>
      </c>
      <c r="N21" s="313">
        <f t="shared" si="18"/>
        <v>7757</v>
      </c>
      <c r="O21" s="473">
        <f t="shared" si="26"/>
        <v>0</v>
      </c>
      <c r="P21" s="630">
        <v>16426.989000000001</v>
      </c>
      <c r="Q21" s="455">
        <f t="shared" si="30"/>
        <v>1340.0000000001455</v>
      </c>
      <c r="R21" s="455">
        <f t="shared" si="31"/>
        <v>6416.9999999998545</v>
      </c>
      <c r="S21" s="451">
        <f t="shared" si="29"/>
        <v>10003</v>
      </c>
      <c r="T21" s="475">
        <f t="shared" si="3"/>
        <v>0</v>
      </c>
      <c r="U21" s="451">
        <f t="shared" si="19"/>
        <v>400271</v>
      </c>
      <c r="V21" s="455">
        <f t="shared" si="20"/>
        <v>0</v>
      </c>
      <c r="W21" s="451">
        <v>32099</v>
      </c>
      <c r="X21" s="455">
        <f t="shared" si="25"/>
        <v>6</v>
      </c>
      <c r="Y21" s="451">
        <v>683094</v>
      </c>
      <c r="Z21" s="455">
        <f t="shared" si="24"/>
        <v>1034</v>
      </c>
      <c r="AA21" s="451">
        <f t="shared" si="10"/>
        <v>35634</v>
      </c>
      <c r="AB21" s="455">
        <f t="shared" si="21"/>
        <v>0</v>
      </c>
      <c r="AC21" s="451">
        <f t="shared" si="11"/>
        <v>905726</v>
      </c>
      <c r="AD21" s="455">
        <f t="shared" si="32"/>
        <v>0</v>
      </c>
      <c r="AE21" s="478">
        <f t="shared" si="12"/>
        <v>6</v>
      </c>
      <c r="AF21" s="479">
        <f t="shared" si="13"/>
        <v>1034</v>
      </c>
      <c r="AG21" s="471">
        <f t="shared" si="27"/>
        <v>172.33333333333334</v>
      </c>
      <c r="AI21" s="472">
        <f>R21-'EDl log'!B19</f>
        <v>-651270.00000000012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v>32433444</v>
      </c>
      <c r="E22" s="314">
        <f t="shared" si="14"/>
        <v>2546</v>
      </c>
      <c r="F22" s="599">
        <v>3910254</v>
      </c>
      <c r="G22" s="315">
        <f t="shared" si="0"/>
        <v>669</v>
      </c>
      <c r="H22" s="451">
        <v>17718520</v>
      </c>
      <c r="I22" s="315">
        <f t="shared" si="15"/>
        <v>840</v>
      </c>
      <c r="J22" s="599">
        <v>28793966</v>
      </c>
      <c r="K22" s="315">
        <f t="shared" si="16"/>
        <v>2298</v>
      </c>
      <c r="L22" s="451">
        <v>23849496</v>
      </c>
      <c r="M22" s="315">
        <f t="shared" si="17"/>
        <v>1802</v>
      </c>
      <c r="N22" s="313">
        <f t="shared" si="18"/>
        <v>8155</v>
      </c>
      <c r="O22" s="473">
        <f t="shared" si="26"/>
        <v>0</v>
      </c>
      <c r="P22" s="630">
        <v>16428.392</v>
      </c>
      <c r="Q22" s="455">
        <f t="shared" si="30"/>
        <v>1402.9999999984284</v>
      </c>
      <c r="R22" s="455">
        <f t="shared" si="31"/>
        <v>6752.0000000015716</v>
      </c>
      <c r="S22" s="451">
        <f t="shared" si="29"/>
        <v>10003</v>
      </c>
      <c r="T22" s="475">
        <f t="shared" si="3"/>
        <v>0</v>
      </c>
      <c r="U22" s="451">
        <f t="shared" si="19"/>
        <v>400271</v>
      </c>
      <c r="V22" s="455">
        <f t="shared" si="20"/>
        <v>0</v>
      </c>
      <c r="W22" s="451">
        <v>32103</v>
      </c>
      <c r="X22" s="455">
        <f t="shared" si="25"/>
        <v>4</v>
      </c>
      <c r="Y22" s="451">
        <v>683944</v>
      </c>
      <c r="Z22" s="455">
        <f t="shared" si="24"/>
        <v>850</v>
      </c>
      <c r="AA22" s="451">
        <f t="shared" si="10"/>
        <v>35634</v>
      </c>
      <c r="AB22" s="455">
        <f t="shared" si="21"/>
        <v>0</v>
      </c>
      <c r="AC22" s="451">
        <f t="shared" si="11"/>
        <v>905726</v>
      </c>
      <c r="AD22" s="455">
        <f t="shared" si="32"/>
        <v>0</v>
      </c>
      <c r="AE22" s="478">
        <f t="shared" si="12"/>
        <v>4</v>
      </c>
      <c r="AF22" s="479">
        <f t="shared" si="13"/>
        <v>850</v>
      </c>
      <c r="AG22" s="471">
        <f t="shared" si="27"/>
        <v>212.5</v>
      </c>
      <c r="AI22" s="472">
        <f>R22-'EDl log'!B20</f>
        <v>-654450.99999999837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v>32435430</v>
      </c>
      <c r="E23" s="314">
        <f t="shared" si="14"/>
        <v>1986</v>
      </c>
      <c r="F23" s="599">
        <v>3910857</v>
      </c>
      <c r="G23" s="315">
        <f t="shared" si="0"/>
        <v>603</v>
      </c>
      <c r="H23" s="451">
        <v>17719320</v>
      </c>
      <c r="I23" s="444">
        <f t="shared" si="15"/>
        <v>800</v>
      </c>
      <c r="J23" s="599">
        <v>28795322</v>
      </c>
      <c r="K23" s="315">
        <f t="shared" si="16"/>
        <v>1356</v>
      </c>
      <c r="L23" s="451">
        <v>23851314</v>
      </c>
      <c r="M23" s="315">
        <f t="shared" si="17"/>
        <v>1818</v>
      </c>
      <c r="N23" s="313">
        <f t="shared" si="18"/>
        <v>6563</v>
      </c>
      <c r="O23" s="473">
        <f t="shared" si="26"/>
        <v>0</v>
      </c>
      <c r="P23" s="630">
        <v>16429.02</v>
      </c>
      <c r="Q23" s="455">
        <f t="shared" si="30"/>
        <v>628.00000000061118</v>
      </c>
      <c r="R23" s="455">
        <f t="shared" si="31"/>
        <v>5934.9999999993888</v>
      </c>
      <c r="S23" s="451">
        <f t="shared" si="29"/>
        <v>10003</v>
      </c>
      <c r="T23" s="475">
        <f t="shared" si="3"/>
        <v>0</v>
      </c>
      <c r="U23" s="451">
        <f t="shared" si="19"/>
        <v>400271</v>
      </c>
      <c r="V23" s="455">
        <f t="shared" si="20"/>
        <v>0</v>
      </c>
      <c r="W23" s="451">
        <v>32105</v>
      </c>
      <c r="X23" s="455">
        <f t="shared" si="25"/>
        <v>2</v>
      </c>
      <c r="Y23" s="451">
        <v>684442</v>
      </c>
      <c r="Z23" s="455">
        <f t="shared" si="24"/>
        <v>498</v>
      </c>
      <c r="AA23" s="451">
        <f t="shared" si="10"/>
        <v>35634</v>
      </c>
      <c r="AB23" s="455">
        <f t="shared" si="21"/>
        <v>0</v>
      </c>
      <c r="AC23" s="451">
        <f t="shared" si="11"/>
        <v>905726</v>
      </c>
      <c r="AD23" s="455">
        <f t="shared" si="32"/>
        <v>0</v>
      </c>
      <c r="AE23" s="478">
        <f t="shared" si="12"/>
        <v>2</v>
      </c>
      <c r="AF23" s="479">
        <f t="shared" si="13"/>
        <v>498</v>
      </c>
      <c r="AG23" s="471">
        <f t="shared" si="27"/>
        <v>249</v>
      </c>
      <c r="AI23" s="472">
        <f>R23-'EDl log'!B21</f>
        <v>-659104.00000000058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v>32437858</v>
      </c>
      <c r="E24" s="314">
        <f t="shared" si="14"/>
        <v>2428</v>
      </c>
      <c r="F24" s="599">
        <v>3911443</v>
      </c>
      <c r="G24" s="315">
        <f t="shared" si="0"/>
        <v>586</v>
      </c>
      <c r="H24" s="451">
        <v>17720070</v>
      </c>
      <c r="I24" s="315">
        <f t="shared" si="15"/>
        <v>750</v>
      </c>
      <c r="J24" s="599">
        <v>28796310</v>
      </c>
      <c r="K24" s="315">
        <f t="shared" si="16"/>
        <v>988</v>
      </c>
      <c r="L24" s="451">
        <v>23853678</v>
      </c>
      <c r="M24" s="315">
        <f t="shared" si="17"/>
        <v>2364</v>
      </c>
      <c r="N24" s="313">
        <f t="shared" si="18"/>
        <v>7116</v>
      </c>
      <c r="O24" s="473">
        <f t="shared" si="26"/>
        <v>0</v>
      </c>
      <c r="P24" s="630">
        <v>16429.02</v>
      </c>
      <c r="Q24" s="455">
        <f t="shared" si="30"/>
        <v>0</v>
      </c>
      <c r="R24" s="455">
        <f t="shared" si="31"/>
        <v>7116</v>
      </c>
      <c r="S24" s="451">
        <v>10006</v>
      </c>
      <c r="T24" s="475">
        <f t="shared" si="3"/>
        <v>3</v>
      </c>
      <c r="U24" s="451">
        <v>400936</v>
      </c>
      <c r="V24" s="455">
        <f t="shared" si="20"/>
        <v>665</v>
      </c>
      <c r="W24" s="451">
        <v>32105</v>
      </c>
      <c r="X24" s="455">
        <f t="shared" si="25"/>
        <v>0</v>
      </c>
      <c r="Y24" s="451">
        <f t="shared" si="9"/>
        <v>684442</v>
      </c>
      <c r="Z24" s="455">
        <f t="shared" si="24"/>
        <v>0</v>
      </c>
      <c r="AA24" s="451">
        <f t="shared" si="10"/>
        <v>35634</v>
      </c>
      <c r="AB24" s="455">
        <f t="shared" si="21"/>
        <v>0</v>
      </c>
      <c r="AC24" s="451">
        <f t="shared" si="11"/>
        <v>905726</v>
      </c>
      <c r="AD24" s="455">
        <f t="shared" si="32"/>
        <v>0</v>
      </c>
      <c r="AE24" s="478">
        <f t="shared" si="12"/>
        <v>3</v>
      </c>
      <c r="AF24" s="479">
        <f t="shared" si="13"/>
        <v>665</v>
      </c>
      <c r="AG24" s="471">
        <f t="shared" si="27"/>
        <v>221.66666666666666</v>
      </c>
      <c r="AI24" s="472">
        <f>R24-'EDl log'!B22</f>
        <v>-661317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v>32440574</v>
      </c>
      <c r="E25" s="314">
        <f t="shared" si="14"/>
        <v>2716</v>
      </c>
      <c r="F25" s="599">
        <v>3912110</v>
      </c>
      <c r="G25" s="315">
        <f t="shared" si="0"/>
        <v>667</v>
      </c>
      <c r="H25" s="451">
        <v>17720954</v>
      </c>
      <c r="I25" s="315">
        <f t="shared" si="15"/>
        <v>884</v>
      </c>
      <c r="J25" s="599">
        <v>28798346</v>
      </c>
      <c r="K25" s="315">
        <f t="shared" si="16"/>
        <v>2036</v>
      </c>
      <c r="L25" s="451">
        <v>23855784</v>
      </c>
      <c r="M25" s="315">
        <f t="shared" si="17"/>
        <v>2106</v>
      </c>
      <c r="N25" s="313">
        <f t="shared" si="18"/>
        <v>8409</v>
      </c>
      <c r="O25" s="473">
        <f t="shared" si="26"/>
        <v>0</v>
      </c>
      <c r="P25" s="630">
        <v>16430.715</v>
      </c>
      <c r="Q25" s="455">
        <f t="shared" si="30"/>
        <v>1694.999999999709</v>
      </c>
      <c r="R25" s="455">
        <f t="shared" si="31"/>
        <v>6714.000000000291</v>
      </c>
      <c r="S25" s="451">
        <f t="shared" si="29"/>
        <v>10006</v>
      </c>
      <c r="T25" s="475">
        <f t="shared" si="3"/>
        <v>0</v>
      </c>
      <c r="U25" s="451">
        <f t="shared" si="19"/>
        <v>400936</v>
      </c>
      <c r="V25" s="455">
        <f t="shared" si="20"/>
        <v>0</v>
      </c>
      <c r="W25" s="451">
        <v>32109</v>
      </c>
      <c r="X25" s="455">
        <f t="shared" si="25"/>
        <v>4</v>
      </c>
      <c r="Y25" s="451">
        <v>685162</v>
      </c>
      <c r="Z25" s="455">
        <f t="shared" si="24"/>
        <v>720</v>
      </c>
      <c r="AA25" s="451">
        <f t="shared" si="10"/>
        <v>35634</v>
      </c>
      <c r="AB25" s="455">
        <f t="shared" si="21"/>
        <v>0</v>
      </c>
      <c r="AC25" s="451">
        <f t="shared" si="11"/>
        <v>905726</v>
      </c>
      <c r="AD25" s="455">
        <f t="shared" si="32"/>
        <v>0</v>
      </c>
      <c r="AE25" s="478">
        <f t="shared" si="12"/>
        <v>4</v>
      </c>
      <c r="AF25" s="479">
        <f t="shared" si="13"/>
        <v>720</v>
      </c>
      <c r="AG25" s="471">
        <f t="shared" si="27"/>
        <v>180</v>
      </c>
      <c r="AI25" s="472">
        <f>R25-'EDl log'!B23</f>
        <v>-665207.99999999977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v>32442562</v>
      </c>
      <c r="E26" s="314">
        <f t="shared" si="14"/>
        <v>1988</v>
      </c>
      <c r="F26" s="599">
        <v>3912645</v>
      </c>
      <c r="G26" s="315">
        <f t="shared" si="0"/>
        <v>535</v>
      </c>
      <c r="H26" s="451">
        <v>17721626</v>
      </c>
      <c r="I26" s="315">
        <f t="shared" si="15"/>
        <v>672</v>
      </c>
      <c r="J26" s="599">
        <v>28799946</v>
      </c>
      <c r="K26" s="315">
        <f t="shared" si="16"/>
        <v>1600</v>
      </c>
      <c r="L26" s="451">
        <v>23857174</v>
      </c>
      <c r="M26" s="315">
        <f t="shared" si="17"/>
        <v>1390</v>
      </c>
      <c r="N26" s="313">
        <f t="shared" si="18"/>
        <v>6185</v>
      </c>
      <c r="O26" s="473">
        <f t="shared" si="26"/>
        <v>0</v>
      </c>
      <c r="P26" s="630">
        <v>16432.079000000002</v>
      </c>
      <c r="Q26" s="455">
        <f t="shared" si="30"/>
        <v>1364.000000001397</v>
      </c>
      <c r="R26" s="455">
        <f t="shared" si="31"/>
        <v>4820.999999998603</v>
      </c>
      <c r="S26" s="451">
        <f t="shared" si="29"/>
        <v>10006</v>
      </c>
      <c r="T26" s="475">
        <f t="shared" si="3"/>
        <v>0</v>
      </c>
      <c r="U26" s="451">
        <f t="shared" si="19"/>
        <v>400936</v>
      </c>
      <c r="V26" s="455">
        <f t="shared" si="20"/>
        <v>0</v>
      </c>
      <c r="W26" s="451">
        <v>32112</v>
      </c>
      <c r="X26" s="455">
        <f t="shared" si="25"/>
        <v>3</v>
      </c>
      <c r="Y26" s="451">
        <v>685785</v>
      </c>
      <c r="Z26" s="455">
        <f t="shared" si="24"/>
        <v>623</v>
      </c>
      <c r="AA26" s="451">
        <f t="shared" si="10"/>
        <v>35634</v>
      </c>
      <c r="AB26" s="455">
        <f t="shared" si="21"/>
        <v>0</v>
      </c>
      <c r="AC26" s="451">
        <f t="shared" si="11"/>
        <v>905726</v>
      </c>
      <c r="AD26" s="455">
        <f t="shared" si="32"/>
        <v>0</v>
      </c>
      <c r="AE26" s="478">
        <f t="shared" si="12"/>
        <v>3</v>
      </c>
      <c r="AF26" s="479">
        <f t="shared" si="13"/>
        <v>623</v>
      </c>
      <c r="AG26" s="471">
        <f t="shared" si="27"/>
        <v>207.66666666666666</v>
      </c>
      <c r="AI26" s="472">
        <f>R26-'EDl log'!B24</f>
        <v>-670294.0000000014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v>32445110</v>
      </c>
      <c r="E27" s="314">
        <f t="shared" si="14"/>
        <v>2548</v>
      </c>
      <c r="F27" s="599">
        <v>3913385</v>
      </c>
      <c r="G27" s="315">
        <f>F27-F26</f>
        <v>740</v>
      </c>
      <c r="H27" s="451">
        <v>17722464</v>
      </c>
      <c r="I27" s="315">
        <f t="shared" si="15"/>
        <v>838</v>
      </c>
      <c r="J27" s="599">
        <v>28802008</v>
      </c>
      <c r="K27" s="315">
        <f t="shared" si="16"/>
        <v>2062</v>
      </c>
      <c r="L27" s="451">
        <v>23858882</v>
      </c>
      <c r="M27" s="315">
        <f t="shared" si="17"/>
        <v>1708</v>
      </c>
      <c r="N27" s="313">
        <f t="shared" si="18"/>
        <v>7896</v>
      </c>
      <c r="O27" s="473">
        <f t="shared" si="26"/>
        <v>0</v>
      </c>
      <c r="P27" s="630">
        <v>16433.599999999999</v>
      </c>
      <c r="Q27" s="455">
        <f t="shared" si="30"/>
        <v>1520.9999999970023</v>
      </c>
      <c r="R27" s="455">
        <f t="shared" si="31"/>
        <v>6375.0000000029977</v>
      </c>
      <c r="S27" s="451">
        <f t="shared" si="29"/>
        <v>10006</v>
      </c>
      <c r="T27" s="475">
        <f t="shared" si="3"/>
        <v>0</v>
      </c>
      <c r="U27" s="451">
        <f t="shared" si="19"/>
        <v>400936</v>
      </c>
      <c r="V27" s="455">
        <f t="shared" si="20"/>
        <v>0</v>
      </c>
      <c r="W27" s="451">
        <v>32116</v>
      </c>
      <c r="X27" s="455">
        <f t="shared" si="25"/>
        <v>4</v>
      </c>
      <c r="Y27" s="451">
        <v>686833</v>
      </c>
      <c r="Z27" s="455">
        <f t="shared" si="24"/>
        <v>1048</v>
      </c>
      <c r="AA27" s="451">
        <f t="shared" si="10"/>
        <v>35634</v>
      </c>
      <c r="AB27" s="455">
        <f t="shared" si="21"/>
        <v>0</v>
      </c>
      <c r="AC27" s="451">
        <f t="shared" si="11"/>
        <v>905726</v>
      </c>
      <c r="AD27" s="455">
        <f t="shared" si="32"/>
        <v>0</v>
      </c>
      <c r="AE27" s="478">
        <f t="shared" si="12"/>
        <v>4</v>
      </c>
      <c r="AF27" s="479">
        <f t="shared" si="13"/>
        <v>1048</v>
      </c>
      <c r="AG27" s="471">
        <f t="shared" si="27"/>
        <v>262</v>
      </c>
      <c r="AI27" s="472">
        <f>R27-'EDl log'!B25</f>
        <v>-672474.99999999697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v>32447302</v>
      </c>
      <c r="E28" s="314">
        <f t="shared" si="14"/>
        <v>2192</v>
      </c>
      <c r="F28" s="599">
        <v>3914064</v>
      </c>
      <c r="G28" s="315">
        <f t="shared" si="0"/>
        <v>679</v>
      </c>
      <c r="H28" s="451">
        <v>17723222</v>
      </c>
      <c r="I28" s="315">
        <f t="shared" si="15"/>
        <v>758</v>
      </c>
      <c r="J28" s="599">
        <v>28803336</v>
      </c>
      <c r="K28" s="315">
        <f t="shared" si="16"/>
        <v>1328</v>
      </c>
      <c r="L28" s="451">
        <v>23860522</v>
      </c>
      <c r="M28" s="315">
        <f t="shared" si="17"/>
        <v>1640</v>
      </c>
      <c r="N28" s="313">
        <f t="shared" si="18"/>
        <v>6597</v>
      </c>
      <c r="O28" s="473">
        <f t="shared" si="26"/>
        <v>0</v>
      </c>
      <c r="P28" s="630">
        <v>16434.734</v>
      </c>
      <c r="Q28" s="455">
        <f t="shared" si="30"/>
        <v>1134.0000000018335</v>
      </c>
      <c r="R28" s="455">
        <f t="shared" si="31"/>
        <v>5462.9999999981665</v>
      </c>
      <c r="S28" s="451">
        <f t="shared" si="29"/>
        <v>10006</v>
      </c>
      <c r="T28" s="475">
        <f t="shared" si="3"/>
        <v>0</v>
      </c>
      <c r="U28" s="451">
        <f t="shared" si="19"/>
        <v>400936</v>
      </c>
      <c r="V28" s="455">
        <f t="shared" si="20"/>
        <v>0</v>
      </c>
      <c r="W28" s="451">
        <v>32119</v>
      </c>
      <c r="X28" s="455">
        <f t="shared" si="25"/>
        <v>3</v>
      </c>
      <c r="Y28" s="451">
        <v>687201</v>
      </c>
      <c r="Z28" s="455">
        <f t="shared" si="24"/>
        <v>368</v>
      </c>
      <c r="AA28" s="451">
        <f t="shared" si="10"/>
        <v>35634</v>
      </c>
      <c r="AB28" s="455">
        <f t="shared" si="21"/>
        <v>0</v>
      </c>
      <c r="AC28" s="451">
        <f t="shared" si="11"/>
        <v>905726</v>
      </c>
      <c r="AD28" s="455">
        <f t="shared" si="32"/>
        <v>0</v>
      </c>
      <c r="AE28" s="478">
        <f t="shared" si="12"/>
        <v>3</v>
      </c>
      <c r="AF28" s="479">
        <f t="shared" si="13"/>
        <v>368</v>
      </c>
      <c r="AG28" s="471">
        <f t="shared" si="27"/>
        <v>122.66666666666667</v>
      </c>
      <c r="AI28" s="472">
        <f>R28-'EDl log'!B26</f>
        <v>-676920.00000000186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ref="D29:D33" si="33">D28</f>
        <v>32447302</v>
      </c>
      <c r="E29" s="314">
        <f t="shared" si="14"/>
        <v>0</v>
      </c>
      <c r="F29" s="599">
        <f t="shared" ref="F29:F33" si="34">F28</f>
        <v>3914064</v>
      </c>
      <c r="G29" s="315">
        <f t="shared" si="0"/>
        <v>0</v>
      </c>
      <c r="H29" s="451">
        <f t="shared" ref="H29:H33" si="35">H28</f>
        <v>17723222</v>
      </c>
      <c r="I29" s="315">
        <f t="shared" si="15"/>
        <v>0</v>
      </c>
      <c r="J29" s="599">
        <f>J28</f>
        <v>28803336</v>
      </c>
      <c r="K29" s="315">
        <f t="shared" si="16"/>
        <v>0</v>
      </c>
      <c r="L29" s="451">
        <f t="shared" ref="L29:L33" si="36">L28</f>
        <v>23860522</v>
      </c>
      <c r="M29" s="315">
        <f t="shared" si="17"/>
        <v>0</v>
      </c>
      <c r="N29" s="313">
        <f t="shared" si="18"/>
        <v>0</v>
      </c>
      <c r="O29" s="473">
        <f t="shared" si="26"/>
        <v>0</v>
      </c>
      <c r="P29" s="630">
        <f t="shared" si="7"/>
        <v>16434.734</v>
      </c>
      <c r="Q29" s="455">
        <f t="shared" si="30"/>
        <v>0</v>
      </c>
      <c r="R29" s="455">
        <f t="shared" si="31"/>
        <v>0</v>
      </c>
      <c r="S29" s="451">
        <f t="shared" si="29"/>
        <v>10006</v>
      </c>
      <c r="T29" s="475">
        <f t="shared" si="3"/>
        <v>0</v>
      </c>
      <c r="U29" s="451">
        <f t="shared" si="19"/>
        <v>400936</v>
      </c>
      <c r="V29" s="455">
        <f t="shared" si="20"/>
        <v>0</v>
      </c>
      <c r="W29" s="451">
        <f t="shared" si="8"/>
        <v>32119</v>
      </c>
      <c r="X29" s="455">
        <f t="shared" si="25"/>
        <v>0</v>
      </c>
      <c r="Y29" s="451">
        <f t="shared" si="9"/>
        <v>687201</v>
      </c>
      <c r="Z29" s="455">
        <f t="shared" si="24"/>
        <v>0</v>
      </c>
      <c r="AA29" s="451">
        <f t="shared" si="10"/>
        <v>35634</v>
      </c>
      <c r="AB29" s="455">
        <f t="shared" si="21"/>
        <v>0</v>
      </c>
      <c r="AC29" s="451">
        <f t="shared" si="11"/>
        <v>905726</v>
      </c>
      <c r="AD29" s="455">
        <f t="shared" si="32"/>
        <v>0</v>
      </c>
      <c r="AE29" s="478">
        <f t="shared" si="12"/>
        <v>0</v>
      </c>
      <c r="AF29" s="479">
        <f t="shared" si="13"/>
        <v>0</v>
      </c>
      <c r="AG29" s="471">
        <f t="shared" si="27"/>
        <v>0</v>
      </c>
      <c r="AI29" s="472">
        <f>R29-'EDl log'!B27</f>
        <v>-684952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33"/>
        <v>32447302</v>
      </c>
      <c r="E30" s="314">
        <f t="shared" si="14"/>
        <v>0</v>
      </c>
      <c r="F30" s="599">
        <f t="shared" si="34"/>
        <v>3914064</v>
      </c>
      <c r="G30" s="315">
        <f t="shared" si="0"/>
        <v>0</v>
      </c>
      <c r="H30" s="451">
        <f t="shared" si="35"/>
        <v>17723222</v>
      </c>
      <c r="I30" s="315">
        <f t="shared" si="15"/>
        <v>0</v>
      </c>
      <c r="J30" s="599">
        <f t="shared" ref="J30:J33" si="37">J29</f>
        <v>28803336</v>
      </c>
      <c r="K30" s="315">
        <f t="shared" si="16"/>
        <v>0</v>
      </c>
      <c r="L30" s="451">
        <f t="shared" si="36"/>
        <v>23860522</v>
      </c>
      <c r="M30" s="315">
        <f t="shared" si="17"/>
        <v>0</v>
      </c>
      <c r="N30" s="313">
        <f t="shared" si="18"/>
        <v>0</v>
      </c>
      <c r="O30" s="473">
        <f t="shared" si="26"/>
        <v>0</v>
      </c>
      <c r="P30" s="630">
        <f t="shared" si="7"/>
        <v>16434.734</v>
      </c>
      <c r="Q30" s="455">
        <f t="shared" si="30"/>
        <v>0</v>
      </c>
      <c r="R30" s="455">
        <f t="shared" si="31"/>
        <v>0</v>
      </c>
      <c r="S30" s="451">
        <f t="shared" si="29"/>
        <v>10006</v>
      </c>
      <c r="T30" s="475">
        <f t="shared" si="3"/>
        <v>0</v>
      </c>
      <c r="U30" s="451">
        <f t="shared" si="19"/>
        <v>400936</v>
      </c>
      <c r="V30" s="455">
        <f t="shared" si="20"/>
        <v>0</v>
      </c>
      <c r="W30" s="451">
        <f t="shared" si="8"/>
        <v>32119</v>
      </c>
      <c r="X30" s="476">
        <f t="shared" si="25"/>
        <v>0</v>
      </c>
      <c r="Y30" s="451">
        <f t="shared" si="9"/>
        <v>687201</v>
      </c>
      <c r="Z30" s="455">
        <f t="shared" si="24"/>
        <v>0</v>
      </c>
      <c r="AA30" s="451">
        <f t="shared" si="10"/>
        <v>35634</v>
      </c>
      <c r="AB30" s="455">
        <f t="shared" si="21"/>
        <v>0</v>
      </c>
      <c r="AC30" s="451">
        <f t="shared" si="11"/>
        <v>905726</v>
      </c>
      <c r="AD30" s="455">
        <f t="shared" si="32"/>
        <v>0</v>
      </c>
      <c r="AE30" s="478">
        <f t="shared" si="12"/>
        <v>0</v>
      </c>
      <c r="AF30" s="479">
        <f t="shared" si="13"/>
        <v>0</v>
      </c>
      <c r="AG30" s="471">
        <f t="shared" si="27"/>
        <v>0</v>
      </c>
      <c r="AI30" s="472">
        <f>R30-'EDl log'!B28</f>
        <v>-688194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33"/>
        <v>32447302</v>
      </c>
      <c r="E31" s="314">
        <f t="shared" si="14"/>
        <v>0</v>
      </c>
      <c r="F31" s="599">
        <f t="shared" si="34"/>
        <v>3914064</v>
      </c>
      <c r="G31" s="315">
        <f t="shared" si="0"/>
        <v>0</v>
      </c>
      <c r="H31" s="451">
        <f t="shared" si="35"/>
        <v>17723222</v>
      </c>
      <c r="I31" s="315">
        <f t="shared" si="15"/>
        <v>0</v>
      </c>
      <c r="J31" s="599">
        <f t="shared" si="37"/>
        <v>28803336</v>
      </c>
      <c r="K31" s="315">
        <f t="shared" si="16"/>
        <v>0</v>
      </c>
      <c r="L31" s="451">
        <f t="shared" si="36"/>
        <v>23860522</v>
      </c>
      <c r="M31" s="315">
        <f t="shared" si="17"/>
        <v>0</v>
      </c>
      <c r="N31" s="313">
        <f t="shared" si="18"/>
        <v>0</v>
      </c>
      <c r="O31" s="473">
        <f t="shared" si="26"/>
        <v>0</v>
      </c>
      <c r="P31" s="630">
        <f t="shared" si="7"/>
        <v>16434.734</v>
      </c>
      <c r="Q31" s="455">
        <f t="shared" si="30"/>
        <v>0</v>
      </c>
      <c r="R31" s="455">
        <f t="shared" si="31"/>
        <v>0</v>
      </c>
      <c r="S31" s="451">
        <f t="shared" si="29"/>
        <v>10006</v>
      </c>
      <c r="T31" s="475">
        <f t="shared" si="3"/>
        <v>0</v>
      </c>
      <c r="U31" s="451">
        <f t="shared" si="19"/>
        <v>400936</v>
      </c>
      <c r="V31" s="455">
        <f t="shared" si="20"/>
        <v>0</v>
      </c>
      <c r="W31" s="451">
        <f t="shared" si="8"/>
        <v>32119</v>
      </c>
      <c r="X31" s="476">
        <f t="shared" si="25"/>
        <v>0</v>
      </c>
      <c r="Y31" s="451">
        <f t="shared" si="9"/>
        <v>687201</v>
      </c>
      <c r="Z31" s="477">
        <f>Y31-Y30</f>
        <v>0</v>
      </c>
      <c r="AA31" s="451">
        <f t="shared" si="10"/>
        <v>35634</v>
      </c>
      <c r="AB31" s="455">
        <f t="shared" si="21"/>
        <v>0</v>
      </c>
      <c r="AC31" s="451">
        <f t="shared" si="11"/>
        <v>905726</v>
      </c>
      <c r="AD31" s="455">
        <f t="shared" si="32"/>
        <v>0</v>
      </c>
      <c r="AE31" s="478">
        <f t="shared" si="12"/>
        <v>0</v>
      </c>
      <c r="AF31" s="479">
        <f t="shared" si="13"/>
        <v>0</v>
      </c>
      <c r="AG31" s="471">
        <f t="shared" si="27"/>
        <v>0</v>
      </c>
      <c r="AI31" s="472">
        <f>R31-'EDl log'!B29</f>
        <v>-691215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33"/>
        <v>32447302</v>
      </c>
      <c r="E32" s="314">
        <f t="shared" si="14"/>
        <v>0</v>
      </c>
      <c r="F32" s="599">
        <f t="shared" si="34"/>
        <v>3914064</v>
      </c>
      <c r="G32" s="315">
        <f>F32-F31</f>
        <v>0</v>
      </c>
      <c r="H32" s="451">
        <f t="shared" si="35"/>
        <v>17723222</v>
      </c>
      <c r="I32" s="315">
        <f>H32-H31</f>
        <v>0</v>
      </c>
      <c r="J32" s="599">
        <f t="shared" si="37"/>
        <v>28803336</v>
      </c>
      <c r="K32" s="315">
        <f>J32-J31</f>
        <v>0</v>
      </c>
      <c r="L32" s="451">
        <f t="shared" si="36"/>
        <v>23860522</v>
      </c>
      <c r="M32" s="315">
        <f>L32-L31</f>
        <v>0</v>
      </c>
      <c r="N32" s="313">
        <f>M32+K32+I32+G32+E32</f>
        <v>0</v>
      </c>
      <c r="O32" s="473">
        <f t="shared" si="26"/>
        <v>0</v>
      </c>
      <c r="P32" s="630">
        <f t="shared" si="7"/>
        <v>16434.734</v>
      </c>
      <c r="Q32" s="455">
        <f t="shared" si="30"/>
        <v>0</v>
      </c>
      <c r="R32" s="455">
        <f t="shared" si="31"/>
        <v>0</v>
      </c>
      <c r="S32" s="451">
        <f t="shared" si="29"/>
        <v>10006</v>
      </c>
      <c r="T32" s="475">
        <f t="shared" si="3"/>
        <v>0</v>
      </c>
      <c r="U32" s="451">
        <f t="shared" si="19"/>
        <v>400936</v>
      </c>
      <c r="V32" s="455">
        <f t="shared" si="20"/>
        <v>0</v>
      </c>
      <c r="W32" s="451">
        <f t="shared" si="8"/>
        <v>32119</v>
      </c>
      <c r="X32" s="455">
        <f t="shared" si="25"/>
        <v>0</v>
      </c>
      <c r="Y32" s="451">
        <f t="shared" si="9"/>
        <v>687201</v>
      </c>
      <c r="Z32" s="477">
        <f>Y32-Y31</f>
        <v>0</v>
      </c>
      <c r="AA32" s="451">
        <f t="shared" si="10"/>
        <v>35634</v>
      </c>
      <c r="AB32" s="455">
        <f t="shared" si="21"/>
        <v>0</v>
      </c>
      <c r="AC32" s="451">
        <f t="shared" si="11"/>
        <v>905726</v>
      </c>
      <c r="AD32" s="455">
        <f t="shared" si="32"/>
        <v>0</v>
      </c>
      <c r="AE32" s="478">
        <f t="shared" si="12"/>
        <v>0</v>
      </c>
      <c r="AF32" s="479">
        <f>V32+Z32+AD32</f>
        <v>0</v>
      </c>
      <c r="AG32" s="471">
        <f t="shared" si="27"/>
        <v>0</v>
      </c>
      <c r="AI32" s="472">
        <f>R32-'EDl log'!B30</f>
        <v>-691215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33"/>
        <v>32447302</v>
      </c>
      <c r="E33" s="314">
        <f t="shared" ref="E33" si="38">D33-D32</f>
        <v>0</v>
      </c>
      <c r="F33" s="599">
        <f t="shared" si="34"/>
        <v>3914064</v>
      </c>
      <c r="G33" s="315">
        <f>F33-F32</f>
        <v>0</v>
      </c>
      <c r="H33" s="451">
        <f t="shared" si="35"/>
        <v>17723222</v>
      </c>
      <c r="I33" s="315">
        <f>H33-H32</f>
        <v>0</v>
      </c>
      <c r="J33" s="599">
        <f t="shared" si="37"/>
        <v>28803336</v>
      </c>
      <c r="K33" s="315">
        <f>J33-J32</f>
        <v>0</v>
      </c>
      <c r="L33" s="451">
        <f t="shared" si="36"/>
        <v>23860522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30">
        <f t="shared" si="7"/>
        <v>16434.734</v>
      </c>
      <c r="Q33" s="455">
        <f t="shared" si="30"/>
        <v>0</v>
      </c>
      <c r="R33" s="455">
        <f t="shared" si="31"/>
        <v>0</v>
      </c>
      <c r="S33" s="451">
        <f t="shared" si="29"/>
        <v>10006</v>
      </c>
      <c r="T33" s="475">
        <f t="shared" ref="T33" si="40">S33-S32</f>
        <v>0</v>
      </c>
      <c r="U33" s="451">
        <f t="shared" si="19"/>
        <v>400936</v>
      </c>
      <c r="V33" s="455">
        <f t="shared" ref="V33" si="41">U33-U32</f>
        <v>0</v>
      </c>
      <c r="W33" s="451">
        <f t="shared" si="8"/>
        <v>32119</v>
      </c>
      <c r="X33" s="455">
        <f t="shared" ref="X33" si="42">W33-W32</f>
        <v>0</v>
      </c>
      <c r="Y33" s="451">
        <f t="shared" si="9"/>
        <v>687201</v>
      </c>
      <c r="Z33" s="477">
        <f>Y33-Y32</f>
        <v>0</v>
      </c>
      <c r="AA33" s="451">
        <f t="shared" si="10"/>
        <v>35634</v>
      </c>
      <c r="AB33" s="455">
        <f t="shared" ref="AB33" si="43">AA33-AA32</f>
        <v>0</v>
      </c>
      <c r="AC33" s="451">
        <f t="shared" si="11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-691215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X30" sqref="X3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45.75" thickBot="1">
      <c r="F1" s="639" t="s">
        <v>2</v>
      </c>
      <c r="G1" s="640"/>
      <c r="H1" s="640"/>
      <c r="I1" s="641"/>
      <c r="J1" s="285">
        <f>J36</f>
        <v>0.75</v>
      </c>
      <c r="K1" s="642" t="s">
        <v>4</v>
      </c>
      <c r="L1" s="643"/>
      <c r="M1" s="643"/>
      <c r="N1" s="643"/>
      <c r="O1" s="644"/>
      <c r="P1" s="633" t="s">
        <v>6</v>
      </c>
      <c r="Q1" s="634"/>
      <c r="R1" s="634"/>
      <c r="S1" s="634"/>
      <c r="T1" s="635"/>
      <c r="U1" s="400"/>
      <c r="V1" s="27" t="s">
        <v>104</v>
      </c>
      <c r="W1" s="401"/>
      <c r="X1" s="633" t="s">
        <v>8</v>
      </c>
      <c r="Y1" s="634"/>
      <c r="Z1" s="634"/>
      <c r="AA1" s="634"/>
      <c r="AB1" s="634"/>
      <c r="AC1" s="636" t="s">
        <v>10</v>
      </c>
      <c r="AD1" s="637"/>
      <c r="AE1" s="637"/>
      <c r="AF1" s="638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31"/>
      <c r="R2" s="632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7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7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2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7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2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7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12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7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229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12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7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v>227</v>
      </c>
      <c r="C11" s="64">
        <v>234</v>
      </c>
      <c r="D11" s="45">
        <f t="shared" si="28"/>
        <v>1</v>
      </c>
      <c r="E11" s="45">
        <f t="shared" si="9"/>
        <v>8.3800000000000008</v>
      </c>
      <c r="F11" s="625">
        <v>1660</v>
      </c>
      <c r="G11" s="52">
        <f t="shared" si="0"/>
        <v>1</v>
      </c>
      <c r="H11" s="612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v>1858</v>
      </c>
      <c r="Q11" s="64">
        <v>157634</v>
      </c>
      <c r="R11" s="398">
        <f t="shared" ref="R11:R34" si="42">Q11-Q10</f>
        <v>238</v>
      </c>
      <c r="S11" s="52">
        <f t="shared" si="5"/>
        <v>2</v>
      </c>
      <c r="T11" s="67">
        <f t="shared" si="31"/>
        <v>0</v>
      </c>
      <c r="U11" s="405">
        <f t="shared" si="12"/>
        <v>3</v>
      </c>
      <c r="V11" s="62">
        <f t="shared" si="13"/>
        <v>238</v>
      </c>
      <c r="W11" s="403">
        <f t="shared" si="14"/>
        <v>79.333333333333329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7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238</v>
      </c>
      <c r="AJ11" s="321">
        <f>-tanks!AW12</f>
        <v>238</v>
      </c>
      <c r="AK11" s="321">
        <f t="shared" si="22"/>
        <v>0</v>
      </c>
      <c r="AL11" s="321">
        <f t="shared" si="8"/>
        <v>3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v>225</v>
      </c>
      <c r="C12" s="64">
        <v>231</v>
      </c>
      <c r="D12" s="45">
        <f t="shared" si="28"/>
        <v>3</v>
      </c>
      <c r="E12" s="45">
        <f t="shared" si="9"/>
        <v>25.14</v>
      </c>
      <c r="F12" s="625">
        <v>1660</v>
      </c>
      <c r="G12" s="52">
        <f t="shared" si="0"/>
        <v>0</v>
      </c>
      <c r="H12" s="612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v>157707</v>
      </c>
      <c r="N12" s="399">
        <f t="shared" si="3"/>
        <v>3</v>
      </c>
      <c r="O12" s="64">
        <f t="shared" si="11"/>
        <v>211.87499999999994</v>
      </c>
      <c r="P12" s="64">
        <v>1860</v>
      </c>
      <c r="Q12" s="64">
        <v>157793</v>
      </c>
      <c r="R12" s="398">
        <f t="shared" si="42"/>
        <v>159</v>
      </c>
      <c r="S12" s="52">
        <f t="shared" si="5"/>
        <v>2</v>
      </c>
      <c r="T12" s="67">
        <f t="shared" si="31"/>
        <v>0</v>
      </c>
      <c r="U12" s="405">
        <f t="shared" si="12"/>
        <v>2</v>
      </c>
      <c r="V12" s="62">
        <f t="shared" si="13"/>
        <v>162</v>
      </c>
      <c r="W12" s="403">
        <f t="shared" si="14"/>
        <v>81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7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162</v>
      </c>
      <c r="AJ12" s="321">
        <f>-tanks!AW13</f>
        <v>162</v>
      </c>
      <c r="AK12" s="321">
        <f t="shared" si="22"/>
        <v>0</v>
      </c>
      <c r="AL12" s="321">
        <f t="shared" si="8"/>
        <v>2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v>223</v>
      </c>
      <c r="C13" s="64">
        <v>230</v>
      </c>
      <c r="D13" s="45">
        <f t="shared" si="28"/>
        <v>1</v>
      </c>
      <c r="E13" s="45">
        <f t="shared" si="9"/>
        <v>8.3800000000000008</v>
      </c>
      <c r="F13" s="625">
        <f t="shared" si="41"/>
        <v>1660</v>
      </c>
      <c r="G13" s="52">
        <f t="shared" si="0"/>
        <v>0</v>
      </c>
      <c r="H13" s="612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157707</v>
      </c>
      <c r="N13" s="399">
        <f t="shared" si="3"/>
        <v>0</v>
      </c>
      <c r="O13" s="64">
        <f t="shared" si="11"/>
        <v>211.87499999999994</v>
      </c>
      <c r="P13" s="64">
        <v>1862</v>
      </c>
      <c r="Q13" s="64">
        <v>157930</v>
      </c>
      <c r="R13" s="398">
        <f t="shared" si="42"/>
        <v>137</v>
      </c>
      <c r="S13" s="52">
        <f t="shared" si="5"/>
        <v>2</v>
      </c>
      <c r="T13" s="67">
        <f t="shared" si="31"/>
        <v>0</v>
      </c>
      <c r="U13" s="405">
        <f t="shared" si="12"/>
        <v>2</v>
      </c>
      <c r="V13" s="62">
        <f>R13+N13+I13:I13</f>
        <v>137</v>
      </c>
      <c r="W13" s="403">
        <f t="shared" si="14"/>
        <v>68.5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7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137</v>
      </c>
      <c r="AJ13" s="321">
        <f>-tanks!AW14</f>
        <v>137</v>
      </c>
      <c r="AK13" s="321">
        <f t="shared" si="22"/>
        <v>0</v>
      </c>
      <c r="AL13" s="321">
        <f t="shared" si="8"/>
        <v>2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v>221</v>
      </c>
      <c r="C14" s="64">
        <v>228</v>
      </c>
      <c r="D14" s="45">
        <f t="shared" si="28"/>
        <v>2</v>
      </c>
      <c r="E14" s="45">
        <f t="shared" si="9"/>
        <v>16.760000000000002</v>
      </c>
      <c r="F14" s="625">
        <v>1660</v>
      </c>
      <c r="G14" s="52">
        <f t="shared" si="0"/>
        <v>0</v>
      </c>
      <c r="H14" s="612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157707</v>
      </c>
      <c r="N14" s="399">
        <f t="shared" si="3"/>
        <v>0</v>
      </c>
      <c r="O14" s="64">
        <f t="shared" si="11"/>
        <v>211.87499999999994</v>
      </c>
      <c r="P14" s="64">
        <v>1863</v>
      </c>
      <c r="Q14" s="64">
        <v>158074</v>
      </c>
      <c r="R14" s="398">
        <f t="shared" si="42"/>
        <v>144</v>
      </c>
      <c r="S14" s="52">
        <f t="shared" si="5"/>
        <v>1</v>
      </c>
      <c r="T14" s="67">
        <f t="shared" si="31"/>
        <v>0</v>
      </c>
      <c r="U14" s="405">
        <f t="shared" si="12"/>
        <v>1</v>
      </c>
      <c r="V14" s="62">
        <f t="shared" si="13"/>
        <v>144</v>
      </c>
      <c r="W14" s="403">
        <f t="shared" si="14"/>
        <v>144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7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144</v>
      </c>
      <c r="AJ14" s="321">
        <f>-tanks!AW15</f>
        <v>144</v>
      </c>
      <c r="AK14" s="321">
        <f t="shared" si="22"/>
        <v>0</v>
      </c>
      <c r="AL14" s="321">
        <f t="shared" si="8"/>
        <v>1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v>219</v>
      </c>
      <c r="C15" s="64">
        <v>226</v>
      </c>
      <c r="D15" s="45">
        <f t="shared" si="28"/>
        <v>2</v>
      </c>
      <c r="E15" s="45">
        <f t="shared" si="9"/>
        <v>16.760000000000002</v>
      </c>
      <c r="F15" s="625">
        <v>1660</v>
      </c>
      <c r="G15" s="52">
        <f t="shared" si="0"/>
        <v>0</v>
      </c>
      <c r="H15" s="612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157707</v>
      </c>
      <c r="N15" s="399">
        <f t="shared" si="3"/>
        <v>0</v>
      </c>
      <c r="O15" s="64">
        <f t="shared" si="11"/>
        <v>211.87499999999994</v>
      </c>
      <c r="P15" s="64">
        <v>1865</v>
      </c>
      <c r="Q15" s="64">
        <v>158236</v>
      </c>
      <c r="R15" s="398">
        <f t="shared" si="42"/>
        <v>162</v>
      </c>
      <c r="S15" s="52">
        <f t="shared" si="5"/>
        <v>2</v>
      </c>
      <c r="T15" s="67">
        <f t="shared" si="31"/>
        <v>0</v>
      </c>
      <c r="U15" s="405">
        <f t="shared" si="12"/>
        <v>2</v>
      </c>
      <c r="V15" s="62">
        <f t="shared" si="13"/>
        <v>162</v>
      </c>
      <c r="W15" s="403">
        <f t="shared" si="14"/>
        <v>81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7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162</v>
      </c>
      <c r="AJ15" s="321">
        <f>-tanks!AW16</f>
        <v>162</v>
      </c>
      <c r="AK15" s="321">
        <f t="shared" si="22"/>
        <v>0</v>
      </c>
      <c r="AL15" s="321">
        <f t="shared" si="8"/>
        <v>2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v>217</v>
      </c>
      <c r="C16" s="64">
        <v>223</v>
      </c>
      <c r="D16" s="45">
        <f t="shared" si="28"/>
        <v>3</v>
      </c>
      <c r="E16" s="45">
        <f t="shared" si="9"/>
        <v>25.14</v>
      </c>
      <c r="F16" s="64">
        <v>1660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157707</v>
      </c>
      <c r="N16" s="399">
        <f t="shared" si="3"/>
        <v>0</v>
      </c>
      <c r="O16" s="64">
        <f t="shared" si="11"/>
        <v>211.87499999999994</v>
      </c>
      <c r="P16" s="64">
        <v>1867</v>
      </c>
      <c r="Q16" s="64">
        <v>158400</v>
      </c>
      <c r="R16" s="398">
        <f t="shared" si="42"/>
        <v>164</v>
      </c>
      <c r="S16" s="52">
        <f t="shared" si="5"/>
        <v>2</v>
      </c>
      <c r="T16" s="67">
        <f t="shared" si="31"/>
        <v>0</v>
      </c>
      <c r="U16" s="405">
        <f t="shared" si="12"/>
        <v>2</v>
      </c>
      <c r="V16" s="62">
        <f t="shared" si="13"/>
        <v>164</v>
      </c>
      <c r="W16" s="403">
        <f t="shared" si="14"/>
        <v>82</v>
      </c>
      <c r="X16" s="64">
        <v>2449</v>
      </c>
      <c r="Y16" s="52">
        <f t="shared" si="16"/>
        <v>1</v>
      </c>
      <c r="Z16" s="64">
        <v>137586</v>
      </c>
      <c r="AA16" s="65">
        <f t="shared" si="6"/>
        <v>80</v>
      </c>
      <c r="AB16" s="287">
        <f t="shared" si="32"/>
        <v>0</v>
      </c>
      <c r="AC16" s="64">
        <v>1933</v>
      </c>
      <c r="AD16" s="45">
        <f t="shared" si="7"/>
        <v>0</v>
      </c>
      <c r="AE16" s="607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80</v>
      </c>
      <c r="AI16" s="321">
        <f t="shared" si="21"/>
        <v>244</v>
      </c>
      <c r="AJ16" s="321">
        <f>-tanks!AW17</f>
        <v>244</v>
      </c>
      <c r="AK16" s="321">
        <f t="shared" si="22"/>
        <v>0</v>
      </c>
      <c r="AL16" s="321">
        <f t="shared" si="8"/>
        <v>2</v>
      </c>
      <c r="AM16" s="321">
        <f t="shared" si="23"/>
        <v>1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v>215</v>
      </c>
      <c r="C17" s="64">
        <v>221</v>
      </c>
      <c r="D17" s="45">
        <f t="shared" si="28"/>
        <v>2</v>
      </c>
      <c r="E17" s="45">
        <f t="shared" si="9"/>
        <v>16.760000000000002</v>
      </c>
      <c r="F17" s="64">
        <f t="shared" si="41"/>
        <v>1660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157707</v>
      </c>
      <c r="N17" s="399">
        <f t="shared" si="3"/>
        <v>0</v>
      </c>
      <c r="O17" s="64">
        <f t="shared" si="11"/>
        <v>211.87499999999994</v>
      </c>
      <c r="P17" s="64">
        <v>1868</v>
      </c>
      <c r="Q17" s="64">
        <v>158537</v>
      </c>
      <c r="R17" s="398">
        <f t="shared" si="42"/>
        <v>137</v>
      </c>
      <c r="S17" s="52">
        <f t="shared" si="5"/>
        <v>1</v>
      </c>
      <c r="T17" s="67">
        <f t="shared" si="31"/>
        <v>0</v>
      </c>
      <c r="U17" s="405">
        <f t="shared" si="12"/>
        <v>1</v>
      </c>
      <c r="V17" s="62">
        <f t="shared" si="13"/>
        <v>137</v>
      </c>
      <c r="W17" s="403"/>
      <c r="X17" s="64">
        <f t="shared" si="15"/>
        <v>2449</v>
      </c>
      <c r="Y17" s="52">
        <f t="shared" si="16"/>
        <v>0</v>
      </c>
      <c r="Z17" s="64">
        <f t="shared" si="17"/>
        <v>137586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7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137</v>
      </c>
      <c r="AJ17" s="321">
        <f>-tanks!AW18</f>
        <v>137</v>
      </c>
      <c r="AK17" s="321">
        <f t="shared" si="22"/>
        <v>0</v>
      </c>
      <c r="AL17" s="321">
        <f t="shared" si="8"/>
        <v>1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v>213</v>
      </c>
      <c r="C18" s="64">
        <v>219</v>
      </c>
      <c r="D18" s="45">
        <f t="shared" si="28"/>
        <v>2</v>
      </c>
      <c r="E18" s="45">
        <f t="shared" si="9"/>
        <v>16.760000000000002</v>
      </c>
      <c r="F18" s="64">
        <f t="shared" si="41"/>
        <v>1660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157707</v>
      </c>
      <c r="N18" s="399">
        <f t="shared" si="3"/>
        <v>0</v>
      </c>
      <c r="O18" s="64">
        <v>1869</v>
      </c>
      <c r="P18" s="64">
        <v>1869</v>
      </c>
      <c r="Q18" s="64">
        <v>158699</v>
      </c>
      <c r="R18" s="398">
        <f t="shared" si="42"/>
        <v>162</v>
      </c>
      <c r="S18" s="52">
        <f t="shared" si="5"/>
        <v>1</v>
      </c>
      <c r="T18" s="67">
        <f t="shared" si="31"/>
        <v>0</v>
      </c>
      <c r="U18" s="405">
        <f t="shared" si="12"/>
        <v>1</v>
      </c>
      <c r="V18" s="62">
        <f t="shared" si="13"/>
        <v>162</v>
      </c>
      <c r="W18" s="403"/>
      <c r="X18" s="64">
        <f t="shared" si="15"/>
        <v>2449</v>
      </c>
      <c r="Y18" s="52">
        <f t="shared" si="16"/>
        <v>0</v>
      </c>
      <c r="Z18" s="64">
        <f t="shared" si="17"/>
        <v>137586</v>
      </c>
      <c r="AA18" s="65">
        <f t="shared" si="6"/>
        <v>0</v>
      </c>
      <c r="AB18" s="287">
        <f t="shared" ref="AB18:AB23" si="43">SUM(Y18*$AB$2)</f>
        <v>0</v>
      </c>
      <c r="AC18" s="64">
        <f t="shared" si="18"/>
        <v>1933</v>
      </c>
      <c r="AD18" s="45">
        <f t="shared" si="7"/>
        <v>0</v>
      </c>
      <c r="AE18" s="607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162</v>
      </c>
      <c r="AJ18" s="321">
        <f>-tanks!AW19</f>
        <v>162</v>
      </c>
      <c r="AK18" s="321">
        <f t="shared" si="22"/>
        <v>0</v>
      </c>
      <c r="AL18" s="321">
        <f t="shared" si="8"/>
        <v>1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v>62</v>
      </c>
      <c r="AS18" s="323">
        <f t="shared" si="36"/>
        <v>1860</v>
      </c>
      <c r="AT18" s="323">
        <f t="shared" si="37"/>
        <v>5520</v>
      </c>
      <c r="AU18" s="323">
        <f t="shared" si="38"/>
        <v>30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v>211</v>
      </c>
      <c r="C19" s="64">
        <v>217.3</v>
      </c>
      <c r="D19" s="45">
        <f t="shared" si="28"/>
        <v>1.6999999999999886</v>
      </c>
      <c r="E19" s="45">
        <f t="shared" si="9"/>
        <v>14.245999999999906</v>
      </c>
      <c r="F19" s="64">
        <f t="shared" si="41"/>
        <v>1660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v>2148</v>
      </c>
      <c r="L19" s="52">
        <f t="shared" si="2"/>
        <v>0</v>
      </c>
      <c r="M19" s="64">
        <v>157707</v>
      </c>
      <c r="N19" s="399">
        <f t="shared" si="3"/>
        <v>0</v>
      </c>
      <c r="O19" s="64">
        <f t="shared" si="11"/>
        <v>1869</v>
      </c>
      <c r="P19" s="64">
        <v>1870</v>
      </c>
      <c r="Q19" s="64">
        <v>158856</v>
      </c>
      <c r="R19" s="398">
        <f t="shared" si="42"/>
        <v>157</v>
      </c>
      <c r="S19" s="52">
        <f t="shared" si="5"/>
        <v>1</v>
      </c>
      <c r="T19" s="67">
        <f t="shared" si="31"/>
        <v>0</v>
      </c>
      <c r="U19" s="405">
        <f t="shared" si="12"/>
        <v>1</v>
      </c>
      <c r="V19" s="62">
        <f t="shared" si="13"/>
        <v>157</v>
      </c>
      <c r="W19" s="403"/>
      <c r="X19" s="64">
        <f t="shared" si="15"/>
        <v>2449</v>
      </c>
      <c r="Y19" s="52">
        <f t="shared" si="16"/>
        <v>0</v>
      </c>
      <c r="Z19" s="64">
        <f t="shared" si="17"/>
        <v>137586</v>
      </c>
      <c r="AA19" s="65">
        <f t="shared" si="6"/>
        <v>0</v>
      </c>
      <c r="AB19" s="287">
        <f t="shared" si="43"/>
        <v>0</v>
      </c>
      <c r="AC19" s="64">
        <f t="shared" si="18"/>
        <v>1933</v>
      </c>
      <c r="AD19" s="45">
        <f t="shared" si="7"/>
        <v>0</v>
      </c>
      <c r="AE19" s="607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157</v>
      </c>
      <c r="AJ19" s="321">
        <f>-tanks!AW20</f>
        <v>157</v>
      </c>
      <c r="AK19" s="321">
        <f t="shared" si="22"/>
        <v>0</v>
      </c>
      <c r="AL19" s="321">
        <f t="shared" si="8"/>
        <v>1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62</v>
      </c>
      <c r="AS19" s="323">
        <f t="shared" si="36"/>
        <v>1860</v>
      </c>
      <c r="AT19" s="323">
        <f t="shared" si="37"/>
        <v>5520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v>248</v>
      </c>
      <c r="C20" s="64">
        <v>254</v>
      </c>
      <c r="D20" s="45">
        <f>C19-C20</f>
        <v>-36.699999999999989</v>
      </c>
      <c r="E20" s="45">
        <f t="shared" si="9"/>
        <v>-307.54599999999994</v>
      </c>
      <c r="F20" s="64">
        <f t="shared" si="41"/>
        <v>1660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157707</v>
      </c>
      <c r="N20" s="399">
        <f t="shared" si="3"/>
        <v>0</v>
      </c>
      <c r="O20" s="64">
        <f t="shared" si="11"/>
        <v>1869</v>
      </c>
      <c r="P20" s="626">
        <v>1871</v>
      </c>
      <c r="Q20" s="64">
        <v>158993</v>
      </c>
      <c r="R20" s="398">
        <f t="shared" si="42"/>
        <v>137</v>
      </c>
      <c r="S20" s="52">
        <f t="shared" si="5"/>
        <v>1</v>
      </c>
      <c r="T20" s="67">
        <f t="shared" si="31"/>
        <v>0</v>
      </c>
      <c r="U20" s="405">
        <f t="shared" si="12"/>
        <v>1</v>
      </c>
      <c r="V20" s="62">
        <f t="shared" si="13"/>
        <v>137</v>
      </c>
      <c r="W20" s="403"/>
      <c r="X20" s="64">
        <f t="shared" si="15"/>
        <v>2449</v>
      </c>
      <c r="Y20" s="52">
        <f t="shared" si="16"/>
        <v>0</v>
      </c>
      <c r="Z20" s="64">
        <f t="shared" si="17"/>
        <v>137586</v>
      </c>
      <c r="AA20" s="65">
        <f t="shared" si="6"/>
        <v>0</v>
      </c>
      <c r="AB20" s="287">
        <f t="shared" si="43"/>
        <v>0</v>
      </c>
      <c r="AC20" s="64">
        <f t="shared" si="18"/>
        <v>1933</v>
      </c>
      <c r="AD20" s="45">
        <f t="shared" si="7"/>
        <v>0</v>
      </c>
      <c r="AE20" s="607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137</v>
      </c>
      <c r="AJ20" s="321">
        <f>-tanks!AW21</f>
        <v>137</v>
      </c>
      <c r="AK20" s="321">
        <f t="shared" si="22"/>
        <v>0</v>
      </c>
      <c r="AL20" s="321">
        <f t="shared" si="8"/>
        <v>1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62</v>
      </c>
      <c r="AS20" s="323">
        <f t="shared" si="36"/>
        <v>1860</v>
      </c>
      <c r="AT20" s="323">
        <f t="shared" si="37"/>
        <v>5520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v>246</v>
      </c>
      <c r="C21" s="64">
        <v>252</v>
      </c>
      <c r="D21" s="45">
        <f t="shared" ref="D21:D31" si="44">C20-C21</f>
        <v>2</v>
      </c>
      <c r="E21" s="45">
        <f t="shared" si="9"/>
        <v>16.760000000000002</v>
      </c>
      <c r="F21" s="64">
        <f t="shared" si="41"/>
        <v>1660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157707</v>
      </c>
      <c r="N21" s="399">
        <f t="shared" si="3"/>
        <v>0</v>
      </c>
      <c r="O21" s="64">
        <f t="shared" si="11"/>
        <v>1869</v>
      </c>
      <c r="P21" s="64">
        <v>1872</v>
      </c>
      <c r="Q21" s="64">
        <v>159153</v>
      </c>
      <c r="R21" s="398">
        <f t="shared" si="42"/>
        <v>160</v>
      </c>
      <c r="S21" s="52">
        <f t="shared" si="5"/>
        <v>1</v>
      </c>
      <c r="T21" s="67">
        <f t="shared" si="31"/>
        <v>0</v>
      </c>
      <c r="U21" s="405">
        <f t="shared" si="12"/>
        <v>1</v>
      </c>
      <c r="V21" s="62">
        <f t="shared" si="13"/>
        <v>160</v>
      </c>
      <c r="W21" s="403"/>
      <c r="X21" s="64">
        <f t="shared" si="15"/>
        <v>2449</v>
      </c>
      <c r="Y21" s="52">
        <f t="shared" si="16"/>
        <v>0</v>
      </c>
      <c r="Z21" s="64">
        <f t="shared" si="17"/>
        <v>137586</v>
      </c>
      <c r="AA21" s="65">
        <f t="shared" si="6"/>
        <v>0</v>
      </c>
      <c r="AB21" s="287">
        <f t="shared" si="43"/>
        <v>0</v>
      </c>
      <c r="AC21" s="64">
        <f t="shared" si="18"/>
        <v>1933</v>
      </c>
      <c r="AD21" s="45">
        <f t="shared" si="7"/>
        <v>0</v>
      </c>
      <c r="AE21" s="607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160</v>
      </c>
      <c r="AJ21" s="321">
        <f>-tanks!AW22</f>
        <v>160</v>
      </c>
      <c r="AK21" s="321">
        <f t="shared" si="22"/>
        <v>0</v>
      </c>
      <c r="AL21" s="321">
        <f t="shared" si="8"/>
        <v>1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62</v>
      </c>
      <c r="AS21" s="323">
        <f t="shared" si="36"/>
        <v>1860</v>
      </c>
      <c r="AT21" s="323">
        <f t="shared" si="37"/>
        <v>5520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v>244</v>
      </c>
      <c r="C22" s="64">
        <v>250</v>
      </c>
      <c r="D22" s="45">
        <f t="shared" si="44"/>
        <v>2</v>
      </c>
      <c r="E22" s="45">
        <f t="shared" si="9"/>
        <v>16.760000000000002</v>
      </c>
      <c r="F22" s="64">
        <f t="shared" si="41"/>
        <v>1660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157707</v>
      </c>
      <c r="N22" s="399">
        <f t="shared" si="3"/>
        <v>0</v>
      </c>
      <c r="O22" s="64">
        <f t="shared" si="11"/>
        <v>1869</v>
      </c>
      <c r="P22" s="64">
        <v>1875</v>
      </c>
      <c r="Q22" s="64">
        <v>159367</v>
      </c>
      <c r="R22" s="398">
        <f t="shared" si="42"/>
        <v>214</v>
      </c>
      <c r="S22" s="52">
        <f t="shared" si="5"/>
        <v>3</v>
      </c>
      <c r="T22" s="67">
        <f t="shared" si="31"/>
        <v>0</v>
      </c>
      <c r="U22" s="405">
        <f t="shared" si="12"/>
        <v>3</v>
      </c>
      <c r="V22" s="62">
        <f t="shared" si="13"/>
        <v>214</v>
      </c>
      <c r="W22" s="403"/>
      <c r="X22" s="64">
        <f t="shared" si="15"/>
        <v>2449</v>
      </c>
      <c r="Y22" s="52">
        <f t="shared" si="16"/>
        <v>0</v>
      </c>
      <c r="Z22" s="64">
        <f t="shared" si="17"/>
        <v>137586</v>
      </c>
      <c r="AA22" s="65">
        <f t="shared" si="6"/>
        <v>0</v>
      </c>
      <c r="AB22" s="287">
        <f t="shared" si="43"/>
        <v>0</v>
      </c>
      <c r="AC22" s="64">
        <f t="shared" si="18"/>
        <v>1933</v>
      </c>
      <c r="AD22" s="45">
        <f t="shared" si="7"/>
        <v>0</v>
      </c>
      <c r="AE22" s="607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214</v>
      </c>
      <c r="AJ22" s="321">
        <f>-tanks!AW23</f>
        <v>214</v>
      </c>
      <c r="AK22" s="321">
        <f t="shared" si="22"/>
        <v>0</v>
      </c>
      <c r="AL22" s="321">
        <f t="shared" si="8"/>
        <v>3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62</v>
      </c>
      <c r="AS22" s="323">
        <f t="shared" si="36"/>
        <v>1860</v>
      </c>
      <c r="AT22" s="323">
        <f t="shared" si="37"/>
        <v>5520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v>243</v>
      </c>
      <c r="C23" s="64">
        <v>249</v>
      </c>
      <c r="D23" s="45">
        <f t="shared" si="44"/>
        <v>1</v>
      </c>
      <c r="E23" s="45">
        <f t="shared" si="9"/>
        <v>8.3800000000000008</v>
      </c>
      <c r="F23" s="64">
        <f t="shared" si="41"/>
        <v>1660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157707</v>
      </c>
      <c r="N23" s="399">
        <f t="shared" si="3"/>
        <v>0</v>
      </c>
      <c r="O23" s="64">
        <f t="shared" si="11"/>
        <v>1869</v>
      </c>
      <c r="P23" s="64">
        <v>1876</v>
      </c>
      <c r="Q23" s="64">
        <v>159480</v>
      </c>
      <c r="R23" s="398">
        <f t="shared" si="42"/>
        <v>113</v>
      </c>
      <c r="S23" s="52">
        <f t="shared" si="5"/>
        <v>1</v>
      </c>
      <c r="T23" s="67">
        <f t="shared" si="31"/>
        <v>0</v>
      </c>
      <c r="U23" s="405">
        <f t="shared" si="12"/>
        <v>1</v>
      </c>
      <c r="V23" s="62">
        <f t="shared" si="13"/>
        <v>113</v>
      </c>
      <c r="W23" s="403"/>
      <c r="X23" s="64">
        <f t="shared" si="15"/>
        <v>2449</v>
      </c>
      <c r="Y23" s="52">
        <f t="shared" si="16"/>
        <v>0</v>
      </c>
      <c r="Z23" s="64">
        <f t="shared" si="17"/>
        <v>137586</v>
      </c>
      <c r="AA23" s="65">
        <f t="shared" si="6"/>
        <v>0</v>
      </c>
      <c r="AB23" s="287">
        <f t="shared" si="43"/>
        <v>0</v>
      </c>
      <c r="AC23" s="64">
        <f t="shared" si="18"/>
        <v>1933</v>
      </c>
      <c r="AD23" s="45">
        <f t="shared" si="7"/>
        <v>0</v>
      </c>
      <c r="AE23" s="607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113</v>
      </c>
      <c r="AJ23" s="321">
        <f>-tanks!AW24</f>
        <v>113</v>
      </c>
      <c r="AK23" s="321">
        <f t="shared" si="22"/>
        <v>0</v>
      </c>
      <c r="AL23" s="321">
        <f t="shared" si="8"/>
        <v>1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62</v>
      </c>
      <c r="AS23" s="323">
        <f t="shared" si="36"/>
        <v>1860</v>
      </c>
      <c r="AT23" s="323">
        <f t="shared" si="37"/>
        <v>5520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v>239</v>
      </c>
      <c r="C24" s="64">
        <v>245</v>
      </c>
      <c r="D24" s="45">
        <f t="shared" si="44"/>
        <v>4</v>
      </c>
      <c r="E24" s="45">
        <f t="shared" si="9"/>
        <v>33.520000000000003</v>
      </c>
      <c r="F24" s="64">
        <v>1660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157707</v>
      </c>
      <c r="N24" s="399">
        <f t="shared" si="3"/>
        <v>0</v>
      </c>
      <c r="O24" s="64">
        <f t="shared" si="11"/>
        <v>1869</v>
      </c>
      <c r="P24" s="64">
        <v>1879</v>
      </c>
      <c r="Q24" s="64">
        <v>159675</v>
      </c>
      <c r="R24" s="398">
        <f t="shared" si="42"/>
        <v>195</v>
      </c>
      <c r="S24" s="52">
        <f t="shared" si="5"/>
        <v>3</v>
      </c>
      <c r="T24" s="67">
        <f t="shared" si="31"/>
        <v>0</v>
      </c>
      <c r="U24" s="405">
        <f t="shared" si="12"/>
        <v>3</v>
      </c>
      <c r="V24" s="62">
        <f t="shared" si="13"/>
        <v>195</v>
      </c>
      <c r="W24" s="403"/>
      <c r="X24" s="64">
        <f t="shared" si="15"/>
        <v>2449</v>
      </c>
      <c r="Y24" s="52">
        <f t="shared" si="16"/>
        <v>0</v>
      </c>
      <c r="Z24" s="64">
        <f t="shared" si="17"/>
        <v>137586</v>
      </c>
      <c r="AA24" s="65">
        <f t="shared" si="6"/>
        <v>0</v>
      </c>
      <c r="AB24" s="287">
        <f t="shared" ref="AB24:AB34" si="45">SUM(Y24*$AB$2)</f>
        <v>0</v>
      </c>
      <c r="AC24" s="64">
        <f t="shared" si="18"/>
        <v>1933</v>
      </c>
      <c r="AD24" s="45">
        <f t="shared" si="7"/>
        <v>0</v>
      </c>
      <c r="AE24" s="607">
        <v>365262</v>
      </c>
      <c r="AF24" s="309">
        <f t="shared" si="20"/>
        <v>50</v>
      </c>
      <c r="AG24" s="210">
        <f t="shared" si="33"/>
        <v>0</v>
      </c>
      <c r="AH24" s="62">
        <f t="shared" si="34"/>
        <v>50</v>
      </c>
      <c r="AI24" s="321">
        <f t="shared" si="21"/>
        <v>245</v>
      </c>
      <c r="AJ24" s="321">
        <f>-tanks!AW25</f>
        <v>245</v>
      </c>
      <c r="AK24" s="321">
        <f t="shared" si="22"/>
        <v>0</v>
      </c>
      <c r="AL24" s="321">
        <f t="shared" si="8"/>
        <v>3</v>
      </c>
      <c r="AM24" s="321">
        <f t="shared" si="23"/>
        <v>0</v>
      </c>
      <c r="AN24" s="64">
        <v>68</v>
      </c>
      <c r="AO24" s="323">
        <f t="shared" si="24"/>
        <v>2040.0000000000002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62</v>
      </c>
      <c r="AS24" s="323">
        <f t="shared" si="36"/>
        <v>1860</v>
      </c>
      <c r="AT24" s="323">
        <f t="shared" ref="AT24:AT34" si="46">SUM(AO24+AQ24+AS24)</f>
        <v>5550</v>
      </c>
      <c r="AU24" s="323">
        <f t="shared" si="38"/>
        <v>-30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v>238</v>
      </c>
      <c r="C25" s="64">
        <v>244</v>
      </c>
      <c r="D25" s="45">
        <f t="shared" si="44"/>
        <v>1</v>
      </c>
      <c r="E25" s="45">
        <f t="shared" si="9"/>
        <v>8.3800000000000008</v>
      </c>
      <c r="F25" s="64">
        <f t="shared" si="41"/>
        <v>1660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157707</v>
      </c>
      <c r="N25" s="399">
        <f t="shared" si="3"/>
        <v>0</v>
      </c>
      <c r="O25" s="64">
        <f t="shared" si="11"/>
        <v>1869</v>
      </c>
      <c r="P25" s="64">
        <v>1880</v>
      </c>
      <c r="Q25" s="64">
        <v>159812</v>
      </c>
      <c r="R25" s="398">
        <f t="shared" si="42"/>
        <v>137</v>
      </c>
      <c r="S25" s="52">
        <f t="shared" si="5"/>
        <v>1</v>
      </c>
      <c r="T25" s="67">
        <f t="shared" si="31"/>
        <v>0</v>
      </c>
      <c r="U25" s="405">
        <f t="shared" si="12"/>
        <v>1</v>
      </c>
      <c r="V25" s="62">
        <f t="shared" si="13"/>
        <v>137</v>
      </c>
      <c r="W25" s="403"/>
      <c r="X25" s="64">
        <f t="shared" si="15"/>
        <v>2449</v>
      </c>
      <c r="Y25" s="52">
        <f t="shared" si="16"/>
        <v>0</v>
      </c>
      <c r="Z25" s="64">
        <f t="shared" si="17"/>
        <v>137586</v>
      </c>
      <c r="AA25" s="65">
        <f t="shared" si="6"/>
        <v>0</v>
      </c>
      <c r="AB25" s="287">
        <f t="shared" si="45"/>
        <v>0</v>
      </c>
      <c r="AC25" s="64">
        <f t="shared" si="18"/>
        <v>1933</v>
      </c>
      <c r="AD25" s="45">
        <f t="shared" si="7"/>
        <v>0</v>
      </c>
      <c r="AE25" s="607">
        <f t="shared" si="19"/>
        <v>365262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137</v>
      </c>
      <c r="AJ25" s="321">
        <f>-tanks!AW26</f>
        <v>137</v>
      </c>
      <c r="AK25" s="321">
        <f t="shared" si="22"/>
        <v>0</v>
      </c>
      <c r="AL25" s="321">
        <f t="shared" si="8"/>
        <v>1</v>
      </c>
      <c r="AM25" s="321">
        <f t="shared" si="23"/>
        <v>0</v>
      </c>
      <c r="AN25" s="64">
        <f t="shared" si="40"/>
        <v>68</v>
      </c>
      <c r="AO25" s="323">
        <f t="shared" si="24"/>
        <v>2040.0000000000002</v>
      </c>
      <c r="AP25" s="64">
        <f t="shared" si="35"/>
        <v>55</v>
      </c>
      <c r="AQ25" s="323">
        <f t="shared" ref="AQ25:AQ34" si="47">(AP25/100)*3000</f>
        <v>1650.0000000000002</v>
      </c>
      <c r="AR25" s="64">
        <f t="shared" si="26"/>
        <v>62</v>
      </c>
      <c r="AS25" s="323">
        <f t="shared" si="36"/>
        <v>1860</v>
      </c>
      <c r="AT25" s="323">
        <f t="shared" si="46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v>237</v>
      </c>
      <c r="C26" s="64">
        <v>243</v>
      </c>
      <c r="D26" s="45">
        <f t="shared" si="44"/>
        <v>1</v>
      </c>
      <c r="E26" s="45">
        <f t="shared" si="9"/>
        <v>8.3800000000000008</v>
      </c>
      <c r="F26" s="64">
        <f t="shared" si="41"/>
        <v>1660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v>2151</v>
      </c>
      <c r="L26" s="52">
        <f t="shared" si="2"/>
        <v>3</v>
      </c>
      <c r="M26" s="64">
        <v>157944</v>
      </c>
      <c r="N26" s="399">
        <f t="shared" si="3"/>
        <v>237</v>
      </c>
      <c r="O26" s="64">
        <f t="shared" si="11"/>
        <v>1869</v>
      </c>
      <c r="P26" s="64">
        <f t="shared" si="11"/>
        <v>1880</v>
      </c>
      <c r="Q26" s="64">
        <f t="shared" si="11"/>
        <v>159812</v>
      </c>
      <c r="R26" s="398">
        <f t="shared" si="42"/>
        <v>0</v>
      </c>
      <c r="S26" s="52">
        <f t="shared" si="5"/>
        <v>0</v>
      </c>
      <c r="T26" s="67">
        <f t="shared" si="31"/>
        <v>0</v>
      </c>
      <c r="U26" s="405">
        <f t="shared" si="12"/>
        <v>3</v>
      </c>
      <c r="V26" s="62">
        <f t="shared" si="13"/>
        <v>237</v>
      </c>
      <c r="W26" s="403"/>
      <c r="X26" s="64">
        <f t="shared" si="15"/>
        <v>2449</v>
      </c>
      <c r="Y26" s="52">
        <f t="shared" si="16"/>
        <v>0</v>
      </c>
      <c r="Z26" s="64">
        <f t="shared" si="17"/>
        <v>137586</v>
      </c>
      <c r="AA26" s="65">
        <f t="shared" si="6"/>
        <v>0</v>
      </c>
      <c r="AB26" s="287">
        <f t="shared" si="45"/>
        <v>0</v>
      </c>
      <c r="AC26" s="64">
        <f t="shared" si="18"/>
        <v>1933</v>
      </c>
      <c r="AD26" s="45">
        <f t="shared" si="7"/>
        <v>0</v>
      </c>
      <c r="AE26" s="607">
        <f t="shared" si="19"/>
        <v>365262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237</v>
      </c>
      <c r="AJ26" s="321">
        <f>-tanks!AW27</f>
        <v>237</v>
      </c>
      <c r="AK26" s="321">
        <f t="shared" si="22"/>
        <v>0</v>
      </c>
      <c r="AL26" s="321">
        <f t="shared" si="8"/>
        <v>3</v>
      </c>
      <c r="AM26" s="321">
        <f t="shared" si="23"/>
        <v>0</v>
      </c>
      <c r="AN26" s="64">
        <f t="shared" si="40"/>
        <v>68</v>
      </c>
      <c r="AO26" s="323">
        <f t="shared" si="24"/>
        <v>2040.0000000000002</v>
      </c>
      <c r="AP26" s="64">
        <f t="shared" si="35"/>
        <v>55</v>
      </c>
      <c r="AQ26" s="323">
        <f t="shared" si="47"/>
        <v>1650.0000000000002</v>
      </c>
      <c r="AR26" s="64">
        <f t="shared" si="26"/>
        <v>62</v>
      </c>
      <c r="AS26" s="323">
        <f t="shared" si="36"/>
        <v>1860</v>
      </c>
      <c r="AT26" s="323">
        <f t="shared" si="46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v>235</v>
      </c>
      <c r="C27" s="64">
        <v>241</v>
      </c>
      <c r="D27" s="45">
        <f t="shared" si="44"/>
        <v>2</v>
      </c>
      <c r="E27" s="45">
        <f t="shared" si="9"/>
        <v>16.760000000000002</v>
      </c>
      <c r="F27" s="64">
        <f t="shared" si="41"/>
        <v>1660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v>2153</v>
      </c>
      <c r="L27" s="52">
        <f t="shared" si="2"/>
        <v>2</v>
      </c>
      <c r="M27" s="64">
        <v>158099</v>
      </c>
      <c r="N27" s="399">
        <f t="shared" si="3"/>
        <v>155</v>
      </c>
      <c r="O27" s="64">
        <f t="shared" si="11"/>
        <v>1869</v>
      </c>
      <c r="P27" s="64">
        <f t="shared" si="11"/>
        <v>1880</v>
      </c>
      <c r="Q27" s="64">
        <f t="shared" si="11"/>
        <v>159812</v>
      </c>
      <c r="R27" s="398">
        <f t="shared" si="42"/>
        <v>0</v>
      </c>
      <c r="S27" s="52">
        <f t="shared" si="5"/>
        <v>0</v>
      </c>
      <c r="T27" s="67">
        <f t="shared" si="31"/>
        <v>0</v>
      </c>
      <c r="U27" s="405">
        <f t="shared" si="12"/>
        <v>2</v>
      </c>
      <c r="V27" s="62">
        <f t="shared" si="13"/>
        <v>155</v>
      </c>
      <c r="W27" s="403"/>
      <c r="X27" s="64">
        <f t="shared" si="15"/>
        <v>2449</v>
      </c>
      <c r="Y27" s="52">
        <f t="shared" si="16"/>
        <v>0</v>
      </c>
      <c r="Z27" s="64">
        <f t="shared" si="17"/>
        <v>137586</v>
      </c>
      <c r="AA27" s="65">
        <f t="shared" si="6"/>
        <v>0</v>
      </c>
      <c r="AB27" s="287">
        <f t="shared" si="45"/>
        <v>0</v>
      </c>
      <c r="AC27" s="64">
        <f t="shared" si="18"/>
        <v>1933</v>
      </c>
      <c r="AD27" s="45">
        <f t="shared" si="7"/>
        <v>0</v>
      </c>
      <c r="AE27" s="607">
        <f t="shared" si="19"/>
        <v>365262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155</v>
      </c>
      <c r="AJ27" s="321">
        <f>-tanks!AW28</f>
        <v>155</v>
      </c>
      <c r="AK27" s="321">
        <f t="shared" si="22"/>
        <v>0</v>
      </c>
      <c r="AL27" s="321">
        <f t="shared" si="8"/>
        <v>2</v>
      </c>
      <c r="AM27" s="321">
        <f t="shared" si="23"/>
        <v>0</v>
      </c>
      <c r="AN27" s="64">
        <f t="shared" si="40"/>
        <v>68</v>
      </c>
      <c r="AO27" s="323">
        <f>(AN27/100)*3000</f>
        <v>2040.0000000000002</v>
      </c>
      <c r="AP27" s="64">
        <f t="shared" si="35"/>
        <v>55</v>
      </c>
      <c r="AQ27" s="323">
        <f t="shared" si="47"/>
        <v>1650.0000000000002</v>
      </c>
      <c r="AR27" s="64">
        <f t="shared" si="26"/>
        <v>62</v>
      </c>
      <c r="AS27" s="323">
        <f t="shared" si="36"/>
        <v>1860</v>
      </c>
      <c r="AT27" s="323">
        <f t="shared" si="46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v>232</v>
      </c>
      <c r="C28" s="64">
        <v>238</v>
      </c>
      <c r="D28" s="45">
        <f t="shared" si="44"/>
        <v>3</v>
      </c>
      <c r="E28" s="45">
        <f t="shared" si="9"/>
        <v>25.14</v>
      </c>
      <c r="F28" s="64">
        <f t="shared" si="41"/>
        <v>1660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v>2154</v>
      </c>
      <c r="L28" s="52">
        <f t="shared" si="2"/>
        <v>1</v>
      </c>
      <c r="M28" s="64">
        <v>158183</v>
      </c>
      <c r="N28" s="399">
        <f t="shared" si="3"/>
        <v>84</v>
      </c>
      <c r="O28" s="64">
        <f t="shared" si="11"/>
        <v>1869</v>
      </c>
      <c r="P28" s="64">
        <v>1882</v>
      </c>
      <c r="Q28" s="64">
        <v>159910</v>
      </c>
      <c r="R28" s="398">
        <f t="shared" si="42"/>
        <v>98</v>
      </c>
      <c r="S28" s="52">
        <f t="shared" si="5"/>
        <v>2</v>
      </c>
      <c r="T28" s="67">
        <f t="shared" si="31"/>
        <v>0</v>
      </c>
      <c r="U28" s="405">
        <f t="shared" si="12"/>
        <v>3</v>
      </c>
      <c r="V28" s="62">
        <f t="shared" si="13"/>
        <v>182</v>
      </c>
      <c r="W28" s="403"/>
      <c r="X28" s="64">
        <f t="shared" si="15"/>
        <v>2449</v>
      </c>
      <c r="Y28" s="52">
        <f t="shared" si="16"/>
        <v>0</v>
      </c>
      <c r="Z28" s="64">
        <f t="shared" si="17"/>
        <v>137586</v>
      </c>
      <c r="AA28" s="65">
        <f t="shared" si="6"/>
        <v>0</v>
      </c>
      <c r="AB28" s="287">
        <f t="shared" si="45"/>
        <v>0</v>
      </c>
      <c r="AC28" s="64">
        <f t="shared" si="18"/>
        <v>1933</v>
      </c>
      <c r="AD28" s="45">
        <f t="shared" si="7"/>
        <v>0</v>
      </c>
      <c r="AE28" s="607">
        <f t="shared" si="19"/>
        <v>365262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182</v>
      </c>
      <c r="AJ28" s="321">
        <f>-tanks!AW29</f>
        <v>182</v>
      </c>
      <c r="AK28" s="321">
        <f t="shared" si="22"/>
        <v>0</v>
      </c>
      <c r="AL28" s="321">
        <f t="shared" si="8"/>
        <v>3</v>
      </c>
      <c r="AM28" s="321">
        <f t="shared" si="23"/>
        <v>0</v>
      </c>
      <c r="AN28" s="64">
        <f t="shared" si="40"/>
        <v>68</v>
      </c>
      <c r="AO28" s="323">
        <f t="shared" ref="AO28:AO34" si="48">(AN28/100)*3000</f>
        <v>2040.0000000000002</v>
      </c>
      <c r="AP28" s="64">
        <f t="shared" si="35"/>
        <v>55</v>
      </c>
      <c r="AQ28" s="323">
        <f t="shared" si="47"/>
        <v>1650.0000000000002</v>
      </c>
      <c r="AR28" s="64">
        <f t="shared" si="26"/>
        <v>62</v>
      </c>
      <c r="AS28" s="323">
        <f t="shared" si="36"/>
        <v>1860</v>
      </c>
      <c r="AT28" s="323">
        <f t="shared" si="46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v>230</v>
      </c>
      <c r="C29" s="64">
        <v>235</v>
      </c>
      <c r="D29" s="45">
        <f t="shared" si="44"/>
        <v>3</v>
      </c>
      <c r="E29" s="45">
        <f t="shared" si="9"/>
        <v>25.14</v>
      </c>
      <c r="F29" s="64">
        <f t="shared" si="41"/>
        <v>1660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2154</v>
      </c>
      <c r="L29" s="52">
        <f t="shared" si="2"/>
        <v>0</v>
      </c>
      <c r="M29" s="64">
        <f t="shared" si="30"/>
        <v>158183</v>
      </c>
      <c r="N29" s="399">
        <f t="shared" si="3"/>
        <v>0</v>
      </c>
      <c r="O29" s="64">
        <f t="shared" si="11"/>
        <v>1869</v>
      </c>
      <c r="P29" s="64">
        <v>1884</v>
      </c>
      <c r="Q29" s="64">
        <v>160066</v>
      </c>
      <c r="R29" s="398">
        <f t="shared" si="42"/>
        <v>156</v>
      </c>
      <c r="S29" s="52">
        <f t="shared" si="5"/>
        <v>2</v>
      </c>
      <c r="T29" s="67">
        <f t="shared" si="31"/>
        <v>0</v>
      </c>
      <c r="U29" s="405">
        <f t="shared" si="12"/>
        <v>2</v>
      </c>
      <c r="V29" s="62">
        <f t="shared" si="13"/>
        <v>156</v>
      </c>
      <c r="W29" s="403"/>
      <c r="X29" s="64">
        <f t="shared" si="15"/>
        <v>2449</v>
      </c>
      <c r="Y29" s="52">
        <f t="shared" si="16"/>
        <v>0</v>
      </c>
      <c r="Z29" s="64">
        <f t="shared" si="17"/>
        <v>137586</v>
      </c>
      <c r="AA29" s="65">
        <f t="shared" si="6"/>
        <v>0</v>
      </c>
      <c r="AB29" s="287">
        <f t="shared" si="45"/>
        <v>0</v>
      </c>
      <c r="AC29" s="64">
        <f t="shared" si="18"/>
        <v>1933</v>
      </c>
      <c r="AD29" s="45">
        <f t="shared" si="7"/>
        <v>0</v>
      </c>
      <c r="AE29" s="607">
        <f t="shared" si="19"/>
        <v>365262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156</v>
      </c>
      <c r="AJ29" s="321">
        <f>-tanks!AW30</f>
        <v>156</v>
      </c>
      <c r="AK29" s="321">
        <f t="shared" si="22"/>
        <v>0</v>
      </c>
      <c r="AL29" s="321">
        <f t="shared" si="8"/>
        <v>2</v>
      </c>
      <c r="AM29" s="321">
        <f t="shared" si="23"/>
        <v>0</v>
      </c>
      <c r="AN29" s="64">
        <f t="shared" si="40"/>
        <v>68</v>
      </c>
      <c r="AO29" s="323">
        <f t="shared" si="48"/>
        <v>2040.0000000000002</v>
      </c>
      <c r="AP29" s="64">
        <f t="shared" si="35"/>
        <v>55</v>
      </c>
      <c r="AQ29" s="323">
        <f t="shared" si="47"/>
        <v>1650.0000000000002</v>
      </c>
      <c r="AR29" s="64">
        <f t="shared" si="26"/>
        <v>62</v>
      </c>
      <c r="AS29" s="323">
        <f t="shared" si="36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v>229</v>
      </c>
      <c r="C30" s="64">
        <v>234.1</v>
      </c>
      <c r="D30" s="45">
        <f t="shared" si="44"/>
        <v>0.90000000000000568</v>
      </c>
      <c r="E30" s="45">
        <f t="shared" si="9"/>
        <v>7.5420000000000487</v>
      </c>
      <c r="F30" s="64">
        <f t="shared" si="41"/>
        <v>1660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2154</v>
      </c>
      <c r="L30" s="52">
        <f t="shared" si="2"/>
        <v>0</v>
      </c>
      <c r="M30" s="64">
        <f t="shared" si="30"/>
        <v>158183</v>
      </c>
      <c r="N30" s="399">
        <f t="shared" si="3"/>
        <v>0</v>
      </c>
      <c r="O30" s="64">
        <f t="shared" si="11"/>
        <v>1869</v>
      </c>
      <c r="P30" s="64">
        <v>1885</v>
      </c>
      <c r="Q30" s="64">
        <v>160163</v>
      </c>
      <c r="R30" s="398">
        <f t="shared" si="42"/>
        <v>97</v>
      </c>
      <c r="S30" s="52">
        <f t="shared" si="5"/>
        <v>1</v>
      </c>
      <c r="T30" s="67">
        <f t="shared" si="31"/>
        <v>0</v>
      </c>
      <c r="U30" s="405">
        <f t="shared" si="12"/>
        <v>1</v>
      </c>
      <c r="V30" s="62">
        <f t="shared" si="13"/>
        <v>97</v>
      </c>
      <c r="W30" s="403"/>
      <c r="X30" s="64">
        <f t="shared" si="15"/>
        <v>2449</v>
      </c>
      <c r="Y30" s="52">
        <f t="shared" si="16"/>
        <v>0</v>
      </c>
      <c r="Z30" s="64">
        <f t="shared" si="17"/>
        <v>137586</v>
      </c>
      <c r="AA30" s="65">
        <f t="shared" si="6"/>
        <v>0</v>
      </c>
      <c r="AB30" s="287">
        <f t="shared" si="45"/>
        <v>0</v>
      </c>
      <c r="AC30" s="64">
        <f t="shared" si="18"/>
        <v>1933</v>
      </c>
      <c r="AD30" s="45">
        <f t="shared" si="7"/>
        <v>0</v>
      </c>
      <c r="AE30" s="607">
        <f t="shared" si="19"/>
        <v>365262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97</v>
      </c>
      <c r="AJ30" s="321">
        <f>-tanks!AW31</f>
        <v>97</v>
      </c>
      <c r="AK30" s="321">
        <f t="shared" si="22"/>
        <v>0</v>
      </c>
      <c r="AL30" s="321">
        <f t="shared" si="8"/>
        <v>1</v>
      </c>
      <c r="AM30" s="321">
        <f t="shared" si="23"/>
        <v>0</v>
      </c>
      <c r="AN30" s="64">
        <f t="shared" si="40"/>
        <v>68</v>
      </c>
      <c r="AO30" s="323">
        <f t="shared" si="48"/>
        <v>2040.0000000000002</v>
      </c>
      <c r="AP30" s="64">
        <f t="shared" si="35"/>
        <v>55</v>
      </c>
      <c r="AQ30" s="323">
        <f t="shared" si="47"/>
        <v>1650.0000000000002</v>
      </c>
      <c r="AR30" s="64">
        <f t="shared" si="26"/>
        <v>62</v>
      </c>
      <c r="AS30" s="323">
        <f t="shared" si="36"/>
        <v>1860</v>
      </c>
      <c r="AT30" s="323">
        <f t="shared" si="46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ref="B31:B35" si="49">B30</f>
        <v>229</v>
      </c>
      <c r="C31" s="64">
        <f t="shared" ref="C31:C35" si="50">C30</f>
        <v>234.1</v>
      </c>
      <c r="D31" s="45">
        <f t="shared" si="44"/>
        <v>0</v>
      </c>
      <c r="E31" s="45">
        <f t="shared" si="9"/>
        <v>0</v>
      </c>
      <c r="F31" s="64">
        <f t="shared" si="41"/>
        <v>1660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2154</v>
      </c>
      <c r="L31" s="52">
        <f t="shared" si="2"/>
        <v>0</v>
      </c>
      <c r="M31" s="64">
        <f t="shared" si="30"/>
        <v>158183</v>
      </c>
      <c r="N31" s="399">
        <f t="shared" si="3"/>
        <v>0</v>
      </c>
      <c r="O31" s="64">
        <f t="shared" si="11"/>
        <v>1869</v>
      </c>
      <c r="P31" s="64">
        <f t="shared" si="11"/>
        <v>1885</v>
      </c>
      <c r="Q31" s="64">
        <f t="shared" si="11"/>
        <v>160163</v>
      </c>
      <c r="R31" s="398">
        <f t="shared" si="42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2449</v>
      </c>
      <c r="Y31" s="52">
        <f t="shared" si="16"/>
        <v>0</v>
      </c>
      <c r="Z31" s="64">
        <f t="shared" si="17"/>
        <v>137586</v>
      </c>
      <c r="AA31" s="65">
        <f t="shared" si="6"/>
        <v>0</v>
      </c>
      <c r="AB31" s="287">
        <f t="shared" si="45"/>
        <v>0</v>
      </c>
      <c r="AC31" s="64">
        <f t="shared" si="18"/>
        <v>1933</v>
      </c>
      <c r="AD31" s="271">
        <f t="shared" si="7"/>
        <v>0</v>
      </c>
      <c r="AE31" s="607">
        <f t="shared" si="19"/>
        <v>365262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68</v>
      </c>
      <c r="AO31" s="323">
        <f t="shared" si="48"/>
        <v>2040.0000000000002</v>
      </c>
      <c r="AP31" s="64">
        <f t="shared" si="35"/>
        <v>55</v>
      </c>
      <c r="AQ31" s="323">
        <f t="shared" si="47"/>
        <v>1650.0000000000002</v>
      </c>
      <c r="AR31" s="64">
        <f t="shared" si="26"/>
        <v>62</v>
      </c>
      <c r="AS31" s="323">
        <f t="shared" si="36"/>
        <v>1860</v>
      </c>
      <c r="AT31" s="323">
        <f t="shared" si="46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9"/>
        <v>229</v>
      </c>
      <c r="C32" s="64">
        <f t="shared" si="50"/>
        <v>234.1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1660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2154</v>
      </c>
      <c r="L32" s="52">
        <f t="shared" si="2"/>
        <v>0</v>
      </c>
      <c r="M32" s="64">
        <f t="shared" si="30"/>
        <v>158183</v>
      </c>
      <c r="N32" s="399">
        <f t="shared" si="3"/>
        <v>0</v>
      </c>
      <c r="O32" s="64">
        <f t="shared" si="11"/>
        <v>1869</v>
      </c>
      <c r="P32" s="64">
        <f t="shared" si="11"/>
        <v>1885</v>
      </c>
      <c r="Q32" s="64">
        <f t="shared" si="11"/>
        <v>160163</v>
      </c>
      <c r="R32" s="398">
        <f t="shared" si="42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2449</v>
      </c>
      <c r="Y32" s="52">
        <f t="shared" si="16"/>
        <v>0</v>
      </c>
      <c r="Z32" s="64">
        <f t="shared" si="17"/>
        <v>137586</v>
      </c>
      <c r="AA32" s="65">
        <f t="shared" si="6"/>
        <v>0</v>
      </c>
      <c r="AB32" s="287">
        <f t="shared" si="45"/>
        <v>0</v>
      </c>
      <c r="AC32" s="64">
        <f t="shared" si="18"/>
        <v>1933</v>
      </c>
      <c r="AD32" s="271">
        <f t="shared" si="7"/>
        <v>0</v>
      </c>
      <c r="AE32" s="607">
        <f t="shared" si="19"/>
        <v>365262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68</v>
      </c>
      <c r="AO32" s="323">
        <f t="shared" si="48"/>
        <v>2040.0000000000002</v>
      </c>
      <c r="AP32" s="64">
        <f t="shared" si="35"/>
        <v>55</v>
      </c>
      <c r="AQ32" s="323">
        <f t="shared" si="47"/>
        <v>1650.0000000000002</v>
      </c>
      <c r="AR32" s="64">
        <f t="shared" si="26"/>
        <v>62</v>
      </c>
      <c r="AS32" s="323">
        <f t="shared" si="36"/>
        <v>1860</v>
      </c>
      <c r="AT32" s="323">
        <f t="shared" si="46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9"/>
        <v>229</v>
      </c>
      <c r="C33" s="64">
        <f t="shared" si="50"/>
        <v>234.1</v>
      </c>
      <c r="D33" s="45">
        <f t="shared" si="28"/>
        <v>0</v>
      </c>
      <c r="E33" s="45">
        <f t="shared" si="51"/>
        <v>0</v>
      </c>
      <c r="F33" s="64">
        <f t="shared" si="41"/>
        <v>1660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2154</v>
      </c>
      <c r="L33" s="52">
        <f t="shared" si="2"/>
        <v>0</v>
      </c>
      <c r="M33" s="64">
        <f t="shared" si="30"/>
        <v>158183</v>
      </c>
      <c r="N33" s="399">
        <f t="shared" si="3"/>
        <v>0</v>
      </c>
      <c r="O33" s="64">
        <f t="shared" si="11"/>
        <v>1869</v>
      </c>
      <c r="P33" s="64">
        <f t="shared" si="11"/>
        <v>1885</v>
      </c>
      <c r="Q33" s="64">
        <f t="shared" si="11"/>
        <v>160163</v>
      </c>
      <c r="R33" s="398">
        <f t="shared" si="42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2449</v>
      </c>
      <c r="Y33" s="52">
        <f t="shared" si="16"/>
        <v>0</v>
      </c>
      <c r="Z33" s="64">
        <f t="shared" si="17"/>
        <v>137586</v>
      </c>
      <c r="AA33" s="65">
        <f t="shared" si="6"/>
        <v>0</v>
      </c>
      <c r="AB33" s="287">
        <f t="shared" si="45"/>
        <v>0</v>
      </c>
      <c r="AC33" s="64">
        <f t="shared" si="18"/>
        <v>1933</v>
      </c>
      <c r="AD33" s="45">
        <f t="shared" si="7"/>
        <v>0</v>
      </c>
      <c r="AE33" s="607">
        <f t="shared" si="19"/>
        <v>365262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68</v>
      </c>
      <c r="AO33" s="323">
        <f t="shared" si="48"/>
        <v>2040.0000000000002</v>
      </c>
      <c r="AP33" s="64">
        <f t="shared" si="35"/>
        <v>55</v>
      </c>
      <c r="AQ33" s="323">
        <f t="shared" si="47"/>
        <v>1650.0000000000002</v>
      </c>
      <c r="AR33" s="64">
        <f t="shared" si="26"/>
        <v>62</v>
      </c>
      <c r="AS33" s="323">
        <f t="shared" si="36"/>
        <v>1860</v>
      </c>
      <c r="AT33" s="323">
        <f t="shared" si="46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9"/>
        <v>229</v>
      </c>
      <c r="C34" s="64">
        <f t="shared" si="50"/>
        <v>234.1</v>
      </c>
      <c r="D34" s="45">
        <f t="shared" si="28"/>
        <v>0</v>
      </c>
      <c r="E34" s="45">
        <f t="shared" si="51"/>
        <v>0</v>
      </c>
      <c r="F34" s="64">
        <f t="shared" si="41"/>
        <v>1660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2154</v>
      </c>
      <c r="L34" s="52">
        <f t="shared" si="2"/>
        <v>0</v>
      </c>
      <c r="M34" s="64">
        <f t="shared" si="30"/>
        <v>158183</v>
      </c>
      <c r="N34" s="399">
        <f t="shared" si="3"/>
        <v>0</v>
      </c>
      <c r="O34" s="64">
        <f t="shared" si="11"/>
        <v>1869</v>
      </c>
      <c r="P34" s="64">
        <f t="shared" si="11"/>
        <v>1885</v>
      </c>
      <c r="Q34" s="64">
        <f t="shared" si="11"/>
        <v>160163</v>
      </c>
      <c r="R34" s="398">
        <f t="shared" si="42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2449</v>
      </c>
      <c r="Y34" s="52">
        <f t="shared" si="16"/>
        <v>0</v>
      </c>
      <c r="Z34" s="64">
        <f t="shared" si="17"/>
        <v>137586</v>
      </c>
      <c r="AA34" s="65">
        <f t="shared" si="6"/>
        <v>0</v>
      </c>
      <c r="AB34" s="287">
        <f t="shared" si="45"/>
        <v>0</v>
      </c>
      <c r="AC34" s="64">
        <f t="shared" si="18"/>
        <v>1933</v>
      </c>
      <c r="AD34" s="45">
        <f t="shared" si="7"/>
        <v>0</v>
      </c>
      <c r="AE34" s="607">
        <f t="shared" si="19"/>
        <v>365262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68</v>
      </c>
      <c r="AO34" s="323">
        <f t="shared" si="48"/>
        <v>2040.0000000000002</v>
      </c>
      <c r="AP34" s="64">
        <f t="shared" si="35"/>
        <v>55</v>
      </c>
      <c r="AQ34" s="323">
        <f t="shared" si="47"/>
        <v>1650.0000000000002</v>
      </c>
      <c r="AR34" s="64">
        <f t="shared" si="26"/>
        <v>62</v>
      </c>
      <c r="AS34" s="323">
        <f t="shared" si="36"/>
        <v>1860</v>
      </c>
      <c r="AT34" s="323">
        <f t="shared" si="46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9"/>
        <v>229</v>
      </c>
      <c r="C35" s="64">
        <f t="shared" si="50"/>
        <v>234.1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1660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2154</v>
      </c>
      <c r="L35" s="52">
        <f t="shared" ref="L35" si="57">K35-K34</f>
        <v>0</v>
      </c>
      <c r="M35" s="64">
        <f t="shared" si="30"/>
        <v>158183</v>
      </c>
      <c r="N35" s="399">
        <f t="shared" ref="N35" si="58">M35-M34</f>
        <v>0</v>
      </c>
      <c r="O35" s="64">
        <f t="shared" si="11"/>
        <v>1869</v>
      </c>
      <c r="P35" s="64">
        <f t="shared" si="11"/>
        <v>1885</v>
      </c>
      <c r="Q35" s="64">
        <f t="shared" si="11"/>
        <v>160163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2449</v>
      </c>
      <c r="Y35" s="52">
        <f t="shared" ref="Y35" si="64">X35-X34</f>
        <v>0</v>
      </c>
      <c r="Z35" s="64">
        <f t="shared" si="17"/>
        <v>137586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7">
        <f t="shared" si="19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68</v>
      </c>
      <c r="AO35" s="323">
        <f t="shared" ref="AO35" si="72">(AN35/100)*3000</f>
        <v>2040.0000000000002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3548</v>
      </c>
      <c r="AE36" s="71" t="s">
        <v>385</v>
      </c>
      <c r="AG36" s="347"/>
      <c r="AH36" s="62">
        <f>SUM(AH5:AH35)</f>
        <v>130</v>
      </c>
      <c r="AL36" s="62">
        <f>SUM(AL5:AL35)</f>
        <v>52</v>
      </c>
      <c r="AM36" s="62">
        <f>SUM(AM5:AM35)</f>
        <v>1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3678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19" activePane="bottomLeft" state="frozen"/>
      <selection pane="bottomLeft" activeCell="BB31" sqref="BB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9184028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8" t="s">
        <v>95</v>
      </c>
      <c r="AS2" s="649"/>
      <c r="AT2" s="649"/>
      <c r="AU2" s="649"/>
      <c r="AV2" s="650"/>
      <c r="AW2" s="648" t="s">
        <v>96</v>
      </c>
      <c r="AX2" s="649"/>
      <c r="AY2" s="650"/>
      <c r="AZ2" s="648" t="s">
        <v>98</v>
      </c>
      <c r="BA2" s="649"/>
      <c r="BB2" s="650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5" t="s">
        <v>126</v>
      </c>
      <c r="AO3" s="646"/>
      <c r="AP3" s="647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v>611115</v>
      </c>
      <c r="H12" s="5">
        <f t="shared" si="14"/>
        <v>190</v>
      </c>
      <c r="I12" s="5">
        <f t="shared" si="0"/>
        <v>190</v>
      </c>
      <c r="J12" s="337">
        <f t="shared" si="1"/>
        <v>1.3157894736842106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v>148761</v>
      </c>
      <c r="Y12" s="327">
        <f t="shared" si="41"/>
        <v>40</v>
      </c>
      <c r="Z12" s="5"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40</v>
      </c>
      <c r="AL12" s="330">
        <f t="shared" si="31"/>
        <v>0</v>
      </c>
      <c r="AM12" s="330">
        <f>'General information '!D12</f>
        <v>20.5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v>93</v>
      </c>
      <c r="AU12" s="429">
        <f t="shared" si="42"/>
        <v>1.1000000000000001</v>
      </c>
      <c r="AV12" s="202">
        <v>41</v>
      </c>
      <c r="AW12" s="5">
        <v>2.9</v>
      </c>
      <c r="AX12" s="202">
        <v>45</v>
      </c>
      <c r="AY12" s="432">
        <f t="shared" si="7"/>
        <v>83.7</v>
      </c>
      <c r="AZ12" s="432">
        <f t="shared" si="33"/>
        <v>45.1</v>
      </c>
      <c r="BA12" s="432">
        <f t="shared" si="34"/>
        <v>130.5</v>
      </c>
      <c r="BB12" s="21">
        <f t="shared" si="35"/>
        <v>63</v>
      </c>
      <c r="BC12" s="21">
        <f t="shared" si="36"/>
        <v>-5.5</v>
      </c>
      <c r="BD12" s="21">
        <f t="shared" si="36"/>
        <v>20.299999999999997</v>
      </c>
      <c r="BE12" s="24">
        <f t="shared" si="37"/>
        <v>77.8</v>
      </c>
      <c r="BF12" s="96">
        <f t="shared" si="8"/>
        <v>112.2</v>
      </c>
      <c r="BG12" s="82">
        <f t="shared" si="9"/>
        <v>77.8</v>
      </c>
    </row>
    <row r="13" spans="1:65" ht="15.75" thickBot="1">
      <c r="A13" s="6">
        <f>ELEC!C10</f>
        <v>44143</v>
      </c>
      <c r="B13" s="5"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611115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148761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24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93</v>
      </c>
      <c r="AU13" s="429">
        <f t="shared" si="42"/>
        <v>1.1000000000000001</v>
      </c>
      <c r="AV13" s="202">
        <v>36</v>
      </c>
      <c r="AW13" s="5">
        <v>2.9</v>
      </c>
      <c r="AX13" s="202">
        <v>40</v>
      </c>
      <c r="AY13" s="432">
        <f t="shared" si="7"/>
        <v>83.7</v>
      </c>
      <c r="AZ13" s="432">
        <f t="shared" si="33"/>
        <v>39.6</v>
      </c>
      <c r="BA13" s="432">
        <f t="shared" si="34"/>
        <v>116</v>
      </c>
      <c r="BB13" s="21">
        <f t="shared" si="35"/>
        <v>0</v>
      </c>
      <c r="BC13" s="21">
        <f t="shared" si="36"/>
        <v>-5.5</v>
      </c>
      <c r="BD13" s="21">
        <f t="shared" si="36"/>
        <v>-14.5</v>
      </c>
      <c r="BE13" s="24">
        <f t="shared" si="37"/>
        <v>-20</v>
      </c>
      <c r="BF13" s="96">
        <f t="shared" si="8"/>
        <v>20</v>
      </c>
      <c r="BG13" s="82">
        <f t="shared" si="9"/>
        <v>-20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v>611306</v>
      </c>
      <c r="H14" s="5">
        <f t="shared" si="14"/>
        <v>191</v>
      </c>
      <c r="I14" s="5">
        <f t="shared" si="0"/>
        <v>191</v>
      </c>
      <c r="J14" s="337">
        <f t="shared" si="1"/>
        <v>1.3089005235602094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620">
        <v>148827</v>
      </c>
      <c r="Y14" s="327">
        <f t="shared" si="41"/>
        <v>66</v>
      </c>
      <c r="Z14" s="5">
        <v>97491</v>
      </c>
      <c r="AA14" s="83">
        <f t="shared" si="22"/>
        <v>23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23</v>
      </c>
      <c r="AK14" s="330">
        <f t="shared" si="39"/>
        <v>66</v>
      </c>
      <c r="AL14" s="330">
        <f t="shared" si="31"/>
        <v>23</v>
      </c>
      <c r="AM14" s="330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v>122</v>
      </c>
      <c r="AU14" s="429">
        <f t="shared" si="42"/>
        <v>1.1000000000000001</v>
      </c>
      <c r="AV14" s="202">
        <v>49</v>
      </c>
      <c r="AW14" s="5">
        <v>2.9</v>
      </c>
      <c r="AX14" s="202">
        <v>54</v>
      </c>
      <c r="AY14" s="432">
        <f t="shared" si="7"/>
        <v>109.8</v>
      </c>
      <c r="AZ14" s="432">
        <f t="shared" si="33"/>
        <v>53.900000000000006</v>
      </c>
      <c r="BA14" s="432">
        <f t="shared" si="34"/>
        <v>156.6</v>
      </c>
      <c r="BB14" s="21">
        <f t="shared" si="35"/>
        <v>26.099999999999994</v>
      </c>
      <c r="BC14" s="21">
        <f t="shared" si="36"/>
        <v>14.300000000000004</v>
      </c>
      <c r="BD14" s="21">
        <f t="shared" si="36"/>
        <v>40.599999999999994</v>
      </c>
      <c r="BE14" s="24">
        <f t="shared" si="37"/>
        <v>81</v>
      </c>
      <c r="BF14" s="96">
        <f t="shared" si="8"/>
        <v>110</v>
      </c>
      <c r="BG14" s="82">
        <f t="shared" si="9"/>
        <v>81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611306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v>148893</v>
      </c>
      <c r="Y15" s="327">
        <f t="shared" si="41"/>
        <v>66</v>
      </c>
      <c r="Z15" s="5">
        <v>97515</v>
      </c>
      <c r="AA15" s="83">
        <f t="shared" si="22"/>
        <v>24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24</v>
      </c>
      <c r="AK15" s="330">
        <f t="shared" si="39"/>
        <v>66</v>
      </c>
      <c r="AL15" s="330">
        <f t="shared" si="31"/>
        <v>24</v>
      </c>
      <c r="AM15" s="330">
        <f>'General information '!D15</f>
        <v>23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v>15</v>
      </c>
      <c r="AU15" s="429">
        <f t="shared" si="42"/>
        <v>1.1000000000000001</v>
      </c>
      <c r="AV15" s="202">
        <v>62</v>
      </c>
      <c r="AW15" s="5">
        <v>2.9</v>
      </c>
      <c r="AX15" s="202">
        <v>71</v>
      </c>
      <c r="AY15" s="432">
        <f t="shared" si="7"/>
        <v>13.5</v>
      </c>
      <c r="AZ15" s="432">
        <f t="shared" si="33"/>
        <v>68.2</v>
      </c>
      <c r="BA15" s="432">
        <f t="shared" si="34"/>
        <v>205.9</v>
      </c>
      <c r="BB15" s="21">
        <f t="shared" si="35"/>
        <v>-96.3</v>
      </c>
      <c r="BC15" s="21">
        <f t="shared" si="36"/>
        <v>14.299999999999997</v>
      </c>
      <c r="BD15" s="21">
        <f t="shared" si="36"/>
        <v>49.300000000000011</v>
      </c>
      <c r="BE15" s="24">
        <f t="shared" si="37"/>
        <v>-32.699999999999989</v>
      </c>
      <c r="BF15" s="96">
        <f t="shared" si="8"/>
        <v>32.699999999999989</v>
      </c>
      <c r="BG15" s="82">
        <f t="shared" si="9"/>
        <v>-32.699999999999989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624">
        <v>611491</v>
      </c>
      <c r="H16" s="5">
        <f t="shared" si="14"/>
        <v>185</v>
      </c>
      <c r="I16" s="5">
        <f t="shared" si="0"/>
        <v>185</v>
      </c>
      <c r="J16" s="337">
        <f t="shared" si="1"/>
        <v>1.3513513513513513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148893</v>
      </c>
      <c r="Y16" s="327">
        <f t="shared" si="41"/>
        <v>0</v>
      </c>
      <c r="Z16" s="5">
        <f t="shared" si="21"/>
        <v>97515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22.5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v>123</v>
      </c>
      <c r="AU16" s="429">
        <f t="shared" si="42"/>
        <v>1.1000000000000001</v>
      </c>
      <c r="AV16" s="202">
        <v>56</v>
      </c>
      <c r="AW16" s="5">
        <v>2.9</v>
      </c>
      <c r="AX16" s="202">
        <v>70</v>
      </c>
      <c r="AY16" s="432">
        <f t="shared" si="7"/>
        <v>110.7</v>
      </c>
      <c r="AZ16" s="432">
        <f t="shared" si="33"/>
        <v>61.600000000000009</v>
      </c>
      <c r="BA16" s="432">
        <f t="shared" si="34"/>
        <v>203</v>
      </c>
      <c r="BB16" s="21">
        <f t="shared" si="35"/>
        <v>97.2</v>
      </c>
      <c r="BC16" s="21">
        <f t="shared" si="36"/>
        <v>-6.5999999999999943</v>
      </c>
      <c r="BD16" s="21">
        <f t="shared" si="36"/>
        <v>-2.9000000000000057</v>
      </c>
      <c r="BE16" s="24">
        <f t="shared" si="37"/>
        <v>87.7</v>
      </c>
      <c r="BF16" s="96">
        <f t="shared" si="8"/>
        <v>97.3</v>
      </c>
      <c r="BG16" s="82">
        <f t="shared" si="9"/>
        <v>87.7</v>
      </c>
    </row>
    <row r="17" spans="1:61" ht="15.75" thickBot="1">
      <c r="A17" s="6">
        <f>ELEC!C14</f>
        <v>44147</v>
      </c>
      <c r="B17" s="5"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611491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6700</v>
      </c>
      <c r="L17" s="83">
        <f t="shared" si="40"/>
        <v>1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v>148976</v>
      </c>
      <c r="Y17" s="327">
        <f t="shared" si="41"/>
        <v>83</v>
      </c>
      <c r="Z17" s="5">
        <v>97557</v>
      </c>
      <c r="AA17" s="83">
        <f t="shared" si="22"/>
        <v>42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42</v>
      </c>
      <c r="AK17" s="330">
        <f t="shared" si="39"/>
        <v>82</v>
      </c>
      <c r="AL17" s="330">
        <f t="shared" si="31"/>
        <v>42</v>
      </c>
      <c r="AM17" s="330">
        <f>'General information '!D17</f>
        <v>22.5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v>13</v>
      </c>
      <c r="AU17" s="429">
        <f t="shared" si="42"/>
        <v>1.1000000000000001</v>
      </c>
      <c r="AV17" s="202">
        <v>79</v>
      </c>
      <c r="AW17" s="5">
        <v>2.9</v>
      </c>
      <c r="AX17" s="202">
        <v>88</v>
      </c>
      <c r="AY17" s="432">
        <f t="shared" si="7"/>
        <v>11.700000000000001</v>
      </c>
      <c r="AZ17" s="432">
        <f t="shared" si="33"/>
        <v>86.9</v>
      </c>
      <c r="BA17" s="432">
        <f t="shared" si="34"/>
        <v>255.2</v>
      </c>
      <c r="BB17" s="21">
        <f t="shared" si="35"/>
        <v>-99</v>
      </c>
      <c r="BC17" s="21">
        <f t="shared" si="36"/>
        <v>25.299999999999997</v>
      </c>
      <c r="BD17" s="21">
        <f t="shared" si="36"/>
        <v>52.199999999999989</v>
      </c>
      <c r="BE17" s="24">
        <f t="shared" si="37"/>
        <v>-21.500000000000014</v>
      </c>
      <c r="BF17" s="96">
        <f t="shared" si="8"/>
        <v>21.500000000000014</v>
      </c>
      <c r="BG17" s="82">
        <f t="shared" si="9"/>
        <v>-21.500000000000014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v>611608</v>
      </c>
      <c r="H18" s="5">
        <f t="shared" si="14"/>
        <v>117</v>
      </c>
      <c r="I18" s="5">
        <f t="shared" si="0"/>
        <v>117</v>
      </c>
      <c r="J18" s="337">
        <f t="shared" si="1"/>
        <v>2.1367521367521367</v>
      </c>
      <c r="K18" s="5">
        <f>'Swimming Pool quality check '!H18</f>
        <v>6700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v>148976</v>
      </c>
      <c r="Y18" s="327">
        <f t="shared" si="41"/>
        <v>0</v>
      </c>
      <c r="Z18" s="5">
        <v>97557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23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v>82</v>
      </c>
      <c r="AU18" s="429">
        <f t="shared" si="42"/>
        <v>1.1000000000000001</v>
      </c>
      <c r="AV18" s="202">
        <v>76</v>
      </c>
      <c r="AW18" s="5">
        <v>2.9</v>
      </c>
      <c r="AX18" s="202">
        <v>87</v>
      </c>
      <c r="AY18" s="432">
        <f t="shared" si="7"/>
        <v>73.8</v>
      </c>
      <c r="AZ18" s="432">
        <f t="shared" si="33"/>
        <v>83.600000000000009</v>
      </c>
      <c r="BA18" s="432">
        <f t="shared" si="34"/>
        <v>252.29999999999998</v>
      </c>
      <c r="BB18" s="21">
        <f t="shared" si="35"/>
        <v>62.099999999999994</v>
      </c>
      <c r="BC18" s="21">
        <f t="shared" si="36"/>
        <v>-3.2999999999999972</v>
      </c>
      <c r="BD18" s="21">
        <f t="shared" si="36"/>
        <v>-2.9000000000000057</v>
      </c>
      <c r="BE18" s="24">
        <f t="shared" si="37"/>
        <v>55.899999999999991</v>
      </c>
      <c r="BF18" s="96">
        <f t="shared" si="8"/>
        <v>61.100000000000009</v>
      </c>
      <c r="BG18" s="82">
        <f t="shared" si="9"/>
        <v>55.899999999999991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611608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6700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v>149007</v>
      </c>
      <c r="Y19" s="327">
        <f t="shared" si="41"/>
        <v>31</v>
      </c>
      <c r="Z19" s="5">
        <v>97569</v>
      </c>
      <c r="AA19" s="83">
        <f t="shared" si="22"/>
        <v>12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12</v>
      </c>
      <c r="AK19" s="330">
        <f t="shared" si="39"/>
        <v>31</v>
      </c>
      <c r="AL19" s="330">
        <f t="shared" si="31"/>
        <v>12</v>
      </c>
      <c r="AM19" s="330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v>21</v>
      </c>
      <c r="AU19" s="429">
        <f t="shared" si="42"/>
        <v>1.1000000000000001</v>
      </c>
      <c r="AV19" s="202">
        <v>79</v>
      </c>
      <c r="AW19" s="5">
        <v>2.9</v>
      </c>
      <c r="AX19" s="202">
        <v>92</v>
      </c>
      <c r="AY19" s="432">
        <v>21</v>
      </c>
      <c r="AZ19" s="432">
        <v>79</v>
      </c>
      <c r="BA19" s="432">
        <v>92</v>
      </c>
      <c r="BB19" s="21">
        <f t="shared" si="35"/>
        <v>-52.8</v>
      </c>
      <c r="BC19" s="21">
        <f t="shared" si="36"/>
        <v>-4.6000000000000085</v>
      </c>
      <c r="BD19" s="21">
        <f t="shared" si="36"/>
        <v>-160.29999999999998</v>
      </c>
      <c r="BE19" s="24">
        <f t="shared" si="37"/>
        <v>-217.7</v>
      </c>
      <c r="BF19" s="96">
        <f t="shared" si="8"/>
        <v>217.7</v>
      </c>
      <c r="BG19" s="82">
        <f t="shared" si="9"/>
        <v>-217.7</v>
      </c>
    </row>
    <row r="20" spans="1:61" ht="15.75" thickBot="1">
      <c r="A20" s="6">
        <f>ELEC!C17</f>
        <v>44150</v>
      </c>
      <c r="B20" s="5"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v>611760</v>
      </c>
      <c r="H20" s="5">
        <f t="shared" si="14"/>
        <v>152</v>
      </c>
      <c r="I20" s="5">
        <f t="shared" si="0"/>
        <v>152</v>
      </c>
      <c r="J20" s="337">
        <f t="shared" si="1"/>
        <v>1.6447368421052631</v>
      </c>
      <c r="K20" s="5">
        <f>'Swimming Pool quality check '!H20</f>
        <v>6700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149007</v>
      </c>
      <c r="Y20" s="327">
        <f t="shared" si="41"/>
        <v>0</v>
      </c>
      <c r="Z20" s="5">
        <f t="shared" si="21"/>
        <v>97569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19.5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v>148</v>
      </c>
      <c r="AU20" s="429">
        <f t="shared" si="42"/>
        <v>1.1000000000000001</v>
      </c>
      <c r="AV20" s="202">
        <v>74</v>
      </c>
      <c r="AW20" s="5">
        <v>2.9</v>
      </c>
      <c r="AX20" s="202">
        <v>91</v>
      </c>
      <c r="AY20" s="432">
        <f t="shared" si="7"/>
        <v>133.20000000000002</v>
      </c>
      <c r="AZ20" s="432">
        <f t="shared" si="33"/>
        <v>81.400000000000006</v>
      </c>
      <c r="BA20" s="432">
        <f t="shared" si="34"/>
        <v>263.89999999999998</v>
      </c>
      <c r="BB20" s="21">
        <f t="shared" si="35"/>
        <v>112.20000000000002</v>
      </c>
      <c r="BC20" s="21">
        <f t="shared" si="36"/>
        <v>2.4000000000000057</v>
      </c>
      <c r="BD20" s="21">
        <f t="shared" si="36"/>
        <v>171.89999999999998</v>
      </c>
      <c r="BE20" s="24">
        <f t="shared" si="37"/>
        <v>286.5</v>
      </c>
      <c r="BF20" s="96">
        <f t="shared" si="8"/>
        <v>-134.5</v>
      </c>
      <c r="BG20" s="82">
        <f t="shared" si="9"/>
        <v>286.5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v>611760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6700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v>149061</v>
      </c>
      <c r="Y21" s="327">
        <f>SUM(X21-X20)</f>
        <v>54</v>
      </c>
      <c r="Z21" s="5">
        <v>97616</v>
      </c>
      <c r="AA21" s="83">
        <f t="shared" si="22"/>
        <v>47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47</v>
      </c>
      <c r="AK21" s="330">
        <f>SUM(Y21-L21)</f>
        <v>54</v>
      </c>
      <c r="AL21" s="330">
        <f t="shared" si="31"/>
        <v>47</v>
      </c>
      <c r="AM21" s="330">
        <f>'General information '!D21</f>
        <v>19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v>20</v>
      </c>
      <c r="AU21" s="429">
        <f t="shared" si="42"/>
        <v>1.1000000000000001</v>
      </c>
      <c r="AV21" s="202">
        <v>107</v>
      </c>
      <c r="AW21" s="5">
        <v>2.9</v>
      </c>
      <c r="AX21" s="202">
        <v>106</v>
      </c>
      <c r="AY21" s="432">
        <f t="shared" si="7"/>
        <v>18</v>
      </c>
      <c r="AZ21" s="432">
        <f t="shared" si="33"/>
        <v>117.7</v>
      </c>
      <c r="BA21" s="432">
        <f t="shared" si="34"/>
        <v>307.39999999999998</v>
      </c>
      <c r="BB21" s="21">
        <f t="shared" si="35"/>
        <v>-115.20000000000002</v>
      </c>
      <c r="BC21" s="21">
        <f t="shared" si="36"/>
        <v>36.299999999999997</v>
      </c>
      <c r="BD21" s="21">
        <f t="shared" si="36"/>
        <v>43.5</v>
      </c>
      <c r="BE21" s="24">
        <f t="shared" si="37"/>
        <v>-35.40000000000002</v>
      </c>
      <c r="BF21" s="96">
        <f t="shared" si="8"/>
        <v>35.40000000000002</v>
      </c>
      <c r="BG21" s="82">
        <f t="shared" si="9"/>
        <v>-35.40000000000002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v>611951</v>
      </c>
      <c r="H22" s="5">
        <f t="shared" si="14"/>
        <v>191</v>
      </c>
      <c r="I22" s="5">
        <f t="shared" si="0"/>
        <v>191</v>
      </c>
      <c r="J22" s="337">
        <f t="shared" si="1"/>
        <v>1.3089005235602094</v>
      </c>
      <c r="K22" s="5">
        <f>'Swimming Pool quality check '!H22</f>
        <v>6700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v>149084</v>
      </c>
      <c r="Y22" s="327">
        <f t="shared" si="41"/>
        <v>23</v>
      </c>
      <c r="Z22" s="5">
        <v>97637</v>
      </c>
      <c r="AA22" s="83">
        <f t="shared" si="22"/>
        <v>21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21</v>
      </c>
      <c r="AK22" s="330">
        <f t="shared" si="39"/>
        <v>23</v>
      </c>
      <c r="AL22" s="330">
        <f t="shared" si="31"/>
        <v>21</v>
      </c>
      <c r="AM22" s="330">
        <f>'General information '!D22</f>
        <v>18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6">AS21</f>
        <v>0.9</v>
      </c>
      <c r="AT22" s="202">
        <v>62</v>
      </c>
      <c r="AU22" s="429">
        <f t="shared" si="42"/>
        <v>1.1000000000000001</v>
      </c>
      <c r="AV22" s="202">
        <v>113</v>
      </c>
      <c r="AW22" s="5">
        <v>2.9</v>
      </c>
      <c r="AX22" s="202">
        <v>111</v>
      </c>
      <c r="AY22" s="432">
        <f t="shared" si="7"/>
        <v>55.800000000000004</v>
      </c>
      <c r="AZ22" s="432">
        <f t="shared" si="33"/>
        <v>124.30000000000001</v>
      </c>
      <c r="BA22" s="432">
        <f t="shared" si="34"/>
        <v>321.89999999999998</v>
      </c>
      <c r="BB22" s="21">
        <f>AY22-AY21</f>
        <v>37.800000000000004</v>
      </c>
      <c r="BC22" s="21">
        <f t="shared" si="35"/>
        <v>6.6000000000000085</v>
      </c>
      <c r="BD22" s="21">
        <f t="shared" si="35"/>
        <v>14.5</v>
      </c>
      <c r="BE22" s="24">
        <f t="shared" si="37"/>
        <v>58.900000000000013</v>
      </c>
      <c r="BF22" s="96">
        <f t="shared" si="8"/>
        <v>132.1</v>
      </c>
      <c r="BG22" s="82">
        <f t="shared" si="9"/>
        <v>58.900000000000006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v>611951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6700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v>149084</v>
      </c>
      <c r="Y23" s="327">
        <f t="shared" si="41"/>
        <v>0</v>
      </c>
      <c r="Z23" s="5">
        <v>97637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18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6"/>
        <v>0.9</v>
      </c>
      <c r="AT23" s="202">
        <v>110</v>
      </c>
      <c r="AU23" s="429">
        <f t="shared" si="42"/>
        <v>1.1000000000000001</v>
      </c>
      <c r="AV23" s="202">
        <v>105</v>
      </c>
      <c r="AW23" s="5">
        <v>2.9</v>
      </c>
      <c r="AX23" s="202">
        <v>90</v>
      </c>
      <c r="AY23" s="432">
        <f t="shared" si="7"/>
        <v>99</v>
      </c>
      <c r="AZ23" s="432">
        <f t="shared" si="33"/>
        <v>115.50000000000001</v>
      </c>
      <c r="BA23" s="432">
        <f t="shared" si="34"/>
        <v>261</v>
      </c>
      <c r="BB23" s="21">
        <f t="shared" si="35"/>
        <v>43.199999999999996</v>
      </c>
      <c r="BC23" s="21">
        <f t="shared" si="35"/>
        <v>-8.7999999999999972</v>
      </c>
      <c r="BD23" s="21">
        <f t="shared" si="35"/>
        <v>-60.899999999999977</v>
      </c>
      <c r="BE23" s="24">
        <f t="shared" si="37"/>
        <v>-26.499999999999979</v>
      </c>
      <c r="BF23" s="96">
        <f t="shared" si="8"/>
        <v>26.499999999999979</v>
      </c>
      <c r="BG23" s="82">
        <f t="shared" si="9"/>
        <v>-26.499999999999979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v>612045</v>
      </c>
      <c r="H24" s="5">
        <f t="shared" si="14"/>
        <v>94</v>
      </c>
      <c r="I24" s="5">
        <f t="shared" si="0"/>
        <v>94</v>
      </c>
      <c r="J24" s="337">
        <f t="shared" si="1"/>
        <v>2.6595744680851063</v>
      </c>
      <c r="K24" s="5">
        <f>'Swimming Pool quality check '!H24</f>
        <v>6700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v>149104</v>
      </c>
      <c r="Y24" s="327">
        <f t="shared" si="41"/>
        <v>20</v>
      </c>
      <c r="Z24" s="5">
        <f t="shared" si="21"/>
        <v>97637</v>
      </c>
      <c r="AA24" s="83">
        <f t="shared" si="22"/>
        <v>0</v>
      </c>
      <c r="AB24" s="5">
        <v>246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20</v>
      </c>
      <c r="AL24" s="330">
        <f t="shared" si="31"/>
        <v>0</v>
      </c>
      <c r="AM24" s="330">
        <f>'General information '!D24</f>
        <v>18.5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6"/>
        <v>0.9</v>
      </c>
      <c r="AT24" s="202">
        <v>89</v>
      </c>
      <c r="AU24" s="429">
        <f t="shared" si="42"/>
        <v>1.1000000000000001</v>
      </c>
      <c r="AV24" s="202">
        <v>104</v>
      </c>
      <c r="AW24" s="5">
        <v>2.9</v>
      </c>
      <c r="AX24" s="202">
        <v>112</v>
      </c>
      <c r="AY24" s="432">
        <f t="shared" si="7"/>
        <v>80.100000000000009</v>
      </c>
      <c r="AZ24" s="432">
        <f t="shared" si="33"/>
        <v>114.4</v>
      </c>
      <c r="BA24" s="432">
        <f t="shared" si="34"/>
        <v>324.8</v>
      </c>
      <c r="BB24" s="21">
        <f t="shared" si="35"/>
        <v>-18.899999999999991</v>
      </c>
      <c r="BC24" s="21">
        <f t="shared" si="35"/>
        <v>-1.1000000000000085</v>
      </c>
      <c r="BD24" s="21">
        <f t="shared" si="35"/>
        <v>63.800000000000011</v>
      </c>
      <c r="BE24" s="24">
        <f t="shared" si="37"/>
        <v>43.800000000000011</v>
      </c>
      <c r="BF24" s="96">
        <f t="shared" si="8"/>
        <v>50.199999999999989</v>
      </c>
      <c r="BG24" s="82">
        <f t="shared" si="9"/>
        <v>43.800000000000011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v>612045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6700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v>5160</v>
      </c>
      <c r="U25" s="5">
        <f t="shared" si="4"/>
        <v>1</v>
      </c>
      <c r="V25" s="5">
        <v>459</v>
      </c>
      <c r="W25" s="327">
        <f t="shared" si="19"/>
        <v>7</v>
      </c>
      <c r="X25" s="5">
        <v>149168</v>
      </c>
      <c r="Y25" s="327">
        <f t="shared" si="41"/>
        <v>64</v>
      </c>
      <c r="Z25" s="5">
        <v>97681</v>
      </c>
      <c r="AA25" s="83">
        <f t="shared" si="22"/>
        <v>44</v>
      </c>
      <c r="AB25" s="5">
        <f t="shared" si="23"/>
        <v>246</v>
      </c>
      <c r="AC25" s="5">
        <v>699</v>
      </c>
      <c r="AD25" s="83">
        <f t="shared" si="38"/>
        <v>1</v>
      </c>
      <c r="AE25" s="5">
        <f t="shared" si="25"/>
        <v>227.8</v>
      </c>
      <c r="AF25" s="83">
        <f t="shared" si="26"/>
        <v>0</v>
      </c>
      <c r="AG25" s="5">
        <v>2181.5700000000002</v>
      </c>
      <c r="AH25" s="83">
        <f t="shared" si="28"/>
        <v>0.28999999999996362</v>
      </c>
      <c r="AI25" s="83">
        <f t="shared" si="29"/>
        <v>0.28999999999996362</v>
      </c>
      <c r="AJ25" s="329">
        <f t="shared" si="30"/>
        <v>44</v>
      </c>
      <c r="AK25" s="330">
        <f t="shared" si="39"/>
        <v>64</v>
      </c>
      <c r="AL25" s="330">
        <f t="shared" si="31"/>
        <v>37</v>
      </c>
      <c r="AM25" s="330">
        <f>'General information '!D25</f>
        <v>17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6"/>
        <v>0.9</v>
      </c>
      <c r="AT25" s="202">
        <v>62</v>
      </c>
      <c r="AU25" s="429">
        <f t="shared" si="42"/>
        <v>1.1000000000000001</v>
      </c>
      <c r="AV25" s="202">
        <v>126</v>
      </c>
      <c r="AW25" s="5">
        <v>2.9</v>
      </c>
      <c r="AX25" s="202">
        <v>125</v>
      </c>
      <c r="AY25" s="432">
        <f t="shared" si="7"/>
        <v>55.800000000000004</v>
      </c>
      <c r="AZ25" s="432">
        <f t="shared" si="33"/>
        <v>138.60000000000002</v>
      </c>
      <c r="BA25" s="432">
        <f t="shared" si="34"/>
        <v>362.5</v>
      </c>
      <c r="BB25" s="21">
        <f t="shared" si="35"/>
        <v>-24.300000000000004</v>
      </c>
      <c r="BC25" s="21">
        <f t="shared" si="35"/>
        <v>24.200000000000017</v>
      </c>
      <c r="BD25" s="21">
        <f t="shared" si="35"/>
        <v>37.699999999999989</v>
      </c>
      <c r="BE25" s="24">
        <f t="shared" si="37"/>
        <v>37.6</v>
      </c>
      <c r="BF25" s="96">
        <f t="shared" si="8"/>
        <v>-37.6</v>
      </c>
      <c r="BG25" s="82">
        <f t="shared" si="9"/>
        <v>37.6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v>612265</v>
      </c>
      <c r="H26" s="5">
        <f>G26-G25</f>
        <v>220</v>
      </c>
      <c r="I26" s="5">
        <f t="shared" si="0"/>
        <v>220</v>
      </c>
      <c r="J26" s="337">
        <f t="shared" si="1"/>
        <v>1.1363636363636365</v>
      </c>
      <c r="K26" s="5">
        <f>'Swimming Pool quality check '!H26</f>
        <v>6700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5160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149168</v>
      </c>
      <c r="Y26" s="327">
        <f t="shared" si="41"/>
        <v>0</v>
      </c>
      <c r="Z26" s="5">
        <f t="shared" si="21"/>
        <v>97681</v>
      </c>
      <c r="AA26" s="83">
        <f t="shared" si="22"/>
        <v>0</v>
      </c>
      <c r="AB26" s="5">
        <v>262</v>
      </c>
      <c r="AC26" s="5">
        <v>730</v>
      </c>
      <c r="AD26" s="83">
        <f t="shared" si="38"/>
        <v>31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17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6"/>
        <v>0.9</v>
      </c>
      <c r="AT26" s="202">
        <v>97</v>
      </c>
      <c r="AU26" s="429">
        <f t="shared" si="42"/>
        <v>1.1000000000000001</v>
      </c>
      <c r="AV26" s="202">
        <v>120</v>
      </c>
      <c r="AW26" s="5">
        <v>2.9</v>
      </c>
      <c r="AX26" s="202">
        <v>122</v>
      </c>
      <c r="AY26" s="432">
        <f t="shared" si="7"/>
        <v>87.3</v>
      </c>
      <c r="AZ26" s="432">
        <f t="shared" si="33"/>
        <v>132</v>
      </c>
      <c r="BA26" s="432">
        <f t="shared" si="34"/>
        <v>353.8</v>
      </c>
      <c r="BB26" s="21">
        <f t="shared" si="35"/>
        <v>31.499999999999993</v>
      </c>
      <c r="BC26" s="21">
        <f t="shared" si="35"/>
        <v>-6.6000000000000227</v>
      </c>
      <c r="BD26" s="21">
        <f t="shared" si="35"/>
        <v>-8.6999999999999886</v>
      </c>
      <c r="BE26" s="24">
        <f t="shared" si="37"/>
        <v>16.199999999999982</v>
      </c>
      <c r="BF26" s="96">
        <f t="shared" si="8"/>
        <v>203.8</v>
      </c>
      <c r="BG26" s="82">
        <f t="shared" si="9"/>
        <v>16.199999999999989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v>612276</v>
      </c>
      <c r="H27" s="5">
        <f t="shared" si="14"/>
        <v>11</v>
      </c>
      <c r="I27" s="5">
        <f t="shared" si="0"/>
        <v>11</v>
      </c>
      <c r="J27" s="337">
        <f t="shared" si="1"/>
        <v>22.727272727272727</v>
      </c>
      <c r="K27" s="5">
        <f>'Swimming Pool quality check '!H27</f>
        <v>6700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5160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149168</v>
      </c>
      <c r="Y27" s="327">
        <f>SUM(X27-X26)</f>
        <v>0</v>
      </c>
      <c r="Z27" s="5">
        <f t="shared" si="21"/>
        <v>97681</v>
      </c>
      <c r="AA27" s="83">
        <f t="shared" si="22"/>
        <v>0</v>
      </c>
      <c r="AB27" s="5">
        <v>262</v>
      </c>
      <c r="AC27" s="5"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17.5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6"/>
        <v>0.9</v>
      </c>
      <c r="AT27" s="202">
        <v>105</v>
      </c>
      <c r="AU27" s="429">
        <f t="shared" si="42"/>
        <v>1.1000000000000001</v>
      </c>
      <c r="AV27" s="202">
        <v>116</v>
      </c>
      <c r="AW27" s="5">
        <v>2.9</v>
      </c>
      <c r="AX27" s="202">
        <v>120</v>
      </c>
      <c r="AY27" s="432">
        <f t="shared" si="7"/>
        <v>94.5</v>
      </c>
      <c r="AZ27" s="432">
        <f t="shared" si="33"/>
        <v>127.60000000000001</v>
      </c>
      <c r="BA27" s="432">
        <f t="shared" si="34"/>
        <v>348</v>
      </c>
      <c r="BB27" s="21">
        <f t="shared" si="35"/>
        <v>7.2000000000000028</v>
      </c>
      <c r="BC27" s="21">
        <f t="shared" si="35"/>
        <v>-4.3999999999999915</v>
      </c>
      <c r="BD27" s="21">
        <f t="shared" si="35"/>
        <v>-5.8000000000000114</v>
      </c>
      <c r="BE27" s="24">
        <f t="shared" si="37"/>
        <v>-3</v>
      </c>
      <c r="BF27" s="96">
        <f t="shared" si="8"/>
        <v>14</v>
      </c>
      <c r="BG27" s="82">
        <f t="shared" si="9"/>
        <v>-3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v>612461</v>
      </c>
      <c r="H28" s="5">
        <f t="shared" si="14"/>
        <v>185</v>
      </c>
      <c r="I28" s="5">
        <f t="shared" si="0"/>
        <v>185</v>
      </c>
      <c r="J28" s="337">
        <f t="shared" si="1"/>
        <v>1.3513513513513513</v>
      </c>
      <c r="K28" s="5">
        <f>'Swimming Pool quality check '!H28</f>
        <v>6700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5160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v>149172</v>
      </c>
      <c r="Y28" s="327">
        <f t="shared" si="41"/>
        <v>4</v>
      </c>
      <c r="Z28" s="5">
        <v>97728</v>
      </c>
      <c r="AA28" s="83">
        <f t="shared" si="22"/>
        <v>47</v>
      </c>
      <c r="AB28" s="5">
        <f t="shared" si="23"/>
        <v>262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47</v>
      </c>
      <c r="AK28" s="330">
        <f t="shared" si="39"/>
        <v>4</v>
      </c>
      <c r="AL28" s="330">
        <f t="shared" si="31"/>
        <v>47</v>
      </c>
      <c r="AM28" s="330">
        <f>'General information '!D28</f>
        <v>17.5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6"/>
        <v>0.9</v>
      </c>
      <c r="AT28" s="202">
        <v>156</v>
      </c>
      <c r="AU28" s="429">
        <f t="shared" si="42"/>
        <v>1.1000000000000001</v>
      </c>
      <c r="AV28" s="202">
        <v>148</v>
      </c>
      <c r="AW28" s="5">
        <v>2.9</v>
      </c>
      <c r="AX28" s="202">
        <v>116</v>
      </c>
      <c r="AY28" s="432">
        <f t="shared" si="7"/>
        <v>140.4</v>
      </c>
      <c r="AZ28" s="432">
        <f t="shared" si="33"/>
        <v>162.80000000000001</v>
      </c>
      <c r="BA28" s="432">
        <f t="shared" si="34"/>
        <v>336.4</v>
      </c>
      <c r="BB28" s="21">
        <f t="shared" si="35"/>
        <v>45.900000000000006</v>
      </c>
      <c r="BC28" s="21">
        <f t="shared" si="35"/>
        <v>35.200000000000003</v>
      </c>
      <c r="BD28" s="21">
        <f t="shared" si="35"/>
        <v>-11.600000000000023</v>
      </c>
      <c r="BE28" s="24">
        <f t="shared" si="37"/>
        <v>69.499999999999986</v>
      </c>
      <c r="BF28" s="96">
        <f t="shared" si="8"/>
        <v>115.50000000000001</v>
      </c>
      <c r="BG28" s="82">
        <f t="shared" si="9"/>
        <v>69.499999999999986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v>612466</v>
      </c>
      <c r="H29" s="5">
        <f t="shared" si="14"/>
        <v>5</v>
      </c>
      <c r="I29" s="5">
        <f t="shared" si="0"/>
        <v>5</v>
      </c>
      <c r="J29" s="337">
        <f t="shared" si="1"/>
        <v>50</v>
      </c>
      <c r="K29" s="5">
        <f>'Swimming Pool quality check '!H29</f>
        <v>6700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5160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149172</v>
      </c>
      <c r="Y29" s="327">
        <f t="shared" si="41"/>
        <v>0</v>
      </c>
      <c r="Z29" s="5">
        <f t="shared" si="21"/>
        <v>97728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17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6"/>
        <v>0.9</v>
      </c>
      <c r="AT29" s="202">
        <v>166</v>
      </c>
      <c r="AU29" s="429">
        <f t="shared" si="42"/>
        <v>1.1000000000000001</v>
      </c>
      <c r="AV29" s="202">
        <v>144</v>
      </c>
      <c r="AW29" s="5">
        <v>2.9</v>
      </c>
      <c r="AX29" s="202">
        <v>110</v>
      </c>
      <c r="AY29" s="432">
        <f t="shared" si="7"/>
        <v>149.4</v>
      </c>
      <c r="AZ29" s="432">
        <f t="shared" si="33"/>
        <v>158.4</v>
      </c>
      <c r="BA29" s="432">
        <f t="shared" si="34"/>
        <v>319</v>
      </c>
      <c r="BB29" s="21">
        <f t="shared" si="35"/>
        <v>9</v>
      </c>
      <c r="BC29" s="21">
        <f t="shared" si="35"/>
        <v>-4.4000000000000057</v>
      </c>
      <c r="BD29" s="21">
        <f t="shared" si="35"/>
        <v>-17.399999999999977</v>
      </c>
      <c r="BE29" s="24">
        <f t="shared" si="37"/>
        <v>-12.799999999999983</v>
      </c>
      <c r="BF29" s="96">
        <f t="shared" si="8"/>
        <v>17.799999999999983</v>
      </c>
      <c r="BG29" s="82">
        <f t="shared" si="9"/>
        <v>-12.799999999999983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v>612468</v>
      </c>
      <c r="H30" s="5">
        <f t="shared" si="14"/>
        <v>2</v>
      </c>
      <c r="I30" s="5">
        <f t="shared" si="0"/>
        <v>2</v>
      </c>
      <c r="J30" s="337">
        <f t="shared" si="1"/>
        <v>125</v>
      </c>
      <c r="K30" s="5">
        <f>'Swimming Pool quality check '!H30</f>
        <v>6700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5160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149272</v>
      </c>
      <c r="Y30" s="327">
        <f t="shared" si="41"/>
        <v>100</v>
      </c>
      <c r="Z30" s="5">
        <v>97754</v>
      </c>
      <c r="AA30" s="83">
        <f t="shared" si="22"/>
        <v>26</v>
      </c>
      <c r="AB30" s="5">
        <f t="shared" si="23"/>
        <v>262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26</v>
      </c>
      <c r="AK30" s="330">
        <f t="shared" si="39"/>
        <v>100</v>
      </c>
      <c r="AL30" s="330">
        <f t="shared" si="31"/>
        <v>26</v>
      </c>
      <c r="AM30" s="330">
        <f>'General information '!D30</f>
        <v>16.5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6"/>
        <v>0.9</v>
      </c>
      <c r="AT30" s="202">
        <v>53</v>
      </c>
      <c r="AU30" s="429">
        <f t="shared" si="42"/>
        <v>1.1000000000000001</v>
      </c>
      <c r="AV30" s="202">
        <v>158</v>
      </c>
      <c r="AW30" s="5">
        <v>2.9</v>
      </c>
      <c r="AX30" s="202">
        <v>132</v>
      </c>
      <c r="AY30" s="432">
        <f t="shared" si="7"/>
        <v>47.7</v>
      </c>
      <c r="AZ30" s="432">
        <f t="shared" si="33"/>
        <v>173.8</v>
      </c>
      <c r="BA30" s="432">
        <f t="shared" si="34"/>
        <v>382.8</v>
      </c>
      <c r="BB30" s="21">
        <f t="shared" si="35"/>
        <v>-101.7</v>
      </c>
      <c r="BC30" s="21">
        <f t="shared" si="35"/>
        <v>15.400000000000006</v>
      </c>
      <c r="BD30" s="21">
        <f t="shared" si="35"/>
        <v>63.800000000000011</v>
      </c>
      <c r="BE30" s="24">
        <f t="shared" si="37"/>
        <v>-22.499999999999986</v>
      </c>
      <c r="BF30" s="96">
        <f t="shared" si="8"/>
        <v>24.499999999999986</v>
      </c>
      <c r="BG30" s="82">
        <f t="shared" si="9"/>
        <v>-22.499999999999986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612468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6700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5160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149272</v>
      </c>
      <c r="Y31" s="327">
        <f t="shared" si="41"/>
        <v>0</v>
      </c>
      <c r="Z31" s="5">
        <f t="shared" si="21"/>
        <v>97754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16.5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6"/>
        <v>0.9</v>
      </c>
      <c r="AT31" s="202">
        <v>51</v>
      </c>
      <c r="AU31" s="429">
        <f t="shared" si="42"/>
        <v>1.1000000000000001</v>
      </c>
      <c r="AV31" s="202">
        <v>155</v>
      </c>
      <c r="AW31" s="5">
        <v>2.9</v>
      </c>
      <c r="AX31" s="202">
        <v>129</v>
      </c>
      <c r="AY31" s="432">
        <f t="shared" si="7"/>
        <v>45.9</v>
      </c>
      <c r="AZ31" s="432">
        <f t="shared" si="33"/>
        <v>170.5</v>
      </c>
      <c r="BA31" s="432">
        <f t="shared" si="34"/>
        <v>374.09999999999997</v>
      </c>
      <c r="BB31" s="21">
        <f t="shared" si="35"/>
        <v>-1.8000000000000043</v>
      </c>
      <c r="BC31" s="21">
        <f t="shared" si="35"/>
        <v>-3.3000000000000114</v>
      </c>
      <c r="BD31" s="21">
        <f t="shared" si="35"/>
        <v>-8.7000000000000455</v>
      </c>
      <c r="BE31" s="24">
        <f t="shared" si="37"/>
        <v>-13.800000000000061</v>
      </c>
      <c r="BF31" s="96">
        <f t="shared" si="8"/>
        <v>13.800000000000061</v>
      </c>
      <c r="BG31" s="82">
        <f t="shared" si="9"/>
        <v>-13.800000000000061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612468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6700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5160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149272</v>
      </c>
      <c r="Y32" s="327">
        <f t="shared" si="41"/>
        <v>0</v>
      </c>
      <c r="Z32" s="5">
        <f t="shared" si="21"/>
        <v>97754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6"/>
        <v>0.9</v>
      </c>
      <c r="AT32" s="202">
        <f t="shared" si="46"/>
        <v>51</v>
      </c>
      <c r="AU32" s="429">
        <f t="shared" si="42"/>
        <v>1.1000000000000001</v>
      </c>
      <c r="AV32" s="202">
        <f t="shared" ref="AV32:AV36" si="47">AV31</f>
        <v>155</v>
      </c>
      <c r="AW32" s="5">
        <v>2.9</v>
      </c>
      <c r="AX32" s="202">
        <f t="shared" ref="AX32:AX36" si="48">AX31</f>
        <v>129</v>
      </c>
      <c r="AY32" s="432">
        <f t="shared" si="7"/>
        <v>45.9</v>
      </c>
      <c r="AZ32" s="432">
        <f t="shared" si="33"/>
        <v>170.5</v>
      </c>
      <c r="BA32" s="432">
        <f t="shared" si="34"/>
        <v>374.09999999999997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612468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6700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5160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149272</v>
      </c>
      <c r="Y33" s="327">
        <f t="shared" si="41"/>
        <v>0</v>
      </c>
      <c r="Z33" s="5">
        <f t="shared" si="21"/>
        <v>97754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6"/>
        <v>0.9</v>
      </c>
      <c r="AT33" s="202">
        <f t="shared" si="46"/>
        <v>51</v>
      </c>
      <c r="AU33" s="429">
        <f t="shared" si="42"/>
        <v>1.1000000000000001</v>
      </c>
      <c r="AV33" s="202">
        <f t="shared" si="47"/>
        <v>155</v>
      </c>
      <c r="AW33" s="5">
        <v>2.9</v>
      </c>
      <c r="AX33" s="202">
        <f t="shared" si="48"/>
        <v>129</v>
      </c>
      <c r="AY33" s="432">
        <f t="shared" si="7"/>
        <v>45.9</v>
      </c>
      <c r="AZ33" s="432">
        <f t="shared" si="33"/>
        <v>170.5</v>
      </c>
      <c r="BA33" s="432">
        <f t="shared" si="34"/>
        <v>374.09999999999997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612468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6700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5160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149272</v>
      </c>
      <c r="Y34" s="327">
        <f t="shared" si="41"/>
        <v>0</v>
      </c>
      <c r="Z34" s="5">
        <f t="shared" si="21"/>
        <v>97754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6"/>
        <v>0.9</v>
      </c>
      <c r="AT34" s="202">
        <f t="shared" si="46"/>
        <v>51</v>
      </c>
      <c r="AU34" s="430">
        <f t="shared" si="42"/>
        <v>1.1000000000000001</v>
      </c>
      <c r="AV34" s="202">
        <f t="shared" si="47"/>
        <v>155</v>
      </c>
      <c r="AW34" s="5">
        <v>2.9</v>
      </c>
      <c r="AX34" s="202">
        <f t="shared" si="48"/>
        <v>129</v>
      </c>
      <c r="AY34" s="432">
        <f t="shared" si="7"/>
        <v>45.9</v>
      </c>
      <c r="AZ34" s="432">
        <f t="shared" si="33"/>
        <v>170.5</v>
      </c>
      <c r="BA34" s="432">
        <f t="shared" si="34"/>
        <v>374.09999999999997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612468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6700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5160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149272</v>
      </c>
      <c r="Y35" s="327">
        <f t="shared" si="41"/>
        <v>0</v>
      </c>
      <c r="Z35" s="5">
        <f t="shared" si="21"/>
        <v>97754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6"/>
        <v>0.9</v>
      </c>
      <c r="AT35" s="202">
        <f t="shared" si="46"/>
        <v>51</v>
      </c>
      <c r="AU35" s="431">
        <f t="shared" si="42"/>
        <v>1.1000000000000001</v>
      </c>
      <c r="AV35" s="202">
        <f t="shared" si="47"/>
        <v>155</v>
      </c>
      <c r="AW35" s="5">
        <v>2.9</v>
      </c>
      <c r="AX35" s="202">
        <f t="shared" si="48"/>
        <v>129</v>
      </c>
      <c r="AY35" s="432">
        <f t="shared" si="7"/>
        <v>45.9</v>
      </c>
      <c r="AZ35" s="432">
        <f t="shared" si="33"/>
        <v>170.5</v>
      </c>
      <c r="BA35" s="432">
        <f t="shared" si="34"/>
        <v>374.09999999999997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612468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6700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5160</v>
      </c>
      <c r="U36" s="5">
        <f t="shared" ref="U36" si="58">SUM(T36-T35)</f>
        <v>0</v>
      </c>
      <c r="V36" s="5">
        <f t="shared" si="18"/>
        <v>459</v>
      </c>
      <c r="W36" s="327">
        <f t="shared" ref="W36" si="59">+V36-V35</f>
        <v>0</v>
      </c>
      <c r="X36" s="5">
        <f t="shared" si="20"/>
        <v>149272</v>
      </c>
      <c r="Y36" s="327">
        <f t="shared" ref="Y36" si="60">SUM(X36-X35)</f>
        <v>0</v>
      </c>
      <c r="Z36" s="5">
        <f t="shared" si="21"/>
        <v>97754</v>
      </c>
      <c r="AA36" s="83">
        <f t="shared" ref="AA36" si="61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2181.5700000000002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6"/>
        <v>0.9</v>
      </c>
      <c r="AT36" s="202">
        <f t="shared" si="46"/>
        <v>51</v>
      </c>
      <c r="AU36" s="431">
        <f t="shared" si="42"/>
        <v>1.1000000000000001</v>
      </c>
      <c r="AV36" s="202">
        <f t="shared" si="47"/>
        <v>155</v>
      </c>
      <c r="AW36" s="5">
        <v>2.9</v>
      </c>
      <c r="AX36" s="202">
        <f t="shared" si="48"/>
        <v>129</v>
      </c>
      <c r="AY36" s="432">
        <f t="shared" ref="AY36" si="69">AS36*AT36</f>
        <v>45.9</v>
      </c>
      <c r="AZ36" s="432">
        <f t="shared" ref="AZ36" si="70">AU36*AV36</f>
        <v>170.5</v>
      </c>
      <c r="BA36" s="432">
        <f t="shared" ref="BA36" si="71">AW36*AX36</f>
        <v>374.09999999999997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1997</v>
      </c>
      <c r="I37" s="416">
        <f>SUM(I6:I35)</f>
        <v>2123</v>
      </c>
      <c r="L37" s="270">
        <f>SUM(L7:L35)</f>
        <v>19</v>
      </c>
      <c r="Q37" s="502">
        <f>SUM(Q5:Q35)</f>
        <v>0</v>
      </c>
      <c r="U37" s="413">
        <f>SUM(U6:U35)</f>
        <v>1</v>
      </c>
      <c r="X37" s="326"/>
      <c r="Y37" s="325" t="e">
        <f>SUM(Y35,Y33,Y31,Y29,Y27,Y25,Y23,Y21,Y19,Y17,Y15,Y13,Y11,Y9,Y7+#REF!)</f>
        <v>#REF!</v>
      </c>
      <c r="AJ37" s="325">
        <f>SUM(AJ6:AJ35)</f>
        <v>347</v>
      </c>
      <c r="AK37" s="330" t="e">
        <f t="shared" si="5"/>
        <v>#REF!</v>
      </c>
      <c r="AL37" s="325">
        <f>SUM(AL6:AL35)</f>
        <v>340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2123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2123</v>
      </c>
      <c r="H39" s="1">
        <f>SUM(H38+C38)</f>
        <v>7709.16</v>
      </c>
      <c r="K39" s="1">
        <f>SUM(H39/G39)</f>
        <v>3.6312576542628356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G31" sqref="G31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1" t="s">
        <v>193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5.75" customHeight="1" thickBot="1">
      <c r="A2" s="654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6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2">
        <f>'[2]General information '!E36</f>
        <v>0.76</v>
      </c>
      <c r="F5" s="582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>
        <v>23</v>
      </c>
      <c r="C12" s="37">
        <v>18</v>
      </c>
      <c r="D12" s="26">
        <f t="shared" si="0"/>
        <v>20.5</v>
      </c>
      <c r="E12" s="397">
        <v>0.62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>
        <v>27</v>
      </c>
      <c r="C13" s="37">
        <v>21</v>
      </c>
      <c r="D13" s="26">
        <f>(C13+B13)/2</f>
        <v>24</v>
      </c>
      <c r="E13" s="357">
        <v>0.45</v>
      </c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>
        <v>27</v>
      </c>
      <c r="C14" s="37">
        <v>22</v>
      </c>
      <c r="D14" s="26">
        <f t="shared" ref="D14:D34" si="3">(C14+B14)/2</f>
        <v>24.5</v>
      </c>
      <c r="E14" s="343">
        <v>0.45</v>
      </c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>
        <v>25</v>
      </c>
      <c r="C15" s="37">
        <v>21</v>
      </c>
      <c r="D15" s="26">
        <f t="shared" si="3"/>
        <v>23</v>
      </c>
      <c r="E15" s="343">
        <v>0.53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>
        <v>25</v>
      </c>
      <c r="C16" s="37">
        <v>20</v>
      </c>
      <c r="D16" s="26">
        <f t="shared" si="3"/>
        <v>22.5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>
        <v>25</v>
      </c>
      <c r="C17" s="37">
        <v>20</v>
      </c>
      <c r="D17" s="26">
        <f t="shared" si="3"/>
        <v>22.5</v>
      </c>
      <c r="E17" s="343">
        <v>0.45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>
        <v>25</v>
      </c>
      <c r="C18" s="37">
        <v>21</v>
      </c>
      <c r="D18" s="26">
        <f t="shared" si="3"/>
        <v>23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>
        <v>25</v>
      </c>
      <c r="C19" s="37">
        <v>21</v>
      </c>
      <c r="D19" s="26">
        <f t="shared" si="3"/>
        <v>23</v>
      </c>
      <c r="E19" s="343">
        <v>0.6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>
        <v>22</v>
      </c>
      <c r="C20" s="37">
        <v>17</v>
      </c>
      <c r="D20" s="26">
        <f t="shared" si="3"/>
        <v>19.5</v>
      </c>
      <c r="E20" s="343">
        <v>0.5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>
        <v>22</v>
      </c>
      <c r="C21" s="37">
        <v>16</v>
      </c>
      <c r="D21" s="26">
        <f>(C21+B21)/2</f>
        <v>19</v>
      </c>
      <c r="E21" s="343">
        <v>0.5</v>
      </c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>
        <v>21</v>
      </c>
      <c r="C22" s="37">
        <v>15</v>
      </c>
      <c r="D22" s="26">
        <f t="shared" si="3"/>
        <v>18</v>
      </c>
      <c r="E22" s="343">
        <v>0.52</v>
      </c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>
        <v>21</v>
      </c>
      <c r="C23" s="37">
        <v>15</v>
      </c>
      <c r="D23" s="26">
        <f>(C23+B23)/2</f>
        <v>18</v>
      </c>
      <c r="E23" s="343">
        <v>0.55000000000000004</v>
      </c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>
        <v>21</v>
      </c>
      <c r="C24" s="37">
        <v>16</v>
      </c>
      <c r="D24" s="26">
        <f t="shared" si="3"/>
        <v>18.5</v>
      </c>
      <c r="E24" s="343">
        <v>0.55000000000000004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>
        <v>19</v>
      </c>
      <c r="C25" s="37">
        <v>15</v>
      </c>
      <c r="D25" s="26">
        <f t="shared" si="3"/>
        <v>17</v>
      </c>
      <c r="E25" s="343">
        <v>0.73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>
        <v>19</v>
      </c>
      <c r="C26" s="37">
        <v>15</v>
      </c>
      <c r="D26" s="26">
        <f>(C26+B26)/2</f>
        <v>17</v>
      </c>
      <c r="E26" s="343">
        <v>0.65</v>
      </c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>
        <v>19</v>
      </c>
      <c r="C27" s="37">
        <v>16</v>
      </c>
      <c r="D27" s="26">
        <f t="shared" si="3"/>
        <v>17.5</v>
      </c>
      <c r="E27" s="343">
        <v>0.65</v>
      </c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>
        <v>20</v>
      </c>
      <c r="C28" s="37">
        <v>15</v>
      </c>
      <c r="D28" s="26">
        <f t="shared" si="3"/>
        <v>17.5</v>
      </c>
      <c r="E28" s="343">
        <v>0.6</v>
      </c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>
        <v>19</v>
      </c>
      <c r="C29" s="37">
        <v>15</v>
      </c>
      <c r="D29" s="26">
        <f t="shared" si="3"/>
        <v>17</v>
      </c>
      <c r="E29" s="343">
        <v>0.6</v>
      </c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>
        <v>18</v>
      </c>
      <c r="C30" s="37">
        <v>15</v>
      </c>
      <c r="D30" s="26">
        <f t="shared" si="3"/>
        <v>16.5</v>
      </c>
      <c r="E30" s="343">
        <v>0.63</v>
      </c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>
        <v>18</v>
      </c>
      <c r="C31" s="37">
        <v>15</v>
      </c>
      <c r="D31" s="3">
        <f t="shared" si="3"/>
        <v>16.5</v>
      </c>
      <c r="E31" s="344">
        <v>0.6</v>
      </c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20.21153846153846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L1" activePane="topRight" state="frozen"/>
      <selection pane="topRight" activeCell="A26" sqref="A26:XFD2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9" t="s">
        <v>108</v>
      </c>
      <c r="AS3" s="659" t="s">
        <v>233</v>
      </c>
      <c r="AT3" s="657" t="s">
        <v>301</v>
      </c>
      <c r="AU3" s="658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0"/>
      <c r="AS4" s="660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-613.35483870968164</v>
      </c>
      <c r="AT6" s="358"/>
      <c r="AU6" s="442"/>
      <c r="AV6" s="525">
        <f>IF(AT6&gt;0,AU6,AV5)</f>
        <v>0.5</v>
      </c>
      <c r="AW6" s="293">
        <f>-SUM('B5'!AI5)</f>
        <v>-205</v>
      </c>
      <c r="AX6" s="293">
        <f>-SUM(AW6-AS6)</f>
        <v>-408.35483870968164</v>
      </c>
      <c r="AY6" s="37">
        <f>SUM(AX6+AW6)</f>
        <v>-613.35483870968164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0.5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0.5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0.5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0.5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229</v>
      </c>
      <c r="C11" s="204">
        <f t="shared" si="18"/>
        <v>4927.1935483870966</v>
      </c>
      <c r="D11">
        <f>SUM(B11)</f>
        <v>229</v>
      </c>
      <c r="E11" s="204">
        <f t="shared" si="18"/>
        <v>4927.1935483870966</v>
      </c>
      <c r="F11">
        <f>SUM(D11)</f>
        <v>229</v>
      </c>
      <c r="G11" s="204">
        <f t="shared" si="1"/>
        <v>4927.1935483870966</v>
      </c>
      <c r="H11" s="204">
        <f>SUM(F11)</f>
        <v>229</v>
      </c>
      <c r="I11" s="204">
        <f t="shared" si="2"/>
        <v>4927.1935483870966</v>
      </c>
      <c r="J11" s="204">
        <f>SUM(H11)</f>
        <v>229</v>
      </c>
      <c r="K11" s="204">
        <f t="shared" si="3"/>
        <v>4927.1935483870966</v>
      </c>
      <c r="L11" s="204">
        <f>SUM(J11)</f>
        <v>229</v>
      </c>
      <c r="M11" s="204">
        <f t="shared" si="4"/>
        <v>4927.1935483870966</v>
      </c>
      <c r="N11" s="204">
        <f>SUM(L11)</f>
        <v>229</v>
      </c>
      <c r="O11" s="204">
        <f t="shared" si="5"/>
        <v>4927.1935483870966</v>
      </c>
      <c r="P11" s="204">
        <f>SUM(N11)</f>
        <v>229</v>
      </c>
      <c r="Q11" s="204">
        <f t="shared" si="6"/>
        <v>4927.1935483870966</v>
      </c>
      <c r="R11" s="204">
        <f>SUM(P11)</f>
        <v>229</v>
      </c>
      <c r="S11" s="204">
        <f t="shared" si="7"/>
        <v>4927.1935483870966</v>
      </c>
      <c r="T11" s="204">
        <f>SUM(R11)</f>
        <v>229</v>
      </c>
      <c r="U11" s="204">
        <f t="shared" si="8"/>
        <v>4927.1935483870966</v>
      </c>
      <c r="V11" s="204">
        <f>SUM(T11)</f>
        <v>229</v>
      </c>
      <c r="W11" s="204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0"/>
      <c r="AQ11" s="224">
        <f t="shared" si="37"/>
        <v>0.75991318739655889</v>
      </c>
      <c r="AR11" s="38">
        <f t="shared" si="41"/>
        <v>70649.129032258075</v>
      </c>
      <c r="AS11" s="198">
        <f>SUM(AR11-AR10-AT11)</f>
        <v>-683.35483870966709</v>
      </c>
      <c r="AT11" s="358"/>
      <c r="AU11" s="442"/>
      <c r="AV11" s="525">
        <f>IF(AT11&gt;0,AU11,AV10)</f>
        <v>0.5</v>
      </c>
      <c r="AW11" s="293">
        <f>-SUM('B5'!AI10)</f>
        <v>0</v>
      </c>
      <c r="AX11" s="293">
        <f>-SUM(AW11-AS11)</f>
        <v>-683.35483870966709</v>
      </c>
      <c r="AY11" s="37">
        <f t="shared" si="40"/>
        <v>-683.35483870966709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227</v>
      </c>
      <c r="C12" s="204">
        <f t="shared" si="18"/>
        <v>4884.1612903225805</v>
      </c>
      <c r="D12">
        <f t="shared" si="19"/>
        <v>227</v>
      </c>
      <c r="E12" s="204">
        <f t="shared" si="18"/>
        <v>4884.1612903225805</v>
      </c>
      <c r="F12">
        <f t="shared" si="20"/>
        <v>227</v>
      </c>
      <c r="G12" s="204">
        <f t="shared" si="1"/>
        <v>4884.1612903225805</v>
      </c>
      <c r="H12" s="204">
        <f t="shared" si="21"/>
        <v>227</v>
      </c>
      <c r="I12" s="204">
        <f t="shared" si="2"/>
        <v>4884.1612903225805</v>
      </c>
      <c r="J12" s="204">
        <f t="shared" si="22"/>
        <v>227</v>
      </c>
      <c r="K12" s="204">
        <f t="shared" si="3"/>
        <v>4884.1612903225805</v>
      </c>
      <c r="L12" s="204">
        <f t="shared" si="23"/>
        <v>227</v>
      </c>
      <c r="M12" s="204">
        <f t="shared" si="4"/>
        <v>4884.1612903225805</v>
      </c>
      <c r="N12" s="204">
        <f t="shared" si="24"/>
        <v>227</v>
      </c>
      <c r="O12" s="204">
        <f t="shared" si="5"/>
        <v>4884.1612903225805</v>
      </c>
      <c r="P12" s="204">
        <f t="shared" si="25"/>
        <v>227</v>
      </c>
      <c r="Q12" s="204">
        <f t="shared" si="6"/>
        <v>4884.1612903225805</v>
      </c>
      <c r="R12" s="204">
        <f t="shared" si="26"/>
        <v>227</v>
      </c>
      <c r="S12" s="204">
        <f t="shared" si="7"/>
        <v>4884.1612903225805</v>
      </c>
      <c r="T12" s="204">
        <f t="shared" si="27"/>
        <v>227</v>
      </c>
      <c r="U12" s="204">
        <f t="shared" si="8"/>
        <v>4884.1612903225805</v>
      </c>
      <c r="V12" s="204">
        <f t="shared" si="28"/>
        <v>227</v>
      </c>
      <c r="W12" s="204">
        <f t="shared" si="9"/>
        <v>4884.1612903225805</v>
      </c>
      <c r="X12" s="35">
        <f t="shared" si="10"/>
        <v>0.73225806451612907</v>
      </c>
      <c r="Y12" s="36">
        <f t="shared" si="29"/>
        <v>53725.774193548394</v>
      </c>
      <c r="Z12" s="204">
        <f>'B5'!C11</f>
        <v>234</v>
      </c>
      <c r="AA12" s="204">
        <f t="shared" si="30"/>
        <v>2340</v>
      </c>
      <c r="AB12" s="204">
        <f t="shared" si="31"/>
        <v>234</v>
      </c>
      <c r="AC12" s="204">
        <f t="shared" si="30"/>
        <v>2340</v>
      </c>
      <c r="AD12" s="204">
        <f t="shared" si="32"/>
        <v>234</v>
      </c>
      <c r="AE12" s="204">
        <f t="shared" si="11"/>
        <v>2340</v>
      </c>
      <c r="AF12" s="204">
        <f t="shared" si="33"/>
        <v>234</v>
      </c>
      <c r="AG12" s="204">
        <f t="shared" si="12"/>
        <v>2340</v>
      </c>
      <c r="AH12" s="204">
        <f t="shared" si="34"/>
        <v>234</v>
      </c>
      <c r="AI12" s="204">
        <f t="shared" si="13"/>
        <v>2340</v>
      </c>
      <c r="AJ12" s="204">
        <f t="shared" si="35"/>
        <v>234</v>
      </c>
      <c r="AK12" s="204">
        <f t="shared" si="14"/>
        <v>2340</v>
      </c>
      <c r="AL12" s="204">
        <f t="shared" si="36"/>
        <v>234</v>
      </c>
      <c r="AM12" s="204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80"/>
      <c r="AQ12" s="224">
        <f t="shared" si="37"/>
        <v>0.75406877695545227</v>
      </c>
      <c r="AR12" s="38">
        <f t="shared" si="41"/>
        <v>70105.774193548394</v>
      </c>
      <c r="AS12" s="198">
        <f>SUM(AR12-AR11-AT12)</f>
        <v>-543.35483870968164</v>
      </c>
      <c r="AT12" s="273"/>
      <c r="AU12" s="484"/>
      <c r="AV12" s="525">
        <f t="shared" si="42"/>
        <v>0.5</v>
      </c>
      <c r="AW12" s="293">
        <f>-SUM('B5'!AI11)</f>
        <v>-238</v>
      </c>
      <c r="AX12" s="293">
        <f t="shared" si="39"/>
        <v>-305.35483870968164</v>
      </c>
      <c r="AY12" s="37">
        <f t="shared" si="40"/>
        <v>-543.35483870968164</v>
      </c>
      <c r="AZ12" s="100">
        <f>ELEC!A9</f>
        <v>0</v>
      </c>
      <c r="BA12" s="118">
        <f>'General information '!D12</f>
        <v>20.5</v>
      </c>
      <c r="BB12" s="397">
        <f>SUM('General information '!E12)</f>
        <v>0.62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225</v>
      </c>
      <c r="C13" s="204">
        <f t="shared" si="18"/>
        <v>4841.1290322580644</v>
      </c>
      <c r="D13">
        <f t="shared" si="19"/>
        <v>225</v>
      </c>
      <c r="E13" s="204">
        <f t="shared" si="18"/>
        <v>4841.1290322580644</v>
      </c>
      <c r="F13">
        <f t="shared" si="20"/>
        <v>225</v>
      </c>
      <c r="G13" s="204">
        <f t="shared" si="1"/>
        <v>4841.1290322580644</v>
      </c>
      <c r="H13" s="204">
        <f t="shared" si="21"/>
        <v>225</v>
      </c>
      <c r="I13" s="204">
        <f t="shared" si="2"/>
        <v>4841.1290322580644</v>
      </c>
      <c r="J13" s="204">
        <f t="shared" si="22"/>
        <v>225</v>
      </c>
      <c r="K13" s="204">
        <f t="shared" si="3"/>
        <v>4841.1290322580644</v>
      </c>
      <c r="L13" s="204">
        <f t="shared" si="23"/>
        <v>225</v>
      </c>
      <c r="M13" s="204">
        <f t="shared" si="4"/>
        <v>4841.1290322580644</v>
      </c>
      <c r="N13" s="204">
        <f t="shared" si="24"/>
        <v>225</v>
      </c>
      <c r="O13" s="204">
        <f t="shared" si="5"/>
        <v>4841.1290322580644</v>
      </c>
      <c r="P13" s="204">
        <f t="shared" si="25"/>
        <v>225</v>
      </c>
      <c r="Q13" s="204">
        <f t="shared" si="6"/>
        <v>4841.1290322580644</v>
      </c>
      <c r="R13" s="204">
        <f t="shared" si="26"/>
        <v>225</v>
      </c>
      <c r="S13" s="204">
        <f t="shared" si="7"/>
        <v>4841.1290322580644</v>
      </c>
      <c r="T13" s="204">
        <f t="shared" si="27"/>
        <v>225</v>
      </c>
      <c r="U13" s="204">
        <f t="shared" si="8"/>
        <v>4841.1290322580644</v>
      </c>
      <c r="V13" s="204">
        <f t="shared" si="28"/>
        <v>225</v>
      </c>
      <c r="W13" s="204">
        <f t="shared" si="9"/>
        <v>4841.1290322580644</v>
      </c>
      <c r="X13" s="35">
        <f t="shared" si="10"/>
        <v>0.72580645161290303</v>
      </c>
      <c r="Y13" s="36">
        <f t="shared" si="29"/>
        <v>53252.419354838697</v>
      </c>
      <c r="Z13" s="204">
        <f>'B5'!C12</f>
        <v>231</v>
      </c>
      <c r="AA13" s="204">
        <f t="shared" si="30"/>
        <v>2310</v>
      </c>
      <c r="AB13" s="204">
        <f t="shared" si="31"/>
        <v>231</v>
      </c>
      <c r="AC13" s="204">
        <f t="shared" si="30"/>
        <v>2310</v>
      </c>
      <c r="AD13" s="204">
        <f t="shared" si="32"/>
        <v>231</v>
      </c>
      <c r="AE13" s="204">
        <f t="shared" si="11"/>
        <v>2310</v>
      </c>
      <c r="AF13" s="204">
        <f t="shared" si="33"/>
        <v>231</v>
      </c>
      <c r="AG13" s="204">
        <f t="shared" si="12"/>
        <v>2310</v>
      </c>
      <c r="AH13" s="204">
        <f t="shared" si="34"/>
        <v>231</v>
      </c>
      <c r="AI13" s="204">
        <f t="shared" si="13"/>
        <v>2310</v>
      </c>
      <c r="AJ13" s="204">
        <f t="shared" si="35"/>
        <v>231</v>
      </c>
      <c r="AK13" s="204">
        <f t="shared" si="14"/>
        <v>2310</v>
      </c>
      <c r="AL13" s="204">
        <f t="shared" si="36"/>
        <v>231</v>
      </c>
      <c r="AM13" s="204">
        <f t="shared" si="15"/>
        <v>2310</v>
      </c>
      <c r="AN13" s="35">
        <f t="shared" si="16"/>
        <v>0.82499999999999996</v>
      </c>
      <c r="AO13" s="36">
        <f t="shared" si="17"/>
        <v>16170</v>
      </c>
      <c r="AP13" s="580"/>
      <c r="AQ13" s="224">
        <f t="shared" si="37"/>
        <v>0.7467185044082898</v>
      </c>
      <c r="AR13" s="38">
        <f t="shared" si="41"/>
        <v>69422.419354838697</v>
      </c>
      <c r="AS13" s="198">
        <f t="shared" si="38"/>
        <v>-683.3548387096962</v>
      </c>
      <c r="AT13" s="273"/>
      <c r="AU13" s="442"/>
      <c r="AV13" s="525">
        <f t="shared" si="42"/>
        <v>0.5</v>
      </c>
      <c r="AW13" s="293">
        <f>-SUM('B5'!AI12)</f>
        <v>-162</v>
      </c>
      <c r="AX13" s="293">
        <f t="shared" si="39"/>
        <v>-521.3548387096962</v>
      </c>
      <c r="AY13" s="37">
        <f t="shared" si="40"/>
        <v>-683.3548387096962</v>
      </c>
      <c r="AZ13" s="100">
        <f>ELEC!A10</f>
        <v>0</v>
      </c>
      <c r="BA13" s="118">
        <f>'General information '!D13</f>
        <v>24</v>
      </c>
      <c r="BB13" s="397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223</v>
      </c>
      <c r="C14" s="204">
        <f t="shared" si="18"/>
        <v>4798.0967741935483</v>
      </c>
      <c r="D14">
        <f t="shared" si="19"/>
        <v>223</v>
      </c>
      <c r="E14" s="204">
        <f t="shared" si="18"/>
        <v>4798.0967741935483</v>
      </c>
      <c r="F14">
        <f t="shared" si="20"/>
        <v>223</v>
      </c>
      <c r="G14" s="204">
        <f t="shared" si="1"/>
        <v>4798.0967741935483</v>
      </c>
      <c r="H14" s="204">
        <f t="shared" si="21"/>
        <v>223</v>
      </c>
      <c r="I14" s="204">
        <f t="shared" si="2"/>
        <v>4798.0967741935483</v>
      </c>
      <c r="J14" s="204">
        <f t="shared" si="22"/>
        <v>223</v>
      </c>
      <c r="K14" s="204">
        <f t="shared" si="3"/>
        <v>4798.0967741935483</v>
      </c>
      <c r="L14" s="204">
        <f t="shared" si="23"/>
        <v>223</v>
      </c>
      <c r="M14" s="204">
        <f t="shared" si="4"/>
        <v>4798.0967741935483</v>
      </c>
      <c r="N14" s="204">
        <f t="shared" si="24"/>
        <v>223</v>
      </c>
      <c r="O14" s="204">
        <f t="shared" si="5"/>
        <v>4798.0967741935483</v>
      </c>
      <c r="P14" s="204">
        <f t="shared" si="25"/>
        <v>223</v>
      </c>
      <c r="Q14" s="204">
        <f t="shared" si="6"/>
        <v>4798.0967741935483</v>
      </c>
      <c r="R14" s="204">
        <f t="shared" si="26"/>
        <v>223</v>
      </c>
      <c r="S14" s="204">
        <f t="shared" si="7"/>
        <v>4798.0967741935483</v>
      </c>
      <c r="T14" s="204">
        <f t="shared" si="27"/>
        <v>223</v>
      </c>
      <c r="U14" s="204">
        <f t="shared" si="8"/>
        <v>4798.0967741935483</v>
      </c>
      <c r="V14" s="204">
        <f t="shared" si="28"/>
        <v>223</v>
      </c>
      <c r="W14" s="204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4">
        <f>'B5'!C13</f>
        <v>230</v>
      </c>
      <c r="AA14" s="204">
        <f t="shared" si="30"/>
        <v>2300</v>
      </c>
      <c r="AB14" s="204">
        <f t="shared" si="31"/>
        <v>230</v>
      </c>
      <c r="AC14" s="204">
        <f t="shared" si="30"/>
        <v>2300</v>
      </c>
      <c r="AD14" s="204">
        <f t="shared" si="32"/>
        <v>230</v>
      </c>
      <c r="AE14" s="204">
        <f t="shared" si="11"/>
        <v>2300</v>
      </c>
      <c r="AF14" s="204">
        <f t="shared" si="33"/>
        <v>230</v>
      </c>
      <c r="AG14" s="204">
        <f t="shared" si="12"/>
        <v>2300</v>
      </c>
      <c r="AH14" s="204">
        <f t="shared" si="34"/>
        <v>230</v>
      </c>
      <c r="AI14" s="204">
        <f t="shared" si="13"/>
        <v>2300</v>
      </c>
      <c r="AJ14" s="204">
        <f t="shared" si="35"/>
        <v>230</v>
      </c>
      <c r="AK14" s="204">
        <f t="shared" si="14"/>
        <v>2300</v>
      </c>
      <c r="AL14" s="204">
        <f t="shared" si="36"/>
        <v>230</v>
      </c>
      <c r="AM14" s="204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4">
        <f t="shared" si="37"/>
        <v>0.74087409396718329</v>
      </c>
      <c r="AR14" s="38">
        <f t="shared" si="41"/>
        <v>68879.06451612903</v>
      </c>
      <c r="AS14" s="198">
        <f>SUM(AR14-AR13-AT14)</f>
        <v>-543.35483870966709</v>
      </c>
      <c r="AT14" s="273"/>
      <c r="AU14" s="484"/>
      <c r="AV14" s="525">
        <f t="shared" si="42"/>
        <v>0.5</v>
      </c>
      <c r="AW14" s="293">
        <f>-SUM('B5'!AI13)</f>
        <v>-137</v>
      </c>
      <c r="AX14" s="293">
        <f t="shared" si="39"/>
        <v>-406.35483870966709</v>
      </c>
      <c r="AY14" s="37">
        <f t="shared" si="40"/>
        <v>-543.35483870966709</v>
      </c>
      <c r="AZ14" s="100">
        <f>ELEC!A11</f>
        <v>0</v>
      </c>
      <c r="BA14" s="118">
        <f>'General information '!D14</f>
        <v>24.5</v>
      </c>
      <c r="BB14" s="397">
        <f>SUM('General information '!E14)</f>
        <v>0.45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221</v>
      </c>
      <c r="C15" s="204">
        <f t="shared" si="18"/>
        <v>4755.0645161290322</v>
      </c>
      <c r="D15">
        <f t="shared" si="19"/>
        <v>221</v>
      </c>
      <c r="E15" s="204">
        <f t="shared" si="18"/>
        <v>4755.0645161290322</v>
      </c>
      <c r="F15">
        <f t="shared" si="20"/>
        <v>221</v>
      </c>
      <c r="G15" s="204">
        <f t="shared" si="1"/>
        <v>4755.0645161290322</v>
      </c>
      <c r="H15" s="204">
        <f t="shared" si="21"/>
        <v>221</v>
      </c>
      <c r="I15" s="204">
        <f t="shared" si="2"/>
        <v>4755.0645161290322</v>
      </c>
      <c r="J15" s="204">
        <f t="shared" si="22"/>
        <v>221</v>
      </c>
      <c r="K15" s="204">
        <f t="shared" si="3"/>
        <v>4755.0645161290322</v>
      </c>
      <c r="L15" s="204">
        <f t="shared" si="23"/>
        <v>221</v>
      </c>
      <c r="M15" s="204">
        <f t="shared" si="4"/>
        <v>4755.0645161290322</v>
      </c>
      <c r="N15" s="204">
        <f t="shared" si="24"/>
        <v>221</v>
      </c>
      <c r="O15" s="204">
        <f t="shared" si="5"/>
        <v>4755.0645161290322</v>
      </c>
      <c r="P15" s="204">
        <f t="shared" si="25"/>
        <v>221</v>
      </c>
      <c r="Q15" s="204">
        <f t="shared" si="6"/>
        <v>4755.0645161290322</v>
      </c>
      <c r="R15" s="204">
        <f t="shared" si="26"/>
        <v>221</v>
      </c>
      <c r="S15" s="204">
        <f t="shared" si="7"/>
        <v>4755.0645161290322</v>
      </c>
      <c r="T15" s="204">
        <f t="shared" si="27"/>
        <v>221</v>
      </c>
      <c r="U15" s="204">
        <f t="shared" si="8"/>
        <v>4755.0645161290322</v>
      </c>
      <c r="V15" s="204">
        <f t="shared" si="28"/>
        <v>221</v>
      </c>
      <c r="W15" s="204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4">
        <f>'B5'!C14</f>
        <v>228</v>
      </c>
      <c r="AA15" s="204">
        <f t="shared" si="30"/>
        <v>2280</v>
      </c>
      <c r="AB15" s="204">
        <f t="shared" si="31"/>
        <v>228</v>
      </c>
      <c r="AC15" s="204">
        <f t="shared" si="30"/>
        <v>2280</v>
      </c>
      <c r="AD15" s="204">
        <f t="shared" si="32"/>
        <v>228</v>
      </c>
      <c r="AE15" s="204">
        <f t="shared" si="11"/>
        <v>2280</v>
      </c>
      <c r="AF15" s="204">
        <f t="shared" si="33"/>
        <v>228</v>
      </c>
      <c r="AG15" s="204">
        <f t="shared" si="12"/>
        <v>2280</v>
      </c>
      <c r="AH15" s="204">
        <f t="shared" si="34"/>
        <v>228</v>
      </c>
      <c r="AI15" s="204">
        <f t="shared" si="13"/>
        <v>2280</v>
      </c>
      <c r="AJ15" s="204">
        <f t="shared" si="35"/>
        <v>228</v>
      </c>
      <c r="AK15" s="204">
        <f t="shared" si="14"/>
        <v>2280</v>
      </c>
      <c r="AL15" s="204">
        <f t="shared" si="36"/>
        <v>228</v>
      </c>
      <c r="AM15" s="204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4">
        <f t="shared" si="37"/>
        <v>0.73427675247304869</v>
      </c>
      <c r="AR15" s="38">
        <f t="shared" si="41"/>
        <v>68265.709677419334</v>
      </c>
      <c r="AS15" s="198">
        <f>SUM(AR15-AR14-AT15)</f>
        <v>-613.3548387096962</v>
      </c>
      <c r="AT15" s="273"/>
      <c r="AU15" s="442"/>
      <c r="AV15" s="525">
        <f>IF(AT15&gt;0,AU15,AV14)</f>
        <v>0.5</v>
      </c>
      <c r="AW15" s="293">
        <f>-SUM('B5'!AI14)</f>
        <v>-144</v>
      </c>
      <c r="AX15" s="293">
        <f>-SUM(AW15-AS15)</f>
        <v>-469.3548387096962</v>
      </c>
      <c r="AY15" s="37">
        <f t="shared" si="40"/>
        <v>-613.3548387096962</v>
      </c>
      <c r="AZ15" s="100">
        <f>ELEC!A12</f>
        <v>0</v>
      </c>
      <c r="BA15" s="118">
        <f>'General information '!D15</f>
        <v>23</v>
      </c>
      <c r="BB15" s="397">
        <f>SUM('General information '!E15)</f>
        <v>0.53</v>
      </c>
      <c r="BC15" s="3">
        <f t="shared" si="43"/>
        <v>0</v>
      </c>
      <c r="BD15" s="102">
        <v>19222</v>
      </c>
      <c r="BE15" s="14">
        <f>(305/1185)*ELEC!Q13</f>
        <v>257.38396624472574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219</v>
      </c>
      <c r="C16" s="204">
        <f t="shared" si="18"/>
        <v>4712.0322580645161</v>
      </c>
      <c r="D16">
        <f t="shared" si="19"/>
        <v>219</v>
      </c>
      <c r="E16" s="204">
        <f t="shared" si="18"/>
        <v>4712.0322580645161</v>
      </c>
      <c r="F16">
        <f t="shared" si="20"/>
        <v>219</v>
      </c>
      <c r="G16" s="204">
        <f t="shared" si="1"/>
        <v>4712.0322580645161</v>
      </c>
      <c r="H16" s="204">
        <f t="shared" si="21"/>
        <v>219</v>
      </c>
      <c r="I16" s="204">
        <f t="shared" si="2"/>
        <v>4712.0322580645161</v>
      </c>
      <c r="J16" s="204">
        <f t="shared" si="22"/>
        <v>219</v>
      </c>
      <c r="K16" s="204">
        <f t="shared" si="3"/>
        <v>4712.0322580645161</v>
      </c>
      <c r="L16" s="204">
        <f t="shared" si="23"/>
        <v>219</v>
      </c>
      <c r="M16" s="204">
        <f t="shared" si="4"/>
        <v>4712.0322580645161</v>
      </c>
      <c r="N16" s="204">
        <f t="shared" si="24"/>
        <v>219</v>
      </c>
      <c r="O16" s="204">
        <f t="shared" si="5"/>
        <v>4712.0322580645161</v>
      </c>
      <c r="P16" s="204">
        <f t="shared" si="25"/>
        <v>219</v>
      </c>
      <c r="Q16" s="204">
        <f t="shared" si="6"/>
        <v>4712.0322580645161</v>
      </c>
      <c r="R16" s="204">
        <f t="shared" si="26"/>
        <v>219</v>
      </c>
      <c r="S16" s="204">
        <f t="shared" si="7"/>
        <v>4712.0322580645161</v>
      </c>
      <c r="T16" s="204">
        <f t="shared" si="27"/>
        <v>219</v>
      </c>
      <c r="U16" s="204">
        <f t="shared" si="8"/>
        <v>4712.0322580645161</v>
      </c>
      <c r="V16" s="204">
        <f t="shared" si="28"/>
        <v>219</v>
      </c>
      <c r="W16" s="204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4">
        <f>'B5'!C15</f>
        <v>226</v>
      </c>
      <c r="AA16" s="204">
        <f t="shared" si="30"/>
        <v>2260</v>
      </c>
      <c r="AB16" s="204">
        <f t="shared" si="31"/>
        <v>226</v>
      </c>
      <c r="AC16" s="204">
        <f t="shared" si="30"/>
        <v>2260</v>
      </c>
      <c r="AD16" s="204">
        <f t="shared" si="32"/>
        <v>226</v>
      </c>
      <c r="AE16" s="204">
        <f t="shared" si="11"/>
        <v>2260</v>
      </c>
      <c r="AF16" s="204">
        <f t="shared" si="33"/>
        <v>226</v>
      </c>
      <c r="AG16" s="204">
        <f t="shared" si="12"/>
        <v>2260</v>
      </c>
      <c r="AH16" s="204">
        <f t="shared" si="34"/>
        <v>226</v>
      </c>
      <c r="AI16" s="204">
        <f t="shared" si="13"/>
        <v>2260</v>
      </c>
      <c r="AJ16" s="204">
        <f t="shared" si="35"/>
        <v>226</v>
      </c>
      <c r="AK16" s="204">
        <f t="shared" si="14"/>
        <v>2260</v>
      </c>
      <c r="AL16" s="204">
        <f t="shared" si="36"/>
        <v>226</v>
      </c>
      <c r="AM16" s="204">
        <f t="shared" si="15"/>
        <v>2260</v>
      </c>
      <c r="AN16" s="35">
        <f t="shared" si="16"/>
        <v>0.80714285714285716</v>
      </c>
      <c r="AO16" s="36">
        <f t="shared" si="17"/>
        <v>15820</v>
      </c>
      <c r="AQ16" s="224">
        <f t="shared" si="37"/>
        <v>0.72767941097891431</v>
      </c>
      <c r="AR16" s="38">
        <f t="shared" si="41"/>
        <v>67652.354838709667</v>
      </c>
      <c r="AS16" s="198">
        <f>SUM(AR16-AR15-AT16)</f>
        <v>-613.35483870966709</v>
      </c>
      <c r="AT16" s="358"/>
      <c r="AU16" s="442"/>
      <c r="AV16" s="525">
        <f>IF(AT16&gt;0,AU16,AV15)</f>
        <v>0.5</v>
      </c>
      <c r="AW16" s="293">
        <f>-SUM('B5'!AI15)</f>
        <v>-162</v>
      </c>
      <c r="AX16" s="293">
        <f>-SUM(AW16-AS16)</f>
        <v>-451.35483870966709</v>
      </c>
      <c r="AY16" s="37">
        <f t="shared" si="40"/>
        <v>-613.35483870966709</v>
      </c>
      <c r="AZ16" s="100">
        <f>ELEC!A13</f>
        <v>0</v>
      </c>
      <c r="BA16" s="118">
        <f>'General information '!D16</f>
        <v>22.5</v>
      </c>
      <c r="BB16" s="397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217</v>
      </c>
      <c r="C17" s="204">
        <f t="shared" si="18"/>
        <v>4669</v>
      </c>
      <c r="D17">
        <f t="shared" si="19"/>
        <v>217</v>
      </c>
      <c r="E17" s="204">
        <f t="shared" si="18"/>
        <v>4669</v>
      </c>
      <c r="F17">
        <f t="shared" si="20"/>
        <v>217</v>
      </c>
      <c r="G17" s="204">
        <f t="shared" si="1"/>
        <v>4669</v>
      </c>
      <c r="H17" s="204">
        <f t="shared" si="21"/>
        <v>217</v>
      </c>
      <c r="I17" s="204">
        <f t="shared" si="2"/>
        <v>4669</v>
      </c>
      <c r="J17" s="204">
        <f t="shared" si="22"/>
        <v>217</v>
      </c>
      <c r="K17" s="204">
        <f t="shared" si="3"/>
        <v>4669</v>
      </c>
      <c r="L17" s="204">
        <f t="shared" si="23"/>
        <v>217</v>
      </c>
      <c r="M17" s="204">
        <f t="shared" si="4"/>
        <v>4669</v>
      </c>
      <c r="N17" s="204">
        <f t="shared" si="24"/>
        <v>217</v>
      </c>
      <c r="O17" s="204">
        <f t="shared" si="5"/>
        <v>4669</v>
      </c>
      <c r="P17" s="204">
        <f t="shared" si="25"/>
        <v>217</v>
      </c>
      <c r="Q17" s="204">
        <f t="shared" si="6"/>
        <v>4669</v>
      </c>
      <c r="R17" s="204">
        <f t="shared" si="26"/>
        <v>217</v>
      </c>
      <c r="S17" s="204">
        <f t="shared" si="7"/>
        <v>4669</v>
      </c>
      <c r="T17" s="204">
        <f t="shared" si="27"/>
        <v>217</v>
      </c>
      <c r="U17" s="204">
        <f t="shared" si="8"/>
        <v>4669</v>
      </c>
      <c r="V17" s="204">
        <f t="shared" si="28"/>
        <v>217</v>
      </c>
      <c r="W17" s="204">
        <f t="shared" si="9"/>
        <v>4669</v>
      </c>
      <c r="X17" s="35">
        <f t="shared" si="10"/>
        <v>0.7</v>
      </c>
      <c r="Y17" s="36">
        <f t="shared" si="29"/>
        <v>51359</v>
      </c>
      <c r="Z17" s="204">
        <f>'B5'!C16</f>
        <v>223</v>
      </c>
      <c r="AA17" s="204">
        <f t="shared" si="30"/>
        <v>2230</v>
      </c>
      <c r="AB17" s="204">
        <f t="shared" si="31"/>
        <v>223</v>
      </c>
      <c r="AC17" s="204">
        <f t="shared" si="30"/>
        <v>2230</v>
      </c>
      <c r="AD17" s="204">
        <f t="shared" si="32"/>
        <v>223</v>
      </c>
      <c r="AE17" s="204">
        <f t="shared" si="11"/>
        <v>2230</v>
      </c>
      <c r="AF17" s="204">
        <f t="shared" si="33"/>
        <v>223</v>
      </c>
      <c r="AG17" s="204">
        <f t="shared" si="12"/>
        <v>2230</v>
      </c>
      <c r="AH17" s="204">
        <f t="shared" si="34"/>
        <v>223</v>
      </c>
      <c r="AI17" s="204">
        <f t="shared" si="13"/>
        <v>2230</v>
      </c>
      <c r="AJ17" s="204">
        <f t="shared" si="35"/>
        <v>223</v>
      </c>
      <c r="AK17" s="204">
        <f t="shared" si="14"/>
        <v>2230</v>
      </c>
      <c r="AL17" s="204">
        <f t="shared" si="36"/>
        <v>223</v>
      </c>
      <c r="AM17" s="204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4">
        <f t="shared" si="37"/>
        <v>0.72032913843175217</v>
      </c>
      <c r="AR17" s="38">
        <f t="shared" si="41"/>
        <v>66969</v>
      </c>
      <c r="AS17" s="198">
        <f t="shared" si="38"/>
        <v>-683.35483870966709</v>
      </c>
      <c r="AT17" s="358"/>
      <c r="AU17" s="484"/>
      <c r="AV17" s="525">
        <f t="shared" si="42"/>
        <v>0.5</v>
      </c>
      <c r="AW17" s="293">
        <f>-SUM('B5'!AI16)</f>
        <v>-244</v>
      </c>
      <c r="AX17" s="293">
        <f t="shared" si="39"/>
        <v>-439.35483870966709</v>
      </c>
      <c r="AY17" s="37">
        <f t="shared" si="40"/>
        <v>-683.35483870966709</v>
      </c>
      <c r="AZ17" s="100">
        <f>ELEC!A14</f>
        <v>0</v>
      </c>
      <c r="BA17" s="118">
        <f>'General information '!D17</f>
        <v>22.5</v>
      </c>
      <c r="BB17" s="397">
        <f>SUM('General information '!E17)</f>
        <v>0.45</v>
      </c>
      <c r="BC17" s="3">
        <f t="shared" si="43"/>
        <v>0</v>
      </c>
      <c r="BD17" s="102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215</v>
      </c>
      <c r="C18" s="204">
        <f t="shared" si="18"/>
        <v>4625.9677419354839</v>
      </c>
      <c r="D18">
        <f t="shared" si="19"/>
        <v>215</v>
      </c>
      <c r="E18" s="204">
        <f t="shared" si="18"/>
        <v>4625.9677419354839</v>
      </c>
      <c r="F18">
        <f t="shared" si="20"/>
        <v>215</v>
      </c>
      <c r="G18" s="204">
        <f t="shared" si="1"/>
        <v>4625.9677419354839</v>
      </c>
      <c r="H18" s="204">
        <f t="shared" si="21"/>
        <v>215</v>
      </c>
      <c r="I18" s="204">
        <f t="shared" si="2"/>
        <v>4625.9677419354839</v>
      </c>
      <c r="J18" s="204">
        <f t="shared" si="22"/>
        <v>215</v>
      </c>
      <c r="K18" s="204">
        <f t="shared" si="3"/>
        <v>4625.9677419354839</v>
      </c>
      <c r="L18" s="204">
        <f t="shared" si="23"/>
        <v>215</v>
      </c>
      <c r="M18" s="204">
        <f t="shared" si="4"/>
        <v>4625.9677419354839</v>
      </c>
      <c r="N18" s="204">
        <f t="shared" si="24"/>
        <v>215</v>
      </c>
      <c r="O18" s="204">
        <f t="shared" si="5"/>
        <v>4625.9677419354839</v>
      </c>
      <c r="P18" s="204">
        <f t="shared" si="25"/>
        <v>215</v>
      </c>
      <c r="Q18" s="204">
        <f t="shared" si="6"/>
        <v>4625.9677419354839</v>
      </c>
      <c r="R18" s="204">
        <f t="shared" si="26"/>
        <v>215</v>
      </c>
      <c r="S18" s="204">
        <f t="shared" si="7"/>
        <v>4625.9677419354839</v>
      </c>
      <c r="T18" s="204">
        <f t="shared" si="27"/>
        <v>215</v>
      </c>
      <c r="U18" s="204">
        <f t="shared" si="8"/>
        <v>4625.9677419354839</v>
      </c>
      <c r="V18" s="204">
        <f t="shared" si="28"/>
        <v>215</v>
      </c>
      <c r="W18" s="204">
        <f t="shared" si="9"/>
        <v>4625.9677419354839</v>
      </c>
      <c r="X18" s="35">
        <f t="shared" si="10"/>
        <v>0.69354838709677424</v>
      </c>
      <c r="Y18" s="36">
        <f t="shared" si="29"/>
        <v>50885.645161290326</v>
      </c>
      <c r="Z18" s="204">
        <f>'B5'!C17</f>
        <v>221</v>
      </c>
      <c r="AA18" s="204">
        <f t="shared" si="30"/>
        <v>2210</v>
      </c>
      <c r="AB18" s="204">
        <f t="shared" si="31"/>
        <v>221</v>
      </c>
      <c r="AC18" s="204">
        <f t="shared" si="30"/>
        <v>2210</v>
      </c>
      <c r="AD18" s="204">
        <f t="shared" si="32"/>
        <v>221</v>
      </c>
      <c r="AE18" s="204">
        <f t="shared" si="11"/>
        <v>2210</v>
      </c>
      <c r="AF18" s="204">
        <f t="shared" si="33"/>
        <v>221</v>
      </c>
      <c r="AG18" s="204">
        <f t="shared" si="12"/>
        <v>2210</v>
      </c>
      <c r="AH18" s="204">
        <f t="shared" si="34"/>
        <v>221</v>
      </c>
      <c r="AI18" s="204">
        <f t="shared" si="13"/>
        <v>2210</v>
      </c>
      <c r="AJ18" s="204">
        <f t="shared" si="35"/>
        <v>221</v>
      </c>
      <c r="AK18" s="204">
        <f t="shared" si="14"/>
        <v>2210</v>
      </c>
      <c r="AL18" s="204">
        <f t="shared" si="36"/>
        <v>221</v>
      </c>
      <c r="AM18" s="204">
        <f t="shared" si="15"/>
        <v>2210</v>
      </c>
      <c r="AN18" s="35">
        <f t="shared" si="16"/>
        <v>0.78928571428571426</v>
      </c>
      <c r="AO18" s="36">
        <f t="shared" si="17"/>
        <v>15470</v>
      </c>
      <c r="AQ18" s="224">
        <f t="shared" si="37"/>
        <v>0.7137317969376179</v>
      </c>
      <c r="AR18" s="38">
        <f t="shared" si="41"/>
        <v>66355.645161290333</v>
      </c>
      <c r="AS18" s="198">
        <f t="shared" si="38"/>
        <v>-613.35483870966709</v>
      </c>
      <c r="AT18" s="273"/>
      <c r="AU18" s="442"/>
      <c r="AV18" s="525">
        <f>IF(AT18&gt;0,AU18,AV17)</f>
        <v>0.5</v>
      </c>
      <c r="AW18" s="293">
        <f>-SUM('B5'!AI17)</f>
        <v>-137</v>
      </c>
      <c r="AX18" s="293">
        <f t="shared" si="39"/>
        <v>-476.35483870966709</v>
      </c>
      <c r="AY18" s="37">
        <f t="shared" si="40"/>
        <v>-613.35483870966709</v>
      </c>
      <c r="AZ18" s="100">
        <f>ELEC!A15</f>
        <v>0</v>
      </c>
      <c r="BA18" s="118">
        <f>'General information '!D18</f>
        <v>23</v>
      </c>
      <c r="BB18" s="397">
        <f>SUM('General information '!E18)</f>
        <v>0.5</v>
      </c>
      <c r="BC18" s="3">
        <f t="shared" si="43"/>
        <v>0</v>
      </c>
      <c r="BD18" s="102">
        <v>19222</v>
      </c>
      <c r="BE18" s="14">
        <f>(305/1185)*ELEC!Q16</f>
        <v>257.38396624472574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213</v>
      </c>
      <c r="C19" s="204">
        <f t="shared" si="18"/>
        <v>4582.9354838709678</v>
      </c>
      <c r="D19">
        <f t="shared" si="19"/>
        <v>213</v>
      </c>
      <c r="E19" s="204">
        <f t="shared" si="18"/>
        <v>4582.9354838709678</v>
      </c>
      <c r="F19">
        <f t="shared" si="20"/>
        <v>213</v>
      </c>
      <c r="G19" s="204">
        <f t="shared" si="1"/>
        <v>4582.9354838709678</v>
      </c>
      <c r="H19" s="204">
        <f t="shared" si="21"/>
        <v>213</v>
      </c>
      <c r="I19" s="204">
        <f t="shared" si="2"/>
        <v>4582.9354838709678</v>
      </c>
      <c r="J19" s="204">
        <f t="shared" si="22"/>
        <v>213</v>
      </c>
      <c r="K19" s="204">
        <f t="shared" si="3"/>
        <v>4582.9354838709678</v>
      </c>
      <c r="L19" s="204">
        <f t="shared" si="23"/>
        <v>213</v>
      </c>
      <c r="M19" s="204">
        <f t="shared" si="4"/>
        <v>4582.9354838709678</v>
      </c>
      <c r="N19" s="204">
        <f t="shared" si="24"/>
        <v>213</v>
      </c>
      <c r="O19" s="204">
        <f t="shared" si="5"/>
        <v>4582.9354838709678</v>
      </c>
      <c r="P19" s="204">
        <f t="shared" si="25"/>
        <v>213</v>
      </c>
      <c r="Q19" s="204">
        <f t="shared" si="6"/>
        <v>4582.9354838709678</v>
      </c>
      <c r="R19" s="204">
        <f t="shared" si="26"/>
        <v>213</v>
      </c>
      <c r="S19" s="204">
        <f t="shared" si="7"/>
        <v>4582.9354838709678</v>
      </c>
      <c r="T19" s="204">
        <f t="shared" si="27"/>
        <v>213</v>
      </c>
      <c r="U19" s="204">
        <f t="shared" si="8"/>
        <v>4582.9354838709678</v>
      </c>
      <c r="V19" s="204">
        <f t="shared" si="28"/>
        <v>213</v>
      </c>
      <c r="W19" s="204">
        <f t="shared" si="9"/>
        <v>4582.9354838709678</v>
      </c>
      <c r="X19" s="35">
        <f t="shared" si="10"/>
        <v>0.68709677419354853</v>
      </c>
      <c r="Y19" s="36">
        <f t="shared" si="29"/>
        <v>50412.290322580659</v>
      </c>
      <c r="Z19" s="204">
        <f>'B5'!C18</f>
        <v>219</v>
      </c>
      <c r="AA19" s="204">
        <f t="shared" si="30"/>
        <v>2190</v>
      </c>
      <c r="AB19" s="204">
        <f t="shared" si="31"/>
        <v>219</v>
      </c>
      <c r="AC19" s="204">
        <f t="shared" si="30"/>
        <v>2190</v>
      </c>
      <c r="AD19" s="204">
        <f t="shared" si="32"/>
        <v>219</v>
      </c>
      <c r="AE19" s="204">
        <f t="shared" si="11"/>
        <v>2190</v>
      </c>
      <c r="AF19" s="204">
        <f t="shared" si="33"/>
        <v>219</v>
      </c>
      <c r="AG19" s="204">
        <f t="shared" si="12"/>
        <v>2190</v>
      </c>
      <c r="AH19" s="204">
        <f t="shared" si="34"/>
        <v>219</v>
      </c>
      <c r="AI19" s="204">
        <f t="shared" si="13"/>
        <v>2190</v>
      </c>
      <c r="AJ19" s="204">
        <f t="shared" si="35"/>
        <v>219</v>
      </c>
      <c r="AK19" s="204">
        <f t="shared" si="14"/>
        <v>2190</v>
      </c>
      <c r="AL19" s="204">
        <f t="shared" si="36"/>
        <v>219</v>
      </c>
      <c r="AM19" s="204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4">
        <f t="shared" si="37"/>
        <v>0.70713445544348352</v>
      </c>
      <c r="AR19" s="38">
        <f t="shared" si="41"/>
        <v>65742.290322580666</v>
      </c>
      <c r="AS19" s="198">
        <f t="shared" si="38"/>
        <v>-613.35483870966709</v>
      </c>
      <c r="AT19" s="273"/>
      <c r="AU19" s="442"/>
      <c r="AV19" s="525">
        <f t="shared" si="42"/>
        <v>0.5</v>
      </c>
      <c r="AW19" s="293">
        <f>-SUM('B5'!AI18)</f>
        <v>-162</v>
      </c>
      <c r="AX19" s="293">
        <f t="shared" si="39"/>
        <v>-451.35483870966709</v>
      </c>
      <c r="AY19" s="37">
        <f t="shared" si="40"/>
        <v>-613.35483870966709</v>
      </c>
      <c r="AZ19" s="100">
        <f>ELEC!A16</f>
        <v>0</v>
      </c>
      <c r="BA19" s="118">
        <f>'General information '!D19</f>
        <v>23</v>
      </c>
      <c r="BB19" s="397">
        <f>SUM('General information '!E19)</f>
        <v>0.6</v>
      </c>
      <c r="BC19" s="3">
        <f t="shared" si="43"/>
        <v>0</v>
      </c>
      <c r="BD19" s="102">
        <v>19222</v>
      </c>
      <c r="BE19" s="14">
        <f>(305/1185)*ELEC!Q17</f>
        <v>257.38396624472574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211</v>
      </c>
      <c r="C20" s="204">
        <f t="shared" si="18"/>
        <v>4539.9032258064517</v>
      </c>
      <c r="D20">
        <f t="shared" si="19"/>
        <v>211</v>
      </c>
      <c r="E20" s="204">
        <f t="shared" si="18"/>
        <v>4539.9032258064517</v>
      </c>
      <c r="F20">
        <f t="shared" si="20"/>
        <v>211</v>
      </c>
      <c r="G20" s="204">
        <f t="shared" si="1"/>
        <v>4539.9032258064517</v>
      </c>
      <c r="H20" s="204">
        <f t="shared" si="21"/>
        <v>211</v>
      </c>
      <c r="I20" s="204">
        <f t="shared" si="2"/>
        <v>4539.9032258064517</v>
      </c>
      <c r="J20" s="204">
        <f t="shared" si="22"/>
        <v>211</v>
      </c>
      <c r="K20" s="204">
        <f t="shared" si="3"/>
        <v>4539.9032258064517</v>
      </c>
      <c r="L20" s="204">
        <f t="shared" si="23"/>
        <v>211</v>
      </c>
      <c r="M20" s="204">
        <f t="shared" si="4"/>
        <v>4539.9032258064517</v>
      </c>
      <c r="N20" s="204">
        <f t="shared" si="24"/>
        <v>211</v>
      </c>
      <c r="O20" s="204">
        <f t="shared" si="5"/>
        <v>4539.9032258064517</v>
      </c>
      <c r="P20" s="204">
        <f t="shared" si="25"/>
        <v>211</v>
      </c>
      <c r="Q20" s="204">
        <f t="shared" si="6"/>
        <v>4539.9032258064517</v>
      </c>
      <c r="R20" s="204">
        <f t="shared" si="26"/>
        <v>211</v>
      </c>
      <c r="S20" s="204">
        <f t="shared" si="7"/>
        <v>4539.9032258064517</v>
      </c>
      <c r="T20" s="204">
        <f t="shared" si="27"/>
        <v>211</v>
      </c>
      <c r="U20" s="204">
        <f t="shared" si="8"/>
        <v>4539.9032258064517</v>
      </c>
      <c r="V20" s="204">
        <f t="shared" si="28"/>
        <v>211</v>
      </c>
      <c r="W20" s="204">
        <f t="shared" si="9"/>
        <v>4539.9032258064517</v>
      </c>
      <c r="X20" s="35">
        <f t="shared" si="10"/>
        <v>0.68064516129032271</v>
      </c>
      <c r="Y20" s="36">
        <f t="shared" si="29"/>
        <v>49938.935483870977</v>
      </c>
      <c r="Z20" s="204">
        <f>'B5'!C19</f>
        <v>217.3</v>
      </c>
      <c r="AA20" s="204">
        <f t="shared" si="30"/>
        <v>2173</v>
      </c>
      <c r="AB20" s="204">
        <f t="shared" si="31"/>
        <v>217.3</v>
      </c>
      <c r="AC20" s="204">
        <f t="shared" si="30"/>
        <v>2173</v>
      </c>
      <c r="AD20" s="204">
        <f t="shared" si="32"/>
        <v>217.3</v>
      </c>
      <c r="AE20" s="204">
        <f t="shared" si="11"/>
        <v>2173</v>
      </c>
      <c r="AF20" s="204">
        <f t="shared" si="33"/>
        <v>217.3</v>
      </c>
      <c r="AG20" s="204">
        <f t="shared" si="12"/>
        <v>2173</v>
      </c>
      <c r="AH20" s="204">
        <f t="shared" si="34"/>
        <v>217.3</v>
      </c>
      <c r="AI20" s="204">
        <f t="shared" si="13"/>
        <v>2173</v>
      </c>
      <c r="AJ20" s="204">
        <f t="shared" si="35"/>
        <v>217.3</v>
      </c>
      <c r="AK20" s="204">
        <f t="shared" si="14"/>
        <v>2173</v>
      </c>
      <c r="AL20" s="204">
        <f t="shared" si="36"/>
        <v>217.3</v>
      </c>
      <c r="AM20" s="204">
        <f t="shared" si="15"/>
        <v>2173</v>
      </c>
      <c r="AN20" s="35">
        <f t="shared" si="16"/>
        <v>0.77607142857142852</v>
      </c>
      <c r="AO20" s="36">
        <f t="shared" si="17"/>
        <v>15211</v>
      </c>
      <c r="AQ20" s="224">
        <f t="shared" si="37"/>
        <v>0.70076299326525737</v>
      </c>
      <c r="AR20" s="38">
        <f t="shared" si="41"/>
        <v>65149.935483870977</v>
      </c>
      <c r="AS20" s="198">
        <f t="shared" si="38"/>
        <v>-592.35483870968892</v>
      </c>
      <c r="AT20" s="273"/>
      <c r="AU20" s="442"/>
      <c r="AV20" s="525">
        <f t="shared" si="42"/>
        <v>0.5</v>
      </c>
      <c r="AW20" s="293">
        <f>-SUM('B5'!AI19)</f>
        <v>-157</v>
      </c>
      <c r="AX20" s="293">
        <f t="shared" si="39"/>
        <v>-435.35483870968892</v>
      </c>
      <c r="AY20" s="37">
        <f t="shared" si="40"/>
        <v>-592.35483870968892</v>
      </c>
      <c r="AZ20" s="100">
        <f>ELEC!A17</f>
        <v>0</v>
      </c>
      <c r="BA20" s="118">
        <f>'General information '!D20</f>
        <v>19.5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248</v>
      </c>
      <c r="C21" s="204">
        <f t="shared" si="18"/>
        <v>5336</v>
      </c>
      <c r="D21">
        <f t="shared" si="19"/>
        <v>248</v>
      </c>
      <c r="E21" s="204">
        <f t="shared" si="18"/>
        <v>5336</v>
      </c>
      <c r="F21">
        <f t="shared" si="20"/>
        <v>248</v>
      </c>
      <c r="G21" s="204">
        <f t="shared" si="1"/>
        <v>5336</v>
      </c>
      <c r="H21" s="204">
        <f t="shared" si="21"/>
        <v>248</v>
      </c>
      <c r="I21" s="204">
        <f t="shared" si="2"/>
        <v>5336</v>
      </c>
      <c r="J21" s="204">
        <f t="shared" si="22"/>
        <v>248</v>
      </c>
      <c r="K21" s="204">
        <f t="shared" si="3"/>
        <v>5336</v>
      </c>
      <c r="L21" s="204">
        <f t="shared" si="23"/>
        <v>248</v>
      </c>
      <c r="M21" s="204">
        <f t="shared" si="4"/>
        <v>5336</v>
      </c>
      <c r="N21" s="204">
        <f t="shared" si="24"/>
        <v>248</v>
      </c>
      <c r="O21" s="204">
        <f t="shared" si="5"/>
        <v>5336</v>
      </c>
      <c r="P21" s="204">
        <f t="shared" si="25"/>
        <v>248</v>
      </c>
      <c r="Q21" s="204">
        <f t="shared" si="6"/>
        <v>5336</v>
      </c>
      <c r="R21" s="204">
        <f t="shared" si="26"/>
        <v>248</v>
      </c>
      <c r="S21" s="204">
        <f t="shared" si="7"/>
        <v>5336</v>
      </c>
      <c r="T21" s="204">
        <f t="shared" si="27"/>
        <v>248</v>
      </c>
      <c r="U21" s="204">
        <f t="shared" si="8"/>
        <v>5336</v>
      </c>
      <c r="V21" s="204">
        <f t="shared" si="28"/>
        <v>248</v>
      </c>
      <c r="W21" s="204">
        <f t="shared" si="9"/>
        <v>5336</v>
      </c>
      <c r="X21" s="35">
        <f t="shared" si="10"/>
        <v>0.8</v>
      </c>
      <c r="Y21" s="36">
        <f t="shared" si="29"/>
        <v>58696</v>
      </c>
      <c r="Z21" s="204">
        <f>'B5'!C20</f>
        <v>254</v>
      </c>
      <c r="AA21" s="204">
        <f t="shared" si="30"/>
        <v>2540</v>
      </c>
      <c r="AB21" s="204">
        <f t="shared" si="31"/>
        <v>254</v>
      </c>
      <c r="AC21" s="204">
        <f t="shared" si="30"/>
        <v>2540</v>
      </c>
      <c r="AD21" s="204">
        <f t="shared" si="32"/>
        <v>254</v>
      </c>
      <c r="AE21" s="204">
        <f t="shared" si="11"/>
        <v>2540</v>
      </c>
      <c r="AF21" s="204">
        <f t="shared" si="33"/>
        <v>254</v>
      </c>
      <c r="AG21" s="204">
        <f t="shared" si="12"/>
        <v>2540</v>
      </c>
      <c r="AH21" s="204">
        <f t="shared" si="34"/>
        <v>254</v>
      </c>
      <c r="AI21" s="204">
        <f t="shared" si="13"/>
        <v>2540</v>
      </c>
      <c r="AJ21" s="204">
        <f t="shared" si="35"/>
        <v>254</v>
      </c>
      <c r="AK21" s="204">
        <f t="shared" si="14"/>
        <v>2540</v>
      </c>
      <c r="AL21" s="204">
        <f t="shared" si="36"/>
        <v>254</v>
      </c>
      <c r="AM21" s="204">
        <f t="shared" si="15"/>
        <v>2540</v>
      </c>
      <c r="AN21" s="35">
        <f t="shared" si="16"/>
        <v>0.90714285714285714</v>
      </c>
      <c r="AO21" s="36">
        <f t="shared" si="17"/>
        <v>17780</v>
      </c>
      <c r="AQ21" s="224">
        <f t="shared" si="37"/>
        <v>0.82258793159083576</v>
      </c>
      <c r="AR21" s="38">
        <f t="shared" si="41"/>
        <v>76476</v>
      </c>
      <c r="AS21" s="198">
        <f>SUM(AR21-AR20-AT21)</f>
        <v>1162.0645161290231</v>
      </c>
      <c r="AT21" s="273">
        <v>10164</v>
      </c>
      <c r="AU21" s="442">
        <v>0.49</v>
      </c>
      <c r="AV21" s="525">
        <f t="shared" si="42"/>
        <v>0.49</v>
      </c>
      <c r="AW21" s="293">
        <f>-SUM('B5'!AI20)</f>
        <v>-137</v>
      </c>
      <c r="AX21" s="293">
        <f t="shared" si="39"/>
        <v>1299.0645161290231</v>
      </c>
      <c r="AY21" s="37">
        <f t="shared" si="40"/>
        <v>1162.0645161290231</v>
      </c>
      <c r="AZ21" s="100">
        <f>ELEC!A18</f>
        <v>0</v>
      </c>
      <c r="BA21" s="118">
        <f>'General information '!D21</f>
        <v>19</v>
      </c>
      <c r="BB21" s="397">
        <f>SUM('General information '!E21)</f>
        <v>0.5</v>
      </c>
      <c r="BC21" s="3">
        <f t="shared" si="43"/>
        <v>1</v>
      </c>
      <c r="BD21" s="102">
        <v>19222</v>
      </c>
      <c r="BE21" s="14">
        <f>(305/1185)*ELEC!Q19</f>
        <v>514.76793248945148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246</v>
      </c>
      <c r="C22" s="204">
        <f t="shared" si="18"/>
        <v>5292.9677419354839</v>
      </c>
      <c r="D22">
        <f t="shared" si="19"/>
        <v>246</v>
      </c>
      <c r="E22" s="204">
        <f t="shared" si="18"/>
        <v>5292.9677419354839</v>
      </c>
      <c r="F22">
        <f t="shared" si="20"/>
        <v>246</v>
      </c>
      <c r="G22" s="204">
        <f t="shared" si="1"/>
        <v>5292.9677419354839</v>
      </c>
      <c r="H22" s="204">
        <f t="shared" si="21"/>
        <v>246</v>
      </c>
      <c r="I22" s="204">
        <f t="shared" si="2"/>
        <v>5292.9677419354839</v>
      </c>
      <c r="J22" s="204">
        <f t="shared" si="22"/>
        <v>246</v>
      </c>
      <c r="K22" s="204">
        <f t="shared" si="3"/>
        <v>5292.9677419354839</v>
      </c>
      <c r="L22" s="204">
        <f t="shared" si="23"/>
        <v>246</v>
      </c>
      <c r="M22" s="204">
        <f t="shared" si="4"/>
        <v>5292.9677419354839</v>
      </c>
      <c r="N22" s="204">
        <f t="shared" si="24"/>
        <v>246</v>
      </c>
      <c r="O22" s="204">
        <f t="shared" si="5"/>
        <v>5292.9677419354839</v>
      </c>
      <c r="P22" s="204">
        <f t="shared" si="25"/>
        <v>246</v>
      </c>
      <c r="Q22" s="204">
        <f t="shared" si="6"/>
        <v>5292.9677419354839</v>
      </c>
      <c r="R22" s="204">
        <f t="shared" si="26"/>
        <v>246</v>
      </c>
      <c r="S22" s="204">
        <f t="shared" si="7"/>
        <v>5292.9677419354839</v>
      </c>
      <c r="T22" s="204">
        <f t="shared" si="27"/>
        <v>246</v>
      </c>
      <c r="U22" s="204">
        <f t="shared" si="8"/>
        <v>5292.9677419354839</v>
      </c>
      <c r="V22" s="204">
        <f t="shared" si="28"/>
        <v>246</v>
      </c>
      <c r="W22" s="204">
        <f t="shared" si="9"/>
        <v>5292.9677419354839</v>
      </c>
      <c r="X22" s="35">
        <f t="shared" si="10"/>
        <v>0.79354838709677422</v>
      </c>
      <c r="Y22" s="36">
        <f t="shared" si="29"/>
        <v>58222.645161290326</v>
      </c>
      <c r="Z22" s="204">
        <f>'B5'!C21</f>
        <v>252</v>
      </c>
      <c r="AA22" s="204">
        <f t="shared" si="30"/>
        <v>2520</v>
      </c>
      <c r="AB22" s="204">
        <f t="shared" si="31"/>
        <v>252</v>
      </c>
      <c r="AC22" s="204">
        <f t="shared" si="30"/>
        <v>2520</v>
      </c>
      <c r="AD22" s="204">
        <f t="shared" si="32"/>
        <v>252</v>
      </c>
      <c r="AE22" s="204">
        <f t="shared" si="11"/>
        <v>2520</v>
      </c>
      <c r="AF22" s="204">
        <f t="shared" si="33"/>
        <v>252</v>
      </c>
      <c r="AG22" s="204">
        <f t="shared" si="12"/>
        <v>2520</v>
      </c>
      <c r="AH22" s="204">
        <f t="shared" si="34"/>
        <v>252</v>
      </c>
      <c r="AI22" s="204">
        <f t="shared" si="13"/>
        <v>2520</v>
      </c>
      <c r="AJ22" s="204">
        <f t="shared" si="35"/>
        <v>252</v>
      </c>
      <c r="AK22" s="204">
        <f t="shared" si="14"/>
        <v>2520</v>
      </c>
      <c r="AL22" s="204">
        <f t="shared" si="36"/>
        <v>252</v>
      </c>
      <c r="AM22" s="204">
        <f t="shared" si="15"/>
        <v>2520</v>
      </c>
      <c r="AN22" s="35">
        <f t="shared" si="16"/>
        <v>0.9</v>
      </c>
      <c r="AO22" s="36">
        <f t="shared" si="17"/>
        <v>17640</v>
      </c>
      <c r="AQ22" s="224">
        <f t="shared" si="37"/>
        <v>0.8159905900967015</v>
      </c>
      <c r="AR22" s="38">
        <f t="shared" si="41"/>
        <v>75862.645161290333</v>
      </c>
      <c r="AS22" s="198">
        <f t="shared" si="38"/>
        <v>-613.35483870966709</v>
      </c>
      <c r="AT22" s="273"/>
      <c r="AU22" s="442"/>
      <c r="AV22" s="525">
        <f t="shared" si="42"/>
        <v>0.49</v>
      </c>
      <c r="AW22" s="293">
        <f>-SUM('B5'!AI21)</f>
        <v>-160</v>
      </c>
      <c r="AX22" s="293">
        <f t="shared" si="39"/>
        <v>-453.35483870966709</v>
      </c>
      <c r="AY22" s="37">
        <f t="shared" si="40"/>
        <v>-613.35483870966709</v>
      </c>
      <c r="AZ22" s="100">
        <f>ELEC!A19</f>
        <v>0</v>
      </c>
      <c r="BA22" s="118">
        <f>'General information '!D22</f>
        <v>18</v>
      </c>
      <c r="BB22" s="397">
        <f>SUM('General information '!E22)</f>
        <v>0.52</v>
      </c>
      <c r="BC22" s="3">
        <f t="shared" si="43"/>
        <v>0</v>
      </c>
      <c r="BD22" s="102">
        <v>19222</v>
      </c>
      <c r="BE22" s="14">
        <f>(305/1185)*ELEC!Q20</f>
        <v>167.04219409314913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244</v>
      </c>
      <c r="C23" s="204">
        <f t="shared" si="18"/>
        <v>5249.9354838709678</v>
      </c>
      <c r="D23">
        <f t="shared" si="19"/>
        <v>244</v>
      </c>
      <c r="E23" s="204">
        <f t="shared" si="18"/>
        <v>5249.9354838709678</v>
      </c>
      <c r="F23">
        <f t="shared" si="20"/>
        <v>244</v>
      </c>
      <c r="G23" s="204">
        <f t="shared" si="1"/>
        <v>5249.9354838709678</v>
      </c>
      <c r="H23" s="204">
        <f t="shared" si="21"/>
        <v>244</v>
      </c>
      <c r="I23" s="204">
        <f t="shared" si="2"/>
        <v>5249.9354838709678</v>
      </c>
      <c r="J23" s="204">
        <f t="shared" si="22"/>
        <v>244</v>
      </c>
      <c r="K23" s="204">
        <f t="shared" si="3"/>
        <v>5249.9354838709678</v>
      </c>
      <c r="L23" s="204">
        <f t="shared" si="23"/>
        <v>244</v>
      </c>
      <c r="M23" s="204">
        <f t="shared" si="4"/>
        <v>5249.9354838709678</v>
      </c>
      <c r="N23" s="204">
        <f t="shared" si="24"/>
        <v>244</v>
      </c>
      <c r="O23" s="204">
        <f t="shared" si="5"/>
        <v>5249.9354838709678</v>
      </c>
      <c r="P23" s="204">
        <f t="shared" si="25"/>
        <v>244</v>
      </c>
      <c r="Q23" s="204">
        <f t="shared" si="6"/>
        <v>5249.9354838709678</v>
      </c>
      <c r="R23" s="204">
        <f t="shared" si="26"/>
        <v>244</v>
      </c>
      <c r="S23" s="204">
        <f t="shared" si="7"/>
        <v>5249.9354838709678</v>
      </c>
      <c r="T23" s="204">
        <f t="shared" si="27"/>
        <v>244</v>
      </c>
      <c r="U23" s="204">
        <f t="shared" si="8"/>
        <v>5249.9354838709678</v>
      </c>
      <c r="V23" s="204">
        <f t="shared" si="28"/>
        <v>244</v>
      </c>
      <c r="W23" s="204">
        <f t="shared" si="9"/>
        <v>5249.9354838709678</v>
      </c>
      <c r="X23" s="35">
        <f t="shared" si="10"/>
        <v>0.78709677419354862</v>
      </c>
      <c r="Y23" s="36">
        <f t="shared" si="29"/>
        <v>57749.290322580659</v>
      </c>
      <c r="Z23" s="204">
        <f>'B5'!C22</f>
        <v>250</v>
      </c>
      <c r="AA23" s="204">
        <f t="shared" si="30"/>
        <v>2500</v>
      </c>
      <c r="AB23" s="204">
        <f t="shared" si="31"/>
        <v>250</v>
      </c>
      <c r="AC23" s="204">
        <f t="shared" si="30"/>
        <v>2500</v>
      </c>
      <c r="AD23" s="204">
        <f t="shared" si="32"/>
        <v>250</v>
      </c>
      <c r="AE23" s="204">
        <f t="shared" si="11"/>
        <v>2500</v>
      </c>
      <c r="AF23" s="204">
        <f t="shared" si="33"/>
        <v>250</v>
      </c>
      <c r="AG23" s="204">
        <f t="shared" si="12"/>
        <v>2500</v>
      </c>
      <c r="AH23" s="204">
        <f t="shared" si="34"/>
        <v>250</v>
      </c>
      <c r="AI23" s="204">
        <f t="shared" si="13"/>
        <v>2500</v>
      </c>
      <c r="AJ23" s="204">
        <f t="shared" si="35"/>
        <v>250</v>
      </c>
      <c r="AK23" s="204">
        <f t="shared" si="14"/>
        <v>2500</v>
      </c>
      <c r="AL23" s="204">
        <f t="shared" si="36"/>
        <v>250</v>
      </c>
      <c r="AM23" s="204">
        <f t="shared" si="15"/>
        <v>2500</v>
      </c>
      <c r="AN23" s="35">
        <f t="shared" si="16"/>
        <v>0.8928571428571429</v>
      </c>
      <c r="AO23" s="36">
        <f t="shared" si="17"/>
        <v>17500</v>
      </c>
      <c r="AQ23" s="224">
        <f t="shared" si="37"/>
        <v>0.80939324860256712</v>
      </c>
      <c r="AR23" s="38">
        <f t="shared" si="41"/>
        <v>75249.290322580666</v>
      </c>
      <c r="AS23" s="198">
        <f t="shared" si="38"/>
        <v>-613.35483870966709</v>
      </c>
      <c r="AT23" s="273"/>
      <c r="AU23" s="442"/>
      <c r="AV23" s="525">
        <f t="shared" si="42"/>
        <v>0.49</v>
      </c>
      <c r="AW23" s="293">
        <f>-SUM('B5'!AI22)</f>
        <v>-214</v>
      </c>
      <c r="AX23" s="293">
        <f t="shared" si="39"/>
        <v>-399.35483870966709</v>
      </c>
      <c r="AY23" s="37">
        <f t="shared" si="40"/>
        <v>-613.35483870966709</v>
      </c>
      <c r="AZ23" s="100">
        <f>ELEC!A20</f>
        <v>0</v>
      </c>
      <c r="BA23" s="118">
        <f>'General information '!D23</f>
        <v>18</v>
      </c>
      <c r="BB23" s="397">
        <f>SUM('General information '!E23)</f>
        <v>0.55000000000000004</v>
      </c>
      <c r="BC23" s="3">
        <f t="shared" si="43"/>
        <v>0</v>
      </c>
      <c r="BD23" s="102">
        <v>19222</v>
      </c>
      <c r="BE23" s="14">
        <f>(305/1185)*ELEC!Q21</f>
        <v>344.89451476796995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243</v>
      </c>
      <c r="C24" s="204">
        <f t="shared" si="18"/>
        <v>5228.4193548387093</v>
      </c>
      <c r="D24">
        <f t="shared" si="19"/>
        <v>243</v>
      </c>
      <c r="E24" s="204">
        <f t="shared" si="18"/>
        <v>5228.4193548387093</v>
      </c>
      <c r="F24">
        <f t="shared" si="20"/>
        <v>243</v>
      </c>
      <c r="G24" s="204">
        <f t="shared" si="1"/>
        <v>5228.4193548387093</v>
      </c>
      <c r="H24" s="204">
        <f t="shared" si="21"/>
        <v>243</v>
      </c>
      <c r="I24" s="204">
        <f t="shared" si="2"/>
        <v>5228.4193548387093</v>
      </c>
      <c r="J24" s="204">
        <f t="shared" si="22"/>
        <v>243</v>
      </c>
      <c r="K24" s="204">
        <f t="shared" si="3"/>
        <v>5228.4193548387093</v>
      </c>
      <c r="L24" s="204">
        <f t="shared" si="23"/>
        <v>243</v>
      </c>
      <c r="M24" s="204">
        <f t="shared" si="4"/>
        <v>5228.4193548387093</v>
      </c>
      <c r="N24" s="204">
        <f t="shared" si="24"/>
        <v>243</v>
      </c>
      <c r="O24" s="204">
        <f t="shared" si="5"/>
        <v>5228.4193548387093</v>
      </c>
      <c r="P24" s="204">
        <f t="shared" si="25"/>
        <v>243</v>
      </c>
      <c r="Q24" s="204">
        <f t="shared" si="6"/>
        <v>5228.4193548387093</v>
      </c>
      <c r="R24" s="204">
        <f t="shared" si="26"/>
        <v>243</v>
      </c>
      <c r="S24" s="204">
        <f t="shared" si="7"/>
        <v>5228.4193548387093</v>
      </c>
      <c r="T24" s="204">
        <f t="shared" si="27"/>
        <v>243</v>
      </c>
      <c r="U24" s="204">
        <f t="shared" si="8"/>
        <v>5228.4193548387093</v>
      </c>
      <c r="V24" s="204">
        <f t="shared" si="28"/>
        <v>243</v>
      </c>
      <c r="W24" s="204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4">
        <f>'B5'!C23</f>
        <v>249</v>
      </c>
      <c r="AA24" s="204">
        <f t="shared" si="30"/>
        <v>2490</v>
      </c>
      <c r="AB24" s="204">
        <f t="shared" si="31"/>
        <v>249</v>
      </c>
      <c r="AC24" s="204">
        <f t="shared" si="30"/>
        <v>2490</v>
      </c>
      <c r="AD24" s="204">
        <f t="shared" si="32"/>
        <v>249</v>
      </c>
      <c r="AE24" s="204">
        <f t="shared" si="11"/>
        <v>2490</v>
      </c>
      <c r="AF24" s="204">
        <f t="shared" si="33"/>
        <v>249</v>
      </c>
      <c r="AG24" s="204">
        <f t="shared" si="12"/>
        <v>2490</v>
      </c>
      <c r="AH24" s="204">
        <f t="shared" si="34"/>
        <v>249</v>
      </c>
      <c r="AI24" s="204">
        <f t="shared" si="13"/>
        <v>2490</v>
      </c>
      <c r="AJ24" s="204">
        <f t="shared" si="35"/>
        <v>249</v>
      </c>
      <c r="AK24" s="204">
        <f t="shared" si="14"/>
        <v>2490</v>
      </c>
      <c r="AL24" s="204">
        <f t="shared" si="36"/>
        <v>249</v>
      </c>
      <c r="AM24" s="204">
        <f t="shared" si="15"/>
        <v>2490</v>
      </c>
      <c r="AN24" s="35">
        <f t="shared" si="16"/>
        <v>0.88928571428571423</v>
      </c>
      <c r="AO24" s="36">
        <f t="shared" si="17"/>
        <v>17430</v>
      </c>
      <c r="AQ24" s="224">
        <f t="shared" si="37"/>
        <v>0.80609457785549976</v>
      </c>
      <c r="AR24" s="38">
        <f t="shared" si="41"/>
        <v>74942.612903225818</v>
      </c>
      <c r="AS24" s="198">
        <f t="shared" si="38"/>
        <v>-306.6774193548481</v>
      </c>
      <c r="AT24" s="273"/>
      <c r="AU24" s="442"/>
      <c r="AV24" s="525">
        <f t="shared" si="42"/>
        <v>0.49</v>
      </c>
      <c r="AW24" s="293">
        <f>-SUM('B5'!AI23)</f>
        <v>-113</v>
      </c>
      <c r="AX24" s="293">
        <f t="shared" si="39"/>
        <v>-193.6774193548481</v>
      </c>
      <c r="AY24" s="37">
        <f t="shared" si="40"/>
        <v>-306.6774193548481</v>
      </c>
      <c r="AZ24" s="100">
        <f>ELEC!A21</f>
        <v>0</v>
      </c>
      <c r="BA24" s="118">
        <f>'General information '!D24</f>
        <v>18.5</v>
      </c>
      <c r="BB24" s="397">
        <f>SUM('General information '!E24)</f>
        <v>0.55000000000000004</v>
      </c>
      <c r="BC24" s="3">
        <f t="shared" si="43"/>
        <v>0</v>
      </c>
      <c r="BD24" s="102">
        <v>19222</v>
      </c>
      <c r="BE24" s="14">
        <f>(305/1185)*ELEC!Q22</f>
        <v>361.10970464094572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239</v>
      </c>
      <c r="C25" s="204">
        <f t="shared" si="18"/>
        <v>5142.3548387096771</v>
      </c>
      <c r="D25">
        <f t="shared" si="19"/>
        <v>239</v>
      </c>
      <c r="E25" s="204">
        <f t="shared" si="18"/>
        <v>5142.3548387096771</v>
      </c>
      <c r="F25">
        <f t="shared" si="20"/>
        <v>239</v>
      </c>
      <c r="G25" s="204">
        <f t="shared" si="1"/>
        <v>5142.3548387096771</v>
      </c>
      <c r="H25" s="204">
        <f t="shared" si="21"/>
        <v>239</v>
      </c>
      <c r="I25" s="204">
        <f t="shared" si="2"/>
        <v>5142.3548387096771</v>
      </c>
      <c r="J25" s="204">
        <f t="shared" si="22"/>
        <v>239</v>
      </c>
      <c r="K25" s="204">
        <f t="shared" si="3"/>
        <v>5142.3548387096771</v>
      </c>
      <c r="L25" s="204">
        <f t="shared" si="23"/>
        <v>239</v>
      </c>
      <c r="M25" s="204">
        <f t="shared" si="4"/>
        <v>5142.3548387096771</v>
      </c>
      <c r="N25" s="204">
        <f t="shared" si="24"/>
        <v>239</v>
      </c>
      <c r="O25" s="204">
        <f t="shared" si="5"/>
        <v>5142.3548387096771</v>
      </c>
      <c r="P25" s="204">
        <f t="shared" si="25"/>
        <v>239</v>
      </c>
      <c r="Q25" s="204">
        <f t="shared" si="6"/>
        <v>5142.3548387096771</v>
      </c>
      <c r="R25" s="204">
        <f t="shared" si="26"/>
        <v>239</v>
      </c>
      <c r="S25" s="204">
        <f t="shared" si="7"/>
        <v>5142.3548387096771</v>
      </c>
      <c r="T25" s="204">
        <f t="shared" si="27"/>
        <v>239</v>
      </c>
      <c r="U25" s="204">
        <f t="shared" si="8"/>
        <v>5142.3548387096771</v>
      </c>
      <c r="V25" s="204">
        <f t="shared" si="28"/>
        <v>239</v>
      </c>
      <c r="W25" s="204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4">
        <f>'B5'!C24</f>
        <v>245</v>
      </c>
      <c r="AA25" s="204">
        <f t="shared" si="30"/>
        <v>2450</v>
      </c>
      <c r="AB25" s="204">
        <f t="shared" si="31"/>
        <v>245</v>
      </c>
      <c r="AC25" s="204">
        <f t="shared" si="30"/>
        <v>2450</v>
      </c>
      <c r="AD25" s="204">
        <f t="shared" si="32"/>
        <v>245</v>
      </c>
      <c r="AE25" s="204">
        <f t="shared" si="11"/>
        <v>2450</v>
      </c>
      <c r="AF25" s="204">
        <f t="shared" si="33"/>
        <v>245</v>
      </c>
      <c r="AG25" s="204">
        <f t="shared" si="12"/>
        <v>2450</v>
      </c>
      <c r="AH25" s="204">
        <f t="shared" si="34"/>
        <v>245</v>
      </c>
      <c r="AI25" s="204">
        <f t="shared" si="13"/>
        <v>2450</v>
      </c>
      <c r="AJ25" s="204">
        <f t="shared" si="35"/>
        <v>245</v>
      </c>
      <c r="AK25" s="204">
        <f t="shared" si="14"/>
        <v>2450</v>
      </c>
      <c r="AL25" s="204">
        <f t="shared" si="36"/>
        <v>245</v>
      </c>
      <c r="AM25" s="204">
        <f t="shared" si="15"/>
        <v>2450</v>
      </c>
      <c r="AN25" s="35">
        <f t="shared" si="16"/>
        <v>0.875</v>
      </c>
      <c r="AO25" s="36">
        <f t="shared" si="17"/>
        <v>17150</v>
      </c>
      <c r="AQ25" s="224">
        <f t="shared" si="37"/>
        <v>0.79289989486723067</v>
      </c>
      <c r="AR25" s="38">
        <f t="shared" si="41"/>
        <v>73715.90322580644</v>
      </c>
      <c r="AS25" s="198">
        <f t="shared" si="38"/>
        <v>-1226.7096774193778</v>
      </c>
      <c r="AT25" s="273"/>
      <c r="AU25" s="442"/>
      <c r="AV25" s="525">
        <f t="shared" si="42"/>
        <v>0.49</v>
      </c>
      <c r="AW25" s="293">
        <f>-SUM('B5'!AI24)</f>
        <v>-245</v>
      </c>
      <c r="AX25" s="293">
        <f t="shared" si="39"/>
        <v>-981.70967741937784</v>
      </c>
      <c r="AY25" s="37">
        <f t="shared" si="40"/>
        <v>-1226.7096774193778</v>
      </c>
      <c r="AZ25" s="100">
        <f>ELEC!A22</f>
        <v>0</v>
      </c>
      <c r="BA25" s="118">
        <f>'General information '!D25</f>
        <v>17</v>
      </c>
      <c r="BB25" s="397">
        <f>SUM('General information '!E25)</f>
        <v>0.73</v>
      </c>
      <c r="BC25" s="3">
        <f t="shared" si="43"/>
        <v>0</v>
      </c>
      <c r="BD25" s="102">
        <v>19222</v>
      </c>
      <c r="BE25" s="14">
        <f>(305/1185)*ELEC!Q23</f>
        <v>161.63713080184507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238</v>
      </c>
      <c r="C26" s="204">
        <f t="shared" si="18"/>
        <v>5120.8387096774195</v>
      </c>
      <c r="D26">
        <f t="shared" si="19"/>
        <v>238</v>
      </c>
      <c r="E26" s="204">
        <f t="shared" si="18"/>
        <v>5120.8387096774195</v>
      </c>
      <c r="F26">
        <f t="shared" si="20"/>
        <v>238</v>
      </c>
      <c r="G26" s="204">
        <f t="shared" si="1"/>
        <v>5120.8387096774195</v>
      </c>
      <c r="H26" s="204">
        <f t="shared" si="21"/>
        <v>238</v>
      </c>
      <c r="I26" s="204">
        <f t="shared" si="2"/>
        <v>5120.8387096774195</v>
      </c>
      <c r="J26" s="204">
        <f t="shared" si="22"/>
        <v>238</v>
      </c>
      <c r="K26" s="204">
        <f t="shared" si="3"/>
        <v>5120.8387096774195</v>
      </c>
      <c r="L26" s="204">
        <f t="shared" si="23"/>
        <v>238</v>
      </c>
      <c r="M26" s="204">
        <f t="shared" si="4"/>
        <v>5120.8387096774195</v>
      </c>
      <c r="N26" s="204">
        <f t="shared" si="24"/>
        <v>238</v>
      </c>
      <c r="O26" s="204">
        <f t="shared" si="5"/>
        <v>5120.8387096774195</v>
      </c>
      <c r="P26" s="204">
        <f t="shared" si="25"/>
        <v>238</v>
      </c>
      <c r="Q26" s="204">
        <f t="shared" si="6"/>
        <v>5120.8387096774195</v>
      </c>
      <c r="R26" s="204">
        <f t="shared" si="26"/>
        <v>238</v>
      </c>
      <c r="S26" s="204">
        <f t="shared" si="7"/>
        <v>5120.8387096774195</v>
      </c>
      <c r="T26" s="204">
        <f t="shared" si="27"/>
        <v>238</v>
      </c>
      <c r="U26" s="204">
        <f t="shared" si="8"/>
        <v>5120.8387096774195</v>
      </c>
      <c r="V26" s="204">
        <f t="shared" si="28"/>
        <v>238</v>
      </c>
      <c r="W26" s="204">
        <f t="shared" si="9"/>
        <v>5120.8387096774195</v>
      </c>
      <c r="X26" s="35">
        <f t="shared" si="10"/>
        <v>0.76774193548387093</v>
      </c>
      <c r="Y26" s="36">
        <f t="shared" si="29"/>
        <v>56329.225806451606</v>
      </c>
      <c r="Z26" s="204">
        <f>'B5'!C25</f>
        <v>244</v>
      </c>
      <c r="AA26" s="204">
        <f t="shared" si="30"/>
        <v>2440</v>
      </c>
      <c r="AB26" s="204">
        <f t="shared" si="31"/>
        <v>244</v>
      </c>
      <c r="AC26" s="204">
        <f t="shared" si="30"/>
        <v>2440</v>
      </c>
      <c r="AD26" s="204">
        <f t="shared" si="32"/>
        <v>244</v>
      </c>
      <c r="AE26" s="204">
        <f t="shared" si="11"/>
        <v>2440</v>
      </c>
      <c r="AF26" s="204">
        <f t="shared" si="33"/>
        <v>244</v>
      </c>
      <c r="AG26" s="204">
        <f t="shared" si="12"/>
        <v>2440</v>
      </c>
      <c r="AH26" s="204">
        <f t="shared" si="34"/>
        <v>244</v>
      </c>
      <c r="AI26" s="204">
        <f t="shared" si="13"/>
        <v>2440</v>
      </c>
      <c r="AJ26" s="204">
        <f t="shared" si="35"/>
        <v>244</v>
      </c>
      <c r="AK26" s="204">
        <f t="shared" si="14"/>
        <v>2440</v>
      </c>
      <c r="AL26" s="204">
        <f t="shared" si="36"/>
        <v>244</v>
      </c>
      <c r="AM26" s="204">
        <f t="shared" si="15"/>
        <v>2440</v>
      </c>
      <c r="AN26" s="35">
        <f t="shared" si="16"/>
        <v>0.87142857142857144</v>
      </c>
      <c r="AO26" s="36">
        <f t="shared" si="17"/>
        <v>17080</v>
      </c>
      <c r="AQ26" s="224">
        <f t="shared" si="37"/>
        <v>0.78960122412016354</v>
      </c>
      <c r="AR26" s="38">
        <f t="shared" si="41"/>
        <v>73409.225806451606</v>
      </c>
      <c r="AS26" s="198">
        <f t="shared" si="38"/>
        <v>-306.67741935483355</v>
      </c>
      <c r="AT26" s="273"/>
      <c r="AU26" s="442"/>
      <c r="AV26" s="525">
        <f t="shared" si="42"/>
        <v>0.49</v>
      </c>
      <c r="AW26" s="293">
        <f>-SUM('B5'!AI25)</f>
        <v>-137</v>
      </c>
      <c r="AX26" s="293">
        <f t="shared" si="39"/>
        <v>-169.67741935483355</v>
      </c>
      <c r="AY26" s="37">
        <f t="shared" si="40"/>
        <v>-306.67741935483355</v>
      </c>
      <c r="AZ26" s="100">
        <f>ELEC!A23</f>
        <v>0</v>
      </c>
      <c r="BA26" s="118">
        <f>'General information '!D26</f>
        <v>17</v>
      </c>
      <c r="BB26" s="397">
        <f>SUM('General information '!E26)</f>
        <v>0.65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237</v>
      </c>
      <c r="C27" s="204">
        <f t="shared" si="18"/>
        <v>5099.322580645161</v>
      </c>
      <c r="D27">
        <f t="shared" si="19"/>
        <v>237</v>
      </c>
      <c r="E27" s="204">
        <f t="shared" si="18"/>
        <v>5099.322580645161</v>
      </c>
      <c r="F27">
        <f t="shared" si="20"/>
        <v>237</v>
      </c>
      <c r="G27" s="204">
        <f t="shared" si="1"/>
        <v>5099.322580645161</v>
      </c>
      <c r="H27" s="204">
        <f t="shared" si="21"/>
        <v>237</v>
      </c>
      <c r="I27" s="204">
        <f t="shared" si="2"/>
        <v>5099.322580645161</v>
      </c>
      <c r="J27" s="204">
        <f t="shared" si="22"/>
        <v>237</v>
      </c>
      <c r="K27" s="204">
        <f t="shared" si="3"/>
        <v>5099.322580645161</v>
      </c>
      <c r="L27" s="204">
        <f t="shared" si="23"/>
        <v>237</v>
      </c>
      <c r="M27" s="204">
        <f t="shared" si="4"/>
        <v>5099.322580645161</v>
      </c>
      <c r="N27" s="204">
        <f t="shared" si="24"/>
        <v>237</v>
      </c>
      <c r="O27" s="204">
        <f t="shared" si="5"/>
        <v>5099.322580645161</v>
      </c>
      <c r="P27" s="204">
        <f t="shared" si="25"/>
        <v>237</v>
      </c>
      <c r="Q27" s="204">
        <f t="shared" si="6"/>
        <v>5099.322580645161</v>
      </c>
      <c r="R27" s="204">
        <f t="shared" si="26"/>
        <v>237</v>
      </c>
      <c r="S27" s="204">
        <f t="shared" si="7"/>
        <v>5099.322580645161</v>
      </c>
      <c r="T27" s="204">
        <f t="shared" si="27"/>
        <v>237</v>
      </c>
      <c r="U27" s="204">
        <f t="shared" si="8"/>
        <v>5099.322580645161</v>
      </c>
      <c r="V27" s="204">
        <f t="shared" si="28"/>
        <v>237</v>
      </c>
      <c r="W27" s="204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4">
        <f>'B5'!C26</f>
        <v>243</v>
      </c>
      <c r="AA27" s="204">
        <f t="shared" si="30"/>
        <v>2430</v>
      </c>
      <c r="AB27" s="204">
        <f t="shared" si="31"/>
        <v>243</v>
      </c>
      <c r="AC27" s="204">
        <f t="shared" si="30"/>
        <v>2430</v>
      </c>
      <c r="AD27" s="204">
        <f t="shared" si="32"/>
        <v>243</v>
      </c>
      <c r="AE27" s="204">
        <f t="shared" si="11"/>
        <v>2430</v>
      </c>
      <c r="AF27" s="204">
        <f t="shared" si="33"/>
        <v>243</v>
      </c>
      <c r="AG27" s="204">
        <f t="shared" si="12"/>
        <v>2430</v>
      </c>
      <c r="AH27" s="204">
        <f t="shared" si="34"/>
        <v>243</v>
      </c>
      <c r="AI27" s="204">
        <f t="shared" si="13"/>
        <v>2430</v>
      </c>
      <c r="AJ27" s="204">
        <f t="shared" si="35"/>
        <v>243</v>
      </c>
      <c r="AK27" s="204">
        <f t="shared" si="14"/>
        <v>2430</v>
      </c>
      <c r="AL27" s="204">
        <f t="shared" si="36"/>
        <v>243</v>
      </c>
      <c r="AM27" s="204">
        <f t="shared" si="15"/>
        <v>2430</v>
      </c>
      <c r="AN27" s="35">
        <f t="shared" si="16"/>
        <v>0.86785714285714288</v>
      </c>
      <c r="AO27" s="36">
        <f t="shared" si="17"/>
        <v>17010</v>
      </c>
      <c r="AQ27" s="224">
        <f t="shared" si="37"/>
        <v>0.78630255337309629</v>
      </c>
      <c r="AR27" s="38">
        <f t="shared" si="41"/>
        <v>73102.548387096758</v>
      </c>
      <c r="AS27" s="198">
        <f t="shared" si="38"/>
        <v>-306.6774193548481</v>
      </c>
      <c r="AT27" s="273"/>
      <c r="AU27" s="442"/>
      <c r="AV27" s="525">
        <f t="shared" si="42"/>
        <v>0.49</v>
      </c>
      <c r="AW27" s="293">
        <f>-SUM('B5'!AI26)</f>
        <v>-237</v>
      </c>
      <c r="AX27" s="293">
        <f t="shared" si="39"/>
        <v>-69.677419354848098</v>
      </c>
      <c r="AY27" s="37">
        <f t="shared" si="40"/>
        <v>-306.6774193548481</v>
      </c>
      <c r="AZ27" s="100">
        <f>ELEC!A24</f>
        <v>0</v>
      </c>
      <c r="BA27" s="118">
        <f>'General information '!D27</f>
        <v>17.5</v>
      </c>
      <c r="BB27" s="397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436.26582278473524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235</v>
      </c>
      <c r="C28" s="204">
        <f t="shared" si="18"/>
        <v>5056.2903225806449</v>
      </c>
      <c r="D28">
        <f t="shared" si="19"/>
        <v>235</v>
      </c>
      <c r="E28" s="204">
        <f t="shared" si="18"/>
        <v>5056.2903225806449</v>
      </c>
      <c r="F28">
        <f t="shared" si="20"/>
        <v>235</v>
      </c>
      <c r="G28" s="204">
        <f t="shared" si="1"/>
        <v>5056.2903225806449</v>
      </c>
      <c r="H28" s="204">
        <f t="shared" si="21"/>
        <v>235</v>
      </c>
      <c r="I28" s="204">
        <f t="shared" si="2"/>
        <v>5056.2903225806449</v>
      </c>
      <c r="J28" s="204">
        <f t="shared" si="22"/>
        <v>235</v>
      </c>
      <c r="K28" s="204">
        <f t="shared" si="3"/>
        <v>5056.2903225806449</v>
      </c>
      <c r="L28" s="204">
        <f t="shared" si="23"/>
        <v>235</v>
      </c>
      <c r="M28" s="204">
        <f t="shared" si="4"/>
        <v>5056.2903225806449</v>
      </c>
      <c r="N28" s="204">
        <f t="shared" si="24"/>
        <v>235</v>
      </c>
      <c r="O28" s="204">
        <f t="shared" si="5"/>
        <v>5056.2903225806449</v>
      </c>
      <c r="P28" s="204">
        <f t="shared" si="25"/>
        <v>235</v>
      </c>
      <c r="Q28" s="204">
        <f t="shared" si="6"/>
        <v>5056.2903225806449</v>
      </c>
      <c r="R28" s="204">
        <f t="shared" si="26"/>
        <v>235</v>
      </c>
      <c r="S28" s="204">
        <f t="shared" si="7"/>
        <v>5056.2903225806449</v>
      </c>
      <c r="T28" s="204">
        <f t="shared" si="27"/>
        <v>235</v>
      </c>
      <c r="U28" s="204">
        <f t="shared" si="8"/>
        <v>5056.2903225806449</v>
      </c>
      <c r="V28" s="204">
        <f t="shared" si="28"/>
        <v>235</v>
      </c>
      <c r="W28" s="204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4">
        <f>'B5'!C27</f>
        <v>241</v>
      </c>
      <c r="AA28" s="204">
        <f t="shared" si="30"/>
        <v>2410</v>
      </c>
      <c r="AB28" s="204">
        <f t="shared" si="31"/>
        <v>241</v>
      </c>
      <c r="AC28" s="204">
        <f t="shared" si="30"/>
        <v>2410</v>
      </c>
      <c r="AD28" s="204">
        <f t="shared" si="32"/>
        <v>241</v>
      </c>
      <c r="AE28" s="204">
        <f t="shared" si="11"/>
        <v>2410</v>
      </c>
      <c r="AF28" s="204">
        <f t="shared" si="33"/>
        <v>241</v>
      </c>
      <c r="AG28" s="204">
        <f t="shared" si="12"/>
        <v>2410</v>
      </c>
      <c r="AH28" s="204">
        <f t="shared" si="34"/>
        <v>241</v>
      </c>
      <c r="AI28" s="204">
        <f t="shared" si="13"/>
        <v>2410</v>
      </c>
      <c r="AJ28" s="204">
        <f t="shared" si="35"/>
        <v>241</v>
      </c>
      <c r="AK28" s="204">
        <f t="shared" si="14"/>
        <v>2410</v>
      </c>
      <c r="AL28" s="204">
        <f t="shared" si="36"/>
        <v>241</v>
      </c>
      <c r="AM28" s="204">
        <f t="shared" si="15"/>
        <v>2410</v>
      </c>
      <c r="AN28" s="35">
        <f t="shared" si="16"/>
        <v>0.86071428571428577</v>
      </c>
      <c r="AO28" s="36">
        <f t="shared" si="17"/>
        <v>16870</v>
      </c>
      <c r="AQ28" s="224">
        <f t="shared" si="37"/>
        <v>0.77970521187896191</v>
      </c>
      <c r="AR28" s="38">
        <f t="shared" si="41"/>
        <v>72489.193548387091</v>
      </c>
      <c r="AS28" s="198">
        <f t="shared" si="38"/>
        <v>-613.35483870966709</v>
      </c>
      <c r="AT28" s="358"/>
      <c r="AU28" s="442"/>
      <c r="AV28" s="525">
        <f t="shared" si="42"/>
        <v>0.49</v>
      </c>
      <c r="AW28" s="293">
        <f>-SUM('B5'!AI27)</f>
        <v>-155</v>
      </c>
      <c r="AX28" s="293">
        <f t="shared" si="39"/>
        <v>-458.35483870966709</v>
      </c>
      <c r="AY28" s="37">
        <f t="shared" si="40"/>
        <v>-613.35483870966709</v>
      </c>
      <c r="AZ28" s="100">
        <f>ELEC!A25</f>
        <v>0</v>
      </c>
      <c r="BA28" s="118">
        <f>'General information '!D28</f>
        <v>17.5</v>
      </c>
      <c r="BB28" s="397">
        <f>SUM('General information '!E28)</f>
        <v>0.6</v>
      </c>
      <c r="BC28" s="3">
        <f t="shared" si="43"/>
        <v>0</v>
      </c>
      <c r="BD28" s="102">
        <v>19222</v>
      </c>
      <c r="BE28" s="14">
        <f>(305/1185)*ELEC!Q26</f>
        <v>351.07172995816552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232</v>
      </c>
      <c r="C29" s="204">
        <f t="shared" si="18"/>
        <v>4991.7419354838712</v>
      </c>
      <c r="D29">
        <f t="shared" si="19"/>
        <v>232</v>
      </c>
      <c r="E29" s="204">
        <f t="shared" si="18"/>
        <v>4991.7419354838712</v>
      </c>
      <c r="F29">
        <f t="shared" si="20"/>
        <v>232</v>
      </c>
      <c r="G29" s="204">
        <f t="shared" si="1"/>
        <v>4991.7419354838712</v>
      </c>
      <c r="H29" s="204">
        <f t="shared" si="21"/>
        <v>232</v>
      </c>
      <c r="I29" s="204">
        <f t="shared" si="2"/>
        <v>4991.7419354838712</v>
      </c>
      <c r="J29" s="204">
        <f t="shared" si="22"/>
        <v>232</v>
      </c>
      <c r="K29" s="204">
        <f t="shared" si="3"/>
        <v>4991.7419354838712</v>
      </c>
      <c r="L29" s="204">
        <f t="shared" si="23"/>
        <v>232</v>
      </c>
      <c r="M29" s="204">
        <f t="shared" si="4"/>
        <v>4991.7419354838712</v>
      </c>
      <c r="N29" s="204">
        <f t="shared" si="24"/>
        <v>232</v>
      </c>
      <c r="O29" s="204">
        <f t="shared" si="5"/>
        <v>4991.7419354838712</v>
      </c>
      <c r="P29" s="204">
        <f t="shared" si="25"/>
        <v>232</v>
      </c>
      <c r="Q29" s="204">
        <f t="shared" si="6"/>
        <v>4991.7419354838712</v>
      </c>
      <c r="R29" s="204">
        <f t="shared" si="26"/>
        <v>232</v>
      </c>
      <c r="S29" s="204">
        <f t="shared" si="7"/>
        <v>4991.7419354838712</v>
      </c>
      <c r="T29" s="204">
        <f t="shared" si="27"/>
        <v>232</v>
      </c>
      <c r="U29" s="204">
        <f t="shared" si="8"/>
        <v>4991.7419354838712</v>
      </c>
      <c r="V29" s="204">
        <f t="shared" si="28"/>
        <v>232</v>
      </c>
      <c r="W29" s="204">
        <f t="shared" si="9"/>
        <v>4991.7419354838712</v>
      </c>
      <c r="X29" s="35">
        <f t="shared" si="10"/>
        <v>0.74838709677419357</v>
      </c>
      <c r="Y29" s="36">
        <f t="shared" si="29"/>
        <v>54909.161290322583</v>
      </c>
      <c r="Z29" s="204">
        <f>'B5'!C28</f>
        <v>238</v>
      </c>
      <c r="AA29" s="204">
        <f t="shared" si="30"/>
        <v>2380</v>
      </c>
      <c r="AB29" s="204">
        <f t="shared" si="31"/>
        <v>238</v>
      </c>
      <c r="AC29" s="204">
        <f t="shared" si="30"/>
        <v>2380</v>
      </c>
      <c r="AD29" s="204">
        <f t="shared" si="32"/>
        <v>238</v>
      </c>
      <c r="AE29" s="204">
        <f t="shared" si="11"/>
        <v>2380</v>
      </c>
      <c r="AF29" s="204">
        <f t="shared" si="33"/>
        <v>238</v>
      </c>
      <c r="AG29" s="204">
        <f t="shared" si="12"/>
        <v>2380</v>
      </c>
      <c r="AH29" s="204">
        <f t="shared" si="34"/>
        <v>238</v>
      </c>
      <c r="AI29" s="204">
        <f t="shared" si="13"/>
        <v>2380</v>
      </c>
      <c r="AJ29" s="204">
        <f t="shared" si="35"/>
        <v>238</v>
      </c>
      <c r="AK29" s="204">
        <f t="shared" si="14"/>
        <v>2380</v>
      </c>
      <c r="AL29" s="204">
        <f t="shared" si="36"/>
        <v>238</v>
      </c>
      <c r="AM29" s="204">
        <f t="shared" si="15"/>
        <v>2380</v>
      </c>
      <c r="AN29" s="35">
        <f t="shared" si="16"/>
        <v>0.85</v>
      </c>
      <c r="AO29" s="36">
        <f t="shared" si="17"/>
        <v>16660</v>
      </c>
      <c r="AQ29" s="224">
        <f t="shared" si="37"/>
        <v>0.76980919963776029</v>
      </c>
      <c r="AR29" s="38">
        <f t="shared" si="41"/>
        <v>71569.161290322576</v>
      </c>
      <c r="AS29" s="198">
        <f t="shared" si="38"/>
        <v>-920.03225806451519</v>
      </c>
      <c r="AT29" s="358"/>
      <c r="AU29" s="442"/>
      <c r="AV29" s="525">
        <f t="shared" si="42"/>
        <v>0.49</v>
      </c>
      <c r="AW29" s="293">
        <f>-SUM('B5'!AI28)</f>
        <v>-182</v>
      </c>
      <c r="AX29" s="293">
        <f>-SUM(AW29-AS29)</f>
        <v>-738.03225806451519</v>
      </c>
      <c r="AY29" s="37">
        <f t="shared" si="40"/>
        <v>-920.03225806451519</v>
      </c>
      <c r="AZ29" s="100">
        <f>ELEC!A26</f>
        <v>0</v>
      </c>
      <c r="BA29" s="118">
        <f>'General information '!D29</f>
        <v>17</v>
      </c>
      <c r="BB29" s="397">
        <f>SUM('General information '!E29)</f>
        <v>0.6</v>
      </c>
      <c r="BC29" s="3">
        <f t="shared" si="43"/>
        <v>0</v>
      </c>
      <c r="BD29" s="102">
        <v>19222</v>
      </c>
      <c r="BE29" s="14">
        <f>(305/1185)*ELEC!Q27</f>
        <v>391.48101265745635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230</v>
      </c>
      <c r="C30" s="204">
        <f t="shared" si="18"/>
        <v>4948.7096774193551</v>
      </c>
      <c r="D30">
        <f t="shared" ref="D30:D35" si="44">SUM(B30)</f>
        <v>230</v>
      </c>
      <c r="E30" s="204">
        <f t="shared" si="18"/>
        <v>4948.7096774193551</v>
      </c>
      <c r="F30">
        <f t="shared" ref="F30:F35" si="45">SUM(D30)</f>
        <v>230</v>
      </c>
      <c r="G30" s="204">
        <f t="shared" si="1"/>
        <v>4948.7096774193551</v>
      </c>
      <c r="H30" s="204">
        <f t="shared" ref="H30:H35" si="46">SUM(F30)</f>
        <v>230</v>
      </c>
      <c r="I30" s="204">
        <f t="shared" si="2"/>
        <v>4948.7096774193551</v>
      </c>
      <c r="J30" s="204">
        <f t="shared" ref="J30:J35" si="47">SUM(H30)</f>
        <v>230</v>
      </c>
      <c r="K30" s="204">
        <f t="shared" si="3"/>
        <v>4948.7096774193551</v>
      </c>
      <c r="L30" s="204">
        <f t="shared" ref="L30:L35" si="48">SUM(J30)</f>
        <v>230</v>
      </c>
      <c r="M30" s="204">
        <f t="shared" si="4"/>
        <v>4948.7096774193551</v>
      </c>
      <c r="N30" s="204">
        <f t="shared" ref="N30:N35" si="49">SUM(L30)</f>
        <v>230</v>
      </c>
      <c r="O30" s="204">
        <f t="shared" si="5"/>
        <v>4948.7096774193551</v>
      </c>
      <c r="P30" s="204">
        <f t="shared" ref="P30:P35" si="50">SUM(N30)</f>
        <v>230</v>
      </c>
      <c r="Q30" s="204">
        <f t="shared" si="6"/>
        <v>4948.7096774193551</v>
      </c>
      <c r="R30" s="204">
        <f t="shared" ref="R30:R35" si="51">SUM(P30)</f>
        <v>230</v>
      </c>
      <c r="S30" s="204">
        <f t="shared" si="7"/>
        <v>4948.7096774193551</v>
      </c>
      <c r="T30" s="204">
        <f t="shared" ref="T30:T35" si="52">SUM(R30)</f>
        <v>230</v>
      </c>
      <c r="U30" s="204">
        <f t="shared" si="8"/>
        <v>4948.7096774193551</v>
      </c>
      <c r="V30" s="204">
        <f t="shared" ref="V30:V35" si="53">SUM(T30)</f>
        <v>230</v>
      </c>
      <c r="W30" s="204">
        <f t="shared" si="9"/>
        <v>4948.7096774193551</v>
      </c>
      <c r="X30" s="35">
        <f t="shared" ref="X30:X35" si="54">SUM(Y30/73370)</f>
        <v>0.74193548387096786</v>
      </c>
      <c r="Y30" s="36">
        <f t="shared" ref="Y30:Y35" si="55">SUM(C30+E30+G30+I30+K30+M30+O30+Q30+S30+U30+W30)</f>
        <v>54435.806451612909</v>
      </c>
      <c r="Z30" s="204">
        <f>'B5'!C29</f>
        <v>235</v>
      </c>
      <c r="AA30" s="204">
        <f t="shared" si="30"/>
        <v>2350</v>
      </c>
      <c r="AB30" s="204">
        <f t="shared" ref="AB30:AB35" si="56">SUM(Z30)</f>
        <v>235</v>
      </c>
      <c r="AC30" s="204">
        <f t="shared" si="30"/>
        <v>2350</v>
      </c>
      <c r="AD30" s="204">
        <f t="shared" ref="AD30:AD35" si="57">SUM(AB30)</f>
        <v>235</v>
      </c>
      <c r="AE30" s="204">
        <f t="shared" si="11"/>
        <v>2350</v>
      </c>
      <c r="AF30" s="204">
        <f t="shared" ref="AF30:AF35" si="58">SUM(AD30)</f>
        <v>235</v>
      </c>
      <c r="AG30" s="204">
        <f t="shared" si="12"/>
        <v>2350</v>
      </c>
      <c r="AH30" s="204">
        <f t="shared" ref="AH30:AH35" si="59">SUM(AF30)</f>
        <v>235</v>
      </c>
      <c r="AI30" s="204">
        <f t="shared" si="13"/>
        <v>2350</v>
      </c>
      <c r="AJ30" s="204">
        <f t="shared" ref="AJ30:AJ35" si="60">SUM(AH30)</f>
        <v>235</v>
      </c>
      <c r="AK30" s="204">
        <f t="shared" si="14"/>
        <v>2350</v>
      </c>
      <c r="AL30" s="204">
        <f t="shared" ref="AL30:AL35" si="61">SUM(AJ30)</f>
        <v>235</v>
      </c>
      <c r="AM30" s="204">
        <f t="shared" si="15"/>
        <v>2350</v>
      </c>
      <c r="AN30" s="35">
        <f t="shared" ref="AN30:AN35" si="62">SUM(AO30/19600)</f>
        <v>0.8392857142857143</v>
      </c>
      <c r="AO30" s="36">
        <f t="shared" ref="AO30:AO35" si="63">SUM(AA30+AC30+AE30+AG30+AI30+AK30+AM30)</f>
        <v>16450</v>
      </c>
      <c r="AQ30" s="224">
        <f t="shared" si="37"/>
        <v>0.76245892709059815</v>
      </c>
      <c r="AR30" s="38">
        <f t="shared" si="41"/>
        <v>70885.806451612909</v>
      </c>
      <c r="AS30" s="198">
        <f t="shared" si="38"/>
        <v>-683.35483870966709</v>
      </c>
      <c r="AT30" s="358"/>
      <c r="AU30" s="442"/>
      <c r="AV30" s="525">
        <f t="shared" si="42"/>
        <v>0.49</v>
      </c>
      <c r="AW30" s="293">
        <f>-SUM('B5'!AI29)</f>
        <v>-156</v>
      </c>
      <c r="AX30" s="293">
        <f>-SUM(AW30-AS30)</f>
        <v>-527.35483870966709</v>
      </c>
      <c r="AY30" s="37">
        <f t="shared" si="40"/>
        <v>-683.35483870966709</v>
      </c>
      <c r="AZ30" s="100">
        <f>ELEC!A27</f>
        <v>0</v>
      </c>
      <c r="BA30" s="118">
        <f>'General information '!D30</f>
        <v>16.5</v>
      </c>
      <c r="BB30" s="397">
        <f>SUM('General information '!E30)</f>
        <v>0.63</v>
      </c>
      <c r="BC30" s="3">
        <f t="shared" si="43"/>
        <v>0</v>
      </c>
      <c r="BD30" s="102">
        <v>19222</v>
      </c>
      <c r="BE30" s="14">
        <f>(305/1185)*ELEC!Q28</f>
        <v>291.87341772199096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229</v>
      </c>
      <c r="C31" s="204">
        <f t="shared" si="18"/>
        <v>4927.1935483870966</v>
      </c>
      <c r="D31">
        <f t="shared" si="44"/>
        <v>229</v>
      </c>
      <c r="E31" s="204">
        <f t="shared" si="18"/>
        <v>4927.1935483870966</v>
      </c>
      <c r="F31">
        <f t="shared" si="45"/>
        <v>229</v>
      </c>
      <c r="G31" s="204">
        <f t="shared" si="1"/>
        <v>4927.1935483870966</v>
      </c>
      <c r="H31" s="204">
        <f t="shared" si="46"/>
        <v>229</v>
      </c>
      <c r="I31" s="204">
        <f t="shared" si="2"/>
        <v>4927.1935483870966</v>
      </c>
      <c r="J31" s="204">
        <f t="shared" si="47"/>
        <v>229</v>
      </c>
      <c r="K31" s="204">
        <f t="shared" si="3"/>
        <v>4927.1935483870966</v>
      </c>
      <c r="L31" s="204">
        <f t="shared" si="48"/>
        <v>229</v>
      </c>
      <c r="M31" s="204">
        <f t="shared" si="4"/>
        <v>4927.1935483870966</v>
      </c>
      <c r="N31" s="204">
        <f t="shared" si="49"/>
        <v>229</v>
      </c>
      <c r="O31" s="204">
        <f t="shared" si="5"/>
        <v>4927.1935483870966</v>
      </c>
      <c r="P31" s="204">
        <f t="shared" si="50"/>
        <v>229</v>
      </c>
      <c r="Q31" s="204">
        <f t="shared" si="6"/>
        <v>4927.1935483870966</v>
      </c>
      <c r="R31" s="204">
        <f t="shared" si="51"/>
        <v>229</v>
      </c>
      <c r="S31" s="204">
        <f t="shared" si="7"/>
        <v>4927.1935483870966</v>
      </c>
      <c r="T31" s="204">
        <f t="shared" si="52"/>
        <v>229</v>
      </c>
      <c r="U31" s="204">
        <f t="shared" si="8"/>
        <v>4927.1935483870966</v>
      </c>
      <c r="V31" s="204">
        <f t="shared" si="53"/>
        <v>229</v>
      </c>
      <c r="W31" s="204">
        <f t="shared" si="9"/>
        <v>4927.1935483870966</v>
      </c>
      <c r="X31" s="35">
        <f t="shared" si="54"/>
        <v>0.738709677419355</v>
      </c>
      <c r="Y31" s="36">
        <f t="shared" si="55"/>
        <v>54199.129032258075</v>
      </c>
      <c r="Z31" s="204">
        <f>'B5'!C30</f>
        <v>234.1</v>
      </c>
      <c r="AA31" s="204">
        <f t="shared" si="30"/>
        <v>2341</v>
      </c>
      <c r="AB31" s="204">
        <f t="shared" si="56"/>
        <v>234.1</v>
      </c>
      <c r="AC31" s="204">
        <f t="shared" si="30"/>
        <v>2341</v>
      </c>
      <c r="AD31" s="204">
        <f t="shared" si="57"/>
        <v>234.1</v>
      </c>
      <c r="AE31" s="204">
        <f t="shared" si="11"/>
        <v>2341</v>
      </c>
      <c r="AF31" s="204">
        <f t="shared" si="58"/>
        <v>234.1</v>
      </c>
      <c r="AG31" s="204">
        <f t="shared" si="12"/>
        <v>2341</v>
      </c>
      <c r="AH31" s="204">
        <f t="shared" si="59"/>
        <v>234.1</v>
      </c>
      <c r="AI31" s="204">
        <f t="shared" si="13"/>
        <v>2341</v>
      </c>
      <c r="AJ31" s="204">
        <f t="shared" si="60"/>
        <v>234.1</v>
      </c>
      <c r="AK31" s="204">
        <f t="shared" si="14"/>
        <v>2341</v>
      </c>
      <c r="AL31" s="204">
        <f t="shared" si="61"/>
        <v>234.1</v>
      </c>
      <c r="AM31" s="204">
        <f t="shared" si="15"/>
        <v>2341</v>
      </c>
      <c r="AN31" s="35">
        <f t="shared" si="62"/>
        <v>0.83607142857142858</v>
      </c>
      <c r="AO31" s="36">
        <f t="shared" si="63"/>
        <v>16387</v>
      </c>
      <c r="AQ31" s="224">
        <f t="shared" si="37"/>
        <v>0.75923554944883376</v>
      </c>
      <c r="AR31" s="38">
        <f t="shared" si="41"/>
        <v>70586.129032258075</v>
      </c>
      <c r="AS31" s="198">
        <f>SUM(AR31-AR30-AT31)</f>
        <v>-299.67741935483355</v>
      </c>
      <c r="AT31" s="358"/>
      <c r="AU31" s="442"/>
      <c r="AV31" s="525">
        <f t="shared" si="42"/>
        <v>0.49</v>
      </c>
      <c r="AW31" s="293">
        <f>-SUM('B5'!AI30)</f>
        <v>-97</v>
      </c>
      <c r="AX31" s="293">
        <f t="shared" si="39"/>
        <v>-202.67741935483355</v>
      </c>
      <c r="AY31" s="37">
        <f t="shared" si="40"/>
        <v>-299.67741935483355</v>
      </c>
      <c r="AZ31" s="100">
        <f>ELEC!A28</f>
        <v>0</v>
      </c>
      <c r="BA31" s="118">
        <f>'General information '!D31</f>
        <v>16.5</v>
      </c>
      <c r="BB31" s="397">
        <f>SUM('General information '!E31)</f>
        <v>0.6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229</v>
      </c>
      <c r="C32" s="204">
        <f t="shared" si="18"/>
        <v>4927.1935483870966</v>
      </c>
      <c r="D32">
        <f t="shared" si="44"/>
        <v>229</v>
      </c>
      <c r="E32" s="204">
        <f t="shared" si="18"/>
        <v>4927.1935483870966</v>
      </c>
      <c r="F32">
        <f t="shared" si="45"/>
        <v>229</v>
      </c>
      <c r="G32" s="204">
        <f t="shared" si="1"/>
        <v>4927.1935483870966</v>
      </c>
      <c r="H32" s="204">
        <f t="shared" si="46"/>
        <v>229</v>
      </c>
      <c r="I32" s="204">
        <f t="shared" si="2"/>
        <v>4927.1935483870966</v>
      </c>
      <c r="J32" s="204">
        <f t="shared" si="47"/>
        <v>229</v>
      </c>
      <c r="K32" s="204">
        <f t="shared" si="3"/>
        <v>4927.1935483870966</v>
      </c>
      <c r="L32" s="204">
        <f t="shared" si="48"/>
        <v>229</v>
      </c>
      <c r="M32" s="204">
        <f t="shared" si="4"/>
        <v>4927.1935483870966</v>
      </c>
      <c r="N32" s="204">
        <f t="shared" si="49"/>
        <v>229</v>
      </c>
      <c r="O32" s="204">
        <f t="shared" si="5"/>
        <v>4927.1935483870966</v>
      </c>
      <c r="P32" s="204">
        <f t="shared" si="50"/>
        <v>229</v>
      </c>
      <c r="Q32" s="204">
        <f t="shared" si="6"/>
        <v>4927.1935483870966</v>
      </c>
      <c r="R32" s="204">
        <f t="shared" si="51"/>
        <v>229</v>
      </c>
      <c r="S32" s="204">
        <f t="shared" si="7"/>
        <v>4927.1935483870966</v>
      </c>
      <c r="T32" s="204">
        <f t="shared" si="52"/>
        <v>229</v>
      </c>
      <c r="U32" s="204">
        <f t="shared" si="8"/>
        <v>4927.1935483870966</v>
      </c>
      <c r="V32" s="204">
        <f t="shared" si="53"/>
        <v>229</v>
      </c>
      <c r="W32" s="204">
        <f t="shared" si="9"/>
        <v>4927.1935483870966</v>
      </c>
      <c r="X32" s="35">
        <f t="shared" si="54"/>
        <v>0.738709677419355</v>
      </c>
      <c r="Y32" s="36">
        <f t="shared" si="55"/>
        <v>54199.129032258075</v>
      </c>
      <c r="Z32" s="204">
        <f>'B5'!C31</f>
        <v>234.1</v>
      </c>
      <c r="AA32" s="204">
        <f t="shared" si="30"/>
        <v>2341</v>
      </c>
      <c r="AB32" s="204">
        <f t="shared" si="56"/>
        <v>234.1</v>
      </c>
      <c r="AC32" s="204">
        <f t="shared" si="30"/>
        <v>2341</v>
      </c>
      <c r="AD32" s="204">
        <f t="shared" si="57"/>
        <v>234.1</v>
      </c>
      <c r="AE32" s="204">
        <f t="shared" si="11"/>
        <v>2341</v>
      </c>
      <c r="AF32" s="204">
        <f t="shared" si="58"/>
        <v>234.1</v>
      </c>
      <c r="AG32" s="204">
        <f t="shared" si="12"/>
        <v>2341</v>
      </c>
      <c r="AH32" s="204">
        <f t="shared" si="59"/>
        <v>234.1</v>
      </c>
      <c r="AI32" s="204">
        <f t="shared" si="13"/>
        <v>2341</v>
      </c>
      <c r="AJ32" s="204">
        <f t="shared" si="60"/>
        <v>234.1</v>
      </c>
      <c r="AK32" s="204">
        <f t="shared" si="14"/>
        <v>2341</v>
      </c>
      <c r="AL32" s="204">
        <f t="shared" si="61"/>
        <v>234.1</v>
      </c>
      <c r="AM32" s="204">
        <f t="shared" si="15"/>
        <v>2341</v>
      </c>
      <c r="AN32" s="35">
        <f t="shared" si="62"/>
        <v>0.83607142857142858</v>
      </c>
      <c r="AO32" s="36">
        <f t="shared" si="63"/>
        <v>16387</v>
      </c>
      <c r="AQ32" s="224">
        <f t="shared" si="37"/>
        <v>0.75923554944883376</v>
      </c>
      <c r="AR32" s="38">
        <f t="shared" si="41"/>
        <v>70586.129032258075</v>
      </c>
      <c r="AS32" s="198">
        <f t="shared" si="38"/>
        <v>0</v>
      </c>
      <c r="AT32" s="358"/>
      <c r="AU32" s="442"/>
      <c r="AV32" s="525">
        <f>IF(AT32&gt;0,AU32,AV31)</f>
        <v>0.49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229</v>
      </c>
      <c r="C33" s="204">
        <f t="shared" si="18"/>
        <v>4927.1935483870966</v>
      </c>
      <c r="D33">
        <f t="shared" si="44"/>
        <v>229</v>
      </c>
      <c r="E33" s="204">
        <f t="shared" si="18"/>
        <v>4927.1935483870966</v>
      </c>
      <c r="F33">
        <f t="shared" si="45"/>
        <v>229</v>
      </c>
      <c r="G33" s="204">
        <f t="shared" si="1"/>
        <v>4927.1935483870966</v>
      </c>
      <c r="H33" s="204">
        <f t="shared" si="46"/>
        <v>229</v>
      </c>
      <c r="I33" s="204">
        <f t="shared" si="2"/>
        <v>4927.1935483870966</v>
      </c>
      <c r="J33" s="204">
        <f t="shared" si="47"/>
        <v>229</v>
      </c>
      <c r="K33" s="204">
        <f t="shared" si="3"/>
        <v>4927.1935483870966</v>
      </c>
      <c r="L33" s="204">
        <f t="shared" si="48"/>
        <v>229</v>
      </c>
      <c r="M33" s="204">
        <f t="shared" si="4"/>
        <v>4927.1935483870966</v>
      </c>
      <c r="N33" s="204">
        <f t="shared" si="49"/>
        <v>229</v>
      </c>
      <c r="O33" s="204">
        <f t="shared" si="5"/>
        <v>4927.1935483870966</v>
      </c>
      <c r="P33" s="204">
        <f t="shared" si="50"/>
        <v>229</v>
      </c>
      <c r="Q33" s="204">
        <f t="shared" si="6"/>
        <v>4927.1935483870966</v>
      </c>
      <c r="R33" s="204">
        <f t="shared" si="51"/>
        <v>229</v>
      </c>
      <c r="S33" s="204">
        <f t="shared" si="7"/>
        <v>4927.1935483870966</v>
      </c>
      <c r="T33" s="204">
        <f t="shared" si="52"/>
        <v>229</v>
      </c>
      <c r="U33" s="204">
        <f t="shared" si="8"/>
        <v>4927.1935483870966</v>
      </c>
      <c r="V33" s="204">
        <f t="shared" si="53"/>
        <v>229</v>
      </c>
      <c r="W33" s="204">
        <f t="shared" si="9"/>
        <v>4927.1935483870966</v>
      </c>
      <c r="X33" s="35">
        <f t="shared" si="54"/>
        <v>0.738709677419355</v>
      </c>
      <c r="Y33" s="36">
        <f t="shared" si="55"/>
        <v>54199.129032258075</v>
      </c>
      <c r="Z33" s="204">
        <f>'B5'!C32</f>
        <v>234.1</v>
      </c>
      <c r="AA33" s="204">
        <f t="shared" si="30"/>
        <v>2341</v>
      </c>
      <c r="AB33" s="204">
        <f t="shared" si="56"/>
        <v>234.1</v>
      </c>
      <c r="AC33" s="204">
        <f t="shared" si="30"/>
        <v>2341</v>
      </c>
      <c r="AD33" s="204">
        <f t="shared" si="57"/>
        <v>234.1</v>
      </c>
      <c r="AE33" s="204">
        <f t="shared" si="11"/>
        <v>2341</v>
      </c>
      <c r="AF33" s="204">
        <f t="shared" si="58"/>
        <v>234.1</v>
      </c>
      <c r="AG33" s="204">
        <f t="shared" si="12"/>
        <v>2341</v>
      </c>
      <c r="AH33" s="204">
        <f t="shared" si="59"/>
        <v>234.1</v>
      </c>
      <c r="AI33" s="204">
        <f t="shared" si="13"/>
        <v>2341</v>
      </c>
      <c r="AJ33" s="204">
        <f t="shared" si="60"/>
        <v>234.1</v>
      </c>
      <c r="AK33" s="204">
        <f t="shared" si="14"/>
        <v>2341</v>
      </c>
      <c r="AL33" s="204">
        <f t="shared" si="61"/>
        <v>234.1</v>
      </c>
      <c r="AM33" s="204">
        <f t="shared" si="15"/>
        <v>2341</v>
      </c>
      <c r="AN33" s="35">
        <f t="shared" si="62"/>
        <v>0.83607142857142858</v>
      </c>
      <c r="AO33" s="36">
        <f t="shared" si="63"/>
        <v>16387</v>
      </c>
      <c r="AQ33" s="224">
        <f t="shared" si="37"/>
        <v>0.75923554944883376</v>
      </c>
      <c r="AR33" s="38">
        <f t="shared" si="41"/>
        <v>70586.129032258075</v>
      </c>
      <c r="AS33" s="198">
        <f t="shared" si="38"/>
        <v>0</v>
      </c>
      <c r="AT33" s="358"/>
      <c r="AU33" s="442"/>
      <c r="AV33" s="525">
        <f>IF(AT33&gt;0,AU33,AV32)</f>
        <v>0.49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229</v>
      </c>
      <c r="C34" s="204">
        <f t="shared" si="18"/>
        <v>4927.1935483870966</v>
      </c>
      <c r="D34">
        <f t="shared" si="44"/>
        <v>229</v>
      </c>
      <c r="E34" s="204">
        <f t="shared" si="18"/>
        <v>4927.1935483870966</v>
      </c>
      <c r="F34">
        <f t="shared" si="45"/>
        <v>229</v>
      </c>
      <c r="G34" s="204">
        <f t="shared" si="1"/>
        <v>4927.1935483870966</v>
      </c>
      <c r="H34" s="204">
        <f t="shared" si="46"/>
        <v>229</v>
      </c>
      <c r="I34" s="204">
        <f t="shared" si="2"/>
        <v>4927.1935483870966</v>
      </c>
      <c r="J34" s="204">
        <f t="shared" si="47"/>
        <v>229</v>
      </c>
      <c r="K34" s="204">
        <f t="shared" si="3"/>
        <v>4927.1935483870966</v>
      </c>
      <c r="L34" s="204">
        <f t="shared" si="48"/>
        <v>229</v>
      </c>
      <c r="M34" s="204">
        <f t="shared" si="4"/>
        <v>4927.1935483870966</v>
      </c>
      <c r="N34" s="204">
        <f t="shared" si="49"/>
        <v>229</v>
      </c>
      <c r="O34" s="204">
        <f t="shared" si="5"/>
        <v>4927.1935483870966</v>
      </c>
      <c r="P34" s="204">
        <f t="shared" si="50"/>
        <v>229</v>
      </c>
      <c r="Q34" s="204">
        <f t="shared" si="6"/>
        <v>4927.1935483870966</v>
      </c>
      <c r="R34" s="204">
        <f t="shared" si="51"/>
        <v>229</v>
      </c>
      <c r="S34" s="204">
        <f t="shared" si="7"/>
        <v>4927.1935483870966</v>
      </c>
      <c r="T34" s="204">
        <f t="shared" si="52"/>
        <v>229</v>
      </c>
      <c r="U34" s="204">
        <f t="shared" si="8"/>
        <v>4927.1935483870966</v>
      </c>
      <c r="V34" s="204">
        <f t="shared" si="53"/>
        <v>229</v>
      </c>
      <c r="W34" s="204">
        <f t="shared" si="9"/>
        <v>4927.1935483870966</v>
      </c>
      <c r="X34" s="35">
        <f t="shared" si="54"/>
        <v>0.738709677419355</v>
      </c>
      <c r="Y34" s="36">
        <f t="shared" si="55"/>
        <v>54199.129032258075</v>
      </c>
      <c r="Z34" s="204">
        <f>'B5'!C33</f>
        <v>234.1</v>
      </c>
      <c r="AA34" s="204">
        <f t="shared" si="30"/>
        <v>2341</v>
      </c>
      <c r="AB34" s="204">
        <f t="shared" si="56"/>
        <v>234.1</v>
      </c>
      <c r="AC34" s="204">
        <f t="shared" si="30"/>
        <v>2341</v>
      </c>
      <c r="AD34" s="204">
        <f t="shared" si="57"/>
        <v>234.1</v>
      </c>
      <c r="AE34" s="204">
        <f t="shared" si="11"/>
        <v>2341</v>
      </c>
      <c r="AF34" s="204">
        <f t="shared" si="58"/>
        <v>234.1</v>
      </c>
      <c r="AG34" s="204">
        <f t="shared" si="12"/>
        <v>2341</v>
      </c>
      <c r="AH34" s="204">
        <f t="shared" si="59"/>
        <v>234.1</v>
      </c>
      <c r="AI34" s="204">
        <f t="shared" si="13"/>
        <v>2341</v>
      </c>
      <c r="AJ34" s="204">
        <f t="shared" si="60"/>
        <v>234.1</v>
      </c>
      <c r="AK34" s="204">
        <f t="shared" si="14"/>
        <v>2341</v>
      </c>
      <c r="AL34" s="204">
        <f t="shared" si="61"/>
        <v>234.1</v>
      </c>
      <c r="AM34" s="204">
        <f t="shared" si="15"/>
        <v>2341</v>
      </c>
      <c r="AN34" s="35">
        <f t="shared" si="62"/>
        <v>0.83607142857142858</v>
      </c>
      <c r="AO34" s="36">
        <f t="shared" si="63"/>
        <v>16387</v>
      </c>
      <c r="AQ34" s="224">
        <f>SUM(AR34/92970)</f>
        <v>0.75923554944883376</v>
      </c>
      <c r="AR34" s="38">
        <f t="shared" si="41"/>
        <v>70586.129032258075</v>
      </c>
      <c r="AS34" s="198">
        <f t="shared" si="38"/>
        <v>0</v>
      </c>
      <c r="AT34" s="358"/>
      <c r="AU34" s="442"/>
      <c r="AV34" s="525">
        <f t="shared" si="42"/>
        <v>0.49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229</v>
      </c>
      <c r="C35" s="204">
        <f t="shared" si="18"/>
        <v>4927.1935483870966</v>
      </c>
      <c r="D35">
        <f t="shared" si="44"/>
        <v>229</v>
      </c>
      <c r="E35" s="204">
        <f t="shared" si="18"/>
        <v>4927.1935483870966</v>
      </c>
      <c r="F35">
        <f t="shared" si="45"/>
        <v>229</v>
      </c>
      <c r="G35" s="204">
        <f t="shared" si="1"/>
        <v>4927.1935483870966</v>
      </c>
      <c r="H35" s="204">
        <f t="shared" si="46"/>
        <v>229</v>
      </c>
      <c r="I35" s="204">
        <f t="shared" si="2"/>
        <v>4927.1935483870966</v>
      </c>
      <c r="J35" s="204">
        <f t="shared" si="47"/>
        <v>229</v>
      </c>
      <c r="K35" s="204">
        <f t="shared" si="3"/>
        <v>4927.1935483870966</v>
      </c>
      <c r="L35" s="204">
        <f t="shared" si="48"/>
        <v>229</v>
      </c>
      <c r="M35" s="204">
        <f t="shared" si="4"/>
        <v>4927.1935483870966</v>
      </c>
      <c r="N35" s="204">
        <f t="shared" si="49"/>
        <v>229</v>
      </c>
      <c r="O35" s="204">
        <f t="shared" si="5"/>
        <v>4927.1935483870966</v>
      </c>
      <c r="P35" s="204">
        <f t="shared" si="50"/>
        <v>229</v>
      </c>
      <c r="Q35" s="204">
        <f t="shared" si="6"/>
        <v>4927.1935483870966</v>
      </c>
      <c r="R35" s="204">
        <f t="shared" si="51"/>
        <v>229</v>
      </c>
      <c r="S35" s="204">
        <f t="shared" si="7"/>
        <v>4927.1935483870966</v>
      </c>
      <c r="T35" s="204">
        <f t="shared" si="52"/>
        <v>229</v>
      </c>
      <c r="U35" s="204">
        <f t="shared" si="8"/>
        <v>4927.1935483870966</v>
      </c>
      <c r="V35" s="204">
        <f t="shared" si="53"/>
        <v>229</v>
      </c>
      <c r="W35" s="204">
        <f t="shared" si="9"/>
        <v>4927.1935483870966</v>
      </c>
      <c r="X35" s="35">
        <f t="shared" si="54"/>
        <v>0.738709677419355</v>
      </c>
      <c r="Y35" s="36">
        <f t="shared" si="55"/>
        <v>54199.129032258075</v>
      </c>
      <c r="Z35" s="204">
        <f>'B5'!C34</f>
        <v>234.1</v>
      </c>
      <c r="AA35" s="204">
        <f t="shared" si="30"/>
        <v>2341</v>
      </c>
      <c r="AB35" s="204">
        <f t="shared" si="56"/>
        <v>234.1</v>
      </c>
      <c r="AC35" s="204">
        <f t="shared" si="30"/>
        <v>2341</v>
      </c>
      <c r="AD35" s="204">
        <f t="shared" si="57"/>
        <v>234.1</v>
      </c>
      <c r="AE35" s="204">
        <f t="shared" si="11"/>
        <v>2341</v>
      </c>
      <c r="AF35" s="204">
        <f t="shared" si="58"/>
        <v>234.1</v>
      </c>
      <c r="AG35" s="204">
        <f t="shared" si="12"/>
        <v>2341</v>
      </c>
      <c r="AH35" s="204">
        <f t="shared" si="59"/>
        <v>234.1</v>
      </c>
      <c r="AI35" s="204">
        <f t="shared" si="13"/>
        <v>2341</v>
      </c>
      <c r="AJ35" s="204">
        <f t="shared" si="60"/>
        <v>234.1</v>
      </c>
      <c r="AK35" s="204">
        <f t="shared" si="14"/>
        <v>2341</v>
      </c>
      <c r="AL35" s="204">
        <f t="shared" si="61"/>
        <v>234.1</v>
      </c>
      <c r="AM35" s="204">
        <f t="shared" si="15"/>
        <v>2341</v>
      </c>
      <c r="AN35" s="35">
        <f t="shared" si="62"/>
        <v>0.83607142857142858</v>
      </c>
      <c r="AO35" s="36">
        <f t="shared" si="63"/>
        <v>16387</v>
      </c>
      <c r="AQ35" s="224">
        <f>SUM(AR35/92970)</f>
        <v>0.75923554944883376</v>
      </c>
      <c r="AR35" s="38">
        <f t="shared" si="41"/>
        <v>70586.129032258075</v>
      </c>
      <c r="AS35" s="198">
        <f t="shared" si="38"/>
        <v>0</v>
      </c>
      <c r="AT35" s="358"/>
      <c r="AU35" s="442"/>
      <c r="AV35" s="525">
        <f>IF(AT35&gt;0,AU35,AV34)</f>
        <v>0.49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229</v>
      </c>
      <c r="C36" s="204">
        <f t="shared" ref="C36" si="64">B36*$B$4</f>
        <v>4927.1935483870966</v>
      </c>
      <c r="D36">
        <f t="shared" ref="D36" si="65">SUM(B36)</f>
        <v>229</v>
      </c>
      <c r="E36" s="204">
        <f t="shared" ref="E36" si="66">D36*$B$4</f>
        <v>4927.1935483870966</v>
      </c>
      <c r="F36">
        <f t="shared" ref="F36" si="67">SUM(D36)</f>
        <v>229</v>
      </c>
      <c r="G36" s="204">
        <f t="shared" ref="G36" si="68">F36*$B$4</f>
        <v>4927.1935483870966</v>
      </c>
      <c r="H36" s="204">
        <f t="shared" ref="H36" si="69">SUM(F36)</f>
        <v>229</v>
      </c>
      <c r="I36" s="204">
        <f t="shared" ref="I36" si="70">H36*$B$4</f>
        <v>4927.1935483870966</v>
      </c>
      <c r="J36" s="204">
        <f t="shared" ref="J36" si="71">SUM(H36)</f>
        <v>229</v>
      </c>
      <c r="K36" s="204">
        <f t="shared" ref="K36" si="72">J36*$B$4</f>
        <v>4927.1935483870966</v>
      </c>
      <c r="L36" s="204">
        <f t="shared" ref="L36" si="73">SUM(J36)</f>
        <v>229</v>
      </c>
      <c r="M36" s="204">
        <f t="shared" ref="M36" si="74">L36*$B$4</f>
        <v>4927.1935483870966</v>
      </c>
      <c r="N36" s="204">
        <f t="shared" ref="N36" si="75">SUM(L36)</f>
        <v>229</v>
      </c>
      <c r="O36" s="204">
        <f t="shared" ref="O36" si="76">N36*$B$4</f>
        <v>4927.1935483870966</v>
      </c>
      <c r="P36" s="204">
        <f t="shared" ref="P36" si="77">SUM(N36)</f>
        <v>229</v>
      </c>
      <c r="Q36" s="204">
        <f t="shared" ref="Q36" si="78">P36*$B$4</f>
        <v>4927.1935483870966</v>
      </c>
      <c r="R36" s="204">
        <f t="shared" ref="R36" si="79">SUM(P36)</f>
        <v>229</v>
      </c>
      <c r="S36" s="204">
        <f t="shared" ref="S36" si="80">R36*$B$4</f>
        <v>4927.1935483870966</v>
      </c>
      <c r="T36" s="204">
        <f t="shared" ref="T36" si="81">SUM(R36)</f>
        <v>229</v>
      </c>
      <c r="U36" s="204">
        <f t="shared" ref="U36" si="82">T36*$B$4</f>
        <v>4927.1935483870966</v>
      </c>
      <c r="V36" s="204">
        <f t="shared" ref="V36" si="83">SUM(T36)</f>
        <v>229</v>
      </c>
      <c r="W36" s="204">
        <f t="shared" ref="W36" si="84">V36*$B$4</f>
        <v>4927.1935483870966</v>
      </c>
      <c r="X36" s="35">
        <f t="shared" ref="X36" si="85">SUM(Y36/73370)</f>
        <v>0.738709677419355</v>
      </c>
      <c r="Y36" s="36">
        <f t="shared" ref="Y36" si="86">SUM(C36+E36+G36+I36+K36+M36+O36+Q36+S36+U36+W36)</f>
        <v>54199.129032258075</v>
      </c>
      <c r="Z36" s="204">
        <f>'B5'!C35</f>
        <v>234.1</v>
      </c>
      <c r="AA36" s="204">
        <f t="shared" ref="AA36" si="87">SUM(Z36*$Z$4)</f>
        <v>2341</v>
      </c>
      <c r="AB36" s="204">
        <f t="shared" ref="AB36" si="88">SUM(Z36)</f>
        <v>234.1</v>
      </c>
      <c r="AC36" s="204">
        <f t="shared" ref="AC36" si="89">SUM(AB36*$Z$4)</f>
        <v>2341</v>
      </c>
      <c r="AD36" s="204">
        <f t="shared" ref="AD36" si="90">SUM(AB36)</f>
        <v>234.1</v>
      </c>
      <c r="AE36" s="204">
        <f t="shared" ref="AE36" si="91">SUM(AD36*$Z$4)</f>
        <v>2341</v>
      </c>
      <c r="AF36" s="204">
        <f t="shared" ref="AF36" si="92">SUM(AD36)</f>
        <v>234.1</v>
      </c>
      <c r="AG36" s="204">
        <f t="shared" ref="AG36" si="93">SUM(AF36*$Z$4)</f>
        <v>2341</v>
      </c>
      <c r="AH36" s="204">
        <f t="shared" ref="AH36" si="94">SUM(AF36)</f>
        <v>234.1</v>
      </c>
      <c r="AI36" s="204">
        <f t="shared" ref="AI36" si="95">SUM(AH36*$Z$4)</f>
        <v>2341</v>
      </c>
      <c r="AJ36" s="204">
        <f t="shared" ref="AJ36" si="96">SUM(AH36)</f>
        <v>234.1</v>
      </c>
      <c r="AK36" s="204">
        <f t="shared" ref="AK36" si="97">SUM(AJ36*$Z$4)</f>
        <v>2341</v>
      </c>
      <c r="AL36" s="204">
        <f t="shared" ref="AL36" si="98">SUM(AJ36)</f>
        <v>234.1</v>
      </c>
      <c r="AM36" s="204">
        <f t="shared" ref="AM36" si="99">SUM(AL36*$Z$4)</f>
        <v>2341</v>
      </c>
      <c r="AN36" s="35">
        <f t="shared" ref="AN36" si="100">SUM(AO36/19600)</f>
        <v>0.83607142857142858</v>
      </c>
      <c r="AO36" s="36">
        <f t="shared" ref="AO36" si="101">SUM(AA36+AC36+AE36+AG36+AI36+AK36+AM36)</f>
        <v>16387</v>
      </c>
      <c r="AQ36" s="224">
        <f>SUM(AR36/92970)</f>
        <v>0.75923554944883376</v>
      </c>
      <c r="AR36" s="38">
        <f t="shared" si="41"/>
        <v>70586.129032258075</v>
      </c>
      <c r="AS36" s="198">
        <f t="shared" ref="AS36" si="102">SUM(AR36-AR35-AT36)</f>
        <v>0</v>
      </c>
      <c r="AT36" s="358"/>
      <c r="AU36" s="442"/>
      <c r="AV36" s="525">
        <f>IF(AT36&gt;0,AU36,AV35)</f>
        <v>0.49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10164</v>
      </c>
      <c r="AU37">
        <f>SUM(AU6:AU36)/AS37</f>
        <v>0.49</v>
      </c>
      <c r="AX37" s="204">
        <f>SUM(AX6:AX35)</f>
        <v>-10842.483870967742</v>
      </c>
      <c r="AY37" s="204">
        <f>SUM(AY6:AY35)</f>
        <v>-14520.483870967742</v>
      </c>
    </row>
    <row r="38" spans="1:60">
      <c r="AS38" s="207"/>
      <c r="AT38">
        <f>+AT37*AU37</f>
        <v>4980.3599999999997</v>
      </c>
    </row>
    <row r="40" spans="1:60">
      <c r="AS40" s="165">
        <f>SUM(AS6:AS35)/'EDl log'!A35</f>
        <v>-558.48014888337468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3</v>
      </c>
      <c r="B8" s="3">
        <f>ELEC!AF9</f>
        <v>663</v>
      </c>
      <c r="C8" s="3">
        <f>ELEC!N9</f>
        <v>6591.6000000000931</v>
      </c>
      <c r="D8" s="3">
        <f t="shared" si="0"/>
        <v>6591.6000000000931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109.5</v>
      </c>
      <c r="J8" s="9">
        <f>'B5'!A10</f>
        <v>44141</v>
      </c>
    </row>
    <row r="9" spans="1:10">
      <c r="A9" s="3">
        <f>ELEC!T10+ELEC!X10+ELEC!AB10</f>
        <v>5</v>
      </c>
      <c r="B9" s="3">
        <f>ELEC!AF10</f>
        <v>884</v>
      </c>
      <c r="C9" s="3">
        <f>ELEC!N10</f>
        <v>7125.7999999998137</v>
      </c>
      <c r="D9" s="3">
        <f t="shared" si="0"/>
        <v>5125.7999999998137</v>
      </c>
      <c r="E9" s="3">
        <f>ELEC!Q10</f>
        <v>2000</v>
      </c>
      <c r="F9" s="3">
        <f>GEN!Z9</f>
        <v>3</v>
      </c>
      <c r="G9" s="3">
        <f>WATER!C12+WATER!H12</f>
        <v>190</v>
      </c>
      <c r="H9" s="3">
        <f>WATER!L12</f>
        <v>0</v>
      </c>
      <c r="I9" s="15">
        <f>WATER!BC12+WATER!BD12+WATER!BE13-Sheet1!G9</f>
        <v>-195.2</v>
      </c>
      <c r="J9" s="9">
        <f>'B5'!A11</f>
        <v>44142</v>
      </c>
    </row>
    <row r="10" spans="1:10">
      <c r="A10" s="3">
        <f>ELEC!T11+ELEC!X11+ELEC!AB11</f>
        <v>5</v>
      </c>
      <c r="B10" s="3">
        <f>ELEC!AF11</f>
        <v>987</v>
      </c>
      <c r="C10" s="3">
        <f>ELEC!N11</f>
        <v>7376</v>
      </c>
      <c r="D10" s="3">
        <f t="shared" si="0"/>
        <v>6376</v>
      </c>
      <c r="E10" s="3">
        <f>ELEC!Q11</f>
        <v>1000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61</v>
      </c>
      <c r="J10" s="9">
        <f>'B5'!A12</f>
        <v>44143</v>
      </c>
    </row>
    <row r="11" spans="1:10">
      <c r="A11" s="3">
        <f>ELEC!T12+ELEC!X12+ELEC!AB12</f>
        <v>5</v>
      </c>
      <c r="B11" s="3">
        <f>ELEC!AF12</f>
        <v>868</v>
      </c>
      <c r="C11" s="3">
        <f>ELEC!N12</f>
        <v>7892</v>
      </c>
      <c r="D11" s="3">
        <f t="shared" si="0"/>
        <v>6892</v>
      </c>
      <c r="E11" s="3">
        <f>ELEC!Q12</f>
        <v>1000</v>
      </c>
      <c r="F11" s="3">
        <f>GEN!Z11</f>
        <v>3</v>
      </c>
      <c r="G11" s="3">
        <f>WATER!C14+WATER!H14</f>
        <v>191</v>
      </c>
      <c r="H11" s="3">
        <f>WATER!L14</f>
        <v>0</v>
      </c>
      <c r="I11" s="15">
        <f>WATER!BC14+WATER!BD14+WATER!BE15-Sheet1!G11</f>
        <v>-168.79999999999998</v>
      </c>
      <c r="J11" s="9">
        <f>'B5'!A13</f>
        <v>44144</v>
      </c>
    </row>
    <row r="12" spans="1:10">
      <c r="A12" s="3">
        <f>ELEC!T13+ELEC!X13+ELEC!AB13</f>
        <v>8</v>
      </c>
      <c r="B12" s="3">
        <f>ELEC!AF13</f>
        <v>1465</v>
      </c>
      <c r="C12" s="3">
        <f>ELEC!N13</f>
        <v>8345</v>
      </c>
      <c r="D12" s="3">
        <f t="shared" si="0"/>
        <v>7345</v>
      </c>
      <c r="E12" s="3">
        <f>ELEC!Q13</f>
        <v>1000</v>
      </c>
      <c r="F12" s="3">
        <f>GEN!Z12</f>
        <v>1</v>
      </c>
      <c r="G12" s="3">
        <f>WATER!C15+WATER!H15</f>
        <v>0</v>
      </c>
      <c r="H12" s="3">
        <f>WATER!L15</f>
        <v>0</v>
      </c>
      <c r="I12" s="15">
        <f>WATER!BC15+WATER!BD15+WATER!BE16-Sheet1!G12</f>
        <v>151.30000000000001</v>
      </c>
      <c r="J12" s="9">
        <f>'B5'!A14</f>
        <v>44145</v>
      </c>
    </row>
    <row r="13" spans="1:10">
      <c r="A13" s="3">
        <f>ELEC!T14+ELEC!X14+ELEC!AB14</f>
        <v>7</v>
      </c>
      <c r="B13" s="3">
        <f>ELEC!AF14</f>
        <v>1463</v>
      </c>
      <c r="C13" s="3">
        <f>ELEC!N14</f>
        <v>8791</v>
      </c>
      <c r="D13" s="3">
        <f t="shared" si="0"/>
        <v>6791</v>
      </c>
      <c r="E13" s="3">
        <f>ELEC!Q14</f>
        <v>2000</v>
      </c>
      <c r="F13" s="3">
        <f>GEN!Z13</f>
        <v>3</v>
      </c>
      <c r="G13" s="3">
        <f>WATER!C16+WATER!H16</f>
        <v>185</v>
      </c>
      <c r="H13" s="3">
        <f>WATER!L16</f>
        <v>0</v>
      </c>
      <c r="I13" s="15">
        <f>WATER!BC16+WATER!BD16+WATER!BE17-Sheet1!G13</f>
        <v>-216</v>
      </c>
      <c r="J13" s="9">
        <f>'B5'!A15</f>
        <v>44146</v>
      </c>
    </row>
    <row r="14" spans="1:10">
      <c r="A14" s="3">
        <f>ELEC!T15+ELEC!X15+ELEC!AB15</f>
        <v>5</v>
      </c>
      <c r="B14" s="3">
        <f>ELEC!AF15</f>
        <v>1198</v>
      </c>
      <c r="C14" s="3">
        <f>ELEC!N15</f>
        <v>8409</v>
      </c>
      <c r="D14" s="3">
        <f t="shared" si="0"/>
        <v>7409</v>
      </c>
      <c r="E14" s="3">
        <f>ELEC!Q15</f>
        <v>1000</v>
      </c>
      <c r="F14" s="3">
        <f>GEN!Z14</f>
        <v>4</v>
      </c>
      <c r="G14" s="3">
        <f>WATER!C17+WATER!H17</f>
        <v>0</v>
      </c>
      <c r="H14" s="3">
        <f>WATER!L17</f>
        <v>1</v>
      </c>
      <c r="I14" s="15">
        <f>WATER!BC17+WATER!BD17+WATER!BE18-Sheet1!G14</f>
        <v>133.39999999999998</v>
      </c>
      <c r="J14" s="9">
        <f>'B5'!A16</f>
        <v>44147</v>
      </c>
    </row>
    <row r="15" spans="1:10">
      <c r="A15" s="3">
        <f>ELEC!T16+ELEC!X16+ELEC!AB16</f>
        <v>4</v>
      </c>
      <c r="B15" s="3">
        <f>ELEC!AF16</f>
        <v>809</v>
      </c>
      <c r="C15" s="3">
        <f>ELEC!N16</f>
        <v>8847</v>
      </c>
      <c r="D15" s="3">
        <f t="shared" si="0"/>
        <v>7847</v>
      </c>
      <c r="E15" s="3">
        <f>ELEC!Q16</f>
        <v>1000</v>
      </c>
      <c r="F15" s="3">
        <f>GEN!Z15</f>
        <v>3</v>
      </c>
      <c r="G15" s="3">
        <f>WATER!C18+WATER!H18</f>
        <v>117</v>
      </c>
      <c r="H15" s="3">
        <f>WATER!L18</f>
        <v>0</v>
      </c>
      <c r="I15" s="15">
        <f>WATER!BC18+WATER!BD18+WATER!BE19-Sheet1!G15</f>
        <v>-340.9</v>
      </c>
      <c r="J15" s="9">
        <f>'B5'!A17</f>
        <v>44148</v>
      </c>
    </row>
    <row r="16" spans="1:10">
      <c r="A16" s="3">
        <f>ELEC!T17+ELEC!X17+ELEC!AB17</f>
        <v>3</v>
      </c>
      <c r="B16" s="3">
        <f>ELEC!AF17</f>
        <v>772</v>
      </c>
      <c r="C16" s="3">
        <f>ELEC!N17</f>
        <v>5742</v>
      </c>
      <c r="D16" s="3">
        <f t="shared" si="0"/>
        <v>4742</v>
      </c>
      <c r="E16" s="3">
        <f>ELEC!Q17</f>
        <v>1000</v>
      </c>
      <c r="F16" s="3">
        <f>GEN!Z16</f>
        <v>1</v>
      </c>
      <c r="G16" s="3">
        <f>WATER!C19+WATER!H19</f>
        <v>0</v>
      </c>
      <c r="H16" s="3">
        <f>WATER!L19</f>
        <v>0</v>
      </c>
      <c r="I16" s="15">
        <f>WATER!BC19+WATER!BD19+WATER!BE20-Sheet1!G16</f>
        <v>121.60000000000002</v>
      </c>
      <c r="J16" s="9">
        <f>'B5'!A18</f>
        <v>44149</v>
      </c>
    </row>
    <row r="17" spans="1:10">
      <c r="A17" s="3">
        <f>ELEC!T18+ELEC!X18+ELEC!AB18</f>
        <v>8</v>
      </c>
      <c r="B17" s="3">
        <f>ELEC!AF18</f>
        <v>1317</v>
      </c>
      <c r="C17" s="3">
        <f>ELEC!N18</f>
        <v>8525</v>
      </c>
      <c r="D17" s="3">
        <f t="shared" si="0"/>
        <v>7525</v>
      </c>
      <c r="E17" s="3">
        <f>ELEC!Q18</f>
        <v>1000</v>
      </c>
      <c r="F17" s="3">
        <f>GEN!Z17</f>
        <v>4</v>
      </c>
      <c r="G17" s="3">
        <f>WATER!C20+WATER!H20</f>
        <v>152</v>
      </c>
      <c r="H17" s="3">
        <f>WATER!L20</f>
        <v>0</v>
      </c>
      <c r="I17" s="15">
        <f>WATER!BC20+WATER!BD20+WATER!BE21-Sheet1!G17</f>
        <v>-13.100000000000023</v>
      </c>
      <c r="J17" s="9">
        <f>'B5'!A19</f>
        <v>44150</v>
      </c>
    </row>
    <row r="18" spans="1:10">
      <c r="A18" s="3">
        <f>ELEC!T19+ELEC!X19+ELEC!AB19</f>
        <v>5</v>
      </c>
      <c r="B18" s="3">
        <f>ELEC!AF19</f>
        <v>942</v>
      </c>
      <c r="C18" s="3">
        <f>ELEC!N19</f>
        <v>7549</v>
      </c>
      <c r="D18" s="3">
        <f t="shared" si="0"/>
        <v>5549</v>
      </c>
      <c r="E18" s="3">
        <f>ELEC!Q19</f>
        <v>2000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138.70000000000002</v>
      </c>
      <c r="J18" s="9">
        <f>'B5'!A20</f>
        <v>44151</v>
      </c>
    </row>
    <row r="19" spans="1:10">
      <c r="A19" s="3">
        <f>ELEC!T20+ELEC!X20+ELEC!AB20</f>
        <v>4</v>
      </c>
      <c r="B19" s="3">
        <f>ELEC!AF20</f>
        <v>1042</v>
      </c>
      <c r="C19" s="3">
        <f>ELEC!N20</f>
        <v>8405</v>
      </c>
      <c r="D19" s="3">
        <f t="shared" si="0"/>
        <v>7755.9999999987485</v>
      </c>
      <c r="E19" s="3">
        <f>ELEC!Q20</f>
        <v>649.00000000125146</v>
      </c>
      <c r="F19" s="3">
        <f>GEN!Z19</f>
        <v>3</v>
      </c>
      <c r="G19" s="3">
        <f>WATER!C22+WATER!H22</f>
        <v>191</v>
      </c>
      <c r="H19" s="3">
        <f>WATER!L22</f>
        <v>0</v>
      </c>
      <c r="I19" s="15">
        <f>WATER!BC22+WATER!BD22+WATER!BE23-Sheet1!G19</f>
        <v>-196.39999999999998</v>
      </c>
      <c r="J19" s="9">
        <f>'B5'!A21</f>
        <v>44152</v>
      </c>
    </row>
    <row r="20" spans="1:10">
      <c r="A20" s="3">
        <f>ELEC!T21+ELEC!X21+ELEC!AB21</f>
        <v>6</v>
      </c>
      <c r="B20" s="3">
        <f>ELEC!AF21</f>
        <v>1034</v>
      </c>
      <c r="C20" s="3">
        <f>ELEC!N21</f>
        <v>7757</v>
      </c>
      <c r="D20" s="3">
        <f t="shared" si="0"/>
        <v>6416.9999999998545</v>
      </c>
      <c r="E20" s="3">
        <f>ELEC!Q21</f>
        <v>1340.0000000001455</v>
      </c>
      <c r="F20" s="3">
        <f>GEN!Z20</f>
        <v>1</v>
      </c>
      <c r="G20" s="3">
        <f>WATER!C23+WATER!H23</f>
        <v>0</v>
      </c>
      <c r="H20" s="3">
        <f>WATER!L23</f>
        <v>0</v>
      </c>
      <c r="I20" s="15">
        <f>WATER!BC23+WATER!BD23+WATER!BE24-Sheet1!G20</f>
        <v>-25.899999999999963</v>
      </c>
      <c r="J20" s="9">
        <f>'B5'!A22</f>
        <v>44153</v>
      </c>
    </row>
    <row r="21" spans="1:10">
      <c r="A21" s="3">
        <f>ELEC!T22+ELEC!X22+ELEC!AB22</f>
        <v>4</v>
      </c>
      <c r="B21" s="3">
        <f>ELEC!AF22</f>
        <v>850</v>
      </c>
      <c r="C21" s="3">
        <f>ELEC!N22</f>
        <v>8155</v>
      </c>
      <c r="D21" s="3">
        <f t="shared" si="0"/>
        <v>6752.0000000015716</v>
      </c>
      <c r="E21" s="3">
        <f>ELEC!Q22</f>
        <v>1402.9999999984284</v>
      </c>
      <c r="F21" s="3">
        <f>GEN!Z21</f>
        <v>4</v>
      </c>
      <c r="G21" s="3">
        <f>WATER!C24+WATER!H24</f>
        <v>94</v>
      </c>
      <c r="H21" s="3">
        <f>WATER!L24</f>
        <v>0</v>
      </c>
      <c r="I21" s="15">
        <f>WATER!BC24+WATER!BD24+WATER!BE25-Sheet1!G21</f>
        <v>6.3000000000000114</v>
      </c>
      <c r="J21" s="9">
        <f>'B5'!A23</f>
        <v>44154</v>
      </c>
    </row>
    <row r="22" spans="1:10">
      <c r="A22" s="3">
        <f>ELEC!T23+ELEC!X23+ELEC!AB23</f>
        <v>2</v>
      </c>
      <c r="B22" s="3">
        <f>ELEC!AF23</f>
        <v>498</v>
      </c>
      <c r="C22" s="3">
        <f>ELEC!N23</f>
        <v>6563</v>
      </c>
      <c r="D22" s="3">
        <f t="shared" si="0"/>
        <v>5934.9999999993888</v>
      </c>
      <c r="E22" s="3">
        <f>ELEC!Q23</f>
        <v>628.00000000061118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78.099999999999994</v>
      </c>
      <c r="J22" s="9">
        <f>'B5'!A24</f>
        <v>44155</v>
      </c>
    </row>
    <row r="23" spans="1:10">
      <c r="A23" s="3">
        <f>ELEC!T24+ELEC!X24+ELEC!AB24</f>
        <v>3</v>
      </c>
      <c r="B23" s="3">
        <f>ELEC!AF24</f>
        <v>665</v>
      </c>
      <c r="C23" s="3">
        <f>ELEC!N24</f>
        <v>7116</v>
      </c>
      <c r="D23" s="3">
        <f t="shared" si="0"/>
        <v>7116</v>
      </c>
      <c r="E23" s="3">
        <f>ELEC!Q24</f>
        <v>0</v>
      </c>
      <c r="F23" s="3">
        <f>GEN!Z23</f>
        <v>2</v>
      </c>
      <c r="G23" s="3">
        <f>WATER!C26+WATER!H26</f>
        <v>220</v>
      </c>
      <c r="H23" s="3">
        <f>WATER!L26</f>
        <v>0</v>
      </c>
      <c r="I23" s="15">
        <f>WATER!BC26+WATER!BD26+WATER!BE27-Sheet1!G23</f>
        <v>-238.3</v>
      </c>
      <c r="J23" s="9">
        <f>'B5'!A25</f>
        <v>44156</v>
      </c>
    </row>
    <row r="24" spans="1:10">
      <c r="A24" s="3">
        <f>ELEC!T25+ELEC!X25+ELEC!AB25</f>
        <v>4</v>
      </c>
      <c r="B24" s="3">
        <f>ELEC!AF25</f>
        <v>720</v>
      </c>
      <c r="C24" s="3">
        <f>ELEC!N25</f>
        <v>8409</v>
      </c>
      <c r="D24" s="3">
        <f t="shared" si="0"/>
        <v>6714.000000000291</v>
      </c>
      <c r="E24" s="3">
        <f>ELEC!Q25</f>
        <v>1694.999999999709</v>
      </c>
      <c r="F24" s="3">
        <f>GEN!Z24</f>
        <v>0</v>
      </c>
      <c r="G24" s="3">
        <f>WATER!C27+WATER!H27</f>
        <v>11</v>
      </c>
      <c r="H24" s="3">
        <f>WATER!L27</f>
        <v>0</v>
      </c>
      <c r="I24" s="15">
        <f>WATER!BC27+WATER!BD27+WATER!BE28-Sheet1!G24</f>
        <v>48.299999999999983</v>
      </c>
      <c r="J24" s="9">
        <f>'B5'!A26</f>
        <v>44157</v>
      </c>
    </row>
    <row r="25" spans="1:10">
      <c r="A25" s="3">
        <f>ELEC!T26+ELEC!X26+ELEC!AB26</f>
        <v>3</v>
      </c>
      <c r="B25" s="3">
        <f>ELEC!AF26</f>
        <v>623</v>
      </c>
      <c r="C25" s="3">
        <f>ELEC!N26</f>
        <v>6185</v>
      </c>
      <c r="D25" s="3">
        <f t="shared" si="0"/>
        <v>4820.999999998603</v>
      </c>
      <c r="E25" s="3">
        <f>ELEC!Q26</f>
        <v>1364.000000001397</v>
      </c>
      <c r="F25" s="3">
        <f>GEN!Z25</f>
        <v>3</v>
      </c>
      <c r="G25" s="3">
        <f>WATER!C28+WATER!H28</f>
        <v>185</v>
      </c>
      <c r="H25" s="3">
        <f>WATER!L28</f>
        <v>0</v>
      </c>
      <c r="I25" s="15">
        <f>WATER!BC28+WATER!BD28+WATER!BE29-Sheet1!G25</f>
        <v>-174.2</v>
      </c>
      <c r="J25" s="9">
        <f>'B5'!A27</f>
        <v>44158</v>
      </c>
    </row>
    <row r="26" spans="1:10">
      <c r="A26" s="3">
        <f>ELEC!T27+ELEC!X27+ELEC!AB27</f>
        <v>4</v>
      </c>
      <c r="B26" s="3">
        <f>ELEC!AF27</f>
        <v>1048</v>
      </c>
      <c r="C26" s="3">
        <f>ELEC!N27</f>
        <v>7896</v>
      </c>
      <c r="D26" s="3">
        <f t="shared" si="0"/>
        <v>6375.0000000029977</v>
      </c>
      <c r="E26" s="3">
        <f>ELEC!Q27</f>
        <v>1520.9999999970023</v>
      </c>
      <c r="F26" s="3">
        <f>GEN!Z26</f>
        <v>3</v>
      </c>
      <c r="G26" s="3">
        <f>WATER!C29+WATER!H29</f>
        <v>5</v>
      </c>
      <c r="H26" s="3">
        <f>WATER!L29</f>
        <v>0</v>
      </c>
      <c r="I26" s="15">
        <f>WATER!BC29+WATER!BD29+WATER!BE30-Sheet1!G26</f>
        <v>-49.299999999999969</v>
      </c>
      <c r="J26" s="9">
        <f>'B5'!A28</f>
        <v>44159</v>
      </c>
    </row>
    <row r="27" spans="1:10">
      <c r="A27" s="3">
        <f>ELEC!T28+ELEC!X28+ELEC!AB28</f>
        <v>3</v>
      </c>
      <c r="B27" s="3">
        <f>ELEC!AF28</f>
        <v>368</v>
      </c>
      <c r="C27" s="3">
        <f>ELEC!N28</f>
        <v>6597</v>
      </c>
      <c r="D27" s="3">
        <f t="shared" si="0"/>
        <v>5462.9999999981665</v>
      </c>
      <c r="E27" s="3">
        <f>ELEC!Q28</f>
        <v>1134.0000000018335</v>
      </c>
      <c r="F27" s="3">
        <f>GEN!Z27</f>
        <v>3</v>
      </c>
      <c r="G27" s="3">
        <f>WATER!C30+WATER!H30</f>
        <v>2</v>
      </c>
      <c r="H27" s="3">
        <f>WATER!L30</f>
        <v>0</v>
      </c>
      <c r="I27" s="15">
        <f>WATER!BC30+WATER!BD30+WATER!BE31-Sheet1!G27</f>
        <v>63.399999999999949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2</v>
      </c>
      <c r="G28" s="3">
        <f>WATER!C31+WATER!H31</f>
        <v>0</v>
      </c>
      <c r="H28" s="3">
        <f>WATER!L31</f>
        <v>0</v>
      </c>
      <c r="I28" s="15">
        <f>WATER!BC31+WATER!BD31+WATER!BE32-Sheet1!G28</f>
        <v>-12.000000000000057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238</v>
      </c>
      <c r="C11" s="76">
        <f>'B5'!AH11</f>
        <v>0</v>
      </c>
      <c r="D11" s="76">
        <f>GEN!AI9</f>
        <v>0</v>
      </c>
      <c r="E11" s="244">
        <f t="shared" si="0"/>
        <v>238</v>
      </c>
      <c r="F11" s="75">
        <f>WATER!L11</f>
        <v>9</v>
      </c>
      <c r="G11" s="78">
        <f>WATER!BG11</f>
        <v>-19.599999999999994</v>
      </c>
      <c r="H11" s="79">
        <f>ELEC!AF9</f>
        <v>663</v>
      </c>
      <c r="I11" s="79">
        <f>ELEC!Q9</f>
        <v>0</v>
      </c>
      <c r="J11" s="79">
        <f>ELEC!R9</f>
        <v>6591.6000000000931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162</v>
      </c>
      <c r="C12" s="76">
        <f>'B5'!AH12</f>
        <v>0</v>
      </c>
      <c r="D12" s="76">
        <f>GEN!AI10</f>
        <v>514.76793248945148</v>
      </c>
      <c r="E12" s="244">
        <f t="shared" si="0"/>
        <v>676.76793248945148</v>
      </c>
      <c r="F12" s="75">
        <f>WATER!L12</f>
        <v>0</v>
      </c>
      <c r="G12" s="78">
        <f>WATER!BG12</f>
        <v>77.8</v>
      </c>
      <c r="H12" s="79">
        <f>ELEC!AF10</f>
        <v>884</v>
      </c>
      <c r="I12" s="79">
        <f>ELEC!Q10</f>
        <v>2000</v>
      </c>
      <c r="J12" s="79">
        <f>ELEC!R10</f>
        <v>5125.7999999998137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137</v>
      </c>
      <c r="C13" s="76">
        <f>'B5'!AH13</f>
        <v>0</v>
      </c>
      <c r="D13" s="76">
        <f>GEN!AI11</f>
        <v>257.38396624472574</v>
      </c>
      <c r="E13" s="244">
        <f t="shared" si="0"/>
        <v>394.38396624472574</v>
      </c>
      <c r="F13" s="75">
        <f>WATER!L13</f>
        <v>0</v>
      </c>
      <c r="G13" s="78">
        <f>WATER!BG13</f>
        <v>-20</v>
      </c>
      <c r="H13" s="79">
        <f>ELEC!AF11</f>
        <v>987</v>
      </c>
      <c r="I13" s="79">
        <f>ELEC!Q11</f>
        <v>1000</v>
      </c>
      <c r="J13" s="79">
        <f>ELEC!R11</f>
        <v>6376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144</v>
      </c>
      <c r="C14" s="76">
        <f>'B5'!AH14</f>
        <v>0</v>
      </c>
      <c r="D14" s="76">
        <f>GEN!AI12</f>
        <v>257.38396624472574</v>
      </c>
      <c r="E14" s="244">
        <f t="shared" si="0"/>
        <v>401.38396624472574</v>
      </c>
      <c r="F14" s="75">
        <f>WATER!L14</f>
        <v>0</v>
      </c>
      <c r="G14" s="78">
        <f>WATER!BG14</f>
        <v>81</v>
      </c>
      <c r="H14" s="79">
        <f>ELEC!AF12</f>
        <v>868</v>
      </c>
      <c r="I14" s="79">
        <f>ELEC!Q12</f>
        <v>1000</v>
      </c>
      <c r="J14" s="79">
        <f>ELEC!R12</f>
        <v>6892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162</v>
      </c>
      <c r="C15" s="76">
        <f>'B5'!AH15</f>
        <v>0</v>
      </c>
      <c r="D15" s="76">
        <f>GEN!AI13</f>
        <v>257.38396624472574</v>
      </c>
      <c r="E15" s="244">
        <f t="shared" si="0"/>
        <v>419.38396624472574</v>
      </c>
      <c r="F15" s="75">
        <f>WATER!L15</f>
        <v>0</v>
      </c>
      <c r="G15" s="78">
        <f>WATER!BG15</f>
        <v>-32.699999999999989</v>
      </c>
      <c r="H15" s="79">
        <f>ELEC!AF13</f>
        <v>1465</v>
      </c>
      <c r="I15" s="79">
        <f>ELEC!Q13</f>
        <v>1000</v>
      </c>
      <c r="J15" s="79">
        <f>ELEC!R13</f>
        <v>7345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164</v>
      </c>
      <c r="C16" s="76">
        <f>'B5'!AH16</f>
        <v>80</v>
      </c>
      <c r="D16" s="76">
        <f>GEN!AI14</f>
        <v>514.76793248945148</v>
      </c>
      <c r="E16" s="244">
        <f t="shared" si="0"/>
        <v>758.76793248945148</v>
      </c>
      <c r="F16" s="75">
        <f>WATER!L16</f>
        <v>0</v>
      </c>
      <c r="G16" s="78">
        <f>WATER!BG16</f>
        <v>87.7</v>
      </c>
      <c r="H16" s="79">
        <f>ELEC!AF14</f>
        <v>1463</v>
      </c>
      <c r="I16" s="79">
        <f>ELEC!Q14</f>
        <v>2000</v>
      </c>
      <c r="J16" s="79">
        <f>ELEC!R14</f>
        <v>6791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137</v>
      </c>
      <c r="C17" s="76">
        <f>'B5'!AH17</f>
        <v>0</v>
      </c>
      <c r="D17" s="76">
        <f>GEN!AI15</f>
        <v>257.38396624472574</v>
      </c>
      <c r="E17" s="244">
        <f t="shared" si="0"/>
        <v>394.38396624472574</v>
      </c>
      <c r="F17" s="75">
        <f>WATER!L17</f>
        <v>1</v>
      </c>
      <c r="G17" s="78">
        <f>WATER!BG17</f>
        <v>-21.500000000000014</v>
      </c>
      <c r="H17" s="79">
        <f>ELEC!AF15</f>
        <v>1198</v>
      </c>
      <c r="I17" s="79">
        <f>ELEC!Q15</f>
        <v>1000</v>
      </c>
      <c r="J17" s="79">
        <f>ELEC!R15</f>
        <v>7409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162</v>
      </c>
      <c r="C18" s="76">
        <f>'B5'!AH18</f>
        <v>0</v>
      </c>
      <c r="D18" s="76">
        <f>GEN!AI16</f>
        <v>257.38396624472574</v>
      </c>
      <c r="E18" s="244">
        <f t="shared" si="0"/>
        <v>419.38396624472574</v>
      </c>
      <c r="F18" s="75">
        <f>WATER!L18</f>
        <v>0</v>
      </c>
      <c r="G18" s="78">
        <f>WATER!BG18</f>
        <v>55.899999999999991</v>
      </c>
      <c r="H18" s="79">
        <f>ELEC!AF16</f>
        <v>809</v>
      </c>
      <c r="I18" s="79">
        <f>ELEC!Q16</f>
        <v>1000</v>
      </c>
      <c r="J18" s="79">
        <f>ELEC!R16</f>
        <v>7847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157</v>
      </c>
      <c r="C19" s="76">
        <f>'B5'!AH19</f>
        <v>0</v>
      </c>
      <c r="D19" s="76">
        <f>GEN!AI17</f>
        <v>257.38396624472574</v>
      </c>
      <c r="E19" s="244">
        <f t="shared" si="0"/>
        <v>414.38396624472574</v>
      </c>
      <c r="F19" s="75">
        <f>WATER!L19</f>
        <v>0</v>
      </c>
      <c r="G19" s="78">
        <f>WATER!BG19</f>
        <v>-217.7</v>
      </c>
      <c r="H19" s="79">
        <f>ELEC!AF17</f>
        <v>772</v>
      </c>
      <c r="I19" s="79">
        <f>ELEC!Q17</f>
        <v>1000</v>
      </c>
      <c r="J19" s="79">
        <f>ELEC!R17</f>
        <v>4742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137</v>
      </c>
      <c r="C20" s="76">
        <f>'B5'!AH20</f>
        <v>0</v>
      </c>
      <c r="D20" s="76">
        <f>GEN!AI18</f>
        <v>257.38396624472574</v>
      </c>
      <c r="E20" s="244">
        <f t="shared" si="0"/>
        <v>394.38396624472574</v>
      </c>
      <c r="F20" s="75">
        <f>WATER!L20</f>
        <v>0</v>
      </c>
      <c r="G20" s="78">
        <f>WATER!BG20</f>
        <v>286.5</v>
      </c>
      <c r="H20" s="79">
        <f>ELEC!AF18</f>
        <v>1317</v>
      </c>
      <c r="I20" s="79">
        <f>ELEC!Q18</f>
        <v>1000</v>
      </c>
      <c r="J20" s="79">
        <f>ELEC!R18</f>
        <v>7525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160</v>
      </c>
      <c r="C21" s="76">
        <f>'B5'!AH21</f>
        <v>0</v>
      </c>
      <c r="D21" s="76">
        <f>GEN!AI19</f>
        <v>514.76793248945148</v>
      </c>
      <c r="E21" s="244">
        <f t="shared" si="0"/>
        <v>674.76793248945148</v>
      </c>
      <c r="F21" s="75">
        <f>WATER!L21</f>
        <v>0</v>
      </c>
      <c r="G21" s="78">
        <f>WATER!BG21</f>
        <v>-35.40000000000002</v>
      </c>
      <c r="H21" s="79">
        <f>ELEC!AF19</f>
        <v>942</v>
      </c>
      <c r="I21" s="79">
        <f>ELEC!Q19</f>
        <v>2000</v>
      </c>
      <c r="J21" s="79">
        <f>ELEC!R19</f>
        <v>5549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214</v>
      </c>
      <c r="C22" s="76">
        <f>'B5'!AH22</f>
        <v>0</v>
      </c>
      <c r="D22" s="76">
        <f>GEN!AI20</f>
        <v>167.04219409314913</v>
      </c>
      <c r="E22" s="244">
        <f t="shared" si="0"/>
        <v>381.04219409314913</v>
      </c>
      <c r="F22" s="75">
        <f>WATER!L22</f>
        <v>0</v>
      </c>
      <c r="G22" s="78">
        <f>WATER!BG22</f>
        <v>58.900000000000006</v>
      </c>
      <c r="H22" s="79">
        <f>ELEC!AF20</f>
        <v>1042</v>
      </c>
      <c r="I22" s="79">
        <f>ELEC!Q20</f>
        <v>649.00000000125146</v>
      </c>
      <c r="J22" s="79">
        <f>ELEC!R20</f>
        <v>7755.9999999987485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113</v>
      </c>
      <c r="C23" s="76">
        <f>'B5'!AH23</f>
        <v>0</v>
      </c>
      <c r="D23" s="76">
        <f>GEN!AI21</f>
        <v>344.89451476796995</v>
      </c>
      <c r="E23" s="244">
        <f t="shared" si="0"/>
        <v>457.89451476796995</v>
      </c>
      <c r="F23" s="75">
        <f>WATER!L23</f>
        <v>0</v>
      </c>
      <c r="G23" s="78">
        <f>WATER!BG23</f>
        <v>-26.499999999999979</v>
      </c>
      <c r="H23" s="79">
        <f>ELEC!AF21</f>
        <v>1034</v>
      </c>
      <c r="I23" s="79">
        <f>ELEC!Q21</f>
        <v>1340.0000000001455</v>
      </c>
      <c r="J23" s="79">
        <f>ELEC!R21</f>
        <v>6416.9999999998545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195</v>
      </c>
      <c r="C24" s="76">
        <f>'B5'!AH24</f>
        <v>50</v>
      </c>
      <c r="D24" s="76">
        <f>GEN!AI22</f>
        <v>361.10970464094572</v>
      </c>
      <c r="E24" s="244">
        <f t="shared" si="0"/>
        <v>606.10970464094567</v>
      </c>
      <c r="F24" s="75">
        <f>WATER!L24</f>
        <v>0</v>
      </c>
      <c r="G24" s="78">
        <f>WATER!BG24</f>
        <v>43.800000000000011</v>
      </c>
      <c r="H24" s="79">
        <f>ELEC!AF22</f>
        <v>850</v>
      </c>
      <c r="I24" s="79">
        <f>ELEC!Q22</f>
        <v>1402.9999999984284</v>
      </c>
      <c r="J24" s="79">
        <f>ELEC!R22</f>
        <v>6752.0000000015716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137</v>
      </c>
      <c r="C25" s="76">
        <f>'B5'!AH25</f>
        <v>0</v>
      </c>
      <c r="D25" s="76">
        <f>GEN!AI23</f>
        <v>161.63713080184507</v>
      </c>
      <c r="E25" s="244">
        <f t="shared" si="0"/>
        <v>298.63713080184505</v>
      </c>
      <c r="F25" s="75">
        <f>WATER!L25</f>
        <v>0</v>
      </c>
      <c r="G25" s="78">
        <f>WATER!BG25</f>
        <v>37.6</v>
      </c>
      <c r="H25" s="79">
        <f>ELEC!AF23</f>
        <v>498</v>
      </c>
      <c r="I25" s="79">
        <f>ELEC!Q23</f>
        <v>628.00000000061118</v>
      </c>
      <c r="J25" s="79">
        <f>ELEC!R23</f>
        <v>5934.9999999993888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237</v>
      </c>
      <c r="C26" s="76">
        <f>'B5'!AH26</f>
        <v>0</v>
      </c>
      <c r="D26" s="76">
        <f>GEN!AI24</f>
        <v>0</v>
      </c>
      <c r="E26" s="244">
        <f t="shared" si="0"/>
        <v>237</v>
      </c>
      <c r="F26" s="75">
        <f>WATER!L26</f>
        <v>0</v>
      </c>
      <c r="G26" s="78">
        <f>WATER!BG26</f>
        <v>16.199999999999989</v>
      </c>
      <c r="H26" s="79">
        <f>ELEC!AF24</f>
        <v>665</v>
      </c>
      <c r="I26" s="79">
        <f>ELEC!Q24</f>
        <v>0</v>
      </c>
      <c r="J26" s="79">
        <f>ELEC!R24</f>
        <v>7116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155</v>
      </c>
      <c r="C27" s="76">
        <f>'B5'!AH27</f>
        <v>0</v>
      </c>
      <c r="D27" s="76">
        <f>GEN!AI25</f>
        <v>436.26582278473524</v>
      </c>
      <c r="E27" s="244">
        <f t="shared" si="0"/>
        <v>591.26582278473529</v>
      </c>
      <c r="F27" s="75">
        <f>WATER!L27</f>
        <v>0</v>
      </c>
      <c r="G27" s="78">
        <f>WATER!BG27</f>
        <v>-3</v>
      </c>
      <c r="H27" s="79">
        <f>ELEC!AF25</f>
        <v>720</v>
      </c>
      <c r="I27" s="79">
        <f>ELEC!Q25</f>
        <v>1694.999999999709</v>
      </c>
      <c r="J27" s="79">
        <f>ELEC!R25</f>
        <v>6714.000000000291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182</v>
      </c>
      <c r="C28" s="76">
        <f>'B5'!AH28</f>
        <v>0</v>
      </c>
      <c r="D28" s="76">
        <f>GEN!AI26</f>
        <v>351.07172995816552</v>
      </c>
      <c r="E28" s="244">
        <f t="shared" si="0"/>
        <v>533.07172995816552</v>
      </c>
      <c r="F28" s="75">
        <f>WATER!L28</f>
        <v>0</v>
      </c>
      <c r="G28" s="78">
        <f>WATER!BG28</f>
        <v>69.499999999999986</v>
      </c>
      <c r="H28" s="79">
        <f>ELEC!AF26</f>
        <v>623</v>
      </c>
      <c r="I28" s="79">
        <f>ELEC!Q26</f>
        <v>1364.000000001397</v>
      </c>
      <c r="J28" s="79">
        <f>ELEC!R26</f>
        <v>4820.999999998603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156</v>
      </c>
      <c r="C29" s="76">
        <f>'B5'!AH29</f>
        <v>0</v>
      </c>
      <c r="D29" s="76">
        <f>GEN!AI27</f>
        <v>391.48101265745635</v>
      </c>
      <c r="E29" s="77">
        <f t="shared" si="0"/>
        <v>547.4810126574564</v>
      </c>
      <c r="F29" s="75">
        <f>WATER!L29</f>
        <v>0</v>
      </c>
      <c r="G29" s="78">
        <f>WATER!BG29</f>
        <v>-12.799999999999983</v>
      </c>
      <c r="H29" s="79">
        <f>ELEC!AF27</f>
        <v>1048</v>
      </c>
      <c r="I29" s="79">
        <f>ELEC!Q27</f>
        <v>1520.9999999970023</v>
      </c>
      <c r="J29" s="79">
        <f>ELEC!R27</f>
        <v>6375.0000000029977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97</v>
      </c>
      <c r="C30" s="76">
        <f>'B5'!AH30</f>
        <v>0</v>
      </c>
      <c r="D30" s="76">
        <f>GEN!AI28</f>
        <v>291.87341772199096</v>
      </c>
      <c r="E30" s="77">
        <f t="shared" si="0"/>
        <v>388.87341772199096</v>
      </c>
      <c r="F30" s="75">
        <f>WATER!L30</f>
        <v>0</v>
      </c>
      <c r="G30" s="78">
        <f>WATER!BG30</f>
        <v>-22.499999999999986</v>
      </c>
      <c r="H30" s="79">
        <f>ELEC!AF28</f>
        <v>368</v>
      </c>
      <c r="I30" s="79">
        <f>ELEC!Q28</f>
        <v>1134.0000000018335</v>
      </c>
      <c r="J30" s="79">
        <f>ELEC!R28</f>
        <v>5462.9999999981665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-13.800000000000061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1" activePane="bottomLeft" state="frozen"/>
      <selection pane="bottomLeft" activeCell="M28" sqref="M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5">
        <v>9317</v>
      </c>
      <c r="C3" s="290">
        <f>B3-B2</f>
        <v>3</v>
      </c>
      <c r="D3" s="556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6">
        <v>10698</v>
      </c>
      <c r="K3" s="290">
        <f t="shared" ref="K3:K31" si="2">J3-J2</f>
        <v>0</v>
      </c>
      <c r="L3" s="556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6">
        <v>11705</v>
      </c>
      <c r="S3" s="290">
        <f t="shared" ref="S3:S32" si="5">R3-R2</f>
        <v>0</v>
      </c>
      <c r="T3" s="556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5">
        <f t="shared" ref="B4:B33" si="11">B3</f>
        <v>9317</v>
      </c>
      <c r="C4" s="290">
        <f t="shared" ref="C4:C32" si="12">B4-B3</f>
        <v>0</v>
      </c>
      <c r="D4" s="556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6">
        <f t="shared" ref="J4:J33" si="16">J3</f>
        <v>10698</v>
      </c>
      <c r="K4" s="290">
        <f t="shared" si="2"/>
        <v>0</v>
      </c>
      <c r="L4" s="556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6">
        <f t="shared" ref="R4:R33" si="20">R3</f>
        <v>11705</v>
      </c>
      <c r="S4" s="290">
        <f t="shared" si="5"/>
        <v>0</v>
      </c>
      <c r="T4" s="556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5">
        <f t="shared" si="11"/>
        <v>9317</v>
      </c>
      <c r="C5" s="290">
        <f t="shared" si="12"/>
        <v>0</v>
      </c>
      <c r="D5" s="556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6">
        <f t="shared" si="16"/>
        <v>10698</v>
      </c>
      <c r="K5" s="290">
        <f t="shared" si="2"/>
        <v>0</v>
      </c>
      <c r="L5" s="556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6">
        <v>11708</v>
      </c>
      <c r="S5" s="290">
        <f t="shared" si="5"/>
        <v>3</v>
      </c>
      <c r="T5" s="556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5">
        <v>9319</v>
      </c>
      <c r="C6" s="290">
        <f t="shared" si="12"/>
        <v>2</v>
      </c>
      <c r="D6" s="556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6">
        <v>10698</v>
      </c>
      <c r="K6" s="290">
        <f t="shared" si="2"/>
        <v>0</v>
      </c>
      <c r="L6" s="556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6">
        <v>11710</v>
      </c>
      <c r="S6" s="290">
        <f t="shared" si="5"/>
        <v>2</v>
      </c>
      <c r="T6" s="556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5">
        <f t="shared" si="11"/>
        <v>9319</v>
      </c>
      <c r="C7" s="290">
        <f t="shared" si="12"/>
        <v>0</v>
      </c>
      <c r="D7" s="556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6">
        <f t="shared" si="16"/>
        <v>10698</v>
      </c>
      <c r="K7" s="290">
        <f t="shared" si="2"/>
        <v>0</v>
      </c>
      <c r="L7" s="556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6">
        <v>11713</v>
      </c>
      <c r="S7" s="290">
        <f t="shared" si="5"/>
        <v>3</v>
      </c>
      <c r="T7" s="556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5">
        <f t="shared" si="11"/>
        <v>9319</v>
      </c>
      <c r="C8" s="290">
        <f t="shared" si="12"/>
        <v>0</v>
      </c>
      <c r="D8" s="556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6">
        <f t="shared" si="16"/>
        <v>10698</v>
      </c>
      <c r="K8" s="290">
        <f t="shared" si="2"/>
        <v>0</v>
      </c>
      <c r="L8" s="556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6">
        <v>11716</v>
      </c>
      <c r="S8" s="290">
        <f t="shared" si="5"/>
        <v>3</v>
      </c>
      <c r="T8" s="556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5">
        <f t="shared" si="11"/>
        <v>9319</v>
      </c>
      <c r="C9" s="290">
        <f t="shared" si="12"/>
        <v>0</v>
      </c>
      <c r="D9" s="556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6">
        <f t="shared" si="16"/>
        <v>10698</v>
      </c>
      <c r="K9" s="290">
        <f t="shared" si="2"/>
        <v>0</v>
      </c>
      <c r="L9" s="556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6">
        <v>11719</v>
      </c>
      <c r="S9" s="290">
        <f t="shared" si="5"/>
        <v>3</v>
      </c>
      <c r="T9" s="556">
        <v>361137.4</v>
      </c>
      <c r="U9" s="290">
        <f t="shared" si="6"/>
        <v>951.10000000003492</v>
      </c>
      <c r="V9" s="290">
        <f t="shared" si="22"/>
        <v>317.03333333334496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3</v>
      </c>
      <c r="AA9" s="290">
        <f t="shared" si="24"/>
        <v>951.10000000003492</v>
      </c>
      <c r="AB9" s="290">
        <f t="shared" si="25"/>
        <v>317.03333333334496</v>
      </c>
      <c r="AC9" s="290">
        <f t="shared" si="26"/>
        <v>317.03333333334496</v>
      </c>
      <c r="AD9" s="73">
        <f>ELEC!Q9</f>
        <v>0</v>
      </c>
      <c r="AE9" s="73">
        <f t="shared" si="28"/>
        <v>0</v>
      </c>
      <c r="AF9" s="406">
        <f t="shared" si="29"/>
        <v>0</v>
      </c>
      <c r="AG9" s="407">
        <f t="shared" si="30"/>
        <v>0</v>
      </c>
      <c r="AH9" s="407">
        <f t="shared" si="27"/>
        <v>317.03333333334496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5">
        <v>9319</v>
      </c>
      <c r="C10" s="290">
        <f t="shared" si="12"/>
        <v>0</v>
      </c>
      <c r="D10" s="556"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6">
        <v>10698</v>
      </c>
      <c r="K10" s="290">
        <f t="shared" si="2"/>
        <v>0</v>
      </c>
      <c r="L10" s="556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6">
        <v>11722</v>
      </c>
      <c r="S10" s="290">
        <f t="shared" si="5"/>
        <v>3</v>
      </c>
      <c r="T10" s="556">
        <v>361915</v>
      </c>
      <c r="U10" s="290">
        <f t="shared" si="6"/>
        <v>777.59999999997672</v>
      </c>
      <c r="V10" s="290">
        <f t="shared" si="22"/>
        <v>259.19999999999226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3</v>
      </c>
      <c r="AA10" s="290">
        <f t="shared" si="24"/>
        <v>777.59999999997672</v>
      </c>
      <c r="AB10" s="290">
        <f t="shared" si="25"/>
        <v>259.19999999999226</v>
      </c>
      <c r="AC10" s="290">
        <f t="shared" si="26"/>
        <v>259.19999999999226</v>
      </c>
      <c r="AD10" s="73">
        <f>ELEC!Q10</f>
        <v>2000</v>
      </c>
      <c r="AE10" s="73">
        <f t="shared" si="28"/>
        <v>666.66666666666663</v>
      </c>
      <c r="AF10" s="406">
        <f t="shared" si="29"/>
        <v>0.41666666666666663</v>
      </c>
      <c r="AG10" s="407">
        <f t="shared" si="30"/>
        <v>133.33333333333331</v>
      </c>
      <c r="AH10" s="407">
        <f t="shared" si="27"/>
        <v>125.86666666665894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44144</v>
      </c>
      <c r="B11" s="555">
        <f t="shared" si="11"/>
        <v>9319</v>
      </c>
      <c r="C11" s="290">
        <f t="shared" si="12"/>
        <v>0</v>
      </c>
      <c r="D11" s="556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6">
        <f t="shared" si="16"/>
        <v>10698</v>
      </c>
      <c r="K11" s="290">
        <f t="shared" si="2"/>
        <v>0</v>
      </c>
      <c r="L11" s="556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619">
        <v>11725</v>
      </c>
      <c r="S11" s="290">
        <f t="shared" si="5"/>
        <v>3</v>
      </c>
      <c r="T11" s="556">
        <v>362694</v>
      </c>
      <c r="U11" s="290">
        <f t="shared" si="6"/>
        <v>779</v>
      </c>
      <c r="V11" s="290">
        <f t="shared" si="22"/>
        <v>259.66666666666669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3</v>
      </c>
      <c r="AA11" s="290">
        <f t="shared" si="24"/>
        <v>779</v>
      </c>
      <c r="AB11" s="290">
        <f t="shared" si="25"/>
        <v>259.66666666666669</v>
      </c>
      <c r="AC11" s="290">
        <f t="shared" si="26"/>
        <v>259.66666666666669</v>
      </c>
      <c r="AD11" s="73">
        <f>ELEC!Q11</f>
        <v>1000</v>
      </c>
      <c r="AE11" s="73">
        <f t="shared" si="28"/>
        <v>333.33333333333331</v>
      </c>
      <c r="AF11" s="406">
        <f t="shared" si="29"/>
        <v>0.20833333333333331</v>
      </c>
      <c r="AG11" s="407">
        <f t="shared" si="30"/>
        <v>66.666666666666657</v>
      </c>
      <c r="AH11" s="407">
        <f t="shared" si="27"/>
        <v>193.00000000000003</v>
      </c>
      <c r="AI11" s="73">
        <f t="shared" si="31"/>
        <v>257.38396624472574</v>
      </c>
      <c r="AJ11" s="292">
        <f t="shared" si="9"/>
        <v>0.25738396624472576</v>
      </c>
      <c r="AK11" s="292">
        <f t="shared" si="32"/>
        <v>85.794655414908576</v>
      </c>
    </row>
    <row r="12" spans="1:37" ht="15.75" thickBot="1">
      <c r="A12" s="4">
        <f>ELEC!C12</f>
        <v>44145</v>
      </c>
      <c r="B12" s="555">
        <f t="shared" si="11"/>
        <v>9319</v>
      </c>
      <c r="C12" s="290">
        <f t="shared" si="12"/>
        <v>0</v>
      </c>
      <c r="D12" s="556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6">
        <f t="shared" si="16"/>
        <v>10698</v>
      </c>
      <c r="K12" s="290">
        <f t="shared" si="2"/>
        <v>0</v>
      </c>
      <c r="L12" s="556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619">
        <v>11726</v>
      </c>
      <c r="S12" s="290">
        <f t="shared" si="5"/>
        <v>1</v>
      </c>
      <c r="T12" s="556">
        <v>363022</v>
      </c>
      <c r="U12" s="290">
        <f t="shared" si="6"/>
        <v>328</v>
      </c>
      <c r="V12" s="290">
        <f t="shared" si="22"/>
        <v>328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1</v>
      </c>
      <c r="AA12" s="290">
        <f t="shared" si="24"/>
        <v>328</v>
      </c>
      <c r="AB12" s="290">
        <f t="shared" si="25"/>
        <v>328</v>
      </c>
      <c r="AC12" s="290">
        <f t="shared" si="26"/>
        <v>328</v>
      </c>
      <c r="AD12" s="73">
        <f>ELEC!Q12</f>
        <v>1000</v>
      </c>
      <c r="AE12" s="73">
        <f t="shared" si="28"/>
        <v>1000</v>
      </c>
      <c r="AF12" s="406">
        <f t="shared" si="29"/>
        <v>0.625</v>
      </c>
      <c r="AG12" s="407">
        <f t="shared" si="30"/>
        <v>200</v>
      </c>
      <c r="AH12" s="407">
        <f t="shared" si="27"/>
        <v>128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257.38396624472574</v>
      </c>
    </row>
    <row r="13" spans="1:37" ht="15.75" thickBot="1">
      <c r="A13" s="4">
        <f>ELEC!C13</f>
        <v>44146</v>
      </c>
      <c r="B13" s="555">
        <f t="shared" si="11"/>
        <v>9319</v>
      </c>
      <c r="C13" s="290">
        <f t="shared" si="12"/>
        <v>0</v>
      </c>
      <c r="D13" s="556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6">
        <f t="shared" si="16"/>
        <v>10698</v>
      </c>
      <c r="K13" s="290">
        <f t="shared" si="2"/>
        <v>0</v>
      </c>
      <c r="L13" s="556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619">
        <v>11729</v>
      </c>
      <c r="S13" s="290">
        <f t="shared" si="5"/>
        <v>3</v>
      </c>
      <c r="T13" s="556">
        <v>363823</v>
      </c>
      <c r="U13" s="290">
        <f t="shared" si="6"/>
        <v>801</v>
      </c>
      <c r="V13" s="290">
        <f t="shared" si="22"/>
        <v>267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3</v>
      </c>
      <c r="AA13" s="290">
        <f t="shared" si="24"/>
        <v>801</v>
      </c>
      <c r="AB13" s="290">
        <f t="shared" si="25"/>
        <v>267</v>
      </c>
      <c r="AC13" s="290">
        <f t="shared" si="26"/>
        <v>267</v>
      </c>
      <c r="AD13" s="73">
        <f>ELEC!Q13</f>
        <v>1000</v>
      </c>
      <c r="AE13" s="73">
        <f t="shared" si="28"/>
        <v>333.33333333333331</v>
      </c>
      <c r="AF13" s="406">
        <f t="shared" si="29"/>
        <v>0.20833333333333331</v>
      </c>
      <c r="AG13" s="407">
        <f t="shared" si="30"/>
        <v>66.666666666666657</v>
      </c>
      <c r="AH13" s="407">
        <f t="shared" si="27"/>
        <v>200.33333333333334</v>
      </c>
      <c r="AI13" s="73">
        <f t="shared" si="31"/>
        <v>257.38396624472574</v>
      </c>
      <c r="AJ13" s="292">
        <f t="shared" si="9"/>
        <v>0.25738396624472576</v>
      </c>
      <c r="AK13" s="292">
        <f t="shared" si="32"/>
        <v>85.794655414908576</v>
      </c>
    </row>
    <row r="14" spans="1:37" ht="15.75" thickBot="1">
      <c r="A14" s="4">
        <f>ELEC!C14</f>
        <v>44147</v>
      </c>
      <c r="B14" s="555">
        <f t="shared" si="11"/>
        <v>9319</v>
      </c>
      <c r="C14" s="290">
        <f t="shared" si="12"/>
        <v>0</v>
      </c>
      <c r="D14" s="556">
        <v>268431</v>
      </c>
      <c r="E14" s="290">
        <f t="shared" si="14"/>
        <v>1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6">
        <f t="shared" si="16"/>
        <v>10698</v>
      </c>
      <c r="K14" s="290">
        <f t="shared" si="2"/>
        <v>0</v>
      </c>
      <c r="L14" s="556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6">
        <v>11733</v>
      </c>
      <c r="S14" s="290">
        <f t="shared" si="5"/>
        <v>4</v>
      </c>
      <c r="T14" s="556">
        <v>364617</v>
      </c>
      <c r="U14" s="290">
        <f t="shared" si="6"/>
        <v>794</v>
      </c>
      <c r="V14" s="290">
        <f t="shared" si="22"/>
        <v>198.5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4</v>
      </c>
      <c r="AA14" s="290">
        <f t="shared" si="24"/>
        <v>795</v>
      </c>
      <c r="AB14" s="290">
        <f t="shared" si="25"/>
        <v>198.5</v>
      </c>
      <c r="AC14" s="290">
        <f t="shared" si="26"/>
        <v>198.75</v>
      </c>
      <c r="AD14" s="73">
        <f>ELEC!Q14</f>
        <v>2000</v>
      </c>
      <c r="AE14" s="73">
        <f t="shared" si="28"/>
        <v>500</v>
      </c>
      <c r="AF14" s="406">
        <f t="shared" si="29"/>
        <v>0.3125</v>
      </c>
      <c r="AG14" s="407">
        <f t="shared" si="30"/>
        <v>100</v>
      </c>
      <c r="AH14" s="407">
        <f t="shared" si="27"/>
        <v>98.75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128.69198312236287</v>
      </c>
    </row>
    <row r="15" spans="1:37" ht="15.75" thickBot="1">
      <c r="A15" s="4">
        <f>ELEC!C15</f>
        <v>44148</v>
      </c>
      <c r="B15" s="555">
        <f t="shared" si="11"/>
        <v>9319</v>
      </c>
      <c r="C15" s="290">
        <f t="shared" si="12"/>
        <v>0</v>
      </c>
      <c r="D15" s="556">
        <f t="shared" si="13"/>
        <v>268431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6">
        <f t="shared" si="16"/>
        <v>10698</v>
      </c>
      <c r="K15" s="290">
        <f t="shared" si="2"/>
        <v>0</v>
      </c>
      <c r="L15" s="556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6">
        <v>11736</v>
      </c>
      <c r="S15" s="290">
        <f t="shared" si="5"/>
        <v>3</v>
      </c>
      <c r="T15" s="556">
        <v>365406</v>
      </c>
      <c r="U15" s="290">
        <f t="shared" si="6"/>
        <v>789</v>
      </c>
      <c r="V15" s="290">
        <f t="shared" si="22"/>
        <v>263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3</v>
      </c>
      <c r="AA15" s="290">
        <f t="shared" si="24"/>
        <v>789</v>
      </c>
      <c r="AB15" s="290">
        <f t="shared" si="25"/>
        <v>263</v>
      </c>
      <c r="AC15" s="290">
        <f t="shared" si="26"/>
        <v>263</v>
      </c>
      <c r="AD15" s="73">
        <f>ELEC!Q15</f>
        <v>1000</v>
      </c>
      <c r="AE15" s="73">
        <f t="shared" si="28"/>
        <v>333.33333333333331</v>
      </c>
      <c r="AF15" s="406">
        <f t="shared" si="29"/>
        <v>0.20833333333333331</v>
      </c>
      <c r="AG15" s="407">
        <f t="shared" si="30"/>
        <v>66.666666666666657</v>
      </c>
      <c r="AH15" s="407">
        <f t="shared" si="27"/>
        <v>196.33333333333334</v>
      </c>
      <c r="AI15" s="73">
        <f t="shared" si="31"/>
        <v>257.38396624472574</v>
      </c>
      <c r="AJ15" s="292">
        <f t="shared" si="9"/>
        <v>0.25738396624472576</v>
      </c>
      <c r="AK15" s="292">
        <f t="shared" si="32"/>
        <v>85.794655414908576</v>
      </c>
    </row>
    <row r="16" spans="1:37" ht="15.75" thickBot="1">
      <c r="A16" s="4">
        <f>ELEC!C16</f>
        <v>44149</v>
      </c>
      <c r="B16" s="555">
        <f t="shared" si="11"/>
        <v>9319</v>
      </c>
      <c r="C16" s="290">
        <f t="shared" si="12"/>
        <v>0</v>
      </c>
      <c r="D16" s="556">
        <f t="shared" si="13"/>
        <v>268431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6">
        <f t="shared" si="16"/>
        <v>10698</v>
      </c>
      <c r="K16" s="290">
        <f t="shared" si="2"/>
        <v>0</v>
      </c>
      <c r="L16" s="556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6">
        <v>11737</v>
      </c>
      <c r="S16" s="290">
        <f t="shared" si="5"/>
        <v>1</v>
      </c>
      <c r="T16" s="556">
        <v>365803</v>
      </c>
      <c r="U16" s="290">
        <f t="shared" si="6"/>
        <v>397</v>
      </c>
      <c r="V16" s="290">
        <f t="shared" si="22"/>
        <v>397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1</v>
      </c>
      <c r="AA16" s="290">
        <f t="shared" si="24"/>
        <v>397</v>
      </c>
      <c r="AB16" s="290">
        <f t="shared" si="25"/>
        <v>397</v>
      </c>
      <c r="AC16" s="290">
        <f t="shared" si="26"/>
        <v>397</v>
      </c>
      <c r="AD16" s="73">
        <f>ELEC!Q16</f>
        <v>1000</v>
      </c>
      <c r="AE16" s="73">
        <f t="shared" si="28"/>
        <v>1000</v>
      </c>
      <c r="AF16" s="406">
        <f t="shared" si="29"/>
        <v>0.625</v>
      </c>
      <c r="AG16" s="407">
        <f t="shared" si="30"/>
        <v>200</v>
      </c>
      <c r="AH16" s="407">
        <f t="shared" si="27"/>
        <v>197</v>
      </c>
      <c r="AI16" s="73">
        <f t="shared" si="31"/>
        <v>257.38396624472574</v>
      </c>
      <c r="AJ16" s="292">
        <f t="shared" si="9"/>
        <v>0.25738396624472576</v>
      </c>
      <c r="AK16" s="292">
        <f t="shared" si="32"/>
        <v>257.38396624472574</v>
      </c>
    </row>
    <row r="17" spans="1:37" ht="15.75" thickBot="1">
      <c r="A17" s="4">
        <f>ELEC!C17</f>
        <v>44150</v>
      </c>
      <c r="B17" s="555">
        <v>9319</v>
      </c>
      <c r="C17" s="290">
        <f t="shared" si="12"/>
        <v>0</v>
      </c>
      <c r="D17" s="556">
        <f t="shared" si="13"/>
        <v>268431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6">
        <f t="shared" si="16"/>
        <v>10698</v>
      </c>
      <c r="K17" s="290">
        <f t="shared" si="2"/>
        <v>0</v>
      </c>
      <c r="L17" s="556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6">
        <v>11741</v>
      </c>
      <c r="S17" s="290">
        <f t="shared" si="5"/>
        <v>4</v>
      </c>
      <c r="T17" s="556">
        <v>366739</v>
      </c>
      <c r="U17" s="290">
        <f t="shared" si="6"/>
        <v>936</v>
      </c>
      <c r="V17" s="290">
        <f t="shared" si="22"/>
        <v>234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4</v>
      </c>
      <c r="AA17" s="290">
        <f t="shared" si="24"/>
        <v>936</v>
      </c>
      <c r="AB17" s="290">
        <f t="shared" si="25"/>
        <v>234</v>
      </c>
      <c r="AC17" s="290">
        <f t="shared" si="26"/>
        <v>234</v>
      </c>
      <c r="AD17" s="73">
        <f>ELEC!Q17</f>
        <v>1000</v>
      </c>
      <c r="AE17" s="73">
        <f t="shared" si="28"/>
        <v>250</v>
      </c>
      <c r="AF17" s="406">
        <f t="shared" si="29"/>
        <v>0.15625</v>
      </c>
      <c r="AG17" s="407">
        <f t="shared" si="30"/>
        <v>50</v>
      </c>
      <c r="AH17" s="407">
        <f t="shared" si="27"/>
        <v>184</v>
      </c>
      <c r="AI17" s="73">
        <f t="shared" si="31"/>
        <v>257.38396624472574</v>
      </c>
      <c r="AJ17" s="292">
        <f t="shared" si="9"/>
        <v>0.25738396624472576</v>
      </c>
      <c r="AK17" s="292">
        <f t="shared" ref="AK17:AK32" si="33">IF(Z17&gt;0,AI17/Z17,0)</f>
        <v>64.345991561181435</v>
      </c>
    </row>
    <row r="18" spans="1:37" ht="15.75" thickBot="1">
      <c r="A18" s="4">
        <f>ELEC!C18</f>
        <v>44151</v>
      </c>
      <c r="B18" s="555">
        <v>9322</v>
      </c>
      <c r="C18" s="290">
        <f t="shared" si="12"/>
        <v>3</v>
      </c>
      <c r="D18" s="556">
        <v>269317</v>
      </c>
      <c r="E18" s="290">
        <f t="shared" si="14"/>
        <v>886</v>
      </c>
      <c r="F18" s="290">
        <f t="shared" si="0"/>
        <v>295.33333333333331</v>
      </c>
      <c r="G18" s="197"/>
      <c r="H18" s="291">
        <f t="shared" si="15"/>
        <v>9298</v>
      </c>
      <c r="I18" s="290" t="str">
        <f t="shared" si="1"/>
        <v>oil change</v>
      </c>
      <c r="J18" s="556">
        <f t="shared" si="16"/>
        <v>10698</v>
      </c>
      <c r="K18" s="290">
        <f t="shared" si="2"/>
        <v>0</v>
      </c>
      <c r="L18" s="556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6">
        <f t="shared" si="20"/>
        <v>11741</v>
      </c>
      <c r="S18" s="290">
        <f t="shared" si="5"/>
        <v>0</v>
      </c>
      <c r="T18" s="556">
        <f t="shared" si="21"/>
        <v>366739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3</v>
      </c>
      <c r="AA18" s="290">
        <f t="shared" si="24"/>
        <v>886</v>
      </c>
      <c r="AB18" s="290">
        <f t="shared" si="25"/>
        <v>295.33333333333331</v>
      </c>
      <c r="AC18" s="290">
        <f t="shared" si="26"/>
        <v>295.33333333333331</v>
      </c>
      <c r="AD18" s="73">
        <f>ELEC!Q18</f>
        <v>1000</v>
      </c>
      <c r="AE18" s="73">
        <f t="shared" si="28"/>
        <v>333.33333333333331</v>
      </c>
      <c r="AF18" s="406">
        <f t="shared" si="29"/>
        <v>0.20833333333333331</v>
      </c>
      <c r="AG18" s="407">
        <f t="shared" si="30"/>
        <v>66.666666666666657</v>
      </c>
      <c r="AH18" s="407">
        <f t="shared" si="27"/>
        <v>228.66666666666666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44152</v>
      </c>
      <c r="B19" s="555">
        <v>9322</v>
      </c>
      <c r="C19" s="290">
        <f t="shared" si="12"/>
        <v>0</v>
      </c>
      <c r="D19" s="556">
        <v>269324</v>
      </c>
      <c r="E19" s="290">
        <f t="shared" si="14"/>
        <v>7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6">
        <v>10698</v>
      </c>
      <c r="K19" s="290">
        <f t="shared" si="2"/>
        <v>0</v>
      </c>
      <c r="L19" s="556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6">
        <v>11744</v>
      </c>
      <c r="S19" s="290">
        <f t="shared" si="5"/>
        <v>3</v>
      </c>
      <c r="T19" s="556">
        <v>367710</v>
      </c>
      <c r="U19" s="290">
        <f t="shared" si="6"/>
        <v>971</v>
      </c>
      <c r="V19" s="290">
        <f t="shared" si="22"/>
        <v>323.66666666666669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3</v>
      </c>
      <c r="AA19" s="290">
        <f t="shared" si="24"/>
        <v>978</v>
      </c>
      <c r="AB19" s="290">
        <f t="shared" si="25"/>
        <v>323.66666666666669</v>
      </c>
      <c r="AC19" s="290">
        <f t="shared" si="26"/>
        <v>326</v>
      </c>
      <c r="AD19" s="73">
        <f>ELEC!Q19</f>
        <v>2000</v>
      </c>
      <c r="AE19" s="73">
        <f t="shared" si="28"/>
        <v>666.66666666666663</v>
      </c>
      <c r="AF19" s="406">
        <f t="shared" si="29"/>
        <v>0.41666666666666663</v>
      </c>
      <c r="AG19" s="407">
        <f t="shared" si="30"/>
        <v>133.33333333333331</v>
      </c>
      <c r="AH19" s="407">
        <f t="shared" si="27"/>
        <v>192.66666666666669</v>
      </c>
      <c r="AI19" s="73">
        <f t="shared" si="31"/>
        <v>514.76793248945148</v>
      </c>
      <c r="AJ19" s="292">
        <f t="shared" si="9"/>
        <v>0.25738396624472576</v>
      </c>
      <c r="AK19" s="292">
        <f t="shared" si="33"/>
        <v>171.58931082981715</v>
      </c>
    </row>
    <row r="20" spans="1:37" ht="15.75" thickBot="1">
      <c r="A20" s="4">
        <f>ELEC!C20</f>
        <v>44153</v>
      </c>
      <c r="B20" s="555">
        <v>9322</v>
      </c>
      <c r="C20" s="290">
        <f>B20-B19</f>
        <v>0</v>
      </c>
      <c r="D20" s="556">
        <f t="shared" si="13"/>
        <v>269324</v>
      </c>
      <c r="E20" s="290">
        <f t="shared" si="14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56">
        <f t="shared" si="16"/>
        <v>10698</v>
      </c>
      <c r="K20" s="290">
        <f t="shared" si="2"/>
        <v>0</v>
      </c>
      <c r="L20" s="556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6">
        <v>11745</v>
      </c>
      <c r="S20" s="290">
        <f t="shared" si="5"/>
        <v>1</v>
      </c>
      <c r="T20" s="556">
        <v>368020</v>
      </c>
      <c r="U20" s="290">
        <f t="shared" ref="U20:U32" si="35">SUM(T20-T19)</f>
        <v>310</v>
      </c>
      <c r="V20" s="290">
        <f t="shared" si="22"/>
        <v>310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1</v>
      </c>
      <c r="AA20" s="290">
        <f t="shared" si="24"/>
        <v>310</v>
      </c>
      <c r="AB20" s="290">
        <f t="shared" si="25"/>
        <v>310</v>
      </c>
      <c r="AC20" s="290">
        <f t="shared" si="26"/>
        <v>310</v>
      </c>
      <c r="AD20" s="73">
        <f>ELEC!Q20</f>
        <v>649.00000000125146</v>
      </c>
      <c r="AE20" s="73">
        <f t="shared" si="28"/>
        <v>649.00000000125146</v>
      </c>
      <c r="AF20" s="406">
        <f t="shared" si="29"/>
        <v>0.40562500000078217</v>
      </c>
      <c r="AG20" s="407">
        <f t="shared" si="30"/>
        <v>129.80000000025029</v>
      </c>
      <c r="AH20" s="407">
        <f t="shared" si="27"/>
        <v>180.19999999974971</v>
      </c>
      <c r="AI20" s="73">
        <f>AD20*AJ20</f>
        <v>167.04219409314913</v>
      </c>
      <c r="AJ20" s="292">
        <f t="shared" si="9"/>
        <v>0.25738396624472576</v>
      </c>
      <c r="AK20" s="292">
        <f t="shared" si="33"/>
        <v>167.04219409314913</v>
      </c>
    </row>
    <row r="21" spans="1:37" ht="15.75" thickBot="1">
      <c r="A21" s="4">
        <f>ELEC!C21</f>
        <v>44154</v>
      </c>
      <c r="B21" s="555">
        <v>9325</v>
      </c>
      <c r="C21" s="290">
        <f t="shared" si="12"/>
        <v>3</v>
      </c>
      <c r="D21" s="556">
        <v>270016</v>
      </c>
      <c r="E21" s="290">
        <f t="shared" si="14"/>
        <v>692</v>
      </c>
      <c r="F21" s="290">
        <f t="shared" si="0"/>
        <v>230.66666666666666</v>
      </c>
      <c r="G21" s="197"/>
      <c r="H21" s="291">
        <f t="shared" si="15"/>
        <v>94679</v>
      </c>
      <c r="I21" s="290" t="str">
        <f t="shared" si="1"/>
        <v>ok</v>
      </c>
      <c r="J21" s="556">
        <f t="shared" si="16"/>
        <v>10698</v>
      </c>
      <c r="K21" s="290">
        <f t="shared" si="2"/>
        <v>0</v>
      </c>
      <c r="L21" s="556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6">
        <v>11746</v>
      </c>
      <c r="S21" s="290">
        <f t="shared" si="5"/>
        <v>1</v>
      </c>
      <c r="T21" s="556">
        <v>368095</v>
      </c>
      <c r="U21" s="290">
        <f t="shared" si="35"/>
        <v>75</v>
      </c>
      <c r="V21" s="290">
        <f t="shared" si="22"/>
        <v>75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4</v>
      </c>
      <c r="AA21" s="290">
        <f t="shared" si="24"/>
        <v>767</v>
      </c>
      <c r="AB21" s="290">
        <f t="shared" si="25"/>
        <v>305.66666666666663</v>
      </c>
      <c r="AC21" s="290">
        <f t="shared" si="26"/>
        <v>191.75</v>
      </c>
      <c r="AD21" s="73">
        <f>ELEC!Q21</f>
        <v>1340.0000000001455</v>
      </c>
      <c r="AE21" s="73">
        <f t="shared" si="28"/>
        <v>335.00000000003638</v>
      </c>
      <c r="AF21" s="406">
        <f t="shared" si="29"/>
        <v>0.20937500000002274</v>
      </c>
      <c r="AG21" s="407">
        <f t="shared" si="30"/>
        <v>67.000000000007276</v>
      </c>
      <c r="AH21" s="407">
        <f t="shared" si="27"/>
        <v>124.74999999999272</v>
      </c>
      <c r="AI21" s="73">
        <f t="shared" si="31"/>
        <v>344.89451476796995</v>
      </c>
      <c r="AJ21" s="292">
        <f t="shared" si="9"/>
        <v>0.25738396624472576</v>
      </c>
      <c r="AK21" s="292">
        <f t="shared" si="33"/>
        <v>86.223628691992488</v>
      </c>
    </row>
    <row r="22" spans="1:37" ht="15.75" thickBot="1">
      <c r="A22" s="4">
        <f>ELEC!C22</f>
        <v>44155</v>
      </c>
      <c r="B22" s="555">
        <v>9327</v>
      </c>
      <c r="C22" s="290">
        <f t="shared" si="12"/>
        <v>2</v>
      </c>
      <c r="D22" s="556">
        <v>270614</v>
      </c>
      <c r="E22" s="290">
        <f t="shared" si="14"/>
        <v>598</v>
      </c>
      <c r="F22" s="290">
        <f t="shared" si="0"/>
        <v>299</v>
      </c>
      <c r="G22" s="197"/>
      <c r="H22" s="291">
        <v>94679</v>
      </c>
      <c r="I22" s="290" t="str">
        <f t="shared" si="1"/>
        <v>ok</v>
      </c>
      <c r="J22" s="556">
        <f t="shared" si="16"/>
        <v>10698</v>
      </c>
      <c r="K22" s="290">
        <f t="shared" si="2"/>
        <v>0</v>
      </c>
      <c r="L22" s="556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6">
        <v>11747</v>
      </c>
      <c r="S22" s="290">
        <f t="shared" si="5"/>
        <v>1</v>
      </c>
      <c r="T22" s="556">
        <v>368318</v>
      </c>
      <c r="U22" s="290">
        <f t="shared" si="35"/>
        <v>223</v>
      </c>
      <c r="V22" s="290">
        <f t="shared" si="22"/>
        <v>223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3</v>
      </c>
      <c r="AA22" s="290">
        <f t="shared" si="24"/>
        <v>821</v>
      </c>
      <c r="AB22" s="290">
        <f t="shared" si="25"/>
        <v>522</v>
      </c>
      <c r="AC22" s="290">
        <f t="shared" si="26"/>
        <v>273.66666666666669</v>
      </c>
      <c r="AD22" s="73">
        <f>ELEC!Q22</f>
        <v>1402.9999999984284</v>
      </c>
      <c r="AE22" s="73">
        <f t="shared" si="28"/>
        <v>467.66666666614282</v>
      </c>
      <c r="AF22" s="406">
        <f t="shared" si="29"/>
        <v>0.29229166666633927</v>
      </c>
      <c r="AG22" s="407">
        <f t="shared" si="30"/>
        <v>93.533333333228569</v>
      </c>
      <c r="AH22" s="407">
        <f t="shared" si="27"/>
        <v>180.13333333343812</v>
      </c>
      <c r="AI22" s="73">
        <f t="shared" si="31"/>
        <v>361.10970464094572</v>
      </c>
      <c r="AJ22" s="292">
        <f t="shared" si="9"/>
        <v>0.25738396624472576</v>
      </c>
      <c r="AK22" s="292">
        <f t="shared" si="33"/>
        <v>120.36990154698191</v>
      </c>
    </row>
    <row r="23" spans="1:37" ht="15.75" thickBot="1">
      <c r="A23" s="4">
        <f>ELEC!C23</f>
        <v>44156</v>
      </c>
      <c r="B23" s="555">
        <v>9329</v>
      </c>
      <c r="C23" s="290">
        <f t="shared" si="12"/>
        <v>2</v>
      </c>
      <c r="D23" s="556">
        <v>271033</v>
      </c>
      <c r="E23" s="290">
        <f t="shared" si="14"/>
        <v>419</v>
      </c>
      <c r="F23" s="290">
        <f t="shared" si="0"/>
        <v>209.5</v>
      </c>
      <c r="G23" s="197"/>
      <c r="H23" s="291">
        <f t="shared" si="15"/>
        <v>94679</v>
      </c>
      <c r="I23" s="290" t="str">
        <f t="shared" si="1"/>
        <v>ok</v>
      </c>
      <c r="J23" s="556">
        <f t="shared" si="16"/>
        <v>10698</v>
      </c>
      <c r="K23" s="290">
        <f t="shared" si="2"/>
        <v>0</v>
      </c>
      <c r="L23" s="556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6">
        <f t="shared" si="20"/>
        <v>11747</v>
      </c>
      <c r="S23" s="290">
        <f t="shared" si="5"/>
        <v>0</v>
      </c>
      <c r="T23" s="556">
        <f t="shared" si="21"/>
        <v>368318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2</v>
      </c>
      <c r="AA23" s="290">
        <f t="shared" si="24"/>
        <v>419</v>
      </c>
      <c r="AB23" s="290">
        <f t="shared" si="25"/>
        <v>209.5</v>
      </c>
      <c r="AC23" s="290">
        <f t="shared" si="26"/>
        <v>209.5</v>
      </c>
      <c r="AD23" s="73">
        <f>ELEC!Q23</f>
        <v>628.00000000061118</v>
      </c>
      <c r="AE23" s="73">
        <f t="shared" si="28"/>
        <v>314.00000000030559</v>
      </c>
      <c r="AF23" s="406">
        <f t="shared" si="29"/>
        <v>0.19625000000019099</v>
      </c>
      <c r="AG23" s="407">
        <f t="shared" si="30"/>
        <v>62.800000000061118</v>
      </c>
      <c r="AH23" s="407">
        <f t="shared" si="27"/>
        <v>146.69999999993888</v>
      </c>
      <c r="AI23" s="73">
        <f t="shared" si="31"/>
        <v>161.63713080184507</v>
      </c>
      <c r="AJ23" s="292">
        <f t="shared" si="9"/>
        <v>0.25738396624472576</v>
      </c>
      <c r="AK23" s="292">
        <f t="shared" si="33"/>
        <v>80.818565400922537</v>
      </c>
    </row>
    <row r="24" spans="1:37" ht="15.75" thickBot="1">
      <c r="A24" s="4">
        <f>ELEC!C24</f>
        <v>44157</v>
      </c>
      <c r="B24" s="555">
        <f t="shared" si="11"/>
        <v>9329</v>
      </c>
      <c r="C24" s="290">
        <f t="shared" si="12"/>
        <v>0</v>
      </c>
      <c r="D24" s="556">
        <f t="shared" si="13"/>
        <v>271033</v>
      </c>
      <c r="E24" s="290">
        <f t="shared" si="14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56">
        <f t="shared" si="16"/>
        <v>10698</v>
      </c>
      <c r="K24" s="290">
        <f t="shared" si="2"/>
        <v>0</v>
      </c>
      <c r="L24" s="556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6">
        <f t="shared" si="20"/>
        <v>11747</v>
      </c>
      <c r="S24" s="290">
        <f t="shared" si="5"/>
        <v>0</v>
      </c>
      <c r="T24" s="556">
        <f t="shared" si="21"/>
        <v>368318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5">
        <v>9332</v>
      </c>
      <c r="C25" s="290">
        <f t="shared" si="12"/>
        <v>3</v>
      </c>
      <c r="D25" s="556">
        <v>271699</v>
      </c>
      <c r="E25" s="290">
        <f t="shared" si="14"/>
        <v>666</v>
      </c>
      <c r="F25" s="290">
        <f t="shared" si="0"/>
        <v>222</v>
      </c>
      <c r="G25" s="197"/>
      <c r="H25" s="291">
        <f t="shared" ref="H25:H33" si="37">H24</f>
        <v>94679</v>
      </c>
      <c r="I25" s="290" t="str">
        <f t="shared" si="1"/>
        <v>ok</v>
      </c>
      <c r="J25" s="556">
        <f t="shared" si="16"/>
        <v>10698</v>
      </c>
      <c r="K25" s="290">
        <f t="shared" si="2"/>
        <v>0</v>
      </c>
      <c r="L25" s="556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6">
        <f t="shared" si="20"/>
        <v>11747</v>
      </c>
      <c r="S25" s="290">
        <f t="shared" si="5"/>
        <v>0</v>
      </c>
      <c r="T25" s="556">
        <f t="shared" si="21"/>
        <v>368318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3</v>
      </c>
      <c r="AA25" s="290">
        <f t="shared" si="24"/>
        <v>666</v>
      </c>
      <c r="AB25" s="290">
        <f t="shared" si="25"/>
        <v>222</v>
      </c>
      <c r="AC25" s="290">
        <f t="shared" si="26"/>
        <v>222</v>
      </c>
      <c r="AD25" s="73">
        <f>ELEC!Q25</f>
        <v>1694.999999999709</v>
      </c>
      <c r="AE25" s="73">
        <f t="shared" si="28"/>
        <v>564.99999999990303</v>
      </c>
      <c r="AF25" s="406">
        <f t="shared" si="29"/>
        <v>0.3531249999999394</v>
      </c>
      <c r="AG25" s="407">
        <f t="shared" si="30"/>
        <v>112.99999999998062</v>
      </c>
      <c r="AH25" s="407">
        <f t="shared" si="27"/>
        <v>109.00000000001938</v>
      </c>
      <c r="AI25" s="73">
        <f t="shared" si="31"/>
        <v>436.26582278473524</v>
      </c>
      <c r="AJ25" s="292">
        <f t="shared" si="9"/>
        <v>0.25738396624472576</v>
      </c>
      <c r="AK25" s="292">
        <f t="shared" si="33"/>
        <v>145.42194092824508</v>
      </c>
    </row>
    <row r="26" spans="1:37" ht="15.75" thickBot="1">
      <c r="A26" s="4">
        <f>ELEC!C26</f>
        <v>44159</v>
      </c>
      <c r="B26" s="555">
        <v>9335</v>
      </c>
      <c r="C26" s="290">
        <f t="shared" si="12"/>
        <v>3</v>
      </c>
      <c r="D26" s="556">
        <v>272500</v>
      </c>
      <c r="E26" s="290">
        <f t="shared" si="14"/>
        <v>801</v>
      </c>
      <c r="F26" s="290">
        <f t="shared" si="0"/>
        <v>267</v>
      </c>
      <c r="G26" s="197"/>
      <c r="H26" s="291">
        <f t="shared" si="37"/>
        <v>94679</v>
      </c>
      <c r="I26" s="290" t="str">
        <f t="shared" si="1"/>
        <v>ok</v>
      </c>
      <c r="J26" s="556">
        <f t="shared" si="16"/>
        <v>10698</v>
      </c>
      <c r="K26" s="290">
        <f t="shared" si="2"/>
        <v>0</v>
      </c>
      <c r="L26" s="556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6">
        <f t="shared" si="20"/>
        <v>11747</v>
      </c>
      <c r="S26" s="290">
        <f t="shared" si="5"/>
        <v>0</v>
      </c>
      <c r="T26" s="556">
        <f t="shared" si="21"/>
        <v>368318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3</v>
      </c>
      <c r="AA26" s="290">
        <f t="shared" si="24"/>
        <v>801</v>
      </c>
      <c r="AB26" s="290">
        <f t="shared" si="25"/>
        <v>267</v>
      </c>
      <c r="AC26" s="290">
        <f t="shared" si="26"/>
        <v>267</v>
      </c>
      <c r="AD26" s="73">
        <f>ELEC!Q26</f>
        <v>1364.000000001397</v>
      </c>
      <c r="AE26" s="73">
        <f t="shared" si="28"/>
        <v>454.66666666713235</v>
      </c>
      <c r="AF26" s="406">
        <f t="shared" si="29"/>
        <v>0.28416666666695772</v>
      </c>
      <c r="AG26" s="407">
        <f t="shared" si="30"/>
        <v>90.933333333426475</v>
      </c>
      <c r="AH26" s="407">
        <f t="shared" si="27"/>
        <v>176.06666666657352</v>
      </c>
      <c r="AI26" s="73">
        <f t="shared" si="31"/>
        <v>351.07172995816552</v>
      </c>
      <c r="AJ26" s="292">
        <f t="shared" si="9"/>
        <v>0.25738396624472576</v>
      </c>
      <c r="AK26" s="292">
        <f t="shared" si="33"/>
        <v>117.02390998605517</v>
      </c>
    </row>
    <row r="27" spans="1:37" ht="15.75" thickBot="1">
      <c r="A27" s="4">
        <f>ELEC!C27</f>
        <v>44160</v>
      </c>
      <c r="B27" s="555">
        <v>9338</v>
      </c>
      <c r="C27" s="290">
        <f t="shared" si="12"/>
        <v>3</v>
      </c>
      <c r="D27" s="556">
        <v>273223</v>
      </c>
      <c r="E27" s="290">
        <f t="shared" si="14"/>
        <v>723</v>
      </c>
      <c r="F27" s="290">
        <f t="shared" si="0"/>
        <v>241</v>
      </c>
      <c r="G27" s="197"/>
      <c r="H27" s="291">
        <f t="shared" si="37"/>
        <v>94679</v>
      </c>
      <c r="I27" s="290" t="str">
        <f>IF(B27-H27&lt;=0,"ok","oil change")</f>
        <v>ok</v>
      </c>
      <c r="J27" s="556">
        <f t="shared" si="16"/>
        <v>10698</v>
      </c>
      <c r="K27" s="290">
        <f t="shared" si="2"/>
        <v>0</v>
      </c>
      <c r="L27" s="556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6">
        <f t="shared" si="20"/>
        <v>11747</v>
      </c>
      <c r="S27" s="290">
        <f t="shared" si="5"/>
        <v>0</v>
      </c>
      <c r="T27" s="556">
        <f t="shared" si="21"/>
        <v>368318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3</v>
      </c>
      <c r="AA27" s="290">
        <f t="shared" si="24"/>
        <v>723</v>
      </c>
      <c r="AB27" s="290">
        <f t="shared" si="25"/>
        <v>241</v>
      </c>
      <c r="AC27" s="290">
        <f t="shared" si="26"/>
        <v>241</v>
      </c>
      <c r="AD27" s="73">
        <f>ELEC!Q27</f>
        <v>1520.9999999970023</v>
      </c>
      <c r="AE27" s="73">
        <f t="shared" si="28"/>
        <v>506.99999999900075</v>
      </c>
      <c r="AF27" s="406">
        <f t="shared" si="29"/>
        <v>0.31687499999937546</v>
      </c>
      <c r="AG27" s="407">
        <f t="shared" si="30"/>
        <v>101.39999999980014</v>
      </c>
      <c r="AH27" s="407">
        <f t="shared" si="27"/>
        <v>139.60000000019986</v>
      </c>
      <c r="AI27" s="73">
        <f t="shared" si="31"/>
        <v>391.48101265745635</v>
      </c>
      <c r="AJ27" s="292">
        <f t="shared" si="9"/>
        <v>0.25738396624472576</v>
      </c>
      <c r="AK27" s="292">
        <f t="shared" si="33"/>
        <v>130.49367088581877</v>
      </c>
    </row>
    <row r="28" spans="1:37" ht="15.75" thickBot="1">
      <c r="A28" s="4">
        <f>ELEC!C28</f>
        <v>44161</v>
      </c>
      <c r="B28" s="555">
        <v>9340</v>
      </c>
      <c r="C28" s="290">
        <f t="shared" si="12"/>
        <v>2</v>
      </c>
      <c r="D28" s="556">
        <v>273729</v>
      </c>
      <c r="E28" s="290">
        <f t="shared" si="14"/>
        <v>506</v>
      </c>
      <c r="F28" s="290">
        <f t="shared" si="0"/>
        <v>253</v>
      </c>
      <c r="G28" s="288"/>
      <c r="H28" s="291">
        <f t="shared" si="37"/>
        <v>94679</v>
      </c>
      <c r="I28" s="290" t="str">
        <f t="shared" si="1"/>
        <v>ok</v>
      </c>
      <c r="J28" s="556">
        <f t="shared" si="16"/>
        <v>10698</v>
      </c>
      <c r="K28" s="290">
        <f t="shared" si="2"/>
        <v>0</v>
      </c>
      <c r="L28" s="556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6">
        <f t="shared" si="20"/>
        <v>11747</v>
      </c>
      <c r="S28" s="290">
        <f t="shared" si="5"/>
        <v>0</v>
      </c>
      <c r="T28" s="556">
        <f t="shared" si="21"/>
        <v>368318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2</v>
      </c>
      <c r="AA28" s="290">
        <f t="shared" si="24"/>
        <v>506</v>
      </c>
      <c r="AB28" s="290">
        <f t="shared" si="25"/>
        <v>253</v>
      </c>
      <c r="AC28" s="290">
        <f t="shared" si="26"/>
        <v>253</v>
      </c>
      <c r="AD28" s="73">
        <f>ELEC!Q28</f>
        <v>1134.0000000018335</v>
      </c>
      <c r="AE28" s="73">
        <f t="shared" si="28"/>
        <v>567.00000000091677</v>
      </c>
      <c r="AF28" s="406">
        <f t="shared" si="29"/>
        <v>0.35437500000057298</v>
      </c>
      <c r="AG28" s="407">
        <f t="shared" si="30"/>
        <v>113.40000000018335</v>
      </c>
      <c r="AH28" s="407">
        <f t="shared" si="27"/>
        <v>139.59999999981665</v>
      </c>
      <c r="AI28" s="73">
        <f t="shared" si="31"/>
        <v>291.87341772199096</v>
      </c>
      <c r="AJ28" s="292">
        <f t="shared" si="9"/>
        <v>0.25738396624472576</v>
      </c>
      <c r="AK28" s="292">
        <f t="shared" si="33"/>
        <v>145.93670886099548</v>
      </c>
    </row>
    <row r="29" spans="1:37" ht="15.75" thickBot="1">
      <c r="A29" s="4">
        <f>ELEC!C29</f>
        <v>44162</v>
      </c>
      <c r="B29" s="555">
        <f t="shared" si="11"/>
        <v>9340</v>
      </c>
      <c r="C29" s="290">
        <f t="shared" si="12"/>
        <v>0</v>
      </c>
      <c r="D29" s="556">
        <f t="shared" si="13"/>
        <v>273729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56">
        <f t="shared" si="16"/>
        <v>10698</v>
      </c>
      <c r="K29" s="290">
        <f t="shared" si="2"/>
        <v>0</v>
      </c>
      <c r="L29" s="556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6">
        <f t="shared" si="20"/>
        <v>11747</v>
      </c>
      <c r="S29" s="290">
        <f t="shared" si="5"/>
        <v>0</v>
      </c>
      <c r="T29" s="556">
        <f t="shared" si="21"/>
        <v>368318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5">
        <f t="shared" si="11"/>
        <v>9340</v>
      </c>
      <c r="C30" s="290">
        <f t="shared" si="12"/>
        <v>0</v>
      </c>
      <c r="D30" s="556">
        <f t="shared" si="13"/>
        <v>273729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56">
        <f t="shared" si="16"/>
        <v>10698</v>
      </c>
      <c r="K30" s="290">
        <f t="shared" si="2"/>
        <v>0</v>
      </c>
      <c r="L30" s="556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6">
        <f t="shared" si="20"/>
        <v>11747</v>
      </c>
      <c r="S30" s="290">
        <f t="shared" si="5"/>
        <v>0</v>
      </c>
      <c r="T30" s="556">
        <f t="shared" si="21"/>
        <v>368318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5">
        <f t="shared" si="11"/>
        <v>9340</v>
      </c>
      <c r="C31" s="290">
        <f t="shared" si="12"/>
        <v>0</v>
      </c>
      <c r="D31" s="556">
        <f t="shared" si="13"/>
        <v>273729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56">
        <f t="shared" si="16"/>
        <v>10698</v>
      </c>
      <c r="K31" s="290">
        <f t="shared" si="2"/>
        <v>0</v>
      </c>
      <c r="L31" s="556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6">
        <f t="shared" si="20"/>
        <v>11747</v>
      </c>
      <c r="S31" s="290">
        <f t="shared" si="5"/>
        <v>0</v>
      </c>
      <c r="T31" s="556">
        <f t="shared" si="21"/>
        <v>368318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5">
        <f t="shared" si="11"/>
        <v>9340</v>
      </c>
      <c r="C32" s="290">
        <f t="shared" si="12"/>
        <v>0</v>
      </c>
      <c r="D32" s="556">
        <f t="shared" si="13"/>
        <v>273729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56">
        <f t="shared" si="16"/>
        <v>10698</v>
      </c>
      <c r="K32" s="290">
        <f>J32-J31</f>
        <v>0</v>
      </c>
      <c r="L32" s="556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6">
        <f t="shared" si="20"/>
        <v>11747</v>
      </c>
      <c r="S32" s="290">
        <f t="shared" si="5"/>
        <v>0</v>
      </c>
      <c r="T32" s="556">
        <f t="shared" si="21"/>
        <v>368318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5">
        <f t="shared" si="11"/>
        <v>9340</v>
      </c>
      <c r="C33" s="290">
        <f t="shared" ref="C33" si="38">B33-B32</f>
        <v>0</v>
      </c>
      <c r="D33" s="556">
        <f t="shared" si="13"/>
        <v>273729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56">
        <f t="shared" si="16"/>
        <v>10698</v>
      </c>
      <c r="K33" s="290">
        <f>J33-J32</f>
        <v>0</v>
      </c>
      <c r="L33" s="556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6">
        <f t="shared" si="20"/>
        <v>11747</v>
      </c>
      <c r="S33" s="290">
        <f t="shared" ref="S33" si="45">R33-R32</f>
        <v>0</v>
      </c>
      <c r="T33" s="556">
        <f t="shared" si="21"/>
        <v>368318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68</v>
      </c>
      <c r="V34" s="40"/>
      <c r="X34">
        <v>341</v>
      </c>
      <c r="Z34" s="425">
        <f>SUM(Z3:Z32)</f>
        <v>68</v>
      </c>
    </row>
    <row r="35" spans="1:37">
      <c r="C35" s="40">
        <f>SUM(C3:C32)</f>
        <v>26</v>
      </c>
      <c r="K35" s="40">
        <f>SUM(K3:K32)</f>
        <v>0</v>
      </c>
      <c r="S35" s="40">
        <f>SUM(S3:S32)</f>
        <v>42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80" zoomScaleNormal="80" workbookViewId="0">
      <selection activeCell="P29" sqref="P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4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0">
        <v>87620</v>
      </c>
      <c r="G4" s="160">
        <f t="shared" ref="G4:G32" si="1">F4-F3</f>
        <v>565</v>
      </c>
      <c r="H4" s="554">
        <v>306321</v>
      </c>
      <c r="I4" s="161">
        <f t="shared" ref="I4:I33" si="2">H4-H3</f>
        <v>1574</v>
      </c>
      <c r="J4" s="554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138.63472120877094</v>
      </c>
      <c r="P4" s="300">
        <f>SUM(L4:O4)</f>
        <v>444.2320678091026</v>
      </c>
      <c r="Q4" s="300">
        <f>SUM(-tanks!AX6*tanks!$AU$37)</f>
        <v>200.09387096774401</v>
      </c>
      <c r="R4" s="300">
        <f>SUM(P4:Q4)</f>
        <v>644.32593877684667</v>
      </c>
      <c r="S4" s="302">
        <f>SUM(ELEC!N3)</f>
        <v>8072</v>
      </c>
      <c r="T4" s="339">
        <f>IF(S4&gt;0,R4/S4,0)</f>
        <v>7.9822341275625208E-2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86"/>
      <c r="AC4" s="687"/>
    </row>
    <row r="5" spans="1:30">
      <c r="A5" s="163">
        <f>ELEC!C4</f>
        <v>44137</v>
      </c>
      <c r="B5" s="609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4">
        <v>88417</v>
      </c>
      <c r="G5" s="160">
        <f t="shared" si="1"/>
        <v>797</v>
      </c>
      <c r="H5" s="609">
        <v>308527</v>
      </c>
      <c r="I5" s="161">
        <f t="shared" si="2"/>
        <v>2206</v>
      </c>
      <c r="J5" s="609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138.63472120877094</v>
      </c>
      <c r="P5" s="300">
        <f t="shared" ref="P5:P32" si="9">SUM(L5:O5)</f>
        <v>516.659265155703</v>
      </c>
      <c r="Q5" s="300">
        <f>SUM(-tanks!AX7*tanks!$AU$37)</f>
        <v>195.51948387097175</v>
      </c>
      <c r="R5" s="300">
        <f t="shared" ref="R5:R32" si="10">SUM(P5:Q5)</f>
        <v>712.17874902667472</v>
      </c>
      <c r="S5" s="302">
        <f>SUM(ELEC!N4)</f>
        <v>7352</v>
      </c>
      <c r="T5" s="339">
        <f>IF(S5&gt;0,R5/S5,0)</f>
        <v>9.6868709062387745E-2</v>
      </c>
      <c r="U5" s="252"/>
      <c r="V5" s="680"/>
      <c r="W5" s="681"/>
      <c r="X5" s="681"/>
      <c r="Y5" s="682"/>
      <c r="Z5" s="26" t="s">
        <v>203</v>
      </c>
      <c r="AA5" s="266">
        <f>'[7]EDl log'!AA22</f>
        <v>5000</v>
      </c>
      <c r="AB5" s="688"/>
      <c r="AC5" s="689"/>
    </row>
    <row r="6" spans="1:30" ht="15.75" thickBot="1">
      <c r="A6" s="163">
        <f>ELEC!C5</f>
        <v>44138</v>
      </c>
      <c r="B6" s="610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1">
        <v>88727</v>
      </c>
      <c r="G6" s="160">
        <f t="shared" si="1"/>
        <v>310</v>
      </c>
      <c r="H6" s="610">
        <v>310735</v>
      </c>
      <c r="I6" s="161">
        <f t="shared" si="2"/>
        <v>2208</v>
      </c>
      <c r="J6" s="610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138.63472120877094</v>
      </c>
      <c r="P6" s="300">
        <f t="shared" si="9"/>
        <v>422.66523530495664</v>
      </c>
      <c r="Q6" s="300">
        <f>SUM(-tanks!AX8*tanks!$AU$37)</f>
        <v>358.0382580645234</v>
      </c>
      <c r="R6" s="300">
        <f t="shared" si="10"/>
        <v>780.70349336948004</v>
      </c>
      <c r="S6" s="302">
        <f>SUM(ELEC!N5)</f>
        <v>8515</v>
      </c>
      <c r="T6" s="339">
        <f t="shared" ref="T6:T32" si="12">IF(S6&gt;0,R6/S6,0)</f>
        <v>9.1685671564237237E-2</v>
      </c>
      <c r="V6" s="683"/>
      <c r="W6" s="684"/>
      <c r="X6" s="684"/>
      <c r="Y6" s="685"/>
      <c r="Z6" s="3"/>
      <c r="AA6" s="3"/>
      <c r="AB6" s="688"/>
      <c r="AC6" s="689"/>
    </row>
    <row r="7" spans="1:30" ht="15" customHeight="1">
      <c r="A7" s="163">
        <f>ELEC!C6</f>
        <v>44139</v>
      </c>
      <c r="B7" s="554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0">
        <v>89359</v>
      </c>
      <c r="G7" s="160">
        <f t="shared" si="1"/>
        <v>632</v>
      </c>
      <c r="H7" s="554">
        <v>312272</v>
      </c>
      <c r="I7" s="161">
        <f t="shared" si="2"/>
        <v>1537</v>
      </c>
      <c r="J7" s="554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138.63472120877094</v>
      </c>
      <c r="P7" s="300">
        <f t="shared" si="9"/>
        <v>450.08016067809103</v>
      </c>
      <c r="Q7" s="300">
        <f>SUM(-tanks!AX9*tanks!$AU$37)</f>
        <v>450.81580645160528</v>
      </c>
      <c r="R7" s="300">
        <f t="shared" si="10"/>
        <v>900.89596712969637</v>
      </c>
      <c r="S7" s="302">
        <f>SUM(ELEC!N6)</f>
        <v>8156</v>
      </c>
      <c r="T7" s="339">
        <f t="shared" si="12"/>
        <v>0.11045806365003634</v>
      </c>
      <c r="V7" s="676" t="s">
        <v>204</v>
      </c>
      <c r="W7" s="677"/>
      <c r="X7" s="678" t="s">
        <v>205</v>
      </c>
      <c r="Y7" s="679"/>
      <c r="Z7" s="677"/>
      <c r="AA7" s="26"/>
      <c r="AB7" s="690"/>
      <c r="AC7" s="691"/>
    </row>
    <row r="8" spans="1:30" ht="15.75" customHeight="1" thickBot="1">
      <c r="A8" s="163">
        <f>ELEC!C7</f>
        <v>44140</v>
      </c>
      <c r="B8" s="613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1">
        <v>89873</v>
      </c>
      <c r="G8" s="160">
        <f t="shared" si="1"/>
        <v>514</v>
      </c>
      <c r="H8" s="613">
        <v>313992</v>
      </c>
      <c r="I8" s="161">
        <f t="shared" si="2"/>
        <v>1720</v>
      </c>
      <c r="J8" s="613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138.63472120877094</v>
      </c>
      <c r="P8" s="300">
        <f t="shared" si="9"/>
        <v>432.63140445918555</v>
      </c>
      <c r="Q8" s="300">
        <f>SUM(-tanks!AX10*tanks!$AU$37)</f>
        <v>416.51580645161243</v>
      </c>
      <c r="R8" s="300">
        <f t="shared" si="10"/>
        <v>849.14721091079798</v>
      </c>
      <c r="S8" s="302">
        <f>SUM(ELEC!N7)</f>
        <v>7853.3999999999069</v>
      </c>
      <c r="T8" s="339">
        <f>IF(S8&gt;0,R8/S8,0)</f>
        <v>0.10812478810589146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4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0">
        <v>90365</v>
      </c>
      <c r="G9" s="160">
        <f t="shared" si="1"/>
        <v>492</v>
      </c>
      <c r="H9" s="554">
        <v>315953</v>
      </c>
      <c r="I9" s="161">
        <f t="shared" si="2"/>
        <v>1961</v>
      </c>
      <c r="J9" s="554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138.63472120877094</v>
      </c>
      <c r="P9" s="300">
        <f t="shared" si="9"/>
        <v>434.35080744426017</v>
      </c>
      <c r="Q9" s="300">
        <f>SUM(-tanks!AX11*tanks!$AU$37)</f>
        <v>334.84387096773685</v>
      </c>
      <c r="R9" s="300">
        <f>SUM(P9:Q9)</f>
        <v>769.19467841199707</v>
      </c>
      <c r="S9" s="302">
        <f>SUM(ELEC!N8)</f>
        <v>7743.2000000001863</v>
      </c>
      <c r="T9" s="339">
        <f t="shared" si="12"/>
        <v>9.9338087407270709E-2</v>
      </c>
      <c r="V9" s="587">
        <f>'[1]EDl log'!V26</f>
        <v>164328</v>
      </c>
      <c r="W9" s="587">
        <f>'[1]EDl log'!W26</f>
        <v>210387</v>
      </c>
      <c r="X9" s="266" t="str">
        <f>'[3]EDl log'!X26</f>
        <v>Night</v>
      </c>
      <c r="Y9" s="583">
        <f>'[1]EDl log'!$Y$26</f>
        <v>80</v>
      </c>
      <c r="Z9" s="266">
        <f>'[3]EDl log'!Z26</f>
        <v>1</v>
      </c>
      <c r="AA9" s="559">
        <f>'[1]EDl log'!AA26</f>
        <v>46059</v>
      </c>
      <c r="AB9" s="559">
        <f>'[1]EDl log'!AB26</f>
        <v>3684720</v>
      </c>
      <c r="AC9" s="559">
        <f>'[1]EDl log'!AC26</f>
        <v>1033333</v>
      </c>
      <c r="AD9" s="608">
        <f>'[1]EDl log'!AD26</f>
        <v>0.34778833230137274</v>
      </c>
    </row>
    <row r="10" spans="1:30" ht="15.75" thickBot="1">
      <c r="A10" s="163">
        <f>ELEC!C9</f>
        <v>44142</v>
      </c>
      <c r="B10" s="554">
        <v>626047</v>
      </c>
      <c r="C10" s="266">
        <f t="shared" si="0"/>
        <v>3055</v>
      </c>
      <c r="D10" s="311">
        <f t="shared" si="8"/>
        <v>3055</v>
      </c>
      <c r="E10" s="311">
        <f t="shared" si="11"/>
        <v>626047</v>
      </c>
      <c r="F10" s="600">
        <v>90638</v>
      </c>
      <c r="G10" s="160">
        <f t="shared" si="1"/>
        <v>273</v>
      </c>
      <c r="H10" s="554">
        <v>317641</v>
      </c>
      <c r="I10" s="161">
        <f t="shared" si="2"/>
        <v>1688</v>
      </c>
      <c r="J10" s="554">
        <v>217768</v>
      </c>
      <c r="K10" s="162">
        <f t="shared" si="3"/>
        <v>1094</v>
      </c>
      <c r="L10" s="299">
        <f t="shared" si="4"/>
        <v>57.950248756218905</v>
      </c>
      <c r="M10" s="299">
        <f t="shared" si="5"/>
        <v>125.41028192371476</v>
      </c>
      <c r="N10" s="299">
        <f t="shared" si="6"/>
        <v>58.056384742951906</v>
      </c>
      <c r="O10" s="299">
        <f t="shared" si="7"/>
        <v>138.63472120877094</v>
      </c>
      <c r="P10" s="300">
        <f t="shared" si="9"/>
        <v>380.05163663165649</v>
      </c>
      <c r="Q10" s="300">
        <f>SUM(-tanks!AX12*tanks!$AU$37)</f>
        <v>149.62387096774401</v>
      </c>
      <c r="R10" s="300">
        <f t="shared" si="10"/>
        <v>529.67550759940048</v>
      </c>
      <c r="S10" s="302">
        <f>SUM(ELEC!N9)</f>
        <v>6591.6000000000931</v>
      </c>
      <c r="T10" s="339">
        <f t="shared" si="12"/>
        <v>8.0356136233902697E-2</v>
      </c>
      <c r="V10" s="587">
        <f>'[1]EDl log'!V27</f>
        <v>242131</v>
      </c>
      <c r="W10" s="587">
        <f>'[1]EDl log'!W27</f>
        <v>304747</v>
      </c>
      <c r="X10" s="266" t="str">
        <f>'[4]EDl log'!X27</f>
        <v>day</v>
      </c>
      <c r="Y10" s="583">
        <f>'[1]EDl log'!$Y$27</f>
        <v>112</v>
      </c>
      <c r="Z10" s="266">
        <f>'[3]EDl log'!Z27</f>
        <v>1</v>
      </c>
      <c r="AA10" s="559">
        <f>'[1]EDl log'!AA27</f>
        <v>62616</v>
      </c>
      <c r="AB10" s="559">
        <f>'[1]EDl log'!AB27</f>
        <v>7012992</v>
      </c>
      <c r="AC10" s="559">
        <f>'[1]EDl log'!AC27</f>
        <v>6200000</v>
      </c>
      <c r="AD10" s="608">
        <f>'[1]EDl log'!AD27</f>
        <v>0.47280909736170468</v>
      </c>
    </row>
    <row r="11" spans="1:30">
      <c r="A11" s="163">
        <f>ELEC!C10</f>
        <v>44143</v>
      </c>
      <c r="B11" s="554">
        <v>629025</v>
      </c>
      <c r="C11" s="266">
        <f t="shared" si="0"/>
        <v>2978</v>
      </c>
      <c r="D11" s="311">
        <f>SUM(G11+I11+K11)</f>
        <v>2977</v>
      </c>
      <c r="E11" s="311">
        <f t="shared" si="11"/>
        <v>629024</v>
      </c>
      <c r="F11" s="600">
        <v>91101</v>
      </c>
      <c r="G11" s="160">
        <f t="shared" si="1"/>
        <v>463</v>
      </c>
      <c r="H11" s="554">
        <v>319120</v>
      </c>
      <c r="I11" s="161">
        <f t="shared" si="2"/>
        <v>1479</v>
      </c>
      <c r="J11" s="554">
        <v>218803</v>
      </c>
      <c r="K11" s="162">
        <f t="shared" si="3"/>
        <v>1035</v>
      </c>
      <c r="L11" s="299">
        <f t="shared" si="4"/>
        <v>98.281923714759529</v>
      </c>
      <c r="M11" s="299">
        <f t="shared" si="5"/>
        <v>109.88258706467661</v>
      </c>
      <c r="N11" s="299">
        <f t="shared" si="6"/>
        <v>54.92537313432836</v>
      </c>
      <c r="O11" s="299">
        <f t="shared" si="7"/>
        <v>138.63472120877094</v>
      </c>
      <c r="P11" s="300">
        <f t="shared" si="9"/>
        <v>401.72460512253542</v>
      </c>
      <c r="Q11" s="300">
        <f>SUM(-tanks!AX13*tanks!$AU$37)</f>
        <v>255.46387096775112</v>
      </c>
      <c r="R11" s="300">
        <f t="shared" si="10"/>
        <v>657.18847609028649</v>
      </c>
      <c r="S11" s="302">
        <f>SUM(ELEC!N10)</f>
        <v>7125.7999999998137</v>
      </c>
      <c r="T11" s="339">
        <f t="shared" si="12"/>
        <v>9.2226623830349394E-2</v>
      </c>
      <c r="V11" s="587">
        <f>'[1]EDl log'!V28</f>
        <v>63298</v>
      </c>
      <c r="W11" s="587">
        <f>'[1]EDl log'!W28</f>
        <v>87055</v>
      </c>
      <c r="X11" s="266" t="str">
        <f>'[4]EDl log'!X28</f>
        <v>Peak</v>
      </c>
      <c r="Y11" s="583">
        <f>'[1]EDl log'!$Y$28</f>
        <v>320</v>
      </c>
      <c r="Z11" s="266">
        <f>'[3]EDl log'!Z28</f>
        <v>1</v>
      </c>
      <c r="AA11" s="559">
        <f>'[1]EDl log'!AA28</f>
        <v>23757</v>
      </c>
      <c r="AB11" s="559">
        <f>'[1]EDl log'!AB28</f>
        <v>7602240</v>
      </c>
      <c r="AC11" s="559">
        <f>'[1]EDl log'!AC28</f>
        <v>1000</v>
      </c>
      <c r="AD11" s="608">
        <f>'[1]EDl log'!AD28</f>
        <v>0.17938746847486295</v>
      </c>
    </row>
    <row r="12" spans="1:30">
      <c r="A12" s="163">
        <f>ELEC!C11</f>
        <v>44144</v>
      </c>
      <c r="B12" s="621">
        <v>632320</v>
      </c>
      <c r="C12" s="266">
        <f t="shared" si="0"/>
        <v>3295</v>
      </c>
      <c r="D12" s="311">
        <f t="shared" si="8"/>
        <v>3295</v>
      </c>
      <c r="E12" s="311">
        <f t="shared" si="11"/>
        <v>632320</v>
      </c>
      <c r="F12" s="611">
        <v>91759</v>
      </c>
      <c r="G12" s="160">
        <f t="shared" si="1"/>
        <v>658</v>
      </c>
      <c r="H12" s="618">
        <v>320623</v>
      </c>
      <c r="I12" s="161">
        <f t="shared" si="2"/>
        <v>1503</v>
      </c>
      <c r="J12" s="618">
        <v>219937</v>
      </c>
      <c r="K12" s="162">
        <f t="shared" si="3"/>
        <v>1134</v>
      </c>
      <c r="L12" s="299">
        <f t="shared" si="4"/>
        <v>139.67495854063017</v>
      </c>
      <c r="M12" s="299">
        <f t="shared" si="5"/>
        <v>111.66567164179105</v>
      </c>
      <c r="N12" s="299">
        <f t="shared" si="6"/>
        <v>60.179104477611943</v>
      </c>
      <c r="O12" s="299">
        <f t="shared" si="7"/>
        <v>138.63472120877094</v>
      </c>
      <c r="P12" s="300">
        <f t="shared" si="9"/>
        <v>450.15445586880412</v>
      </c>
      <c r="Q12" s="300">
        <f>SUM(-tanks!AX14*tanks!$AU$37)</f>
        <v>199.11387096773686</v>
      </c>
      <c r="R12" s="300">
        <f t="shared" si="10"/>
        <v>649.26832683654095</v>
      </c>
      <c r="S12" s="302">
        <f>SUM(ELEC!N11)</f>
        <v>7376</v>
      </c>
      <c r="T12" s="339">
        <f t="shared" si="12"/>
        <v>8.8024447781526696E-2</v>
      </c>
      <c r="V12" s="587"/>
      <c r="W12" s="266"/>
      <c r="X12" s="3"/>
      <c r="Y12" s="266"/>
      <c r="Z12" s="28"/>
      <c r="AA12" s="559">
        <f>'[1]EDl log'!AA29</f>
        <v>132432</v>
      </c>
      <c r="AB12" s="583">
        <f>'[3]EDl log'!AB29</f>
        <v>0</v>
      </c>
      <c r="AC12" s="588">
        <f>'[3]EDl log'!AC29</f>
        <v>0</v>
      </c>
      <c r="AD12" s="585"/>
    </row>
    <row r="13" spans="1:30">
      <c r="A13" s="163">
        <f>ELEC!C12</f>
        <v>44145</v>
      </c>
      <c r="B13" s="622">
        <v>636010</v>
      </c>
      <c r="C13" s="266">
        <f t="shared" si="0"/>
        <v>3690</v>
      </c>
      <c r="D13" s="311">
        <f t="shared" si="8"/>
        <v>3690</v>
      </c>
      <c r="E13" s="311">
        <f t="shared" si="11"/>
        <v>636010</v>
      </c>
      <c r="F13" s="611">
        <v>92349</v>
      </c>
      <c r="G13" s="160">
        <f t="shared" si="1"/>
        <v>590</v>
      </c>
      <c r="H13" s="622">
        <v>322879</v>
      </c>
      <c r="I13" s="161">
        <f t="shared" si="2"/>
        <v>2256</v>
      </c>
      <c r="J13" s="622">
        <v>220781</v>
      </c>
      <c r="K13" s="162">
        <f t="shared" si="3"/>
        <v>844</v>
      </c>
      <c r="L13" s="299">
        <f t="shared" si="4"/>
        <v>125.24046434494196</v>
      </c>
      <c r="M13" s="299">
        <f t="shared" si="5"/>
        <v>167.60995024875621</v>
      </c>
      <c r="N13" s="299">
        <f t="shared" si="6"/>
        <v>44.789386401326702</v>
      </c>
      <c r="O13" s="299">
        <f t="shared" si="7"/>
        <v>138.63472120877094</v>
      </c>
      <c r="P13" s="300">
        <f t="shared" si="9"/>
        <v>476.27452220379575</v>
      </c>
      <c r="Q13" s="300">
        <f>SUM(-tanks!AX15*tanks!$AU$37)</f>
        <v>229.98387096775113</v>
      </c>
      <c r="R13" s="300">
        <f t="shared" si="10"/>
        <v>706.25839317154691</v>
      </c>
      <c r="S13" s="302">
        <f>SUM(ELEC!N12)</f>
        <v>7892</v>
      </c>
      <c r="T13" s="339">
        <f t="shared" si="12"/>
        <v>8.9490419813931438E-2</v>
      </c>
      <c r="V13" s="587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3">
        <f>'[1]EDl log'!AB30</f>
        <v>18299952</v>
      </c>
      <c r="AC13" s="583">
        <f>'[1]EDl log'!AC30</f>
        <v>7234333</v>
      </c>
    </row>
    <row r="14" spans="1:30" ht="15.75" thickBot="1">
      <c r="A14" s="163">
        <f>ELEC!C13</f>
        <v>44146</v>
      </c>
      <c r="B14" s="623">
        <v>639654</v>
      </c>
      <c r="C14" s="266">
        <f t="shared" si="0"/>
        <v>3644</v>
      </c>
      <c r="D14" s="311">
        <f t="shared" si="8"/>
        <v>3643</v>
      </c>
      <c r="E14" s="311">
        <f t="shared" si="11"/>
        <v>639653</v>
      </c>
      <c r="F14" s="611">
        <v>92650</v>
      </c>
      <c r="G14" s="160">
        <f t="shared" si="1"/>
        <v>301</v>
      </c>
      <c r="H14" s="623">
        <v>324991</v>
      </c>
      <c r="I14" s="161">
        <f t="shared" si="2"/>
        <v>2112</v>
      </c>
      <c r="J14" s="623">
        <v>222011</v>
      </c>
      <c r="K14" s="162">
        <f t="shared" ref="K14:K17" si="13">J14-J13</f>
        <v>1230</v>
      </c>
      <c r="L14" s="299">
        <f t="shared" ref="L14:L17" si="14">SUM(G14*$Y$28)/1507.5</f>
        <v>63.893864013266999</v>
      </c>
      <c r="M14" s="299">
        <f t="shared" ref="M14:M17" si="15">SUM(I14*$Y$27)/1507.5</f>
        <v>156.91144278606964</v>
      </c>
      <c r="N14" s="299">
        <f t="shared" ref="N14:N17" si="16">SUM(K14*$Y$26)/1507.5</f>
        <v>65.273631840796014</v>
      </c>
      <c r="O14" s="299">
        <f t="shared" si="7"/>
        <v>138.63472120877094</v>
      </c>
      <c r="P14" s="300">
        <f t="shared" ref="P14:P17" si="17">SUM(L14:O14)</f>
        <v>424.7136598489036</v>
      </c>
      <c r="Q14" s="300">
        <f>SUM(-tanks!AX16*tanks!$AU$37)</f>
        <v>221.16387096773687</v>
      </c>
      <c r="R14" s="300">
        <f t="shared" ref="R14:R17" si="18">SUM(P14:Q14)</f>
        <v>645.8775308166405</v>
      </c>
      <c r="S14" s="302">
        <f>SUM(ELEC!N13)</f>
        <v>8345</v>
      </c>
      <c r="T14" s="339">
        <f t="shared" ref="T14:T17" si="19">IF(S14&gt;0,R14/S14,0)</f>
        <v>7.7396947970837682E-2</v>
      </c>
      <c r="V14" s="587" t="str">
        <f>'[7]EDl log'!V31</f>
        <v>Gen RH</v>
      </c>
      <c r="W14" s="584">
        <f>'[1]EDl log'!W31</f>
        <v>103</v>
      </c>
      <c r="X14" s="540">
        <f>'[1]EDl log'!$X$31</f>
        <v>3.3225806451612905</v>
      </c>
      <c r="Y14" s="583">
        <f>'[1]EDl log'!$Y$31</f>
        <v>1.6612903225806452</v>
      </c>
      <c r="Z14" s="266"/>
      <c r="AA14" s="3"/>
      <c r="AB14" s="583">
        <f>'[1]EDl log'!AB31</f>
        <v>25534285</v>
      </c>
      <c r="AC14" s="583">
        <f>'[1]EDl log'!AC31</f>
        <v>7234333</v>
      </c>
    </row>
    <row r="15" spans="1:30" ht="15.75" thickBot="1">
      <c r="A15" s="163">
        <f>ELEC!C14</f>
        <v>44147</v>
      </c>
      <c r="B15" s="554">
        <v>643539</v>
      </c>
      <c r="C15" s="266">
        <f t="shared" si="0"/>
        <v>3885</v>
      </c>
      <c r="D15" s="311">
        <f t="shared" si="8"/>
        <v>3887</v>
      </c>
      <c r="E15" s="311">
        <f t="shared" si="11"/>
        <v>643541</v>
      </c>
      <c r="F15" s="600">
        <v>93477</v>
      </c>
      <c r="G15" s="160">
        <f t="shared" si="1"/>
        <v>827</v>
      </c>
      <c r="H15" s="554">
        <v>326670</v>
      </c>
      <c r="I15" s="161">
        <f t="shared" si="2"/>
        <v>1679</v>
      </c>
      <c r="J15" s="554">
        <v>223392</v>
      </c>
      <c r="K15" s="162">
        <f t="shared" si="13"/>
        <v>1381</v>
      </c>
      <c r="L15" s="299">
        <f t="shared" si="14"/>
        <v>175.54892205638475</v>
      </c>
      <c r="M15" s="299">
        <f t="shared" si="15"/>
        <v>124.74162520729685</v>
      </c>
      <c r="N15" s="299">
        <f t="shared" si="16"/>
        <v>73.286898839137649</v>
      </c>
      <c r="O15" s="299">
        <f t="shared" si="7"/>
        <v>138.63472120877094</v>
      </c>
      <c r="P15" s="300">
        <f t="shared" si="17"/>
        <v>512.21216731159029</v>
      </c>
      <c r="Q15" s="300">
        <f>SUM(-tanks!AX17*tanks!$AU$37)</f>
        <v>215.28387096773687</v>
      </c>
      <c r="R15" s="300">
        <f t="shared" si="18"/>
        <v>727.49603827932719</v>
      </c>
      <c r="S15" s="302">
        <f>SUM(ELEC!N14)</f>
        <v>8791</v>
      </c>
      <c r="T15" s="339">
        <f t="shared" si="19"/>
        <v>8.2754639776968175E-2</v>
      </c>
      <c r="V15" s="587" t="str">
        <f>'[7]EDl log'!V32</f>
        <v>H Deg</v>
      </c>
      <c r="W15" s="584">
        <f>'[1]EDl log'!W32</f>
        <v>0</v>
      </c>
      <c r="X15" s="559">
        <f>'[9]EDl log'!X15</f>
        <v>0</v>
      </c>
      <c r="Y15" s="266"/>
      <c r="Z15" s="266"/>
      <c r="AA15" s="3"/>
      <c r="AB15" s="583">
        <f>'[3]EDl log'!AB32</f>
        <v>0</v>
      </c>
      <c r="AC15" s="588">
        <f>'[3]EDl log'!AC32</f>
        <v>0</v>
      </c>
    </row>
    <row r="16" spans="1:30" ht="15.75" thickBot="1">
      <c r="A16" s="163">
        <f>ELEC!C15</f>
        <v>44148</v>
      </c>
      <c r="B16" s="554">
        <v>647185</v>
      </c>
      <c r="C16" s="266">
        <f t="shared" si="0"/>
        <v>3646</v>
      </c>
      <c r="D16" s="311">
        <f t="shared" si="8"/>
        <v>3646</v>
      </c>
      <c r="E16" s="311">
        <f t="shared" si="11"/>
        <v>647185</v>
      </c>
      <c r="F16" s="600">
        <v>94338</v>
      </c>
      <c r="G16" s="160">
        <f t="shared" si="1"/>
        <v>861</v>
      </c>
      <c r="H16" s="554">
        <v>328319</v>
      </c>
      <c r="I16" s="161">
        <f t="shared" si="2"/>
        <v>1649</v>
      </c>
      <c r="J16" s="554">
        <v>224528</v>
      </c>
      <c r="K16" s="162">
        <f t="shared" si="13"/>
        <v>1136</v>
      </c>
      <c r="L16" s="299">
        <f t="shared" si="14"/>
        <v>182.76616915422886</v>
      </c>
      <c r="M16" s="299">
        <f t="shared" si="15"/>
        <v>122.51276948590382</v>
      </c>
      <c r="N16" s="299">
        <f t="shared" si="16"/>
        <v>60.285240464344945</v>
      </c>
      <c r="O16" s="299">
        <f t="shared" si="7"/>
        <v>138.63472120877094</v>
      </c>
      <c r="P16" s="300">
        <f t="shared" si="17"/>
        <v>504.19890031324854</v>
      </c>
      <c r="Q16" s="300">
        <f>SUM(-tanks!AX18*tanks!$AU$37)</f>
        <v>233.41387096773687</v>
      </c>
      <c r="R16" s="300">
        <f t="shared" si="18"/>
        <v>737.61277128098538</v>
      </c>
      <c r="S16" s="302">
        <f>SUM(ELEC!N15)</f>
        <v>8409</v>
      </c>
      <c r="T16" s="339">
        <f t="shared" si="19"/>
        <v>8.7717061634080787E-2</v>
      </c>
      <c r="V16" s="587" t="str">
        <f>'[7]EDl log'!V33</f>
        <v>C Deg</v>
      </c>
      <c r="W16" s="584">
        <f>'[1]EDl log'!W33</f>
        <v>307.69999999999982</v>
      </c>
      <c r="X16" s="559">
        <f>'[9]EDl log'!X16</f>
        <v>0</v>
      </c>
      <c r="Y16" s="559">
        <f>'[7]EDl log'!Y33</f>
        <v>0</v>
      </c>
      <c r="Z16" s="3"/>
      <c r="AA16" s="3"/>
      <c r="AB16" s="583">
        <f>'[3]EDl log'!AB33</f>
        <v>0</v>
      </c>
      <c r="AC16" s="588">
        <f>'[3]EDl log'!AC33</f>
        <v>0</v>
      </c>
    </row>
    <row r="17" spans="1:32" ht="15.75" thickBot="1">
      <c r="A17" s="163">
        <f>ELEC!C16</f>
        <v>44149</v>
      </c>
      <c r="B17" s="554">
        <v>651369</v>
      </c>
      <c r="C17" s="266">
        <f t="shared" si="0"/>
        <v>4184</v>
      </c>
      <c r="D17" s="311">
        <f t="shared" si="8"/>
        <v>4184</v>
      </c>
      <c r="E17" s="311">
        <f t="shared" si="11"/>
        <v>651369</v>
      </c>
      <c r="F17" s="600">
        <v>94843</v>
      </c>
      <c r="G17" s="160">
        <f t="shared" si="1"/>
        <v>505</v>
      </c>
      <c r="H17" s="554">
        <v>329973</v>
      </c>
      <c r="I17" s="161">
        <f t="shared" si="2"/>
        <v>1654</v>
      </c>
      <c r="J17" s="554">
        <v>226553</v>
      </c>
      <c r="K17" s="162">
        <f t="shared" si="13"/>
        <v>2025</v>
      </c>
      <c r="L17" s="299">
        <f t="shared" si="14"/>
        <v>107.19734660033167</v>
      </c>
      <c r="M17" s="299">
        <f t="shared" si="15"/>
        <v>122.88424543946932</v>
      </c>
      <c r="N17" s="299">
        <f t="shared" si="16"/>
        <v>107.46268656716418</v>
      </c>
      <c r="O17" s="299">
        <f t="shared" si="7"/>
        <v>138.63472120877094</v>
      </c>
      <c r="P17" s="300">
        <f t="shared" si="17"/>
        <v>476.17899981573612</v>
      </c>
      <c r="Q17" s="300">
        <f>SUM(-tanks!AX19*tanks!$AU$37)</f>
        <v>221.16387096773687</v>
      </c>
      <c r="R17" s="300">
        <f t="shared" si="18"/>
        <v>697.34287078347302</v>
      </c>
      <c r="S17" s="302">
        <f>SUM(ELEC!N16)</f>
        <v>8847</v>
      </c>
      <c r="T17" s="339">
        <f t="shared" si="19"/>
        <v>7.882252410799967E-2</v>
      </c>
      <c r="V17" s="255"/>
      <c r="W17" s="513"/>
      <c r="X17" s="17"/>
      <c r="Y17" s="436"/>
      <c r="Z17" s="513"/>
      <c r="AA17" s="513"/>
      <c r="AB17" s="583">
        <f>'[3]EDl log'!AB34</f>
        <v>0</v>
      </c>
      <c r="AC17" s="588">
        <f>'[3]EDl log'!AC34</f>
        <v>0</v>
      </c>
    </row>
    <row r="18" spans="1:32" ht="15.75" thickBot="1">
      <c r="A18" s="163">
        <f>ELEC!C17</f>
        <v>44150</v>
      </c>
      <c r="B18" s="554">
        <v>653843</v>
      </c>
      <c r="C18" s="266">
        <f t="shared" si="0"/>
        <v>2474</v>
      </c>
      <c r="D18" s="311">
        <f t="shared" si="8"/>
        <v>2474</v>
      </c>
      <c r="E18" s="311">
        <f t="shared" si="11"/>
        <v>653843</v>
      </c>
      <c r="F18" s="600">
        <v>95152</v>
      </c>
      <c r="G18" s="160">
        <f t="shared" si="1"/>
        <v>309</v>
      </c>
      <c r="H18" s="554">
        <v>331439</v>
      </c>
      <c r="I18" s="161">
        <f t="shared" si="2"/>
        <v>1466</v>
      </c>
      <c r="J18" s="554">
        <v>227252</v>
      </c>
      <c r="K18" s="162">
        <f t="shared" si="3"/>
        <v>699</v>
      </c>
      <c r="L18" s="299">
        <f t="shared" ref="L18:L33" si="20">SUM(G18*$Y$28)/1507.5</f>
        <v>65.592039800995025</v>
      </c>
      <c r="M18" s="299">
        <f t="shared" ref="M18:M33" si="21">SUM(I18*$Y$27)/1507.5</f>
        <v>108.91674958540631</v>
      </c>
      <c r="N18" s="299">
        <f t="shared" ref="N18:N33" si="22">SUM(K18*$Y$26)/1507.5</f>
        <v>37.094527363184078</v>
      </c>
      <c r="O18" s="299">
        <f t="shared" si="7"/>
        <v>138.63472120877094</v>
      </c>
      <c r="P18" s="300">
        <f t="shared" si="9"/>
        <v>350.23803795835636</v>
      </c>
      <c r="Q18" s="300">
        <f>SUM(-tanks!AX20*tanks!$AU$37)</f>
        <v>213.32387096774758</v>
      </c>
      <c r="R18" s="300">
        <f t="shared" si="10"/>
        <v>563.56190892610391</v>
      </c>
      <c r="S18" s="302">
        <f>SUM(ELEC!N17)</f>
        <v>5742</v>
      </c>
      <c r="T18" s="339">
        <f t="shared" si="12"/>
        <v>9.8147319562191554E-2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3">
        <f>'[1]EDl log'!$AB$35</f>
        <v>2808771.35</v>
      </c>
      <c r="AC18" s="588">
        <f>'[3]EDl log'!AC35</f>
        <v>0</v>
      </c>
    </row>
    <row r="19" spans="1:32" ht="15.75" thickBot="1">
      <c r="A19" s="163">
        <f>ELEC!C18</f>
        <v>44151</v>
      </c>
      <c r="B19" s="554">
        <v>657687</v>
      </c>
      <c r="C19" s="266">
        <f t="shared" si="0"/>
        <v>3844</v>
      </c>
      <c r="D19" s="311">
        <f t="shared" si="8"/>
        <v>3843</v>
      </c>
      <c r="E19" s="311">
        <f t="shared" si="11"/>
        <v>657686</v>
      </c>
      <c r="F19" s="600">
        <v>95685</v>
      </c>
      <c r="G19" s="160">
        <f t="shared" si="1"/>
        <v>533</v>
      </c>
      <c r="H19" s="554">
        <v>333507</v>
      </c>
      <c r="I19" s="161">
        <f t="shared" si="2"/>
        <v>2068</v>
      </c>
      <c r="J19" s="554">
        <v>228494</v>
      </c>
      <c r="K19" s="162">
        <f t="shared" si="3"/>
        <v>1242</v>
      </c>
      <c r="L19" s="299">
        <f t="shared" si="20"/>
        <v>113.14096185737976</v>
      </c>
      <c r="M19" s="299">
        <f t="shared" si="21"/>
        <v>153.6424543946932</v>
      </c>
      <c r="N19" s="299">
        <f t="shared" si="22"/>
        <v>65.910447761194035</v>
      </c>
      <c r="O19" s="299">
        <f t="shared" si="7"/>
        <v>138.63472120877094</v>
      </c>
      <c r="P19" s="300">
        <f t="shared" si="9"/>
        <v>471.32858522203793</v>
      </c>
      <c r="Q19" s="300">
        <f>SUM(-tanks!AX21*tanks!$AU$37)</f>
        <v>-636.54161290322133</v>
      </c>
      <c r="R19" s="300">
        <f t="shared" si="10"/>
        <v>-165.21302768118341</v>
      </c>
      <c r="S19" s="302">
        <f>SUM(ELEC!N18)</f>
        <v>8525</v>
      </c>
      <c r="T19" s="339">
        <f t="shared" si="12"/>
        <v>-1.9379827293980457E-2</v>
      </c>
      <c r="V19" s="230"/>
      <c r="W19" s="231"/>
      <c r="X19" s="231"/>
      <c r="Y19" s="589"/>
      <c r="Z19" s="589"/>
      <c r="AA19" s="590"/>
      <c r="AB19" s="591">
        <f>'[1]EDl log'!$AB$36</f>
        <v>28343056.350000001</v>
      </c>
      <c r="AC19" s="592">
        <f>'[3]EDl log'!AC36</f>
        <v>0</v>
      </c>
    </row>
    <row r="20" spans="1:32" ht="15.75" thickBot="1">
      <c r="A20" s="163">
        <f>ELEC!C19</f>
        <v>44152</v>
      </c>
      <c r="B20" s="554">
        <v>661203</v>
      </c>
      <c r="C20" s="266">
        <f t="shared" si="0"/>
        <v>3516</v>
      </c>
      <c r="D20" s="311">
        <f t="shared" si="8"/>
        <v>3517</v>
      </c>
      <c r="E20" s="311">
        <f t="shared" si="11"/>
        <v>661204</v>
      </c>
      <c r="F20" s="600">
        <v>96218</v>
      </c>
      <c r="G20" s="160">
        <f t="shared" si="1"/>
        <v>533</v>
      </c>
      <c r="H20" s="554">
        <v>335343</v>
      </c>
      <c r="I20" s="161">
        <f t="shared" si="2"/>
        <v>1836</v>
      </c>
      <c r="J20" s="554">
        <v>229642</v>
      </c>
      <c r="K20" s="162">
        <f t="shared" si="3"/>
        <v>1148</v>
      </c>
      <c r="L20" s="299">
        <f t="shared" si="20"/>
        <v>113.14096185737976</v>
      </c>
      <c r="M20" s="299">
        <f t="shared" si="21"/>
        <v>136.40597014925373</v>
      </c>
      <c r="N20" s="299">
        <f t="shared" si="22"/>
        <v>60.922056384742952</v>
      </c>
      <c r="O20" s="299">
        <f t="shared" si="7"/>
        <v>138.63472120877094</v>
      </c>
      <c r="P20" s="300">
        <f t="shared" si="9"/>
        <v>449.1037096001474</v>
      </c>
      <c r="Q20" s="300">
        <f>SUM(-tanks!AX22*tanks!$AU$37)</f>
        <v>222.14387096773686</v>
      </c>
      <c r="R20" s="300">
        <f t="shared" si="10"/>
        <v>671.24758056788426</v>
      </c>
      <c r="S20" s="302">
        <f>SUM(ELEC!N19)</f>
        <v>7549</v>
      </c>
      <c r="T20" s="339">
        <f t="shared" si="12"/>
        <v>8.8918741630399298E-2</v>
      </c>
      <c r="V20" t="s">
        <v>414</v>
      </c>
      <c r="AB20" s="586"/>
    </row>
    <row r="21" spans="1:32" ht="15.75" thickBot="1">
      <c r="A21" s="163">
        <f>ELEC!C20</f>
        <v>44153</v>
      </c>
      <c r="B21" s="554">
        <v>665039</v>
      </c>
      <c r="C21" s="266">
        <f t="shared" si="0"/>
        <v>3836</v>
      </c>
      <c r="D21" s="311">
        <f t="shared" si="8"/>
        <v>3836</v>
      </c>
      <c r="E21" s="311">
        <f t="shared" si="11"/>
        <v>665039</v>
      </c>
      <c r="F21" s="600">
        <v>96782</v>
      </c>
      <c r="G21" s="160">
        <f t="shared" si="1"/>
        <v>564</v>
      </c>
      <c r="H21" s="554">
        <v>337497</v>
      </c>
      <c r="I21" s="161">
        <f t="shared" si="2"/>
        <v>2154</v>
      </c>
      <c r="J21" s="554">
        <v>230760</v>
      </c>
      <c r="K21" s="162">
        <f t="shared" si="3"/>
        <v>1118</v>
      </c>
      <c r="L21" s="299">
        <f t="shared" si="20"/>
        <v>119.72139303482587</v>
      </c>
      <c r="M21" s="299">
        <f t="shared" si="21"/>
        <v>160.03184079601991</v>
      </c>
      <c r="N21" s="299">
        <f t="shared" si="22"/>
        <v>59.330016583747927</v>
      </c>
      <c r="O21" s="299">
        <f t="shared" si="7"/>
        <v>138.63472120877094</v>
      </c>
      <c r="P21" s="300">
        <f t="shared" si="9"/>
        <v>477.71797162336463</v>
      </c>
      <c r="Q21" s="300">
        <f>SUM(-tanks!AX23*tanks!$AU$37)</f>
        <v>195.68387096773688</v>
      </c>
      <c r="R21" s="300">
        <f t="shared" si="10"/>
        <v>673.40184259110151</v>
      </c>
      <c r="S21" s="302">
        <f>SUM(ELEC!N20)</f>
        <v>8405</v>
      </c>
      <c r="T21" s="339">
        <f t="shared" si="12"/>
        <v>8.0119196025116177E-2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86"/>
      <c r="AC21" s="687"/>
    </row>
    <row r="22" spans="1:32" ht="15.75" thickBot="1">
      <c r="A22" s="163">
        <f>ELEC!C21</f>
        <v>44154</v>
      </c>
      <c r="B22" s="554">
        <v>668433</v>
      </c>
      <c r="C22" s="266">
        <f t="shared" si="0"/>
        <v>3394</v>
      </c>
      <c r="D22" s="311">
        <f t="shared" si="8"/>
        <v>3393</v>
      </c>
      <c r="E22" s="311">
        <f t="shared" si="11"/>
        <v>668432</v>
      </c>
      <c r="F22" s="600">
        <v>97118</v>
      </c>
      <c r="G22" s="160">
        <f t="shared" si="1"/>
        <v>336</v>
      </c>
      <c r="H22" s="554">
        <v>339632</v>
      </c>
      <c r="I22" s="161">
        <f t="shared" si="2"/>
        <v>2135</v>
      </c>
      <c r="J22" s="554">
        <v>231682</v>
      </c>
      <c r="K22" s="162">
        <f t="shared" si="3"/>
        <v>922</v>
      </c>
      <c r="L22" s="299">
        <f t="shared" si="20"/>
        <v>71.323383084577117</v>
      </c>
      <c r="M22" s="299">
        <f t="shared" si="21"/>
        <v>158.62023217247099</v>
      </c>
      <c r="N22" s="299">
        <f t="shared" si="22"/>
        <v>48.928689883913762</v>
      </c>
      <c r="O22" s="299">
        <f t="shared" si="7"/>
        <v>138.63472120877094</v>
      </c>
      <c r="P22" s="300">
        <f t="shared" si="9"/>
        <v>417.50702634973283</v>
      </c>
      <c r="Q22" s="300">
        <f>SUM(-tanks!AX24*tanks!$AU$37)</f>
        <v>94.901935483875562</v>
      </c>
      <c r="R22" s="300">
        <f t="shared" si="10"/>
        <v>512.40896183360837</v>
      </c>
      <c r="S22" s="302">
        <f>SUM(ELEC!N21)</f>
        <v>7757</v>
      </c>
      <c r="T22" s="339">
        <f t="shared" si="12"/>
        <v>6.6057620450381382E-2</v>
      </c>
      <c r="V22" s="692"/>
      <c r="W22" s="693"/>
      <c r="X22" s="693"/>
      <c r="Y22" s="694"/>
      <c r="Z22" s="26" t="s">
        <v>203</v>
      </c>
      <c r="AA22" s="26">
        <v>5000</v>
      </c>
      <c r="AB22" s="688"/>
      <c r="AC22" s="689"/>
    </row>
    <row r="23" spans="1:32" ht="15.75" thickBot="1">
      <c r="A23" s="163">
        <f>ELEC!C22</f>
        <v>44155</v>
      </c>
      <c r="B23" s="554">
        <v>671922</v>
      </c>
      <c r="C23" s="266">
        <f t="shared" si="0"/>
        <v>3489</v>
      </c>
      <c r="D23" s="311">
        <f t="shared" si="8"/>
        <v>3489</v>
      </c>
      <c r="E23" s="311">
        <f t="shared" si="11"/>
        <v>671922</v>
      </c>
      <c r="F23" s="600">
        <v>97844</v>
      </c>
      <c r="G23" s="160">
        <f t="shared" si="1"/>
        <v>726</v>
      </c>
      <c r="H23" s="554">
        <v>341163</v>
      </c>
      <c r="I23" s="161">
        <f t="shared" si="2"/>
        <v>1531</v>
      </c>
      <c r="J23" s="554">
        <v>232914</v>
      </c>
      <c r="K23" s="162">
        <f t="shared" si="3"/>
        <v>1232</v>
      </c>
      <c r="L23" s="299">
        <f t="shared" si="20"/>
        <v>154.10945273631842</v>
      </c>
      <c r="M23" s="299">
        <f t="shared" si="21"/>
        <v>113.74593698175788</v>
      </c>
      <c r="N23" s="299">
        <f t="shared" si="22"/>
        <v>65.379767827529022</v>
      </c>
      <c r="O23" s="299">
        <f t="shared" si="7"/>
        <v>138.63472120877094</v>
      </c>
      <c r="P23" s="300">
        <f t="shared" si="9"/>
        <v>471.86987875437626</v>
      </c>
      <c r="Q23" s="300">
        <f>SUM(-tanks!AX25*tanks!$AU$37)</f>
        <v>481.03774193549515</v>
      </c>
      <c r="R23" s="300">
        <f t="shared" si="10"/>
        <v>952.90762068987146</v>
      </c>
      <c r="S23" s="302">
        <f>SUM(ELEC!N22)</f>
        <v>8155</v>
      </c>
      <c r="T23" s="339">
        <f t="shared" si="12"/>
        <v>0.11684949364682666</v>
      </c>
      <c r="V23" s="695"/>
      <c r="W23" s="696"/>
      <c r="X23" s="696"/>
      <c r="Y23" s="697"/>
      <c r="Z23" s="698"/>
      <c r="AA23" s="699"/>
      <c r="AB23" s="688"/>
      <c r="AC23" s="689"/>
    </row>
    <row r="24" spans="1:32" ht="15" customHeight="1" thickBot="1">
      <c r="A24" s="163">
        <f>ELEC!C23</f>
        <v>44156</v>
      </c>
      <c r="B24" s="554">
        <v>675115</v>
      </c>
      <c r="C24" s="266">
        <f t="shared" si="0"/>
        <v>3193</v>
      </c>
      <c r="D24" s="311">
        <f t="shared" si="8"/>
        <v>3194</v>
      </c>
      <c r="E24" s="311">
        <f t="shared" si="11"/>
        <v>675116</v>
      </c>
      <c r="F24" s="600">
        <v>98376</v>
      </c>
      <c r="G24" s="160">
        <f t="shared" si="1"/>
        <v>532</v>
      </c>
      <c r="H24" s="554">
        <v>342672</v>
      </c>
      <c r="I24" s="161">
        <f t="shared" si="2"/>
        <v>1509</v>
      </c>
      <c r="J24" s="554">
        <v>234067</v>
      </c>
      <c r="K24" s="162">
        <f t="shared" si="3"/>
        <v>1153</v>
      </c>
      <c r="L24" s="299">
        <f t="shared" si="20"/>
        <v>112.92868988391376</v>
      </c>
      <c r="M24" s="299">
        <f t="shared" si="21"/>
        <v>112.11144278606965</v>
      </c>
      <c r="N24" s="299">
        <f t="shared" si="22"/>
        <v>61.187396351575458</v>
      </c>
      <c r="O24" s="299">
        <f t="shared" si="7"/>
        <v>138.63472120877094</v>
      </c>
      <c r="P24" s="300">
        <f t="shared" si="9"/>
        <v>424.86225023032978</v>
      </c>
      <c r="Q24" s="300">
        <f>SUM(-tanks!AX26*tanks!$AU$37)</f>
        <v>83.141935483868437</v>
      </c>
      <c r="R24" s="300">
        <f t="shared" si="10"/>
        <v>508.00418571419823</v>
      </c>
      <c r="S24" s="302">
        <f>SUM(ELEC!N23)</f>
        <v>6563</v>
      </c>
      <c r="T24" s="339">
        <f t="shared" si="12"/>
        <v>7.7404264164893835E-2</v>
      </c>
      <c r="V24" s="700" t="s">
        <v>204</v>
      </c>
      <c r="W24" s="701"/>
      <c r="X24" s="702" t="s">
        <v>205</v>
      </c>
      <c r="Y24" s="703"/>
      <c r="Z24" s="704"/>
      <c r="AA24" s="170"/>
      <c r="AB24" s="690"/>
      <c r="AC24" s="691"/>
    </row>
    <row r="25" spans="1:32" ht="17.25" customHeight="1" thickBot="1">
      <c r="A25" s="163">
        <f>ELEC!C24</f>
        <v>44157</v>
      </c>
      <c r="B25" s="554">
        <v>678850</v>
      </c>
      <c r="C25" s="266">
        <f t="shared" si="0"/>
        <v>3735</v>
      </c>
      <c r="D25" s="311">
        <f t="shared" si="8"/>
        <v>3734</v>
      </c>
      <c r="E25" s="311">
        <f t="shared" si="11"/>
        <v>678849</v>
      </c>
      <c r="F25" s="600">
        <v>99090</v>
      </c>
      <c r="G25" s="160">
        <f t="shared" si="1"/>
        <v>714</v>
      </c>
      <c r="H25" s="554">
        <v>344759</v>
      </c>
      <c r="I25" s="161">
        <f t="shared" si="2"/>
        <v>2087</v>
      </c>
      <c r="J25" s="554">
        <v>235000</v>
      </c>
      <c r="K25" s="162">
        <f t="shared" si="3"/>
        <v>933</v>
      </c>
      <c r="L25" s="299">
        <f t="shared" si="20"/>
        <v>151.56218905472636</v>
      </c>
      <c r="M25" s="299">
        <f t="shared" si="21"/>
        <v>155.05406301824212</v>
      </c>
      <c r="N25" s="299">
        <f t="shared" si="22"/>
        <v>49.512437810945272</v>
      </c>
      <c r="O25" s="299">
        <f t="shared" si="7"/>
        <v>138.63472120877094</v>
      </c>
      <c r="P25" s="300">
        <f t="shared" si="9"/>
        <v>494.76341109268463</v>
      </c>
      <c r="Q25" s="300">
        <f>SUM(-tanks!AX27*tanks!$AU$37)</f>
        <v>34.141935483875571</v>
      </c>
      <c r="R25" s="300">
        <f t="shared" si="10"/>
        <v>528.90534657656019</v>
      </c>
      <c r="S25" s="302">
        <f>SUM(ELEC!N24)</f>
        <v>7116</v>
      </c>
      <c r="T25" s="339">
        <f t="shared" si="12"/>
        <v>7.4326215089454778E-2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4">
        <v>682383</v>
      </c>
      <c r="C26" s="266">
        <f t="shared" si="0"/>
        <v>3533</v>
      </c>
      <c r="D26" s="311">
        <f t="shared" si="8"/>
        <v>3532</v>
      </c>
      <c r="E26" s="311">
        <f t="shared" si="11"/>
        <v>682382</v>
      </c>
      <c r="F26" s="600">
        <v>99373</v>
      </c>
      <c r="G26" s="160">
        <f t="shared" si="1"/>
        <v>283</v>
      </c>
      <c r="H26" s="554">
        <v>346495</v>
      </c>
      <c r="I26" s="161">
        <f t="shared" si="2"/>
        <v>1736</v>
      </c>
      <c r="J26" s="554">
        <v>236513</v>
      </c>
      <c r="K26" s="162">
        <f t="shared" si="3"/>
        <v>1513</v>
      </c>
      <c r="L26" s="299">
        <f t="shared" si="20"/>
        <v>60.072968490878935</v>
      </c>
      <c r="M26" s="299">
        <f t="shared" si="21"/>
        <v>128.97645107794361</v>
      </c>
      <c r="N26" s="299">
        <f t="shared" si="22"/>
        <v>80.291873963515755</v>
      </c>
      <c r="O26" s="299">
        <f t="shared" si="7"/>
        <v>138.63472120877094</v>
      </c>
      <c r="P26" s="300">
        <f t="shared" si="9"/>
        <v>407.97601474110922</v>
      </c>
      <c r="Q26" s="300">
        <f>SUM(-tanks!AX28*tanks!$AU$37)</f>
        <v>224.59387096773688</v>
      </c>
      <c r="R26" s="300">
        <f t="shared" si="10"/>
        <v>632.56988570884607</v>
      </c>
      <c r="S26" s="302">
        <f>SUM(ELEC!N25)</f>
        <v>8409</v>
      </c>
      <c r="T26" s="339">
        <f t="shared" si="12"/>
        <v>7.5225340196081111E-2</v>
      </c>
      <c r="V26" s="256">
        <f>W9</f>
        <v>210387</v>
      </c>
      <c r="W26" s="170">
        <f>J33</f>
        <v>239822</v>
      </c>
      <c r="X26" s="172" t="s">
        <v>199</v>
      </c>
      <c r="Y26" s="172">
        <v>80</v>
      </c>
      <c r="Z26" s="172">
        <v>1</v>
      </c>
      <c r="AA26" s="341">
        <f>(W26-V26)*Z26</f>
        <v>29435</v>
      </c>
      <c r="AB26" s="341">
        <f>AA26*Y26</f>
        <v>2354800</v>
      </c>
      <c r="AC26" s="251">
        <f>AC9</f>
        <v>1033333</v>
      </c>
      <c r="AD26" s="213">
        <f>SUM(K36)</f>
        <v>0.33063746138725075</v>
      </c>
    </row>
    <row r="27" spans="1:32" ht="15.75" thickBot="1">
      <c r="A27" s="163">
        <f>ELEC!C26</f>
        <v>44159</v>
      </c>
      <c r="B27" s="554">
        <v>684952</v>
      </c>
      <c r="C27" s="266">
        <f t="shared" si="0"/>
        <v>2569</v>
      </c>
      <c r="D27" s="311">
        <f t="shared" si="8"/>
        <v>2570</v>
      </c>
      <c r="E27" s="311">
        <f t="shared" si="11"/>
        <v>684953</v>
      </c>
      <c r="F27" s="600">
        <v>99878</v>
      </c>
      <c r="G27" s="160">
        <f t="shared" si="1"/>
        <v>505</v>
      </c>
      <c r="H27" s="554">
        <v>347700</v>
      </c>
      <c r="I27" s="161">
        <f t="shared" si="2"/>
        <v>1205</v>
      </c>
      <c r="J27" s="554">
        <v>237373</v>
      </c>
      <c r="K27" s="162">
        <f t="shared" si="3"/>
        <v>860</v>
      </c>
      <c r="L27" s="299">
        <f t="shared" si="20"/>
        <v>107.19734660033167</v>
      </c>
      <c r="M27" s="299">
        <f t="shared" si="21"/>
        <v>89.525704809286893</v>
      </c>
      <c r="N27" s="299">
        <f t="shared" si="22"/>
        <v>45.638474295190711</v>
      </c>
      <c r="O27" s="299">
        <f t="shared" si="7"/>
        <v>138.63472120877094</v>
      </c>
      <c r="P27" s="300">
        <f t="shared" si="9"/>
        <v>380.99624691358019</v>
      </c>
      <c r="Q27" s="300">
        <f>SUM(-tanks!AX29*tanks!$AU$37)</f>
        <v>361.63580645161244</v>
      </c>
      <c r="R27" s="300">
        <f t="shared" si="10"/>
        <v>742.63205336519263</v>
      </c>
      <c r="S27" s="302">
        <f>SUM(ELEC!N26)</f>
        <v>6185</v>
      </c>
      <c r="T27" s="339">
        <f t="shared" si="12"/>
        <v>0.12006985503075063</v>
      </c>
      <c r="V27" s="256">
        <f t="shared" ref="V27:V28" si="23">W10</f>
        <v>304747</v>
      </c>
      <c r="W27" s="170">
        <f>H33</f>
        <v>350418</v>
      </c>
      <c r="X27" s="172" t="s">
        <v>213</v>
      </c>
      <c r="Y27" s="172">
        <v>112</v>
      </c>
      <c r="Z27" s="172">
        <v>1</v>
      </c>
      <c r="AA27" s="341">
        <f>(W27-V27)*Z27</f>
        <v>45671</v>
      </c>
      <c r="AB27" s="341">
        <f>SUM(AA27*Y27)</f>
        <v>5115152</v>
      </c>
      <c r="AC27" s="251">
        <f>AC10</f>
        <v>6200000</v>
      </c>
      <c r="AD27" s="213">
        <f>SUM(I36)</f>
        <v>0.51301319853973604</v>
      </c>
    </row>
    <row r="28" spans="1:32" ht="15.75" thickBot="1">
      <c r="A28" s="163">
        <f>ELEC!C27</f>
        <v>44160</v>
      </c>
      <c r="B28" s="554">
        <v>688194</v>
      </c>
      <c r="C28" s="266">
        <f t="shared" si="0"/>
        <v>3242</v>
      </c>
      <c r="D28" s="311">
        <f t="shared" si="8"/>
        <v>3242</v>
      </c>
      <c r="E28" s="311">
        <f t="shared" si="11"/>
        <v>688194</v>
      </c>
      <c r="F28" s="600">
        <v>100470</v>
      </c>
      <c r="G28" s="160">
        <f t="shared" si="1"/>
        <v>592</v>
      </c>
      <c r="H28" s="554">
        <v>348989</v>
      </c>
      <c r="I28" s="161">
        <f t="shared" si="2"/>
        <v>1289</v>
      </c>
      <c r="J28" s="554">
        <v>238734</v>
      </c>
      <c r="K28" s="162">
        <f t="shared" si="3"/>
        <v>1361</v>
      </c>
      <c r="L28" s="299">
        <f t="shared" si="20"/>
        <v>125.66500829187396</v>
      </c>
      <c r="M28" s="299">
        <f t="shared" si="21"/>
        <v>95.766500829187393</v>
      </c>
      <c r="N28" s="299">
        <f t="shared" si="22"/>
        <v>72.225538971807623</v>
      </c>
      <c r="O28" s="299">
        <f t="shared" si="7"/>
        <v>138.63472120877094</v>
      </c>
      <c r="P28" s="300">
        <f t="shared" si="9"/>
        <v>432.29176930163993</v>
      </c>
      <c r="Q28" s="300">
        <f>SUM(-tanks!AX30*tanks!$AU$37)</f>
        <v>258.40387096773685</v>
      </c>
      <c r="R28" s="300">
        <f t="shared" si="10"/>
        <v>690.69564026937678</v>
      </c>
      <c r="S28" s="302">
        <f>SUM(ELEC!N27)</f>
        <v>7896</v>
      </c>
      <c r="T28" s="339">
        <f t="shared" si="12"/>
        <v>8.7474118575149029E-2</v>
      </c>
      <c r="V28" s="256">
        <f t="shared" si="23"/>
        <v>87055</v>
      </c>
      <c r="W28" s="170">
        <f>F33</f>
        <v>100975</v>
      </c>
      <c r="X28" s="172" t="s">
        <v>197</v>
      </c>
      <c r="Y28" s="172">
        <v>320</v>
      </c>
      <c r="Z28" s="172">
        <v>1</v>
      </c>
      <c r="AA28" s="341">
        <f>(W28-V28)*Z28</f>
        <v>13920</v>
      </c>
      <c r="AB28" s="341">
        <f>SUM(AA28*Y28)</f>
        <v>4454400</v>
      </c>
      <c r="AC28" s="251">
        <f>AC11</f>
        <v>1000</v>
      </c>
      <c r="AD28" s="213">
        <f>SUM(G36)</f>
        <v>0.15636057287278854</v>
      </c>
      <c r="AE28" s="40">
        <f>SUM(AB28*5%)</f>
        <v>222720</v>
      </c>
      <c r="AF28" s="82">
        <f>SUM(AE28/7)*31</f>
        <v>986331.42857142864</v>
      </c>
    </row>
    <row r="29" spans="1:32" ht="15.75" thickBot="1">
      <c r="A29" s="163">
        <f>ELEC!C28</f>
        <v>44161</v>
      </c>
      <c r="B29" s="554">
        <v>691215</v>
      </c>
      <c r="C29" s="266">
        <f t="shared" si="0"/>
        <v>3021</v>
      </c>
      <c r="D29" s="311">
        <f t="shared" si="8"/>
        <v>3022</v>
      </c>
      <c r="E29" s="311">
        <f t="shared" si="11"/>
        <v>691216</v>
      </c>
      <c r="F29" s="600">
        <v>100975</v>
      </c>
      <c r="G29" s="160">
        <f t="shared" si="1"/>
        <v>505</v>
      </c>
      <c r="H29" s="554">
        <v>350418</v>
      </c>
      <c r="I29" s="161">
        <f t="shared" si="2"/>
        <v>1429</v>
      </c>
      <c r="J29" s="554">
        <v>239822</v>
      </c>
      <c r="K29" s="162">
        <f t="shared" si="3"/>
        <v>1088</v>
      </c>
      <c r="L29" s="299">
        <f t="shared" si="20"/>
        <v>107.19734660033167</v>
      </c>
      <c r="M29" s="299">
        <f t="shared" si="21"/>
        <v>106.16782752902157</v>
      </c>
      <c r="N29" s="299">
        <f t="shared" si="22"/>
        <v>57.737976782752902</v>
      </c>
      <c r="O29" s="299">
        <f t="shared" si="7"/>
        <v>138.63472120877094</v>
      </c>
      <c r="P29" s="300">
        <f t="shared" si="9"/>
        <v>409.73787212087711</v>
      </c>
      <c r="Q29" s="300">
        <f>SUM(-tanks!AX31*tanks!$AU$37)</f>
        <v>99.311935483868439</v>
      </c>
      <c r="R29" s="300">
        <f t="shared" si="10"/>
        <v>509.04980760474552</v>
      </c>
      <c r="S29" s="302">
        <f>SUM(ELEC!N28)</f>
        <v>6597</v>
      </c>
      <c r="T29" s="339">
        <f t="shared" si="12"/>
        <v>7.7163833197627027E-2</v>
      </c>
      <c r="V29" s="214"/>
      <c r="W29" s="215"/>
      <c r="X29" s="215"/>
      <c r="Y29" s="216"/>
      <c r="Z29" s="3"/>
      <c r="AA29" s="341">
        <f>SUM(AA26:AA28)</f>
        <v>89026</v>
      </c>
      <c r="AB29" s="341"/>
      <c r="AC29" s="251"/>
    </row>
    <row r="30" spans="1:32" ht="14.25" customHeight="1" thickBot="1">
      <c r="A30" s="163">
        <f>ELEC!C29</f>
        <v>44162</v>
      </c>
      <c r="B30" s="554">
        <f t="shared" ref="B30:B33" si="24">B29</f>
        <v>691215</v>
      </c>
      <c r="C30" s="266">
        <f t="shared" si="0"/>
        <v>0</v>
      </c>
      <c r="D30" s="311">
        <f t="shared" si="8"/>
        <v>0</v>
      </c>
      <c r="E30" s="311">
        <f t="shared" si="11"/>
        <v>691215</v>
      </c>
      <c r="F30" s="600">
        <f t="shared" ref="F30:F33" si="25">F29</f>
        <v>100975</v>
      </c>
      <c r="G30" s="160">
        <f t="shared" si="1"/>
        <v>0</v>
      </c>
      <c r="H30" s="554">
        <f t="shared" ref="H30:H33" si="26">H29</f>
        <v>350418</v>
      </c>
      <c r="I30" s="161">
        <f t="shared" si="2"/>
        <v>0</v>
      </c>
      <c r="J30" s="554">
        <f t="shared" ref="J30:J33" si="27">J29</f>
        <v>239822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138.63472120877094</v>
      </c>
      <c r="P30" s="300">
        <f t="shared" si="9"/>
        <v>138.63472120877094</v>
      </c>
      <c r="Q30" s="300">
        <f>SUM(-tanks!AX32*tanks!$AU$37)</f>
        <v>0</v>
      </c>
      <c r="R30" s="300">
        <f t="shared" si="10"/>
        <v>138.63472120877094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11924352</v>
      </c>
      <c r="AC30" s="251">
        <f>SUM(AC26:AC29)/A37*A35</f>
        <v>6269755.2666666666</v>
      </c>
    </row>
    <row r="31" spans="1:32" ht="15.75" thickBot="1">
      <c r="A31" s="163">
        <f>ELEC!C30</f>
        <v>44163</v>
      </c>
      <c r="B31" s="554">
        <f t="shared" si="24"/>
        <v>691215</v>
      </c>
      <c r="C31" s="266">
        <f t="shared" si="0"/>
        <v>0</v>
      </c>
      <c r="D31" s="311">
        <f t="shared" si="8"/>
        <v>0</v>
      </c>
      <c r="E31" s="311">
        <f t="shared" si="11"/>
        <v>691215</v>
      </c>
      <c r="F31" s="600">
        <f t="shared" si="25"/>
        <v>100975</v>
      </c>
      <c r="G31" s="160">
        <f t="shared" si="1"/>
        <v>0</v>
      </c>
      <c r="H31" s="554">
        <f t="shared" si="26"/>
        <v>350418</v>
      </c>
      <c r="I31" s="161">
        <f t="shared" si="2"/>
        <v>0</v>
      </c>
      <c r="J31" s="554">
        <f t="shared" si="27"/>
        <v>239822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138.63472120877094</v>
      </c>
      <c r="P31" s="300">
        <f t="shared" si="9"/>
        <v>138.63472120877094</v>
      </c>
      <c r="Q31" s="300">
        <f>SUM(-tanks!AX33*tanks!$AU$37)</f>
        <v>0</v>
      </c>
      <c r="R31" s="300">
        <f t="shared" si="10"/>
        <v>138.63472120877094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68</v>
      </c>
      <c r="X31" s="223">
        <f>SUM(W31/A35)</f>
        <v>2.6153846153846154</v>
      </c>
      <c r="Y31" s="262">
        <f>SUM(X31/2)</f>
        <v>1.3076923076923077</v>
      </c>
      <c r="Z31" s="3"/>
      <c r="AA31" s="3"/>
      <c r="AB31" s="557">
        <f>SUM(AB30+AC31)</f>
        <v>18194107.266666666</v>
      </c>
      <c r="AC31" s="251">
        <f>SUM(AC30)</f>
        <v>6269755.2666666666</v>
      </c>
    </row>
    <row r="32" spans="1:32" ht="15.75" thickBot="1">
      <c r="A32" s="163">
        <f>ELEC!C31</f>
        <v>44164</v>
      </c>
      <c r="B32" s="554">
        <f t="shared" si="24"/>
        <v>691215</v>
      </c>
      <c r="C32" s="266">
        <f t="shared" si="0"/>
        <v>0</v>
      </c>
      <c r="D32" s="311">
        <f t="shared" si="8"/>
        <v>0</v>
      </c>
      <c r="E32" s="311">
        <f t="shared" si="11"/>
        <v>691215</v>
      </c>
      <c r="F32" s="600">
        <f t="shared" si="25"/>
        <v>100975</v>
      </c>
      <c r="G32" s="160">
        <f t="shared" si="1"/>
        <v>0</v>
      </c>
      <c r="H32" s="554">
        <f t="shared" si="26"/>
        <v>350418</v>
      </c>
      <c r="I32" s="161">
        <f t="shared" si="2"/>
        <v>0</v>
      </c>
      <c r="J32" s="554">
        <f t="shared" si="27"/>
        <v>239822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138.63472120877094</v>
      </c>
      <c r="P32" s="300">
        <f t="shared" si="9"/>
        <v>138.63472120877094</v>
      </c>
      <c r="Q32" s="300">
        <f>SUM(-tanks!AX34*tanks!$AU$37)</f>
        <v>0</v>
      </c>
      <c r="R32" s="300">
        <f t="shared" si="10"/>
        <v>138.63472120877094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4">
        <f t="shared" si="24"/>
        <v>691215</v>
      </c>
      <c r="C33" s="266">
        <f t="shared" si="0"/>
        <v>0</v>
      </c>
      <c r="D33" s="311">
        <f t="shared" si="8"/>
        <v>0</v>
      </c>
      <c r="E33" s="311">
        <f t="shared" si="11"/>
        <v>691215</v>
      </c>
      <c r="F33" s="600">
        <f t="shared" si="25"/>
        <v>100975</v>
      </c>
      <c r="G33" s="160">
        <f>F33-F32</f>
        <v>0</v>
      </c>
      <c r="H33" s="554">
        <f t="shared" si="26"/>
        <v>350418</v>
      </c>
      <c r="I33" s="161">
        <f t="shared" si="2"/>
        <v>0</v>
      </c>
      <c r="J33" s="554">
        <f t="shared" si="27"/>
        <v>239822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138.63472120877094</v>
      </c>
      <c r="P33" s="300">
        <f>SUM(L33:O33)</f>
        <v>138.63472120877094</v>
      </c>
      <c r="Q33" s="300">
        <f>SUM(-tanks!AX35*tanks!$AU$37)</f>
        <v>0</v>
      </c>
      <c r="R33" s="300">
        <f>SUM(P33:Q33)</f>
        <v>138.63472120877094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7"/>
      <c r="B34" s="548"/>
      <c r="C34" s="549"/>
      <c r="D34" s="549"/>
      <c r="E34" s="549"/>
      <c r="F34" s="548"/>
      <c r="G34" s="548"/>
      <c r="H34" s="548"/>
      <c r="I34" s="548"/>
      <c r="J34" s="548"/>
      <c r="K34" s="553"/>
      <c r="L34" s="550"/>
      <c r="M34" s="550"/>
      <c r="N34" s="550"/>
      <c r="O34" s="550"/>
      <c r="P34" s="551"/>
      <c r="Q34" s="551"/>
      <c r="R34" s="551"/>
      <c r="S34" s="551"/>
      <c r="T34" s="552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2001351.7993333333</v>
      </c>
      <c r="AC34" s="596"/>
    </row>
    <row r="35" spans="1:32" ht="15.75" thickBot="1">
      <c r="A35" s="546">
        <f>A37-COUNTIF(C4:C33,0)</f>
        <v>26</v>
      </c>
      <c r="C35" s="174">
        <f>SUM(C4:C33)/A35</f>
        <v>3424.0384615384614</v>
      </c>
      <c r="D35" s="174"/>
      <c r="E35" s="174"/>
      <c r="G35" s="174">
        <f>SUM(G4:G33)/A35</f>
        <v>535.38461538461536</v>
      </c>
      <c r="I35" s="174">
        <f>SUM(I4:I33)/A35</f>
        <v>1756.5769230769231</v>
      </c>
      <c r="K35" s="174">
        <f>SUM(K4:K34)/A35</f>
        <v>1132.1153846153845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20195459.066</v>
      </c>
      <c r="AC35" s="596"/>
    </row>
    <row r="36" spans="1:32" ht="15.75" thickBot="1">
      <c r="A36" s="211"/>
      <c r="C36" s="213">
        <f>SUM(G36:K36)</f>
        <v>1.0000112327997752</v>
      </c>
      <c r="G36" s="226">
        <f>IF(C35&gt;0,G35/C35,0)</f>
        <v>0.15636057287278854</v>
      </c>
      <c r="H36" s="213"/>
      <c r="I36" s="226">
        <f>SUM(I35/C35)</f>
        <v>0.51301319853973604</v>
      </c>
      <c r="J36" s="213"/>
      <c r="K36" s="226">
        <f>SUM(K35/C35)</f>
        <v>0.33063746138725075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7">
        <f>SUM(AB31/1507.5)</f>
        <v>12069.059546710889</v>
      </c>
      <c r="AC36" s="598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3"/>
      <c r="AA37" s="593"/>
      <c r="AB37" s="594"/>
      <c r="AC37" s="595"/>
    </row>
    <row r="38" spans="1:32">
      <c r="V38" s="218"/>
      <c r="W38" s="82">
        <f>AC30/1507.5</f>
        <v>4159.0416362631286</v>
      </c>
      <c r="Z38" s="40"/>
      <c r="AA38" s="295" t="s">
        <v>215</v>
      </c>
      <c r="AB38" s="296">
        <f>SUM(AB36)</f>
        <v>12069.059546710889</v>
      </c>
    </row>
    <row r="39" spans="1:32">
      <c r="V39" s="218"/>
      <c r="W39" s="82">
        <f>(AB30+AB54)/1507.5</f>
        <v>7910.0179104477611</v>
      </c>
      <c r="X39" s="558"/>
      <c r="Z39" s="297">
        <f>SUM(AB38)</f>
        <v>12069.059546710889</v>
      </c>
      <c r="AA39" s="296"/>
      <c r="AB39" s="296"/>
    </row>
    <row r="40" spans="1:32">
      <c r="V40" s="17"/>
      <c r="W40" s="82">
        <f>SUM(W38:W39)</f>
        <v>12069.059546710891</v>
      </c>
      <c r="X40" s="558"/>
      <c r="Y40" s="82"/>
      <c r="Z40" s="297">
        <f>SUM(-tanks!AX37)*tanks!AU37</f>
        <v>5312.8170967741935</v>
      </c>
      <c r="AA40" s="101">
        <f>SUM(AB31/A35)</f>
        <v>699773.35641025635</v>
      </c>
      <c r="AB40" s="351">
        <f>SUM(AA40*A37)</f>
        <v>20993200.692307692</v>
      </c>
    </row>
    <row r="41" spans="1:32" ht="18.75">
      <c r="W41" s="82">
        <f>(AB30+AB54)/1507.5</f>
        <v>7910.0179104477611</v>
      </c>
      <c r="Z41" s="278">
        <f>SUM(Z39:Z40)</f>
        <v>17381.876643485084</v>
      </c>
      <c r="AA41" s="296">
        <f>SUM(AA40/1507.5)</f>
        <v>464.19459795041882</v>
      </c>
      <c r="AB41" s="350">
        <f>SUM(AB40/1507.5)</f>
        <v>13925.837938512565</v>
      </c>
    </row>
    <row r="42" spans="1:32">
      <c r="D42" s="526"/>
      <c r="E42" s="526"/>
      <c r="F42" s="526"/>
      <c r="W42" s="82">
        <f>SUM(W40:W41)</f>
        <v>19979.077457158652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0"/>
      <c r="W45" s="561"/>
      <c r="X45" s="17"/>
      <c r="Y45" s="17"/>
      <c r="Z45" s="562"/>
      <c r="AA45" s="17"/>
      <c r="AB45" s="673"/>
      <c r="AC45" s="673"/>
      <c r="AD45" s="17"/>
      <c r="AE45" s="17"/>
      <c r="AF45" s="17"/>
    </row>
    <row r="46" spans="1:32">
      <c r="V46" s="673"/>
      <c r="W46" s="673"/>
      <c r="X46" s="673"/>
      <c r="Y46" s="673"/>
      <c r="Z46" s="562"/>
      <c r="AA46" s="562"/>
      <c r="AB46" s="673"/>
      <c r="AC46" s="673"/>
      <c r="AD46" s="17"/>
      <c r="AE46" s="17"/>
      <c r="AF46" s="17"/>
    </row>
    <row r="47" spans="1:32">
      <c r="V47" s="673"/>
      <c r="W47" s="673"/>
      <c r="X47" s="673"/>
      <c r="Y47" s="673"/>
      <c r="Z47" s="673"/>
      <c r="AA47" s="673"/>
      <c r="AB47" s="673"/>
      <c r="AC47" s="673"/>
      <c r="AD47" s="17"/>
      <c r="AE47" s="17"/>
      <c r="AF47" s="17"/>
    </row>
    <row r="48" spans="1:32">
      <c r="V48" s="674"/>
      <c r="W48" s="674"/>
      <c r="X48" s="675"/>
      <c r="Y48" s="675"/>
      <c r="Z48" s="675"/>
      <c r="AA48" s="563"/>
      <c r="AB48" s="673"/>
      <c r="AC48" s="673"/>
      <c r="AD48" s="17"/>
      <c r="AE48" s="17"/>
      <c r="AF48" s="17"/>
    </row>
    <row r="49" spans="22:32">
      <c r="V49" s="560"/>
      <c r="W49" s="560"/>
      <c r="X49" s="560"/>
      <c r="Y49" s="560"/>
      <c r="Z49" s="560"/>
      <c r="AA49" s="560"/>
      <c r="AB49" s="560"/>
      <c r="AC49" s="564"/>
      <c r="AD49" s="17"/>
      <c r="AE49" s="17"/>
      <c r="AF49" s="17"/>
    </row>
    <row r="50" spans="22:32">
      <c r="V50" s="563"/>
      <c r="W50" s="563"/>
      <c r="X50" s="565"/>
      <c r="Y50" s="565"/>
      <c r="Z50" s="565"/>
      <c r="AA50" s="73"/>
      <c r="AB50" s="73"/>
      <c r="AC50" s="73"/>
      <c r="AD50" s="566"/>
      <c r="AE50" s="17"/>
      <c r="AF50" s="17"/>
    </row>
    <row r="51" spans="22:32">
      <c r="V51" s="563"/>
      <c r="W51" s="563"/>
      <c r="X51" s="565"/>
      <c r="Y51" s="565"/>
      <c r="Z51" s="565"/>
      <c r="AA51" s="73"/>
      <c r="AB51" s="73"/>
      <c r="AC51" s="73"/>
      <c r="AD51" s="566"/>
      <c r="AE51" s="17"/>
      <c r="AF51" s="17"/>
    </row>
    <row r="52" spans="22:32">
      <c r="V52" s="563"/>
      <c r="W52" s="563"/>
      <c r="X52" s="565"/>
      <c r="Y52" s="565"/>
      <c r="Z52" s="565"/>
      <c r="AA52" s="73"/>
      <c r="AB52" s="73"/>
      <c r="AC52" s="73"/>
      <c r="AD52" s="566"/>
      <c r="AE52" s="567"/>
      <c r="AF52" s="568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9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0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1"/>
      <c r="AB59" s="572"/>
      <c r="AC59" s="573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4"/>
      <c r="AB60" s="572"/>
      <c r="AC60" s="573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2"/>
      <c r="AC61" s="573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5"/>
      <c r="AC62" s="17"/>
      <c r="AD62" s="17"/>
      <c r="AE62" s="17"/>
      <c r="AF62" s="17"/>
    </row>
    <row r="63" spans="22:32">
      <c r="V63" s="218"/>
      <c r="W63" s="568"/>
      <c r="X63" s="17"/>
      <c r="Y63" s="17"/>
      <c r="Z63" s="567"/>
      <c r="AA63" s="576"/>
      <c r="AB63" s="565"/>
      <c r="AC63" s="17"/>
      <c r="AD63" s="17"/>
      <c r="AE63" s="17"/>
      <c r="AF63" s="17"/>
    </row>
    <row r="64" spans="22:32">
      <c r="V64" s="218"/>
      <c r="W64" s="568"/>
      <c r="X64" s="17"/>
      <c r="Y64" s="17"/>
      <c r="Z64" s="426"/>
      <c r="AA64" s="565"/>
      <c r="AB64" s="565"/>
      <c r="AC64" s="17"/>
      <c r="AD64" s="17"/>
      <c r="AE64" s="17"/>
      <c r="AF64" s="17"/>
    </row>
    <row r="65" spans="22:32">
      <c r="V65" s="17"/>
      <c r="W65" s="568"/>
      <c r="X65" s="17"/>
      <c r="Y65" s="568"/>
      <c r="Z65" s="426"/>
      <c r="AA65" s="565"/>
      <c r="AB65" s="577"/>
      <c r="AC65" s="17"/>
      <c r="AD65" s="17"/>
      <c r="AE65" s="17"/>
      <c r="AF65" s="17"/>
    </row>
    <row r="66" spans="22:32" ht="18.75">
      <c r="V66" s="17"/>
      <c r="W66" s="568"/>
      <c r="X66" s="17"/>
      <c r="Y66" s="17"/>
      <c r="Z66" s="578"/>
      <c r="AA66" s="565"/>
      <c r="AB66" s="579"/>
      <c r="AC66" s="17"/>
      <c r="AD66" s="17"/>
      <c r="AE66" s="17"/>
      <c r="AF66" s="17"/>
    </row>
    <row r="67" spans="22:32">
      <c r="V67" s="17"/>
      <c r="W67" s="568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5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1" activePane="bottomLeft" state="frozen"/>
      <selection pane="bottomLeft" activeCell="H31" sqref="H31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5" t="s">
        <v>51</v>
      </c>
      <c r="B1" s="717" t="s">
        <v>320</v>
      </c>
      <c r="C1" s="718"/>
      <c r="D1" s="720"/>
      <c r="E1" s="717" t="s">
        <v>321</v>
      </c>
      <c r="F1" s="718"/>
      <c r="G1" s="719"/>
      <c r="H1" s="714" t="s">
        <v>326</v>
      </c>
      <c r="I1" s="711" t="s">
        <v>327</v>
      </c>
      <c r="J1" s="708" t="s">
        <v>43</v>
      </c>
    </row>
    <row r="2" spans="1:18" ht="38.25" thickBot="1">
      <c r="A2" s="706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5"/>
      <c r="I2" s="712"/>
      <c r="J2" s="709"/>
    </row>
    <row r="3" spans="1:18" ht="24" customHeight="1" thickBot="1">
      <c r="A3" s="707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6"/>
      <c r="I3" s="713"/>
      <c r="J3" s="710"/>
    </row>
    <row r="4" spans="1:18" ht="19.5" thickBot="1">
      <c r="A4" s="245"/>
      <c r="B4" s="515"/>
      <c r="C4" s="515"/>
      <c r="D4" s="515"/>
      <c r="E4" s="515"/>
      <c r="F4" s="515"/>
      <c r="G4" s="515"/>
      <c r="H4" s="627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5">
        <v>1.5</v>
      </c>
      <c r="C6" s="616">
        <v>7.8</v>
      </c>
      <c r="D6" s="616">
        <v>0</v>
      </c>
      <c r="E6" s="616">
        <v>1.5</v>
      </c>
      <c r="F6" s="616">
        <v>8</v>
      </c>
      <c r="G6" s="616">
        <v>0</v>
      </c>
      <c r="H6" s="614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7">
        <v>1.5</v>
      </c>
      <c r="C7" s="614">
        <v>7.8</v>
      </c>
      <c r="D7" s="614">
        <v>0</v>
      </c>
      <c r="E7" s="614">
        <v>1.5</v>
      </c>
      <c r="F7" s="614">
        <v>8</v>
      </c>
      <c r="G7" s="614">
        <v>0</v>
      </c>
      <c r="H7" s="614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7">
        <v>1.5</v>
      </c>
      <c r="C8" s="614">
        <v>7.8</v>
      </c>
      <c r="D8" s="614">
        <v>0</v>
      </c>
      <c r="E8" s="614">
        <v>1.5</v>
      </c>
      <c r="F8" s="614">
        <v>8</v>
      </c>
      <c r="G8" s="614">
        <v>0</v>
      </c>
      <c r="H8" s="614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7">
        <v>1.5</v>
      </c>
      <c r="C9" s="617">
        <v>7.8</v>
      </c>
      <c r="D9" s="617">
        <v>0</v>
      </c>
      <c r="E9" s="617">
        <v>1.5</v>
      </c>
      <c r="F9" s="617">
        <v>8</v>
      </c>
      <c r="G9" s="617">
        <v>0</v>
      </c>
      <c r="H9" s="614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7">
        <v>1.5</v>
      </c>
      <c r="C10" s="614">
        <v>7.8</v>
      </c>
      <c r="D10" s="614"/>
      <c r="E10" s="614">
        <v>1.5</v>
      </c>
      <c r="F10" s="614">
        <v>8</v>
      </c>
      <c r="G10" s="614">
        <v>0</v>
      </c>
      <c r="H10" s="614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1.5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>
        <v>1.4</v>
      </c>
      <c r="C13" s="544">
        <v>7.8</v>
      </c>
      <c r="D13" s="544"/>
      <c r="E13" s="544">
        <v>1</v>
      </c>
      <c r="F13" s="544">
        <v>8</v>
      </c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256">
        <v>1.3</v>
      </c>
      <c r="C14" s="618">
        <v>7.8</v>
      </c>
      <c r="D14" s="170"/>
      <c r="E14" s="170">
        <v>1.5</v>
      </c>
      <c r="F14" s="170">
        <v>8</v>
      </c>
      <c r="G14" s="170"/>
      <c r="H14" s="628"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256">
        <v>1</v>
      </c>
      <c r="C15" s="622">
        <v>7.8</v>
      </c>
      <c r="D15" s="170"/>
      <c r="E15" s="170">
        <v>1.5</v>
      </c>
      <c r="F15" s="170">
        <v>8</v>
      </c>
      <c r="G15" s="170"/>
      <c r="H15" s="628"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256">
        <v>1.3</v>
      </c>
      <c r="C16" s="623">
        <v>7.8</v>
      </c>
      <c r="D16" s="170"/>
      <c r="E16" s="170">
        <v>1.3</v>
      </c>
      <c r="F16" s="170">
        <v>8</v>
      </c>
      <c r="G16" s="170"/>
      <c r="H16" s="628"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>
        <v>1.4</v>
      </c>
      <c r="C17" s="544">
        <v>7.8</v>
      </c>
      <c r="D17" s="544"/>
      <c r="E17" s="544">
        <v>1.5</v>
      </c>
      <c r="F17" s="544">
        <v>8</v>
      </c>
      <c r="G17" s="544"/>
      <c r="H17" s="516">
        <v>6700</v>
      </c>
      <c r="I17" s="516">
        <f t="shared" si="2"/>
        <v>1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>
        <v>1.5</v>
      </c>
      <c r="C18" s="544">
        <v>7.8</v>
      </c>
      <c r="D18" s="544"/>
      <c r="E18" s="544">
        <v>1.3</v>
      </c>
      <c r="F18" s="544">
        <v>8</v>
      </c>
      <c r="G18" s="544"/>
      <c r="H18" s="516">
        <f t="shared" si="4"/>
        <v>6700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>
        <v>1.5</v>
      </c>
      <c r="C19" s="544">
        <v>7.8</v>
      </c>
      <c r="D19" s="544"/>
      <c r="E19" s="544">
        <v>1.5</v>
      </c>
      <c r="F19" s="544">
        <v>8</v>
      </c>
      <c r="G19" s="544"/>
      <c r="H19" s="516">
        <f t="shared" si="4"/>
        <v>6700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>
        <v>1.4</v>
      </c>
      <c r="C20" s="544">
        <v>7.8</v>
      </c>
      <c r="D20" s="544"/>
      <c r="E20" s="544">
        <v>1.2</v>
      </c>
      <c r="F20" s="544">
        <v>8</v>
      </c>
      <c r="G20" s="544"/>
      <c r="H20" s="516">
        <v>6700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>
        <v>1.5</v>
      </c>
      <c r="C21" s="544">
        <v>7.8</v>
      </c>
      <c r="D21" s="544"/>
      <c r="E21" s="544">
        <v>1.1000000000000001</v>
      </c>
      <c r="F21" s="544">
        <v>8.1</v>
      </c>
      <c r="G21" s="544"/>
      <c r="H21" s="516">
        <v>6700</v>
      </c>
      <c r="I21" s="516">
        <f t="shared" si="2"/>
        <v>0</v>
      </c>
      <c r="J21" s="602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>
        <v>1.5</v>
      </c>
      <c r="C22" s="544">
        <v>7.8</v>
      </c>
      <c r="D22" s="544"/>
      <c r="E22" s="544">
        <v>1.5</v>
      </c>
      <c r="F22" s="544">
        <v>8.1</v>
      </c>
      <c r="G22" s="544"/>
      <c r="H22" s="516">
        <v>6700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>
        <v>0.13</v>
      </c>
      <c r="C23" s="544">
        <v>8.6999999999999993</v>
      </c>
      <c r="D23" s="544"/>
      <c r="E23" s="544">
        <v>0.3</v>
      </c>
      <c r="F23" s="544">
        <v>8</v>
      </c>
      <c r="G23" s="544"/>
      <c r="H23" s="516">
        <v>6700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4">
        <v>1.4</v>
      </c>
      <c r="C24" s="603">
        <v>7.8</v>
      </c>
      <c r="D24" s="170"/>
      <c r="E24" s="170">
        <v>1.5</v>
      </c>
      <c r="F24" s="170">
        <v>8</v>
      </c>
      <c r="G24" s="170"/>
      <c r="H24" s="516">
        <f t="shared" si="4"/>
        <v>6700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4">
        <v>1.2</v>
      </c>
      <c r="C25" s="603">
        <v>7.8</v>
      </c>
      <c r="D25" s="170"/>
      <c r="E25" s="170">
        <v>1.5</v>
      </c>
      <c r="F25" s="170">
        <v>8</v>
      </c>
      <c r="G25" s="170"/>
      <c r="H25" s="516">
        <f t="shared" si="4"/>
        <v>6700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4">
        <v>1.5</v>
      </c>
      <c r="C26" s="605">
        <v>7.8</v>
      </c>
      <c r="D26" s="170"/>
      <c r="E26" s="170">
        <v>1.5</v>
      </c>
      <c r="F26" s="170">
        <v>8</v>
      </c>
      <c r="G26" s="170"/>
      <c r="H26" s="516">
        <f t="shared" si="4"/>
        <v>6700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>
        <v>1.5</v>
      </c>
      <c r="C27" s="170">
        <v>7.8</v>
      </c>
      <c r="D27" s="170"/>
      <c r="E27" s="170">
        <v>1.5</v>
      </c>
      <c r="F27" s="170">
        <v>8</v>
      </c>
      <c r="G27" s="170"/>
      <c r="H27" s="516">
        <f t="shared" si="4"/>
        <v>6700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>
        <v>1.2</v>
      </c>
      <c r="C28" s="606">
        <v>8</v>
      </c>
      <c r="D28" s="170"/>
      <c r="E28" s="170">
        <v>1</v>
      </c>
      <c r="F28" s="170">
        <v>8</v>
      </c>
      <c r="G28" s="170"/>
      <c r="H28" s="516">
        <f t="shared" si="4"/>
        <v>6700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>
        <v>1.3</v>
      </c>
      <c r="C29" s="544">
        <v>7.8</v>
      </c>
      <c r="D29" s="544"/>
      <c r="E29" s="544">
        <v>1</v>
      </c>
      <c r="F29" s="544">
        <v>8.1</v>
      </c>
      <c r="G29" s="544"/>
      <c r="H29" s="516">
        <f t="shared" si="4"/>
        <v>6700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>
        <v>1.2</v>
      </c>
      <c r="C30" s="516">
        <v>7.8</v>
      </c>
      <c r="D30" s="170"/>
      <c r="E30" s="170">
        <v>1.3</v>
      </c>
      <c r="F30" s="170">
        <v>8</v>
      </c>
      <c r="G30" s="170"/>
      <c r="H30" s="516">
        <f t="shared" si="4"/>
        <v>6700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>
        <v>1.5</v>
      </c>
      <c r="C31" s="545">
        <v>7.8</v>
      </c>
      <c r="D31" s="170"/>
      <c r="E31" s="170">
        <v>1.4</v>
      </c>
      <c r="F31" s="170">
        <v>8</v>
      </c>
      <c r="G31" s="170"/>
      <c r="H31" s="516">
        <f t="shared" si="4"/>
        <v>6700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6700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6700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6700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6700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6700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1" t="s">
        <v>161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</row>
    <row r="2" spans="1:28" ht="19.5">
      <c r="A2" s="722"/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22"/>
      <c r="W2" s="722"/>
      <c r="X2" s="722"/>
    </row>
    <row r="3" spans="1:28" ht="19.5">
      <c r="A3" s="722" t="s">
        <v>162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2" t="s">
        <v>411</v>
      </c>
      <c r="B5" s="722"/>
      <c r="C5" s="722"/>
      <c r="D5" s="722"/>
      <c r="E5" s="722"/>
      <c r="F5" s="722"/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  <c r="V5" s="722"/>
      <c r="W5" s="722"/>
      <c r="X5" s="722"/>
    </row>
    <row r="6" spans="1:28" ht="15.75" thickBot="1">
      <c r="A6" s="723"/>
      <c r="B6" s="723"/>
      <c r="C6" s="723"/>
      <c r="D6" s="723"/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</row>
    <row r="7" spans="1:28" ht="15.75" thickBot="1">
      <c r="A7" s="725" t="s">
        <v>163</v>
      </c>
      <c r="B7" s="726"/>
      <c r="C7" s="727" t="s">
        <v>164</v>
      </c>
      <c r="D7" s="728"/>
      <c r="E7" s="728"/>
      <c r="F7" s="728"/>
      <c r="G7" s="728"/>
      <c r="H7" s="728"/>
      <c r="I7" s="728"/>
      <c r="J7" s="728"/>
      <c r="K7" s="72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23</v>
      </c>
      <c r="S54" s="274">
        <f>'General information '!C12</f>
        <v>18</v>
      </c>
      <c r="T54" s="119">
        <f t="shared" si="13"/>
        <v>2.1999999999999993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27</v>
      </c>
      <c r="S55" s="274">
        <f>'General information '!C13</f>
        <v>21</v>
      </c>
      <c r="T55" s="119">
        <f t="shared" si="13"/>
        <v>5.6999999999999993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27</v>
      </c>
      <c r="S56" s="274">
        <f>'General information '!C14</f>
        <v>22</v>
      </c>
      <c r="T56" s="119">
        <f t="shared" si="13"/>
        <v>6.1999999999999993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25</v>
      </c>
      <c r="S57" s="274">
        <f>'General information '!C15</f>
        <v>21</v>
      </c>
      <c r="T57" s="119">
        <f t="shared" si="13"/>
        <v>4.6999999999999993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25</v>
      </c>
      <c r="S58" s="274">
        <f>'General information '!C16</f>
        <v>20</v>
      </c>
      <c r="T58" s="119">
        <f t="shared" si="13"/>
        <v>4.1999999999999993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25</v>
      </c>
      <c r="S59" s="274">
        <f>'General information '!C17</f>
        <v>20</v>
      </c>
      <c r="T59" s="119">
        <f t="shared" si="13"/>
        <v>4.1999999999999993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25</v>
      </c>
      <c r="S60" s="274">
        <f>'General information '!C18</f>
        <v>21</v>
      </c>
      <c r="T60" s="119">
        <f t="shared" si="13"/>
        <v>4.6999999999999993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25</v>
      </c>
      <c r="S61" s="274">
        <f>'General information '!C19</f>
        <v>21</v>
      </c>
      <c r="T61" s="119">
        <f t="shared" si="13"/>
        <v>4.6999999999999993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22</v>
      </c>
      <c r="S62" s="274">
        <f>'General information '!C20</f>
        <v>17</v>
      </c>
      <c r="T62" s="119">
        <f t="shared" si="13"/>
        <v>1.1999999999999993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22</v>
      </c>
      <c r="S63" s="274">
        <f>'General information '!C21</f>
        <v>16</v>
      </c>
      <c r="T63" s="119">
        <f t="shared" si="13"/>
        <v>0.69999999999999929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21</v>
      </c>
      <c r="S64" s="274">
        <f>'General information '!C22</f>
        <v>15</v>
      </c>
      <c r="T64" s="119">
        <f t="shared" si="13"/>
        <v>-0.30000000000000071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21</v>
      </c>
      <c r="S65" s="274">
        <f>'General information '!C23</f>
        <v>15</v>
      </c>
      <c r="T65" s="119">
        <f t="shared" si="13"/>
        <v>-0.30000000000000071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21</v>
      </c>
      <c r="S66" s="274">
        <f>'General information '!C24</f>
        <v>16</v>
      </c>
      <c r="T66" s="119">
        <f t="shared" si="13"/>
        <v>0.19999999999999929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19</v>
      </c>
      <c r="S67" s="274">
        <f>'General information '!C25</f>
        <v>15</v>
      </c>
      <c r="T67" s="119">
        <f t="shared" si="13"/>
        <v>-1.3000000000000007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19</v>
      </c>
      <c r="S68" s="274">
        <f>'General information '!C26</f>
        <v>15</v>
      </c>
      <c r="T68" s="119">
        <f t="shared" si="13"/>
        <v>-1.3000000000000007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19</v>
      </c>
      <c r="S69" s="274">
        <f>'General information '!C27</f>
        <v>16</v>
      </c>
      <c r="T69" s="119">
        <f>(R69+S69)/2-18.3</f>
        <v>-0.80000000000000071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20</v>
      </c>
      <c r="S70" s="274">
        <f>'General information '!C28</f>
        <v>15</v>
      </c>
      <c r="T70" s="119">
        <f t="shared" si="13"/>
        <v>-0.80000000000000071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19</v>
      </c>
      <c r="S71" s="274">
        <f>'General information '!C29</f>
        <v>15</v>
      </c>
      <c r="T71" s="119">
        <f t="shared" si="13"/>
        <v>-1.3000000000000007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18</v>
      </c>
      <c r="S72" s="274">
        <f>'General information '!C30</f>
        <v>15</v>
      </c>
      <c r="T72" s="119">
        <f t="shared" si="13"/>
        <v>-1.8000000000000007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18</v>
      </c>
      <c r="S73" s="274">
        <f>'General information '!C31</f>
        <v>15</v>
      </c>
      <c r="T73" s="119">
        <f t="shared" si="13"/>
        <v>-1.8000000000000007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-82.9</v>
      </c>
      <c r="S81" s="119">
        <f>SUMIF(T48:T78,"&gt;0")</f>
        <v>59.40000000000002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0" t="s">
        <v>174</v>
      </c>
      <c r="O84" s="730" t="s">
        <v>175</v>
      </c>
      <c r="P84" s="134"/>
      <c r="T84" s="134"/>
      <c r="X84" s="134"/>
    </row>
    <row r="85" spans="1:24" ht="20.25" thickBot="1">
      <c r="D85" s="134"/>
      <c r="I85" s="732" t="s">
        <v>182</v>
      </c>
      <c r="J85" s="733"/>
      <c r="K85" s="733"/>
      <c r="L85" s="733"/>
      <c r="N85" s="731"/>
      <c r="O85" s="731"/>
      <c r="P85" s="134"/>
      <c r="R85" s="17"/>
      <c r="S85" s="17"/>
      <c r="T85" s="140"/>
      <c r="U85" s="141"/>
      <c r="X85" s="134"/>
    </row>
    <row r="86" spans="1:24" ht="18.75" thickBot="1">
      <c r="D86" s="134"/>
      <c r="I86" s="734" t="s">
        <v>183</v>
      </c>
      <c r="J86" s="734"/>
      <c r="K86" s="734"/>
      <c r="L86" s="734"/>
      <c r="N86" s="142">
        <f>B43+F43+J43+N43+R43+V43+B81+F81+J81+N81+R81+V81</f>
        <v>-1071.5</v>
      </c>
      <c r="O86" s="142">
        <f>C43+G43+K43+O43+S43+W43+C81+G81+K81+O81+S81+W81</f>
        <v>1548.2999999999993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4"/>
      <c r="C88" s="724"/>
      <c r="D88" s="724"/>
      <c r="E88" s="724"/>
      <c r="F88" s="724"/>
      <c r="G88" s="724"/>
      <c r="H88" s="724"/>
      <c r="I88" s="724"/>
      <c r="J88" s="724"/>
      <c r="K88" s="724"/>
      <c r="L88" s="724"/>
      <c r="M88" s="724"/>
      <c r="N88" s="724"/>
      <c r="O88" s="724"/>
      <c r="P88" s="724"/>
      <c r="Q88" s="724"/>
      <c r="R88" s="724"/>
      <c r="S88" s="724"/>
      <c r="T88" s="724"/>
      <c r="U88" s="724"/>
      <c r="V88" s="724"/>
      <c r="W88" s="72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5" t="s">
        <v>216</v>
      </c>
      <c r="B2" s="735"/>
      <c r="C2" s="735"/>
      <c r="D2" s="735"/>
      <c r="E2" s="735"/>
      <c r="F2" s="735"/>
      <c r="G2" s="735"/>
      <c r="H2" s="735"/>
      <c r="I2" s="735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26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8.0446153846153852</v>
      </c>
      <c r="F6" s="186">
        <f>SUM(E6*F4)</f>
        <v>209.16000000000003</v>
      </c>
      <c r="G6" s="187">
        <f>SUM(B6*C6)</f>
        <v>209.16</v>
      </c>
      <c r="H6" s="186">
        <f>7500-H7</f>
        <v>0</v>
      </c>
      <c r="I6" s="601">
        <f>12300-I7</f>
        <v>4100</v>
      </c>
      <c r="J6" s="278"/>
    </row>
    <row r="7" spans="1:11">
      <c r="A7" s="185" t="s">
        <v>218</v>
      </c>
      <c r="B7" s="353">
        <f>WATER!H37</f>
        <v>1997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7106.6666666666661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10164</v>
      </c>
      <c r="C8" s="500">
        <f>SUM(tanks!AU37)</f>
        <v>0.49</v>
      </c>
      <c r="D8" s="192">
        <f>SUM(B8*C8)*D4</f>
        <v>7507892.6999999993</v>
      </c>
      <c r="E8" s="193">
        <f>SUM(D8/D4/F4)</f>
        <v>191.55230769230769</v>
      </c>
      <c r="F8" s="193">
        <f>SUM(E8*F4)</f>
        <v>4980.3599999999997</v>
      </c>
      <c r="G8" s="517">
        <f>E8*$F$4</f>
        <v>4980.3599999999997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18194107.266666666</v>
      </c>
      <c r="E10" s="183">
        <f>SUM(D10/D4/F4)</f>
        <v>464.19459795041882</v>
      </c>
      <c r="F10" s="183">
        <f>SUM(E10*F4)</f>
        <v>12069.059546710889</v>
      </c>
      <c r="G10" s="517">
        <f>E10*$G$4</f>
        <v>13925.837938512565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937.12485436067527</v>
      </c>
      <c r="F12" s="181">
        <f>SUM(F6:F10)</f>
        <v>24365.246213377555</v>
      </c>
      <c r="G12" s="180">
        <f>SUM(G6:G10)</f>
        <v>26615.357938512563</v>
      </c>
      <c r="H12" s="180">
        <f>SUM(H6:H11)</f>
        <v>56500</v>
      </c>
      <c r="I12" s="222">
        <f>SUM(I6:I11)</f>
        <v>108200</v>
      </c>
      <c r="J12" s="278"/>
    </row>
    <row r="13" spans="1:11" ht="45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-29884.642061487437</v>
      </c>
      <c r="I14" s="427">
        <f>SUM(G12-I12)</f>
        <v>-81584.642061487437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1">
        <f>'General information '!D38</f>
        <v>20.21153846153846</v>
      </c>
      <c r="C16" s="438">
        <f>'[12]Utility Cost '!D16</f>
        <v>24.177419354838708</v>
      </c>
      <c r="D16" s="438"/>
      <c r="E16" s="439">
        <f t="shared" si="0"/>
        <v>-3.9658808933002483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68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-185</v>
      </c>
      <c r="F18" s="535">
        <f>B18-D18</f>
        <v>-223.50666666666666</v>
      </c>
    </row>
    <row r="19" spans="1:10">
      <c r="A19" s="529" t="s">
        <v>413</v>
      </c>
      <c r="B19" s="527">
        <f>SUM(B18/$F$4)</f>
        <v>2.6153846153846154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2020-11-27T06:24:12Z</dcterms:modified>
</cp:coreProperties>
</file>