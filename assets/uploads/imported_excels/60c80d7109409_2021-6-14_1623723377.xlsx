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4000" windowHeight="9600" tabRatio="598" activeTab="6"/>
  </bookViews>
  <sheets>
    <sheet name="TOTAL" sheetId="9" r:id="rId1"/>
    <sheet name="Submetering" sheetId="8" r:id="rId2"/>
    <sheet name="Mall, Citadel, Rotana" sheetId="2" r:id="rId3"/>
    <sheet name="Water" sheetId="3" r:id="rId4"/>
    <sheet name="ELECT." sheetId="4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7" i="2" l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T33" i="2" s="1"/>
  <c r="P10" i="2"/>
  <c r="P12" i="2" s="1"/>
  <c r="P13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N17" i="2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L17" i="2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H17" i="2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H33" i="2" s="1"/>
  <c r="F17" i="2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F33" i="2" s="1"/>
  <c r="D17" i="2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B17" i="2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U3" i="2"/>
  <c r="S3" i="2"/>
  <c r="R3" i="2"/>
  <c r="Q3" i="2"/>
  <c r="O3" i="2"/>
  <c r="M3" i="2"/>
  <c r="J3" i="2"/>
  <c r="K3" i="2" s="1"/>
  <c r="I3" i="2"/>
  <c r="G3" i="2"/>
  <c r="E3" i="2"/>
  <c r="C3" i="2"/>
  <c r="I3" i="3"/>
  <c r="G3" i="3"/>
  <c r="E3" i="3"/>
  <c r="C3" i="3"/>
  <c r="J3" i="3" s="1"/>
  <c r="K3" i="3" s="1"/>
  <c r="R3" i="1"/>
  <c r="S3" i="1" s="1"/>
  <c r="O3" i="1"/>
  <c r="P3" i="1" s="1"/>
  <c r="L3" i="1"/>
  <c r="M3" i="1" s="1"/>
  <c r="I3" i="1"/>
  <c r="J3" i="1" s="1"/>
  <c r="F3" i="1"/>
  <c r="G3" i="1" s="1"/>
  <c r="C3" i="1"/>
  <c r="D3" i="1" s="1"/>
  <c r="C6" i="5"/>
  <c r="W3" i="4"/>
  <c r="S3" i="4"/>
  <c r="Z3" i="4" s="1"/>
  <c r="AA3" i="4" s="1"/>
  <c r="Q3" i="4"/>
  <c r="O3" i="4"/>
  <c r="X3" i="4" s="1"/>
  <c r="M3" i="4"/>
  <c r="K3" i="4"/>
  <c r="H3" i="4"/>
  <c r="I3" i="4" s="1"/>
  <c r="F3" i="4"/>
  <c r="D3" i="4"/>
  <c r="T3" i="1" l="1"/>
  <c r="U3" i="1" s="1"/>
  <c r="Y3" i="4"/>
  <c r="B3" i="8" l="1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S23" i="1"/>
  <c r="R4" i="1"/>
  <c r="S4" i="1" s="1"/>
  <c r="R5" i="1"/>
  <c r="S5" i="1" s="1"/>
  <c r="R6" i="1"/>
  <c r="S6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30" i="1"/>
  <c r="P30" i="1" s="1"/>
  <c r="O31" i="1"/>
  <c r="P31" i="1" s="1"/>
  <c r="O32" i="1"/>
  <c r="O33" i="1"/>
  <c r="P33" i="1" s="1"/>
  <c r="O4" i="1"/>
  <c r="P4" i="1" s="1"/>
  <c r="O5" i="1"/>
  <c r="P5" i="1" s="1"/>
  <c r="O6" i="1"/>
  <c r="P6" i="1" s="1"/>
  <c r="O7" i="1"/>
  <c r="P7" i="1" s="1"/>
  <c r="O8" i="1"/>
  <c r="P8" i="1" s="1"/>
  <c r="O9" i="1"/>
  <c r="O10" i="1"/>
  <c r="P10" i="1" s="1"/>
  <c r="O11" i="1"/>
  <c r="P11" i="1" s="1"/>
  <c r="O12" i="1"/>
  <c r="P12" i="1" s="1"/>
  <c r="O13" i="1"/>
  <c r="P13" i="1" s="1"/>
  <c r="O14" i="1"/>
  <c r="P14" i="1" s="1"/>
  <c r="O15" i="1"/>
  <c r="O16" i="1"/>
  <c r="O17" i="1"/>
  <c r="O18" i="1"/>
  <c r="P18" i="1" s="1"/>
  <c r="O19" i="1"/>
  <c r="P19" i="1" s="1"/>
  <c r="O20" i="1"/>
  <c r="P20" i="1" s="1"/>
  <c r="O21" i="1"/>
  <c r="O22" i="1"/>
  <c r="P22" i="1" s="1"/>
  <c r="O23" i="1"/>
  <c r="P23" i="1" s="1"/>
  <c r="O24" i="1"/>
  <c r="O25" i="1"/>
  <c r="O26" i="1"/>
  <c r="P26" i="1" s="1"/>
  <c r="O27" i="1"/>
  <c r="P27" i="1" s="1"/>
  <c r="O28" i="1"/>
  <c r="P28" i="1" s="1"/>
  <c r="O29" i="1"/>
  <c r="P9" i="1"/>
  <c r="P15" i="1"/>
  <c r="P16" i="1"/>
  <c r="P17" i="1"/>
  <c r="P21" i="1"/>
  <c r="P24" i="1"/>
  <c r="P25" i="1"/>
  <c r="P29" i="1"/>
  <c r="P32" i="1"/>
  <c r="L4" i="1"/>
  <c r="M4" i="1" s="1"/>
  <c r="L5" i="1"/>
  <c r="L6" i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L22" i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L30" i="1"/>
  <c r="L31" i="1"/>
  <c r="M31" i="1" s="1"/>
  <c r="L32" i="1"/>
  <c r="M32" i="1" s="1"/>
  <c r="L33" i="1"/>
  <c r="M33" i="1" s="1"/>
  <c r="M5" i="1"/>
  <c r="M6" i="1"/>
  <c r="M21" i="1"/>
  <c r="M22" i="1"/>
  <c r="M29" i="1"/>
  <c r="M30" i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I11" i="1"/>
  <c r="J11" i="1" s="1"/>
  <c r="I12" i="1"/>
  <c r="J12" i="1" s="1"/>
  <c r="I13" i="1"/>
  <c r="J13" i="1" s="1"/>
  <c r="I14" i="1"/>
  <c r="J14" i="1" s="1"/>
  <c r="I15" i="1"/>
  <c r="I16" i="1"/>
  <c r="J16" i="1" s="1"/>
  <c r="I17" i="1"/>
  <c r="J17" i="1" s="1"/>
  <c r="I18" i="1"/>
  <c r="I19" i="1"/>
  <c r="J19" i="1" s="1"/>
  <c r="I20" i="1"/>
  <c r="J20" i="1" s="1"/>
  <c r="I21" i="1"/>
  <c r="J21" i="1" s="1"/>
  <c r="I22" i="1"/>
  <c r="J22" i="1" s="1"/>
  <c r="I23" i="1"/>
  <c r="I24" i="1"/>
  <c r="J24" i="1" s="1"/>
  <c r="I25" i="1"/>
  <c r="J25" i="1" s="1"/>
  <c r="I26" i="1"/>
  <c r="I27" i="1"/>
  <c r="J27" i="1" s="1"/>
  <c r="I28" i="1"/>
  <c r="J28" i="1" s="1"/>
  <c r="I29" i="1"/>
  <c r="J29" i="1" s="1"/>
  <c r="I30" i="1"/>
  <c r="J30" i="1" s="1"/>
  <c r="I31" i="1"/>
  <c r="J10" i="1"/>
  <c r="J15" i="1"/>
  <c r="J18" i="1"/>
  <c r="J23" i="1"/>
  <c r="J26" i="1"/>
  <c r="J31" i="1"/>
  <c r="F4" i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F19" i="1"/>
  <c r="G19" i="1" s="1"/>
  <c r="F20" i="1"/>
  <c r="F21" i="1"/>
  <c r="G21" i="1" s="1"/>
  <c r="F22" i="1"/>
  <c r="F23" i="1"/>
  <c r="G23" i="1" s="1"/>
  <c r="F24" i="1"/>
  <c r="G24" i="1" s="1"/>
  <c r="F25" i="1"/>
  <c r="G25" i="1" s="1"/>
  <c r="F26" i="1"/>
  <c r="F27" i="1"/>
  <c r="G27" i="1" s="1"/>
  <c r="F28" i="1"/>
  <c r="G28" i="1" s="1"/>
  <c r="F29" i="1"/>
  <c r="G29" i="1" s="1"/>
  <c r="F30" i="1"/>
  <c r="G30" i="1" s="1"/>
  <c r="F33" i="1"/>
  <c r="G33" i="1" s="1"/>
  <c r="G18" i="1"/>
  <c r="G20" i="1"/>
  <c r="G22" i="1"/>
  <c r="G26" i="1"/>
  <c r="D23" i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C31" i="1"/>
  <c r="D31" i="1" s="1"/>
  <c r="C32" i="1"/>
  <c r="D32" i="1" s="1"/>
  <c r="C33" i="1"/>
  <c r="D33" i="1" s="1"/>
  <c r="D30" i="1" l="1"/>
  <c r="M88" i="10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F31" i="1" l="1"/>
  <c r="G31" i="1" s="1"/>
  <c r="F32" i="1"/>
  <c r="G32" i="1" s="1"/>
  <c r="N32" i="8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K8" i="4"/>
  <c r="H8" i="4"/>
  <c r="F8" i="4"/>
  <c r="D8" i="4"/>
  <c r="I8" i="4" l="1"/>
  <c r="T8" i="1"/>
  <c r="U8" i="1" s="1"/>
  <c r="Z8" i="4"/>
  <c r="X8" i="4"/>
  <c r="J8" i="3"/>
  <c r="K8" i="3" s="1"/>
  <c r="Y8" i="4" l="1"/>
  <c r="C4" i="5"/>
  <c r="U34" i="4" l="1"/>
  <c r="B34" i="4"/>
  <c r="K8" i="2" l="1"/>
  <c r="C4" i="1"/>
  <c r="N94" i="10"/>
  <c r="D4" i="1" l="1"/>
  <c r="D34" i="1" s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R33" i="1"/>
  <c r="S33" i="1" s="1"/>
  <c r="U32" i="8"/>
  <c r="S32" i="8"/>
  <c r="W32" i="8" l="1"/>
  <c r="V32" i="8"/>
  <c r="S8" i="2"/>
  <c r="E33" i="2"/>
  <c r="Q33" i="4"/>
  <c r="K9" i="11"/>
  <c r="G33" i="2"/>
  <c r="I33" i="3"/>
  <c r="M33" i="4"/>
  <c r="K7" i="11"/>
  <c r="S33" i="4"/>
  <c r="K10" i="11"/>
  <c r="K33" i="2"/>
  <c r="O33" i="2"/>
  <c r="AB32" i="8" s="1"/>
  <c r="H33" i="4"/>
  <c r="J32" i="8" s="1"/>
  <c r="K4" i="11"/>
  <c r="C33" i="3"/>
  <c r="E32" i="8" s="1"/>
  <c r="K31" i="2"/>
  <c r="Q33" i="2"/>
  <c r="F33" i="4"/>
  <c r="K3" i="11"/>
  <c r="O33" i="4"/>
  <c r="K8" i="11"/>
  <c r="C33" i="2"/>
  <c r="M33" i="2"/>
  <c r="S33" i="2"/>
  <c r="K33" i="4"/>
  <c r="K6" i="11"/>
  <c r="E33" i="3"/>
  <c r="I33" i="2"/>
  <c r="U33" i="2"/>
  <c r="K32" i="2"/>
  <c r="U30" i="2"/>
  <c r="C32" i="2"/>
  <c r="M32" i="4"/>
  <c r="H31" i="4"/>
  <c r="J30" i="8" s="1"/>
  <c r="U30" i="8"/>
  <c r="V30" i="8"/>
  <c r="R32" i="1"/>
  <c r="S32" i="1" s="1"/>
  <c r="R31" i="1"/>
  <c r="S31" i="1" s="1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K32" i="4"/>
  <c r="K31" i="4"/>
  <c r="H32" i="4"/>
  <c r="J31" i="8" s="1"/>
  <c r="F32" i="4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F25" i="4"/>
  <c r="AE30" i="8" l="1"/>
  <c r="I30" i="9" s="1"/>
  <c r="AE31" i="8"/>
  <c r="I31" i="9" s="1"/>
  <c r="Y32" i="8"/>
  <c r="E32" i="9" s="1"/>
  <c r="T30" i="8"/>
  <c r="I33" i="1"/>
  <c r="I32" i="1"/>
  <c r="J32" i="1" s="1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H23" i="4"/>
  <c r="T32" i="8" l="1"/>
  <c r="I34" i="1"/>
  <c r="J33" i="1"/>
  <c r="J34" i="1" s="1"/>
  <c r="T31" i="8"/>
  <c r="X33" i="4"/>
  <c r="Y33" i="4" s="1"/>
  <c r="F21" i="4"/>
  <c r="I20" i="3" l="1"/>
  <c r="Q20" i="2" l="1"/>
  <c r="G29" i="9"/>
  <c r="S30" i="2"/>
  <c r="W29" i="8" l="1"/>
  <c r="U29" i="8"/>
  <c r="V29" i="8"/>
  <c r="T29" i="8"/>
  <c r="S29" i="8"/>
  <c r="W15" i="4" l="1"/>
  <c r="S15" i="4"/>
  <c r="Q15" i="4"/>
  <c r="O15" i="4"/>
  <c r="M15" i="4"/>
  <c r="K15" i="4"/>
  <c r="H15" i="4"/>
  <c r="F15" i="4"/>
  <c r="W14" i="4"/>
  <c r="S14" i="4"/>
  <c r="Q14" i="4"/>
  <c r="O14" i="4"/>
  <c r="M14" i="4"/>
  <c r="K14" i="4"/>
  <c r="H14" i="4"/>
  <c r="F14" i="4"/>
  <c r="C14" i="5"/>
  <c r="I15" i="3"/>
  <c r="G15" i="3"/>
  <c r="E15" i="3"/>
  <c r="C15" i="3"/>
  <c r="I14" i="3"/>
  <c r="G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F5" i="4"/>
  <c r="F6" i="4"/>
  <c r="T15" i="1" l="1"/>
  <c r="U15" i="1" s="1"/>
  <c r="E11" i="2"/>
  <c r="C5" i="5" l="1"/>
  <c r="C7" i="5"/>
  <c r="C8" i="5"/>
  <c r="C9" i="5"/>
  <c r="C10" i="5"/>
  <c r="C11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H10" i="4" l="1"/>
  <c r="H12" i="4" l="1"/>
  <c r="H11" i="4"/>
  <c r="H5" i="4"/>
  <c r="H6" i="4"/>
  <c r="I6" i="4" s="1"/>
  <c r="H7" i="4"/>
  <c r="C4" i="3"/>
  <c r="C5" i="3"/>
  <c r="C6" i="3"/>
  <c r="C7" i="3"/>
  <c r="H13" i="4" l="1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5" i="4"/>
  <c r="K4" i="8" s="1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D4" i="4"/>
  <c r="F4" i="4"/>
  <c r="H4" i="4"/>
  <c r="K4" i="4"/>
  <c r="M4" i="4"/>
  <c r="O4" i="4"/>
  <c r="Q4" i="4"/>
  <c r="S4" i="4"/>
  <c r="W4" i="4"/>
  <c r="D5" i="4"/>
  <c r="Q4" i="8" s="1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D6" i="4"/>
  <c r="I5" i="8"/>
  <c r="F7" i="4"/>
  <c r="K6" i="4"/>
  <c r="K7" i="4"/>
  <c r="K6" i="8" s="1"/>
  <c r="M6" i="4"/>
  <c r="O7" i="4"/>
  <c r="M6" i="8" s="1"/>
  <c r="Q6" i="4"/>
  <c r="W6" i="4"/>
  <c r="P5" i="8" s="1"/>
  <c r="U6" i="8"/>
  <c r="D7" i="4"/>
  <c r="Q6" i="8" s="1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9" i="4"/>
  <c r="K8" i="8" s="1"/>
  <c r="F9" i="4"/>
  <c r="I8" i="8" s="1"/>
  <c r="I7" i="8"/>
  <c r="W19" i="8"/>
  <c r="H9" i="4"/>
  <c r="J8" i="8" s="1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D9" i="4"/>
  <c r="Q8" i="8" s="1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D10" i="4"/>
  <c r="Q9" i="8" s="1"/>
  <c r="W10" i="4"/>
  <c r="P9" i="8" s="1"/>
  <c r="W11" i="4"/>
  <c r="P10" i="8" s="1"/>
  <c r="O10" i="4"/>
  <c r="M9" i="8" s="1"/>
  <c r="M10" i="4"/>
  <c r="L9" i="8" s="1"/>
  <c r="K10" i="4"/>
  <c r="K9" i="8" s="1"/>
  <c r="K11" i="4"/>
  <c r="K10" i="8" s="1"/>
  <c r="F10" i="4"/>
  <c r="I9" i="8" s="1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AC8" i="8" s="1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F11" i="4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6" i="3"/>
  <c r="G15" i="8" s="1"/>
  <c r="G14" i="8"/>
  <c r="K13" i="8"/>
  <c r="K14" i="8"/>
  <c r="K16" i="4"/>
  <c r="K15" i="8" s="1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G17" i="3"/>
  <c r="E17" i="3"/>
  <c r="F16" i="8" s="1"/>
  <c r="Q16" i="2"/>
  <c r="W16" i="4"/>
  <c r="Q16" i="4"/>
  <c r="F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F17" i="4"/>
  <c r="I16" i="8" s="1"/>
  <c r="F19" i="4"/>
  <c r="I18" i="8" s="1"/>
  <c r="U16" i="2"/>
  <c r="Q18" i="2"/>
  <c r="F18" i="4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F20" i="4"/>
  <c r="I19" i="8" s="1"/>
  <c r="G16" i="9"/>
  <c r="U23" i="2"/>
  <c r="E20" i="2"/>
  <c r="E21" i="2"/>
  <c r="C20" i="2"/>
  <c r="S22" i="4"/>
  <c r="O21" i="8" s="1"/>
  <c r="K20" i="4"/>
  <c r="K19" i="8" s="1"/>
  <c r="G18" i="9"/>
  <c r="G19" i="9"/>
  <c r="U17" i="8"/>
  <c r="U24" i="2"/>
  <c r="M20" i="2"/>
  <c r="AA19" i="8" s="1"/>
  <c r="C21" i="2"/>
  <c r="S20" i="4"/>
  <c r="O19" i="8" s="1"/>
  <c r="K21" i="4"/>
  <c r="K20" i="8" s="1"/>
  <c r="U25" i="2"/>
  <c r="Q21" i="2"/>
  <c r="C22" i="2"/>
  <c r="C23" i="2"/>
  <c r="O20" i="4"/>
  <c r="M19" i="8" s="1"/>
  <c r="K22" i="4"/>
  <c r="K21" i="8" s="1"/>
  <c r="G20" i="9"/>
  <c r="S20" i="8"/>
  <c r="U26" i="2"/>
  <c r="Q22" i="2"/>
  <c r="K23" i="4"/>
  <c r="K22" i="8" s="1"/>
  <c r="K24" i="4"/>
  <c r="K23" i="8" s="1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9" i="4"/>
  <c r="K28" i="8" s="1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30" i="4"/>
  <c r="K29" i="8" s="1"/>
  <c r="M30" i="4"/>
  <c r="L29" i="8" s="1"/>
  <c r="C30" i="2"/>
  <c r="E30" i="2"/>
  <c r="G30" i="2"/>
  <c r="I30" i="2"/>
  <c r="K30" i="2"/>
  <c r="M30" i="2"/>
  <c r="O30" i="2"/>
  <c r="AB29" i="8" s="1"/>
  <c r="I18" i="3"/>
  <c r="G18" i="3"/>
  <c r="G17" i="8" s="1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F23" i="4"/>
  <c r="F22" i="4"/>
  <c r="I21" i="8" s="1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6" i="4"/>
  <c r="K25" i="8" s="1"/>
  <c r="K25" i="4"/>
  <c r="K24" i="8" s="1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7" i="4"/>
  <c r="K26" i="8" s="1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M26" i="2"/>
  <c r="C25" i="2"/>
  <c r="G28" i="2"/>
  <c r="W28" i="4"/>
  <c r="P27" i="8" s="1"/>
  <c r="Q28" i="4"/>
  <c r="N27" i="8" s="1"/>
  <c r="K28" i="4"/>
  <c r="K27" i="8" s="1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15" i="8" l="1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H16" i="4"/>
  <c r="I16" i="4" s="1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K13" i="4"/>
  <c r="K12" i="4"/>
  <c r="F13" i="4"/>
  <c r="I13" i="4" s="1"/>
  <c r="F12" i="4"/>
  <c r="C11" i="2"/>
  <c r="U5" i="8"/>
  <c r="I17" i="8"/>
  <c r="I11" i="2"/>
  <c r="S3" i="8"/>
  <c r="G4" i="1"/>
  <c r="G34" i="1" s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K17" i="4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AD5" i="8"/>
  <c r="AE5" i="8" s="1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H17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K18" i="4"/>
  <c r="K1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H18" i="4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H19" i="4"/>
  <c r="I19" i="4" s="1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H20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H21" i="4"/>
  <c r="AA12" i="8"/>
  <c r="T33" i="1" l="1"/>
  <c r="U33" i="1" s="1"/>
  <c r="R31" i="8"/>
  <c r="T32" i="1"/>
  <c r="U32" i="1" s="1"/>
  <c r="I21" i="4"/>
  <c r="Y21" i="4" s="1"/>
  <c r="J20" i="8"/>
  <c r="Y20" i="8" s="1"/>
  <c r="H22" i="4"/>
  <c r="I22" i="4" l="1"/>
  <c r="Y22" i="4" s="1"/>
  <c r="J21" i="8"/>
  <c r="Y21" i="8" s="1"/>
  <c r="H24" i="4" l="1"/>
  <c r="I23" i="4"/>
  <c r="Y23" i="4" s="1"/>
  <c r="J22" i="8"/>
  <c r="Y22" i="8" s="1"/>
  <c r="H25" i="4" l="1"/>
  <c r="J23" i="8"/>
  <c r="J24" i="8" l="1"/>
  <c r="H26" i="4"/>
  <c r="J25" i="8" l="1"/>
  <c r="H27" i="4"/>
  <c r="H28" i="4" l="1"/>
  <c r="J26" i="8"/>
  <c r="H29" i="4" l="1"/>
  <c r="J27" i="8"/>
  <c r="H30" i="4" l="1"/>
  <c r="H34" i="4" s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T22" i="1"/>
  <c r="U22" i="1" s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F24" i="4"/>
  <c r="I23" i="8" l="1"/>
  <c r="Y23" i="8" s="1"/>
  <c r="I25" i="4"/>
  <c r="Y25" i="4" s="1"/>
  <c r="I24" i="8"/>
  <c r="Y24" i="8" s="1"/>
  <c r="F27" i="4"/>
  <c r="I24" i="4"/>
  <c r="Y24" i="4" s="1"/>
  <c r="F26" i="4"/>
  <c r="I27" i="4" l="1"/>
  <c r="Y27" i="4" s="1"/>
  <c r="I26" i="8"/>
  <c r="Y26" i="8" s="1"/>
  <c r="I26" i="4"/>
  <c r="Y26" i="4" s="1"/>
  <c r="I25" i="8"/>
  <c r="Y25" i="8" s="1"/>
  <c r="F28" i="4"/>
  <c r="F29" i="4" l="1"/>
  <c r="F31" i="4"/>
  <c r="I28" i="4"/>
  <c r="Y28" i="4" s="1"/>
  <c r="I27" i="8"/>
  <c r="Y27" i="8" s="1"/>
  <c r="F30" i="4" l="1"/>
  <c r="F34" i="4" s="1"/>
  <c r="I28" i="8"/>
  <c r="Y28" i="8" s="1"/>
  <c r="I29" i="4"/>
  <c r="Y29" i="4" s="1"/>
  <c r="I29" i="8" l="1"/>
  <c r="Y29" i="8" s="1"/>
  <c r="I30" i="4"/>
  <c r="Y30" i="4" s="1"/>
  <c r="I31" i="4" l="1"/>
  <c r="Y31" i="4" l="1"/>
  <c r="Y34" i="4" s="1"/>
  <c r="I34" i="4"/>
  <c r="D11" i="4"/>
  <c r="Q10" i="8" s="1"/>
  <c r="E10" i="9" s="1"/>
  <c r="D12" i="4"/>
  <c r="Q11" i="8" s="1"/>
  <c r="E11" i="9" s="1"/>
  <c r="D13" i="4" l="1"/>
  <c r="Q12" i="8" s="1"/>
  <c r="E12" i="9" s="1"/>
  <c r="D14" i="4" l="1"/>
  <c r="Q13" i="8" s="1"/>
  <c r="E13" i="9" s="1"/>
  <c r="D15" i="4" l="1"/>
  <c r="Q14" i="8" s="1"/>
  <c r="E14" i="9" s="1"/>
  <c r="D16" i="4" l="1"/>
  <c r="Q15" i="8" s="1"/>
  <c r="E15" i="9" s="1"/>
  <c r="D17" i="4" l="1"/>
  <c r="Q16" i="8" s="1"/>
  <c r="E16" i="9" s="1"/>
  <c r="D18" i="4" l="1"/>
  <c r="Q17" i="8" s="1"/>
  <c r="E17" i="9" s="1"/>
  <c r="D19" i="4" l="1"/>
  <c r="Q18" i="8" s="1"/>
  <c r="E18" i="9" s="1"/>
  <c r="D20" i="4" l="1"/>
  <c r="Q19" i="8" s="1"/>
  <c r="E19" i="9" s="1"/>
  <c r="D21" i="4" l="1"/>
  <c r="Q20" i="8" s="1"/>
  <c r="E20" i="9" s="1"/>
  <c r="D22" i="4" l="1"/>
  <c r="Q21" i="8" s="1"/>
  <c r="E21" i="9" s="1"/>
  <c r="D23" i="4" l="1"/>
  <c r="Q22" i="8" s="1"/>
  <c r="E22" i="9" s="1"/>
  <c r="D24" i="4" l="1"/>
  <c r="Q23" i="8" s="1"/>
  <c r="E23" i="9" s="1"/>
  <c r="D25" i="4" l="1"/>
  <c r="Q24" i="8" s="1"/>
  <c r="E24" i="9" s="1"/>
  <c r="D26" i="4" l="1"/>
  <c r="Q25" i="8" s="1"/>
  <c r="E25" i="9" s="1"/>
  <c r="D27" i="4" l="1"/>
  <c r="Q26" i="8" s="1"/>
  <c r="E26" i="9" s="1"/>
  <c r="D28" i="4" l="1"/>
  <c r="Q27" i="8" s="1"/>
  <c r="E27" i="9" s="1"/>
  <c r="D29" i="4" l="1"/>
  <c r="Q28" i="8" s="1"/>
  <c r="E28" i="9" s="1"/>
  <c r="D30" i="4" l="1"/>
  <c r="Q29" i="8" s="1"/>
  <c r="E29" i="9" s="1"/>
  <c r="D31" i="4" l="1"/>
  <c r="D32" i="4" l="1"/>
  <c r="D33" i="4" l="1"/>
  <c r="D34" i="4" s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<sst xmlns="http://schemas.openxmlformats.org/spreadsheetml/2006/main" count="441" uniqueCount="144">
  <si>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</si>
  <si>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</si>
  <si>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</si>
  <si>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</si>
  <si>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</si>
  <si>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</si>
  <si>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</si>
  <si>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</si>
  <si>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</si>
  <si>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</si>
  <si>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</si>
  <si>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</si>
  <si>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</si>
  <si>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</si>
  <si>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</si>
  <si>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</si>
  <si>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</si>
  <si>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</si>
  <si>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</si>
  <si>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</si>
  <si>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</si>
  <si>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</si>
  <si>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</si>
  <si>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</si>
  <si>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</si>
  <si>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</si>
  <si>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</si>
  <si>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</si>
  <si>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</si>
  <si>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</si>
  <si>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</si>
  <si>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</si>
  <si>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</si>
  <si>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</si>
  <si>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</si>
  <si>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</si>
  <si>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</si>
  <si>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</si>
  <si>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</si>
  <si>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</si>
  <si>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</si>
  <si>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</si>
  <si>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</si>
  <si>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</si>
  <si>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</si>
  <si>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</si>
  <si>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</si>
  <si>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</si>
  <si>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</si>
  <si>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</si>
  <si>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</si>
  <si>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</si>
  <si>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</si>
  <si>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</si>
  <si>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</si>
  <si>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</si>
  <si>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</si>
  <si>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</si>
  <si>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</si>
  <si>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</si>
  <si>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</si>
  <si>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</si>
  <si>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</si>
  <si>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</si>
  <si>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</si>
  <si>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</si>
  <si>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</si>
  <si>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</si>
  <si>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</si>
  <si>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</si>
  <si>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</si>
  <si>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</si>
  <si>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</si>
  <si>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</si>
  <si>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</si>
  <si>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</si>
  <si>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</si>
  <si>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</si>
  <si>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</si>
  <si>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</si>
  <si>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</si>
  <si>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</si>
  <si>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</si>
  <si>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</si>
  <si>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</si>
  <si>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</si>
  <si>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</si>
  <si>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</si>
  <si>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</si>
  <si>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</si>
  <si>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</si>
  <si>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</si>
  <si>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</si>
  <si>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</si>
  <si>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</si>
  <si>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</si>
  <si>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</si>
  <si>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</si>
  <si>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</si>
  <si>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</si>
  <si>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</si>
  <si>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</si>
  <si>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</si>
  <si>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</si>
  <si>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</si>
  <si>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</si>
  <si>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</si>
  <si>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</si>
  <si>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</si>
  <si>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</si>
  <si>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</si>
  <si>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</si>
  <si>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</si>
  <si>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</si>
  <si>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</si>
  <si>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</si>
  <si>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</si>
  <si>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</si>
  <si>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</si>
  <si>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</si>
  <si>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</si>
  <si>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</si>
  <si>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</si>
  <si>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</si>
  <si>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</si>
  <si>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</si>
  <si>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</si>
  <si>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</si>
  <si>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</si>
  <si>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</si>
  <si>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</si>
  <si>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</si>
  <si>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</si>
  <si>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</si>
  <si>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</si>
  <si>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</si>
  <si>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</si>
  <si>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</si>
  <si>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</si>
  <si>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Acutal till April  2021</t>
  </si>
  <si>
    <t>Acutal till May  2021</t>
  </si>
  <si>
    <t>.</t>
  </si>
  <si>
    <t>Acutal till June  2021</t>
  </si>
  <si>
    <t>Energy Monthly Statement June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</si>
</sst>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</numFmts>
  <fonts count="45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2"/>
      <color theme="1"/>
      <name val="Arial"/>
      <family val="2"/>
    </font>
    <font>
      <sz val="10"/>
      <name val="Arial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9" fillId="0" borderId="0"/>
    <xf numFmtId="0" fontId="1" fillId="0" borderId="0"/>
    <xf numFmtId="0" fontId="1" fillId="0" borderId="0"/>
    <xf numFmtId="165" fontId="44" fillId="0" borderId="0"/>
  </cellStyleXfs>
  <cellXfs count="19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0" fontId="14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6" fillId="4" borderId="1" xfId="0" applyFont="1" applyFill="1" applyBorder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167" fontId="14" fillId="3" borderId="1" xfId="0" applyNumberFormat="1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32" fillId="13" borderId="1" xfId="0" applyFont="1" applyFill="1" applyBorder="1" applyAlignment="1">
      <alignment horizontal="center"/>
    </xf>
    <xf numFmtId="0" fontId="30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3" fillId="0" borderId="1" xfId="0" applyNumberFormat="1" applyFont="1" applyBorder="1" applyAlignment="1">
      <alignment horizontal="center" vertical="center"/>
    </xf>
    <xf numFmtId="1" fontId="34" fillId="0" borderId="0" xfId="0" applyNumberFormat="1" applyFont="1"/>
    <xf numFmtId="1" fontId="33" fillId="0" borderId="0" xfId="0" applyNumberFormat="1" applyFont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3" fillId="0" borderId="1" xfId="0" applyNumberFormat="1" applyFont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19" fillId="0" borderId="0" xfId="0" applyFont="1"/>
    <xf numFmtId="0" fontId="37" fillId="0" borderId="5" xfId="0" applyFont="1" applyBorder="1"/>
    <xf numFmtId="0" fontId="38" fillId="0" borderId="0" xfId="0" applyFont="1"/>
    <xf numFmtId="1" fontId="30" fillId="0" borderId="5" xfId="0" applyNumberFormat="1" applyFont="1" applyBorder="1" applyAlignment="1">
      <alignment wrapText="1"/>
    </xf>
    <xf numFmtId="0" fontId="30" fillId="0" borderId="5" xfId="0" applyFont="1" applyBorder="1" applyAlignment="1">
      <alignment horizontal="center" wrapText="1"/>
    </xf>
    <xf numFmtId="0" fontId="39" fillId="0" borderId="5" xfId="0" applyFont="1" applyBorder="1" applyAlignment="1">
      <alignment horizontal="center"/>
    </xf>
    <xf numFmtId="1" fontId="30" fillId="0" borderId="5" xfId="0" applyNumberFormat="1" applyFont="1" applyBorder="1" applyAlignment="1">
      <alignment horizontal="center" wrapText="1"/>
    </xf>
    <xf numFmtId="0" fontId="38" fillId="0" borderId="0" xfId="0" applyFont="1" applyAlignment="1">
      <alignment horizontal="center"/>
    </xf>
    <xf numFmtId="2" fontId="30" fillId="0" borderId="5" xfId="0" applyNumberFormat="1" applyFont="1" applyBorder="1" applyAlignment="1">
      <alignment horizontal="center" wrapText="1"/>
    </xf>
    <xf numFmtId="166" fontId="20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1" fillId="4" borderId="4" xfId="8" applyFont="1" applyFill="1" applyBorder="1" applyAlignment="1">
      <alignment horizontal="center" vertical="center" wrapText="1"/>
    </xf>
    <xf numFmtId="0" fontId="21" fillId="4" borderId="4" xfId="8" applyFont="1" applyFill="1" applyBorder="1" applyAlignment="1">
      <alignment horizontal="left" vertical="center" wrapText="1"/>
    </xf>
    <xf numFmtId="0" fontId="22" fillId="4" borderId="4" xfId="8" applyFont="1" applyFill="1" applyBorder="1" applyAlignment="1">
      <alignment horizontal="center" vertical="center" wrapText="1"/>
    </xf>
    <xf numFmtId="0" fontId="23" fillId="0" borderId="4" xfId="8" applyFont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3" fontId="21" fillId="0" borderId="4" xfId="8" applyNumberFormat="1" applyFont="1" applyBorder="1" applyAlignment="1">
      <alignment horizontal="left" vertical="center" wrapText="1"/>
    </xf>
    <xf numFmtId="0" fontId="24" fillId="0" borderId="4" xfId="8" applyFont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5" fillId="5" borderId="4" xfId="8" applyNumberFormat="1" applyFont="1" applyFill="1" applyBorder="1" applyAlignment="1">
      <alignment horizontal="left" vertical="center" wrapText="1"/>
    </xf>
    <xf numFmtId="0" fontId="24" fillId="3" borderId="4" xfId="8" applyFont="1" applyFill="1" applyBorder="1" applyAlignment="1">
      <alignment horizontal="center" vertical="center" wrapText="1"/>
    </xf>
    <xf numFmtId="0" fontId="21" fillId="6" borderId="7" xfId="8" applyFont="1" applyFill="1" applyBorder="1" applyAlignment="1">
      <alignment horizontal="center" vertical="center" wrapText="1"/>
    </xf>
    <xf numFmtId="0" fontId="23" fillId="6" borderId="4" xfId="8" applyFont="1" applyFill="1" applyBorder="1" applyAlignment="1">
      <alignment horizontal="left" vertical="center" wrapText="1"/>
    </xf>
    <xf numFmtId="3" fontId="23" fillId="6" borderId="4" xfId="8" applyNumberFormat="1" applyFont="1" applyFill="1" applyBorder="1" applyAlignment="1">
      <alignment horizontal="left" vertical="center" wrapText="1"/>
    </xf>
    <xf numFmtId="0" fontId="24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24" fillId="5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4" fillId="0" borderId="4" xfId="8" applyFont="1" applyFill="1" applyBorder="1" applyAlignment="1">
      <alignment horizontal="center" vertical="center" wrapText="1"/>
    </xf>
    <xf numFmtId="0" fontId="26" fillId="0" borderId="4" xfId="8" applyFont="1" applyFill="1" applyBorder="1" applyAlignment="1">
      <alignment horizontal="left" vertical="center" wrapText="1"/>
    </xf>
    <xf numFmtId="3" fontId="21" fillId="6" borderId="4" xfId="8" applyNumberFormat="1" applyFont="1" applyFill="1" applyBorder="1" applyAlignment="1">
      <alignment horizontal="left" vertical="center" wrapText="1"/>
    </xf>
    <xf numFmtId="3" fontId="27" fillId="4" borderId="4" xfId="8" applyNumberFormat="1" applyFont="1" applyFill="1" applyBorder="1" applyAlignment="1">
      <alignment horizontal="left" vertical="center"/>
    </xf>
    <xf numFmtId="0" fontId="28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8" fillId="14" borderId="1" xfId="0" applyFont="1" applyFill="1" applyBorder="1" applyAlignment="1">
      <alignment horizontal="center" vertical="center"/>
    </xf>
    <xf numFmtId="43" fontId="38" fillId="0" borderId="1" xfId="0" applyNumberFormat="1" applyFont="1" applyFill="1" applyBorder="1" applyAlignment="1">
      <alignment horizontal="center" vertical="center"/>
    </xf>
    <xf numFmtId="43" fontId="38" fillId="0" borderId="0" xfId="0" applyNumberFormat="1" applyFont="1" applyFill="1" applyBorder="1" applyAlignment="1">
      <alignment horizontal="center" vertical="center"/>
    </xf>
    <xf numFmtId="0" fontId="38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8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164" fontId="38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8" fillId="0" borderId="1" xfId="13" applyFont="1" applyFill="1" applyBorder="1" applyAlignment="1">
      <alignment horizontal="center" vertical="center"/>
    </xf>
    <xf numFmtId="164" fontId="38" fillId="0" borderId="1" xfId="13" applyNumberFormat="1" applyFont="1" applyFill="1" applyBorder="1" applyAlignment="1">
      <alignment horizontal="center" vertical="center"/>
    </xf>
    <xf numFmtId="164" fontId="38" fillId="0" borderId="0" xfId="13" applyNumberFormat="1" applyFont="1" applyFill="1" applyBorder="1" applyAlignment="1">
      <alignment horizontal="center" vertical="center"/>
    </xf>
    <xf numFmtId="164" fontId="38" fillId="0" borderId="1" xfId="3" applyNumberFormat="1" applyFont="1" applyFill="1" applyBorder="1" applyAlignment="1">
      <alignment horizontal="center" vertical="center"/>
    </xf>
    <xf numFmtId="0" fontId="38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8" fillId="0" borderId="8" xfId="13" applyNumberFormat="1" applyFont="1" applyFill="1" applyBorder="1" applyAlignment="1">
      <alignment horizontal="center" vertical="center"/>
    </xf>
    <xf numFmtId="164" fontId="41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8" fillId="0" borderId="0" xfId="13" applyFont="1" applyFill="1" applyBorder="1" applyAlignment="1">
      <alignment horizontal="center"/>
    </xf>
    <xf numFmtId="0" fontId="38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1" fontId="14" fillId="0" borderId="1" xfId="0" applyNumberFormat="1" applyFont="1" applyBorder="1" applyAlignment="1">
      <alignment horizontal="center"/>
    </xf>
    <xf numFmtId="1" fontId="16" fillId="0" borderId="1" xfId="0" applyNumberFormat="1" applyFont="1" applyBorder="1" applyAlignment="1">
      <alignment horizontal="center"/>
    </xf>
    <xf numFmtId="1" fontId="14" fillId="0" borderId="1" xfId="0" applyNumberFormat="1" applyFont="1" applyFill="1" applyBorder="1" applyAlignment="1">
      <alignment horizontal="center"/>
    </xf>
    <xf numFmtId="1" fontId="15" fillId="4" borderId="1" xfId="0" applyNumberFormat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41" fontId="38" fillId="0" borderId="1" xfId="3" applyNumberFormat="1" applyFont="1" applyFill="1" applyBorder="1" applyAlignment="1">
      <alignment horizontal="center" vertical="center"/>
    </xf>
    <xf numFmtId="1" fontId="30" fillId="0" borderId="0" xfId="0" applyNumberFormat="1" applyFont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1" fontId="14" fillId="0" borderId="0" xfId="0" applyNumberFormat="1" applyFont="1"/>
    <xf numFmtId="1" fontId="33" fillId="13" borderId="1" xfId="0" applyNumberFormat="1" applyFont="1" applyFill="1" applyBorder="1" applyAlignment="1">
      <alignment horizontal="center" vertical="center"/>
    </xf>
    <xf numFmtId="1" fontId="14" fillId="13" borderId="1" xfId="0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/>
    </xf>
    <xf numFmtId="167" fontId="14" fillId="13" borderId="1" xfId="0" applyNumberFormat="1" applyFont="1" applyFill="1" applyBorder="1" applyAlignment="1">
      <alignment horizontal="center"/>
    </xf>
    <xf numFmtId="0" fontId="14" fillId="13" borderId="1" xfId="0" applyFont="1" applyFill="1" applyBorder="1" applyAlignment="1">
      <alignment horizontal="center"/>
    </xf>
    <xf numFmtId="0" fontId="14" fillId="13" borderId="0" xfId="0" applyFont="1" applyFill="1"/>
    <xf numFmtId="1" fontId="19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7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6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1" fontId="43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3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42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3" fillId="0" borderId="12" xfId="8" applyFont="1" applyBorder="1" applyAlignment="1">
      <alignment horizontal="left" vertical="center" wrapText="1"/>
    </xf>
    <xf numFmtId="0" fontId="23" fillId="0" borderId="13" xfId="8" applyFont="1" applyBorder="1" applyAlignment="1">
      <alignment horizontal="left" vertical="center" wrapText="1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7" fillId="4" borderId="4" xfId="8" applyFont="1" applyFill="1" applyBorder="1" applyAlignment="1">
      <alignment horizontal="center" vertical="center"/>
    </xf>
    <xf numFmtId="0" fontId="21" fillId="0" borderId="12" xfId="8" applyFont="1" applyBorder="1" applyAlignment="1">
      <alignment horizontal="center" vertical="center" wrapText="1"/>
    </xf>
    <xf numFmtId="0" fontId="21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21" fillId="0" borderId="7" xfId="8" applyFont="1" applyBorder="1" applyAlignment="1">
      <alignment horizontal="center" vertical="center" wrapText="1"/>
    </xf>
    <xf numFmtId="0" fontId="21" fillId="0" borderId="12" xfId="8" applyFont="1" applyFill="1" applyBorder="1" applyAlignment="1">
      <alignment horizontal="center" vertical="center" wrapText="1"/>
    </xf>
    <xf numFmtId="0" fontId="21" fillId="0" borderId="7" xfId="8" applyFont="1" applyFill="1" applyBorder="1" applyAlignment="1">
      <alignment horizontal="center" vertical="center" wrapText="1"/>
    </xf>
    <xf numFmtId="0" fontId="21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selection activeCell="B2" sqref="B2:C32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6" width="12.5703125" style="15" customWidth="1"/>
    <col min="7" max="11" width="11.5703125" style="15"/>
  </cols>
  <sheetData>
    <row r="1" spans="1:14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0" t="s">
        <v>48</v>
      </c>
      <c r="F1" s="60" t="s">
        <v>49</v>
      </c>
      <c r="G1" s="60" t="s">
        <v>74</v>
      </c>
      <c r="H1" s="60" t="s">
        <v>75</v>
      </c>
      <c r="I1" s="60" t="s">
        <v>50</v>
      </c>
      <c r="J1" s="60" t="s">
        <v>51</v>
      </c>
      <c r="K1" s="60" t="s">
        <v>52</v>
      </c>
    </row>
    <row r="2" spans="1:14" x14ac:dyDescent="0.2">
      <c r="A2" s="58" t="s">
        <v>53</v>
      </c>
      <c r="B2" s="63">
        <v>1</v>
      </c>
      <c r="C2" s="63">
        <v>6</v>
      </c>
      <c r="D2" s="63">
        <v>2021</v>
      </c>
      <c r="E2" s="4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74520.160132000005</v>
      </c>
      <c r="F2" s="162">
        <v>1.27</v>
      </c>
      <c r="G2" s="47">
        <f>Gas!C3*0.9147</f>
        <v>1737.9299999999998</v>
      </c>
      <c r="H2" s="163">
        <v>3.65</v>
      </c>
      <c r="I2" s="164">
        <f>Submetering!H2+Submetering!AD2+Submetering!AE2</f>
        <v>1236</v>
      </c>
      <c r="J2" s="165">
        <v>10.029999999999999</v>
      </c>
      <c r="K2" s="47">
        <f>ELECT.!B3</f>
        <v>110</v>
      </c>
    </row>
    <row r="3" spans="1:14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59057.756880000001</v>
      </c>
      <c r="F3" s="162">
        <v>1.27</v>
      </c>
      <c r="G3" s="47">
        <f>Gas!C4*0.9147</f>
        <v>1612.6161</v>
      </c>
      <c r="H3" s="163">
        <v>3.65</v>
      </c>
      <c r="I3" s="165">
        <f>Submetering!H3+Submetering!AD3+Submetering!AE3</f>
        <v>906</v>
      </c>
      <c r="J3" s="165">
        <v>10.029999999999999</v>
      </c>
      <c r="K3" s="47">
        <f>ELECT.!B4</f>
        <v>144</v>
      </c>
    </row>
    <row r="4" spans="1:14" x14ac:dyDescent="0.2">
      <c r="A4" s="58" t="s">
        <v>53</v>
      </c>
      <c r="B4" s="63">
        <f t="shared" ref="B4:B31" si="0">B3+1</f>
        <v>3</v>
      </c>
      <c r="C4" s="63">
        <v>6</v>
      </c>
      <c r="D4" s="63">
        <v>2021</v>
      </c>
      <c r="E4" s="4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52633.196844000006</v>
      </c>
      <c r="F4" s="162">
        <v>1.27</v>
      </c>
      <c r="G4" s="47">
        <f>Gas!C5*0.9147</f>
        <v>1752.5652</v>
      </c>
      <c r="H4" s="163">
        <v>3.65</v>
      </c>
      <c r="I4" s="165">
        <f>Submetering!H4+Submetering!AD4+Submetering!AE4</f>
        <v>956.00000000000011</v>
      </c>
      <c r="J4" s="165">
        <v>10.029999999999999</v>
      </c>
      <c r="K4" s="47">
        <f>ELECT.!B5</f>
        <v>182</v>
      </c>
    </row>
    <row r="5" spans="1:14" x14ac:dyDescent="0.2">
      <c r="A5" s="58" t="s">
        <v>53</v>
      </c>
      <c r="B5" s="63">
        <f t="shared" si="0"/>
        <v>4</v>
      </c>
      <c r="C5" s="63">
        <v>6</v>
      </c>
      <c r="D5" s="63">
        <v>2021</v>
      </c>
      <c r="E5" s="4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76954.119112</v>
      </c>
      <c r="F5" s="162">
        <v>1.27</v>
      </c>
      <c r="G5" s="47">
        <f>Gas!C6*0.9147</f>
        <v>1769.0298</v>
      </c>
      <c r="H5" s="163">
        <v>3.65</v>
      </c>
      <c r="I5" s="165">
        <f>Submetering!H5+Submetering!AD5+Submetering!AE5</f>
        <v>1416</v>
      </c>
      <c r="J5" s="165">
        <v>10.029999999999999</v>
      </c>
      <c r="K5" s="47">
        <f>ELECT.!B6</f>
        <v>138</v>
      </c>
    </row>
    <row r="6" spans="1:14" x14ac:dyDescent="0.2">
      <c r="A6" s="58" t="s">
        <v>53</v>
      </c>
      <c r="B6" s="63">
        <f t="shared" si="0"/>
        <v>5</v>
      </c>
      <c r="C6" s="63">
        <v>6</v>
      </c>
      <c r="D6" s="63">
        <v>2021</v>
      </c>
      <c r="E6" s="4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52658.385232000001</v>
      </c>
      <c r="F6" s="162">
        <v>1.27</v>
      </c>
      <c r="G6" s="47">
        <f>Gas!C7*0.9147</f>
        <v>2271.2001</v>
      </c>
      <c r="H6" s="163">
        <v>3.65</v>
      </c>
      <c r="I6" s="165">
        <f>Submetering!H6+Submetering!AD6+Submetering!AE6</f>
        <v>1666</v>
      </c>
      <c r="J6" s="165">
        <v>10.029999999999999</v>
      </c>
      <c r="K6" s="47">
        <f>ELECT.!B7</f>
        <v>211</v>
      </c>
    </row>
    <row r="7" spans="1:14" x14ac:dyDescent="0.2">
      <c r="A7" s="58" t="s">
        <v>53</v>
      </c>
      <c r="B7" s="63">
        <f t="shared" si="0"/>
        <v>6</v>
      </c>
      <c r="C7" s="63">
        <v>6</v>
      </c>
      <c r="D7" s="63">
        <v>2021</v>
      </c>
      <c r="E7" s="4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70700.338052000006</v>
      </c>
      <c r="F7" s="162">
        <v>1.27</v>
      </c>
      <c r="G7" s="47">
        <f>Gas!C8*0.9147</f>
        <v>1821.1677</v>
      </c>
      <c r="H7" s="163">
        <v>3.65</v>
      </c>
      <c r="I7" s="165">
        <f>Submetering!H7+Submetering!AD7+Submetering!AE7</f>
        <v>976</v>
      </c>
      <c r="J7" s="165">
        <v>10.029999999999999</v>
      </c>
      <c r="K7" s="47">
        <f>ELECT.!B8</f>
        <v>222</v>
      </c>
    </row>
    <row r="8" spans="1:14" x14ac:dyDescent="0.2">
      <c r="A8" s="58" t="s">
        <v>53</v>
      </c>
      <c r="B8" s="63">
        <f t="shared" si="0"/>
        <v>7</v>
      </c>
      <c r="C8" s="63">
        <v>6</v>
      </c>
      <c r="D8" s="63">
        <v>2021</v>
      </c>
      <c r="E8" s="4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57927.086531999994</v>
      </c>
      <c r="F8" s="162">
        <v>1.27</v>
      </c>
      <c r="G8" s="47">
        <f>Gas!C9*0.9147</f>
        <v>1674.8156999999999</v>
      </c>
      <c r="H8" s="163">
        <v>3.65</v>
      </c>
      <c r="I8" s="165">
        <f>Submetering!H8+Submetering!AD8+Submetering!AE8</f>
        <v>1005.9999999999999</v>
      </c>
      <c r="J8" s="165">
        <v>10.029999999999999</v>
      </c>
      <c r="K8" s="47">
        <f>ELECT.!B9</f>
        <v>235</v>
      </c>
    </row>
    <row r="9" spans="1:14" x14ac:dyDescent="0.2">
      <c r="A9" s="58" t="s">
        <v>53</v>
      </c>
      <c r="B9" s="63">
        <f t="shared" si="0"/>
        <v>8</v>
      </c>
      <c r="C9" s="63">
        <v>6</v>
      </c>
      <c r="D9" s="63">
        <v>2021</v>
      </c>
      <c r="E9" s="4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45306.913600000007</v>
      </c>
      <c r="F9" s="162">
        <v>1.27</v>
      </c>
      <c r="G9" s="47">
        <f>Gas!C10*0.9147</f>
        <v>2178.8154</v>
      </c>
      <c r="H9" s="163">
        <v>3.65</v>
      </c>
      <c r="I9" s="165">
        <f>Submetering!H9+Submetering!AD9+Submetering!AE9</f>
        <v>856</v>
      </c>
      <c r="J9" s="165">
        <v>10.029999999999999</v>
      </c>
      <c r="K9" s="47">
        <f>ELECT.!B10</f>
        <v>221</v>
      </c>
      <c r="N9" t="s">
        <v>12</v>
      </c>
    </row>
    <row r="10" spans="1:14" x14ac:dyDescent="0.2">
      <c r="A10" s="58" t="s">
        <v>53</v>
      </c>
      <c r="B10" s="63">
        <f t="shared" si="0"/>
        <v>9</v>
      </c>
      <c r="C10" s="63">
        <v>6</v>
      </c>
      <c r="D10" s="63">
        <v>2021</v>
      </c>
      <c r="E10" s="4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67190.490623999998</v>
      </c>
      <c r="F10" s="162">
        <v>1.27</v>
      </c>
      <c r="G10" s="47">
        <f>Gas!C11*0.9147</f>
        <v>1733.3564999999999</v>
      </c>
      <c r="H10" s="163">
        <v>3.65</v>
      </c>
      <c r="I10" s="165">
        <f>Submetering!H10+Submetering!AD10+Submetering!AE10</f>
        <v>1036</v>
      </c>
      <c r="J10" s="165">
        <v>10.029999999999999</v>
      </c>
      <c r="K10" s="47">
        <f>ELECT.!B11</f>
        <v>230</v>
      </c>
    </row>
    <row r="11" spans="1:14" x14ac:dyDescent="0.2">
      <c r="A11" s="58" t="s">
        <v>53</v>
      </c>
      <c r="B11" s="63">
        <f t="shared" si="0"/>
        <v>10</v>
      </c>
      <c r="C11" s="63">
        <v>6</v>
      </c>
      <c r="D11" s="63">
        <v>2021</v>
      </c>
      <c r="E11" s="4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57229.413724000005</v>
      </c>
      <c r="F11" s="162">
        <v>1.27</v>
      </c>
      <c r="G11" s="47">
        <f>Gas!C12*0.9147</f>
        <v>1466.2640999999999</v>
      </c>
      <c r="H11" s="163">
        <v>3.65</v>
      </c>
      <c r="I11" s="165">
        <f>Submetering!H11+Submetering!AD11+Submetering!AE11</f>
        <v>736</v>
      </c>
      <c r="J11" s="165">
        <v>10.029999999999999</v>
      </c>
      <c r="K11" s="47">
        <f>ELECT.!B12</f>
        <v>225</v>
      </c>
    </row>
    <row r="12" spans="1:14" x14ac:dyDescent="0.2">
      <c r="A12" s="58" t="s">
        <v>53</v>
      </c>
      <c r="B12" s="63">
        <f t="shared" si="0"/>
        <v>11</v>
      </c>
      <c r="C12" s="63">
        <v>6</v>
      </c>
      <c r="D12" s="63">
        <v>2021</v>
      </c>
      <c r="E12" s="4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80842.509568000009</v>
      </c>
      <c r="F12" s="162">
        <v>1.27</v>
      </c>
      <c r="G12" s="47">
        <f>Gas!C13*0.9147</f>
        <v>2397.4286999999999</v>
      </c>
      <c r="H12" s="163">
        <v>3.65</v>
      </c>
      <c r="I12" s="165">
        <f>Submetering!H12+Submetering!AD12+Submetering!AE12</f>
        <v>836</v>
      </c>
      <c r="J12" s="165">
        <v>10.029999999999999</v>
      </c>
      <c r="K12" s="47">
        <f>ELECT.!B13</f>
        <v>169</v>
      </c>
    </row>
    <row r="13" spans="1:14" x14ac:dyDescent="0.2">
      <c r="A13" s="58" t="s">
        <v>53</v>
      </c>
      <c r="B13" s="63">
        <f t="shared" si="0"/>
        <v>12</v>
      </c>
      <c r="C13" s="63">
        <v>6</v>
      </c>
      <c r="D13" s="63">
        <v>2021</v>
      </c>
      <c r="E13" s="4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154600.88920400001</v>
      </c>
      <c r="F13" s="162">
        <v>1.27</v>
      </c>
      <c r="G13" s="47">
        <f>Gas!C14*0.9147</f>
        <v>1837.6323</v>
      </c>
      <c r="H13" s="163">
        <v>3.65</v>
      </c>
      <c r="I13" s="165">
        <f>Submetering!H13+Submetering!AD13+Submetering!AE13</f>
        <v>546</v>
      </c>
      <c r="J13" s="165">
        <v>10.029999999999999</v>
      </c>
      <c r="K13" s="47">
        <f>ELECT.!B14</f>
        <v>180</v>
      </c>
    </row>
    <row r="14" spans="1:14" x14ac:dyDescent="0.2">
      <c r="A14" s="58" t="s">
        <v>53</v>
      </c>
      <c r="B14" s="63">
        <f t="shared" si="0"/>
        <v>13</v>
      </c>
      <c r="C14" s="63">
        <v>6</v>
      </c>
      <c r="D14" s="63">
        <v>2021</v>
      </c>
      <c r="E14" s="4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66474.591952000002</v>
      </c>
      <c r="F14" s="162">
        <v>1.27</v>
      </c>
      <c r="G14" s="47">
        <f>Gas!C15*0.9147</f>
        <v>2076.3689999999997</v>
      </c>
      <c r="H14" s="163">
        <v>3.65</v>
      </c>
      <c r="I14" s="165">
        <f>Submetering!H14+Submetering!AD14+Submetering!AE14</f>
        <v>916.00000000000011</v>
      </c>
      <c r="J14" s="165">
        <v>10.029999999999999</v>
      </c>
      <c r="K14" s="47">
        <f>ELECT.!B15</f>
        <v>138</v>
      </c>
    </row>
    <row r="15" spans="1:14" x14ac:dyDescent="0.2">
      <c r="A15" s="58" t="s">
        <v>53</v>
      </c>
      <c r="B15" s="63">
        <f t="shared" si="0"/>
        <v>14</v>
      </c>
      <c r="C15" s="63">
        <v>6</v>
      </c>
      <c r="D15" s="63">
        <v>2021</v>
      </c>
      <c r="E15" s="4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64426.14402</v>
      </c>
      <c r="F15" s="162">
        <v>1.27</v>
      </c>
      <c r="G15" s="47">
        <f>Gas!C16*0.9147</f>
        <v>1922.6994</v>
      </c>
      <c r="H15" s="163">
        <v>3.65</v>
      </c>
      <c r="I15" s="165">
        <f>Submetering!H15+Submetering!AD15+Submetering!AE15</f>
        <v>526</v>
      </c>
      <c r="J15" s="165">
        <v>10.029999999999999</v>
      </c>
      <c r="K15" s="47">
        <f>ELECT.!B16</f>
        <v>0</v>
      </c>
    </row>
    <row r="16" spans="1:14" x14ac:dyDescent="0.2">
      <c r="A16" s="58" t="s">
        <v>53</v>
      </c>
      <c r="B16" s="63">
        <f t="shared" si="0"/>
        <v>15</v>
      </c>
      <c r="C16" s="63">
        <v>6</v>
      </c>
      <c r="D16" s="63">
        <v>2021</v>
      </c>
      <c r="E16" s="4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62">
        <v>1.27</v>
      </c>
      <c r="G16" s="47">
        <f>Gas!C17*0.9147</f>
        <v>0</v>
      </c>
      <c r="H16" s="163">
        <v>3.65</v>
      </c>
      <c r="I16" s="165">
        <f>Submetering!H16+Submetering!AD16+Submetering!AE16</f>
        <v>-194</v>
      </c>
      <c r="J16" s="165">
        <v>10.029999999999999</v>
      </c>
      <c r="K16" s="47">
        <f>ELECT.!B17</f>
        <v>0</v>
      </c>
    </row>
    <row r="17" spans="1:13" x14ac:dyDescent="0.2">
      <c r="A17" s="58" t="s">
        <v>53</v>
      </c>
      <c r="B17" s="63">
        <f t="shared" si="0"/>
        <v>16</v>
      </c>
      <c r="C17" s="63">
        <v>6</v>
      </c>
      <c r="D17" s="63">
        <v>2021</v>
      </c>
      <c r="E17" s="4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62">
        <v>1.27</v>
      </c>
      <c r="G17" s="47">
        <f>Gas!C18*0.9147</f>
        <v>0</v>
      </c>
      <c r="H17" s="163">
        <v>3.65</v>
      </c>
      <c r="I17" s="165">
        <f>Submetering!H17+Submetering!AD17+Submetering!AE17</f>
        <v>-194</v>
      </c>
      <c r="J17" s="165">
        <v>10.029999999999999</v>
      </c>
      <c r="K17" s="47">
        <f>ELECT.!B18</f>
        <v>0</v>
      </c>
    </row>
    <row r="18" spans="1:13" x14ac:dyDescent="0.2">
      <c r="A18" s="58" t="s">
        <v>53</v>
      </c>
      <c r="B18" s="63">
        <f t="shared" si="0"/>
        <v>17</v>
      </c>
      <c r="C18" s="63">
        <v>6</v>
      </c>
      <c r="D18" s="63">
        <v>2021</v>
      </c>
      <c r="E18" s="4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62">
        <v>1.27</v>
      </c>
      <c r="G18" s="47">
        <f>Gas!C19*0.9147</f>
        <v>0</v>
      </c>
      <c r="H18" s="163">
        <v>3.65</v>
      </c>
      <c r="I18" s="165">
        <f>Submetering!H18+Submetering!AD18+Submetering!AE18</f>
        <v>-194</v>
      </c>
      <c r="J18" s="165">
        <v>10.029999999999999</v>
      </c>
      <c r="K18" s="47">
        <f>ELECT.!B19</f>
        <v>0</v>
      </c>
    </row>
    <row r="19" spans="1:13" x14ac:dyDescent="0.2">
      <c r="A19" s="58" t="s">
        <v>53</v>
      </c>
      <c r="B19" s="63">
        <f t="shared" si="0"/>
        <v>18</v>
      </c>
      <c r="C19" s="63">
        <v>6</v>
      </c>
      <c r="D19" s="63">
        <v>2021</v>
      </c>
      <c r="E19" s="4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62">
        <v>1.27</v>
      </c>
      <c r="G19" s="47">
        <f>Gas!C20*0.9147</f>
        <v>0</v>
      </c>
      <c r="H19" s="163">
        <v>3.65</v>
      </c>
      <c r="I19" s="165">
        <f>Submetering!H19+Submetering!AD19+Submetering!AE19</f>
        <v>-194</v>
      </c>
      <c r="J19" s="165">
        <v>10.029999999999999</v>
      </c>
      <c r="K19" s="47">
        <f>ELECT.!B20</f>
        <v>0</v>
      </c>
    </row>
    <row r="20" spans="1:13" x14ac:dyDescent="0.2">
      <c r="A20" s="58" t="s">
        <v>53</v>
      </c>
      <c r="B20" s="63">
        <f t="shared" si="0"/>
        <v>19</v>
      </c>
      <c r="C20" s="63">
        <v>6</v>
      </c>
      <c r="D20" s="63">
        <v>2021</v>
      </c>
      <c r="E20" s="4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62">
        <v>1.27</v>
      </c>
      <c r="G20" s="47">
        <f>Gas!C21*0.9147</f>
        <v>0</v>
      </c>
      <c r="H20" s="163">
        <v>3.65</v>
      </c>
      <c r="I20" s="165">
        <f>Submetering!H20+Submetering!AD20+Submetering!AE20</f>
        <v>-194</v>
      </c>
      <c r="J20" s="165">
        <v>10.029999999999999</v>
      </c>
      <c r="K20" s="47">
        <f>ELECT.!B21</f>
        <v>0</v>
      </c>
    </row>
    <row r="21" spans="1:13" x14ac:dyDescent="0.2">
      <c r="A21" s="58" t="s">
        <v>53</v>
      </c>
      <c r="B21" s="63">
        <f t="shared" si="0"/>
        <v>20</v>
      </c>
      <c r="C21" s="63">
        <v>6</v>
      </c>
      <c r="D21" s="63">
        <v>2021</v>
      </c>
      <c r="E21" s="4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62">
        <v>1.27</v>
      </c>
      <c r="G21" s="47">
        <f>Gas!C22*0.9147</f>
        <v>0</v>
      </c>
      <c r="H21" s="163">
        <v>3.65</v>
      </c>
      <c r="I21" s="165">
        <f>Submetering!H21+Submetering!AD21+Submetering!AE21</f>
        <v>-194</v>
      </c>
      <c r="J21" s="165">
        <v>10.029999999999999</v>
      </c>
      <c r="K21" s="47">
        <f>ELECT.!B22</f>
        <v>0</v>
      </c>
    </row>
    <row r="22" spans="1:13" x14ac:dyDescent="0.2">
      <c r="A22" s="58" t="s">
        <v>53</v>
      </c>
      <c r="B22" s="63">
        <f t="shared" si="0"/>
        <v>21</v>
      </c>
      <c r="C22" s="63">
        <v>6</v>
      </c>
      <c r="D22" s="63">
        <v>2021</v>
      </c>
      <c r="E22" s="4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62">
        <v>1.27</v>
      </c>
      <c r="G22" s="47">
        <f>Gas!C23*0.9147</f>
        <v>0</v>
      </c>
      <c r="H22" s="163">
        <v>3.65</v>
      </c>
      <c r="I22" s="165">
        <f>Submetering!H22+Submetering!AD22+Submetering!AE22</f>
        <v>-194</v>
      </c>
      <c r="J22" s="165">
        <v>10.029999999999999</v>
      </c>
      <c r="K22" s="47">
        <f>ELECT.!B23</f>
        <v>0</v>
      </c>
    </row>
    <row r="23" spans="1:13" x14ac:dyDescent="0.2">
      <c r="A23" s="58" t="s">
        <v>53</v>
      </c>
      <c r="B23" s="63">
        <f t="shared" si="0"/>
        <v>22</v>
      </c>
      <c r="C23" s="63">
        <v>6</v>
      </c>
      <c r="D23" s="63">
        <v>2021</v>
      </c>
      <c r="E23" s="4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62">
        <v>1.27</v>
      </c>
      <c r="G23" s="47">
        <f>Gas!C24*0.9147</f>
        <v>0</v>
      </c>
      <c r="H23" s="163">
        <v>3.65</v>
      </c>
      <c r="I23" s="165">
        <f>Submetering!H23+Submetering!AD23+Submetering!AE23</f>
        <v>-194</v>
      </c>
      <c r="J23" s="165">
        <v>10.029999999999999</v>
      </c>
      <c r="K23" s="47">
        <f>ELECT.!B24</f>
        <v>0</v>
      </c>
    </row>
    <row r="24" spans="1:13" x14ac:dyDescent="0.2">
      <c r="A24" s="58" t="s">
        <v>53</v>
      </c>
      <c r="B24" s="63">
        <f t="shared" si="0"/>
        <v>23</v>
      </c>
      <c r="C24" s="63">
        <v>6</v>
      </c>
      <c r="D24" s="63">
        <v>2021</v>
      </c>
      <c r="E24" s="4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62">
        <v>1.27</v>
      </c>
      <c r="G24" s="47">
        <f>Gas!C25*0.9147</f>
        <v>0</v>
      </c>
      <c r="H24" s="163">
        <v>3.65</v>
      </c>
      <c r="I24" s="165">
        <f>Submetering!H24+Submetering!AD24+Submetering!AE24</f>
        <v>-194</v>
      </c>
      <c r="J24" s="165">
        <v>10.029999999999999</v>
      </c>
      <c r="K24" s="47">
        <f>ELECT.!B25</f>
        <v>0</v>
      </c>
    </row>
    <row r="25" spans="1:13" x14ac:dyDescent="0.2">
      <c r="A25" s="58" t="s">
        <v>53</v>
      </c>
      <c r="B25" s="63">
        <f t="shared" si="0"/>
        <v>24</v>
      </c>
      <c r="C25" s="63">
        <v>6</v>
      </c>
      <c r="D25" s="63">
        <v>2021</v>
      </c>
      <c r="E25" s="4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62">
        <v>1.27</v>
      </c>
      <c r="G25" s="47">
        <f>Gas!C26*0.9147</f>
        <v>0</v>
      </c>
      <c r="H25" s="163">
        <v>3.65</v>
      </c>
      <c r="I25" s="165">
        <f>Submetering!H25+Submetering!AD25+Submetering!AE25</f>
        <v>-194</v>
      </c>
      <c r="J25" s="165">
        <v>10.029999999999999</v>
      </c>
      <c r="K25" s="47">
        <f>ELECT.!B26</f>
        <v>0</v>
      </c>
    </row>
    <row r="26" spans="1:13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62">
        <v>1.27</v>
      </c>
      <c r="G26" s="47">
        <f>Gas!C27*0.9147</f>
        <v>0</v>
      </c>
      <c r="H26" s="163">
        <v>3.65</v>
      </c>
      <c r="I26" s="165">
        <f>Submetering!H26+Submetering!AD26+Submetering!AE26</f>
        <v>-194</v>
      </c>
      <c r="J26" s="165">
        <v>10.029999999999999</v>
      </c>
      <c r="K26" s="47">
        <f>ELECT.!B27</f>
        <v>0</v>
      </c>
      <c r="M26" s="36" t="s">
        <v>12</v>
      </c>
    </row>
    <row r="27" spans="1:13" x14ac:dyDescent="0.2">
      <c r="A27" s="58" t="s">
        <v>53</v>
      </c>
      <c r="B27" s="63">
        <f t="shared" si="0"/>
        <v>26</v>
      </c>
      <c r="C27" s="63">
        <v>6</v>
      </c>
      <c r="D27" s="63">
        <v>2021</v>
      </c>
      <c r="E27" s="4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62">
        <v>1.27</v>
      </c>
      <c r="G27" s="47">
        <f>Gas!C28*0.9147</f>
        <v>0</v>
      </c>
      <c r="H27" s="163">
        <v>3.65</v>
      </c>
      <c r="I27" s="165">
        <f>Submetering!H27+Submetering!AD27+Submetering!AE27</f>
        <v>-194</v>
      </c>
      <c r="J27" s="165">
        <v>10.029999999999999</v>
      </c>
      <c r="K27" s="47">
        <f>ELECT.!B28</f>
        <v>0</v>
      </c>
    </row>
    <row r="28" spans="1:13" x14ac:dyDescent="0.2">
      <c r="A28" s="58" t="s">
        <v>53</v>
      </c>
      <c r="B28" s="63">
        <f t="shared" si="0"/>
        <v>27</v>
      </c>
      <c r="C28" s="63">
        <v>6</v>
      </c>
      <c r="D28" s="63">
        <v>2021</v>
      </c>
      <c r="E28" s="4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62">
        <v>1.27</v>
      </c>
      <c r="G28" s="47">
        <f>Gas!C29*0.9147</f>
        <v>0</v>
      </c>
      <c r="H28" s="163">
        <v>3.65</v>
      </c>
      <c r="I28" s="165">
        <f>Submetering!H28+Submetering!AD28+Submetering!AE28</f>
        <v>-194</v>
      </c>
      <c r="J28" s="165">
        <v>10.029999999999999</v>
      </c>
      <c r="K28" s="47">
        <f>ELECT.!B29</f>
        <v>0</v>
      </c>
    </row>
    <row r="29" spans="1:13" x14ac:dyDescent="0.2">
      <c r="A29" s="58" t="s">
        <v>53</v>
      </c>
      <c r="B29" s="63">
        <f t="shared" si="0"/>
        <v>28</v>
      </c>
      <c r="C29" s="63">
        <v>6</v>
      </c>
      <c r="D29" s="63">
        <v>2021</v>
      </c>
      <c r="E29" s="47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62">
        <v>1.27</v>
      </c>
      <c r="G29" s="47">
        <f>Gas!C30*0.9147</f>
        <v>0</v>
      </c>
      <c r="H29" s="163">
        <v>3.65</v>
      </c>
      <c r="I29" s="165">
        <f>Submetering!H29+Submetering!AD29+Submetering!AE29</f>
        <v>-194</v>
      </c>
      <c r="J29" s="165">
        <v>10.029999999999999</v>
      </c>
      <c r="K29" s="47">
        <f>ELECT.!B30</f>
        <v>0</v>
      </c>
    </row>
    <row r="30" spans="1:13" x14ac:dyDescent="0.2">
      <c r="A30" s="58" t="s">
        <v>53</v>
      </c>
      <c r="B30" s="63">
        <f t="shared" si="0"/>
        <v>29</v>
      </c>
      <c r="C30" s="63">
        <v>6</v>
      </c>
      <c r="D30" s="63">
        <v>2021</v>
      </c>
      <c r="E30" s="47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62">
        <v>1.27</v>
      </c>
      <c r="G30" s="47">
        <f>Gas!C31*0.9147</f>
        <v>0</v>
      </c>
      <c r="H30" s="163">
        <v>3.65</v>
      </c>
      <c r="I30" s="165">
        <f>Submetering!H30+Submetering!AD30+Submetering!AE30</f>
        <v>-194</v>
      </c>
      <c r="J30" s="165">
        <v>10.029999999999999</v>
      </c>
      <c r="K30" s="47">
        <f>ELECT.!B31</f>
        <v>0</v>
      </c>
    </row>
    <row r="31" spans="1:13" x14ac:dyDescent="0.2">
      <c r="A31" s="58" t="s">
        <v>53</v>
      </c>
      <c r="B31" s="63">
        <f t="shared" si="0"/>
        <v>30</v>
      </c>
      <c r="C31" s="63">
        <v>6</v>
      </c>
      <c r="D31" s="63">
        <v>2021</v>
      </c>
      <c r="E31" s="47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62">
        <v>1.27</v>
      </c>
      <c r="G31" s="47">
        <f>Gas!C32*0.9147</f>
        <v>0</v>
      </c>
      <c r="H31" s="163">
        <v>3.65</v>
      </c>
      <c r="I31" s="165">
        <f>Submetering!H31+Submetering!AD31+Submetering!AE31</f>
        <v>-194</v>
      </c>
      <c r="J31" s="165">
        <v>10.029999999999999</v>
      </c>
      <c r="K31" s="47">
        <f>ELECT.!B32</f>
        <v>0</v>
      </c>
    </row>
    <row r="32" spans="1:13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0</v>
      </c>
      <c r="F32" s="162">
        <v>1.27</v>
      </c>
      <c r="G32" s="47">
        <f>Gas!C33*0.9147</f>
        <v>0</v>
      </c>
      <c r="H32" s="163">
        <v>3.65</v>
      </c>
      <c r="I32" s="165">
        <f>Submetering!H32+Submetering!AD32+Submetering!AE32</f>
        <v>-194</v>
      </c>
      <c r="J32" s="165">
        <v>10.029999999999999</v>
      </c>
      <c r="K32" s="47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E48" sqref="E48"/>
    </sheetView>
  </sheetViews>
  <sheetFormatPr defaultColWidth="11.5703125" defaultRowHeight="12.75" x14ac:dyDescent="0.2"/>
  <cols>
    <col min="1" max="1" width="15.85546875" style="58" bestFit="1" customWidth="1"/>
    <col min="2" max="3" width="11.5703125" style="63"/>
    <col min="4" max="4" width="13.42578125" style="63" customWidth="1"/>
    <col min="5" max="17" width="12.5703125" style="47" customWidth="1"/>
    <col min="18" max="23" width="12.5703125" style="48" customWidth="1"/>
    <col min="24" max="25" width="11.5703125" style="45"/>
    <col min="27" max="27" width="13.7109375" bestFit="1" customWidth="1"/>
    <col min="28" max="28" width="13.5703125" bestFit="1" customWidth="1"/>
    <col min="30" max="30" width="15.5703125" customWidth="1"/>
  </cols>
  <sheetData>
    <row r="1" spans="1:31" s="44" customFormat="1" ht="60" x14ac:dyDescent="0.25">
      <c r="A1" s="57" t="s">
        <v>45</v>
      </c>
      <c r="B1" s="61" t="s">
        <v>0</v>
      </c>
      <c r="C1" s="61" t="s">
        <v>46</v>
      </c>
      <c r="D1" s="61" t="s">
        <v>47</v>
      </c>
      <c r="E1" s="62" t="s">
        <v>64</v>
      </c>
      <c r="F1" s="62" t="s">
        <v>65</v>
      </c>
      <c r="G1" s="62" t="s">
        <v>66</v>
      </c>
      <c r="H1" s="62" t="s">
        <v>67</v>
      </c>
      <c r="I1" s="62" t="s">
        <v>57</v>
      </c>
      <c r="J1" s="62" t="s">
        <v>56</v>
      </c>
      <c r="K1" s="62" t="s">
        <v>55</v>
      </c>
      <c r="L1" s="62" t="s">
        <v>58</v>
      </c>
      <c r="M1" s="62" t="s">
        <v>59</v>
      </c>
      <c r="N1" s="62" t="s">
        <v>60</v>
      </c>
      <c r="O1" s="62" t="s">
        <v>61</v>
      </c>
      <c r="P1" s="62" t="s">
        <v>62</v>
      </c>
      <c r="Q1" s="62" t="s">
        <v>76</v>
      </c>
      <c r="R1" s="64" t="s">
        <v>68</v>
      </c>
      <c r="S1" s="64" t="s">
        <v>69</v>
      </c>
      <c r="T1" s="64" t="s">
        <v>70</v>
      </c>
      <c r="U1" s="64" t="s">
        <v>71</v>
      </c>
      <c r="V1" s="64" t="s">
        <v>72</v>
      </c>
      <c r="W1" s="64" t="s">
        <v>73</v>
      </c>
      <c r="X1" s="59" t="s">
        <v>52</v>
      </c>
      <c r="Y1" s="143" t="s">
        <v>128</v>
      </c>
      <c r="Z1" s="44" t="s">
        <v>129</v>
      </c>
      <c r="AA1" s="44" t="s">
        <v>130</v>
      </c>
      <c r="AB1" s="44" t="s">
        <v>131</v>
      </c>
      <c r="AC1" s="44" t="s">
        <v>132</v>
      </c>
      <c r="AD1" s="144" t="s">
        <v>133</v>
      </c>
      <c r="AE1" s="144" t="s">
        <v>134</v>
      </c>
    </row>
    <row r="2" spans="1:31" x14ac:dyDescent="0.2">
      <c r="A2" s="58" t="s">
        <v>53</v>
      </c>
      <c r="B2" s="63">
        <v>1</v>
      </c>
      <c r="C2" s="63">
        <v>6</v>
      </c>
      <c r="D2" s="63">
        <v>2021</v>
      </c>
      <c r="E2" s="47">
        <f>Water!C3</f>
        <v>1430</v>
      </c>
      <c r="F2" s="47">
        <f>Water!E3</f>
        <v>0</v>
      </c>
      <c r="G2" s="47">
        <f>Water!G3</f>
        <v>337.5</v>
      </c>
      <c r="H2" s="47">
        <f>Water!I3</f>
        <v>3.2130000000000001</v>
      </c>
      <c r="I2" s="47">
        <f>ELECT.!F3</f>
        <v>16431</v>
      </c>
      <c r="J2" s="47">
        <f>ELECT.!H3</f>
        <v>61587</v>
      </c>
      <c r="K2" s="47">
        <f>ELECT.!K3</f>
        <v>7453</v>
      </c>
      <c r="L2" s="47">
        <f>ELECT.!M3</f>
        <v>5340</v>
      </c>
      <c r="M2" s="47">
        <f>ELECT.!O3</f>
        <v>10896</v>
      </c>
      <c r="N2" s="47">
        <f>ELECT.!Q3</f>
        <v>13693</v>
      </c>
      <c r="O2" s="47">
        <f>ELECT.!S3</f>
        <v>11727</v>
      </c>
      <c r="P2" s="47">
        <f>ELECT.!W3*2</f>
        <v>27196</v>
      </c>
      <c r="Q2" s="47">
        <f>ELECT.!D3</f>
        <v>480</v>
      </c>
      <c r="R2" s="48">
        <f>BTU!C3</f>
        <v>10.165000000000873</v>
      </c>
      <c r="S2" s="48">
        <f>BTU!F3</f>
        <v>2.887000000000171</v>
      </c>
      <c r="T2" s="48">
        <f>BTU!I3</f>
        <v>9</v>
      </c>
      <c r="U2" s="48">
        <f>BTU!O3</f>
        <v>1.2550000000001091</v>
      </c>
      <c r="V2" s="48">
        <f>BTU!L3</f>
        <v>2.2700000000004366</v>
      </c>
      <c r="W2" s="48">
        <f>BTU!R3</f>
        <v>4.1700000000000728</v>
      </c>
      <c r="X2" s="45">
        <f>ELECT.!B3</f>
        <v>110</v>
      </c>
      <c r="Y2" s="45">
        <f>I2+J2-(K2+L2+M2+N2+O2+P2)</f>
        <v>1713</v>
      </c>
      <c r="Z2">
        <f>'Mall, Citadel, Rotana'!C3+'Mall, Citadel, Rotana'!E3+'Mall, Citadel, Rotana'!G3+'Mall, Citadel, Rotana'!I3</f>
        <v>1557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149</v>
      </c>
      <c r="AD2" s="45">
        <f>(E2-H2-194)*0.1318</f>
        <v>162.48132660000002</v>
      </c>
      <c r="AE2" s="45">
        <f>E2-H2-AD2-194</f>
        <v>1070.3056733999999</v>
      </c>
    </row>
    <row r="3" spans="1:31" x14ac:dyDescent="0.2">
      <c r="A3" s="58" t="s">
        <v>53</v>
      </c>
      <c r="B3" s="63">
        <f>B2+1</f>
        <v>2</v>
      </c>
      <c r="C3" s="63">
        <v>6</v>
      </c>
      <c r="D3" s="63">
        <v>2021</v>
      </c>
      <c r="E3" s="47">
        <f>Water!C4</f>
        <v>1100</v>
      </c>
      <c r="F3" s="47">
        <f>Water!E4</f>
        <v>0</v>
      </c>
      <c r="G3" s="47">
        <f>Water!G4</f>
        <v>353.7</v>
      </c>
      <c r="H3" s="47">
        <f>Water!I4</f>
        <v>4.0229999999999997</v>
      </c>
      <c r="I3" s="47">
        <f>ELECT.!F4</f>
        <v>13363</v>
      </c>
      <c r="J3" s="47">
        <f>ELECT.!H4</f>
        <v>48750</v>
      </c>
      <c r="K3" s="47">
        <f>ELECT.!K4</f>
        <v>5771</v>
      </c>
      <c r="L3" s="47">
        <f>ELECT.!M4</f>
        <v>4615</v>
      </c>
      <c r="M3" s="47">
        <f>ELECT.!O4</f>
        <v>8562</v>
      </c>
      <c r="N3" s="47">
        <f>ELECT.!Q4</f>
        <v>10813</v>
      </c>
      <c r="O3" s="47">
        <f>ELECT.!S4</f>
        <v>9526</v>
      </c>
      <c r="P3" s="47">
        <f>ELECT.!W4*2</f>
        <v>21394</v>
      </c>
      <c r="Q3" s="47">
        <f>ELECT.!D4</f>
        <v>640</v>
      </c>
      <c r="R3" s="48">
        <f>BTU!C4</f>
        <v>9.3269999999974971</v>
      </c>
      <c r="S3" s="48">
        <f>BTU!F4</f>
        <v>2.8240000000000691</v>
      </c>
      <c r="T3" s="48">
        <f>BTU!I4</f>
        <v>8</v>
      </c>
      <c r="U3" s="48">
        <f>BTU!O4</f>
        <v>1.5579999999999927</v>
      </c>
      <c r="V3" s="48">
        <f>BTU!L4</f>
        <v>2.1700000000000728</v>
      </c>
      <c r="W3" s="48">
        <f>BTU!R4</f>
        <v>2.3800000000001091</v>
      </c>
      <c r="X3" s="45">
        <f>ELECT.!B4</f>
        <v>144</v>
      </c>
      <c r="Y3" s="45">
        <f t="shared" ref="Y3:Y31" si="0">I3+J3-(K3+L3+M3+N3+O3+P3)</f>
        <v>1432</v>
      </c>
      <c r="Z3">
        <f>'Mall, Citadel, Rotana'!C4+'Mall, Citadel, Rotana'!E4+'Mall, Citadel, Rotana'!G4+'Mall, Citadel, Rotana'!I4</f>
        <v>1420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121</v>
      </c>
      <c r="AD3" s="45">
        <f t="shared" ref="AD3:AD31" si="1">(E3-H3-194)*0.1318</f>
        <v>118.88056860000002</v>
      </c>
      <c r="AE3" s="45">
        <f t="shared" ref="AE3:AE31" si="2">E3-H3-AD3-194</f>
        <v>783.09643140000003</v>
      </c>
    </row>
    <row r="4" spans="1:31" x14ac:dyDescent="0.2">
      <c r="A4" s="58" t="s">
        <v>53</v>
      </c>
      <c r="B4" s="63">
        <f t="shared" ref="B4:B31" si="3">B3+1</f>
        <v>3</v>
      </c>
      <c r="C4" s="63">
        <v>6</v>
      </c>
      <c r="D4" s="63">
        <v>2021</v>
      </c>
      <c r="E4" s="47">
        <f>Water!C5</f>
        <v>1150</v>
      </c>
      <c r="F4" s="47">
        <f>Water!E5</f>
        <v>0</v>
      </c>
      <c r="G4" s="47">
        <f>Water!G5</f>
        <v>334.8</v>
      </c>
      <c r="H4" s="47">
        <f>Water!I5</f>
        <v>3.8879999999999999</v>
      </c>
      <c r="I4" s="47">
        <f>ELECT.!F5</f>
        <v>15151</v>
      </c>
      <c r="J4" s="47">
        <f>ELECT.!H5</f>
        <v>40367</v>
      </c>
      <c r="K4" s="47">
        <f>ELECT.!K5</f>
        <v>4860</v>
      </c>
      <c r="L4" s="47">
        <f>ELECT.!M5</f>
        <v>5033</v>
      </c>
      <c r="M4" s="47">
        <f>ELECT.!O5</f>
        <v>9956</v>
      </c>
      <c r="N4" s="47">
        <f>ELECT.!Q5</f>
        <v>8564</v>
      </c>
      <c r="O4" s="47">
        <f>ELECT.!S5</f>
        <v>8121</v>
      </c>
      <c r="P4" s="47">
        <f>ELECT.!W5*2</f>
        <v>17720</v>
      </c>
      <c r="Q4" s="47">
        <f>ELECT.!D5</f>
        <v>480</v>
      </c>
      <c r="R4" s="48">
        <f>BTU!C5</f>
        <v>8.6300000000010186</v>
      </c>
      <c r="S4" s="48">
        <f>BTU!F5</f>
        <v>2.7129999999997381</v>
      </c>
      <c r="T4" s="48">
        <f>BTU!I5</f>
        <v>8</v>
      </c>
      <c r="U4" s="48">
        <f>BTU!O5</f>
        <v>1.5249999999996362</v>
      </c>
      <c r="V4" s="48">
        <f>BTU!L5</f>
        <v>2.0399999999990541</v>
      </c>
      <c r="W4" s="48">
        <f>BTU!R5</f>
        <v>2.2299999999995634</v>
      </c>
      <c r="X4" s="45">
        <f>ELECT.!B5</f>
        <v>182</v>
      </c>
      <c r="Y4" s="45">
        <f t="shared" si="0"/>
        <v>1264</v>
      </c>
      <c r="Z4">
        <f>'Mall, Citadel, Rotana'!C5+'Mall, Citadel, Rotana'!E5+'Mall, Citadel, Rotana'!G5+'Mall, Citadel, Rotana'!I5</f>
        <v>1254</v>
      </c>
      <c r="AA4">
        <f>'Mall, Citadel, Rotana'!K5+'Mall, Citadel, Rotana'!M5</f>
        <v>640</v>
      </c>
      <c r="AB4">
        <f>'Mall, Citadel, Rotana'!O5</f>
        <v>2</v>
      </c>
      <c r="AC4">
        <f>'Mall, Citadel, Rotana'!Q5+'Mall, Citadel, Rotana'!S5</f>
        <v>173</v>
      </c>
      <c r="AD4" s="45">
        <f t="shared" si="1"/>
        <v>125.4883616</v>
      </c>
      <c r="AE4" s="45">
        <f t="shared" si="2"/>
        <v>826.62363840000012</v>
      </c>
    </row>
    <row r="5" spans="1:31" x14ac:dyDescent="0.2">
      <c r="A5" s="58" t="s">
        <v>53</v>
      </c>
      <c r="B5" s="63">
        <f t="shared" si="3"/>
        <v>4</v>
      </c>
      <c r="C5" s="63">
        <v>6</v>
      </c>
      <c r="D5" s="63">
        <v>2021</v>
      </c>
      <c r="E5" s="47">
        <f>Water!C6</f>
        <v>1610</v>
      </c>
      <c r="F5" s="47">
        <f>Water!E6</f>
        <v>0</v>
      </c>
      <c r="G5" s="47">
        <f>Water!G6</f>
        <v>772.2</v>
      </c>
      <c r="H5" s="47">
        <f>Water!I6</f>
        <v>2.9699999999999998</v>
      </c>
      <c r="I5" s="47">
        <f>ELECT.!F6</f>
        <v>19324</v>
      </c>
      <c r="J5" s="47">
        <f>ELECT.!H6</f>
        <v>60078</v>
      </c>
      <c r="K5" s="47">
        <f>ELECT.!K6</f>
        <v>6678</v>
      </c>
      <c r="L5" s="47">
        <f>ELECT.!M6</f>
        <v>6572</v>
      </c>
      <c r="M5" s="47">
        <f>ELECT.!O6</f>
        <v>12472</v>
      </c>
      <c r="N5" s="47">
        <f>ELECT.!Q6</f>
        <v>12828</v>
      </c>
      <c r="O5" s="47">
        <f>ELECT.!S6</f>
        <v>12060</v>
      </c>
      <c r="P5" s="47">
        <f>ELECT.!W6*2</f>
        <v>27058</v>
      </c>
      <c r="Q5" s="47">
        <f>ELECT.!D6</f>
        <v>480</v>
      </c>
      <c r="R5" s="48">
        <f>BTU!C6</f>
        <v>6.7950000000018917</v>
      </c>
      <c r="S5" s="48">
        <f>BTU!F6</f>
        <v>1.0040000000003602</v>
      </c>
      <c r="T5" s="48">
        <f>BTU!I6</f>
        <v>5</v>
      </c>
      <c r="U5" s="48">
        <f>BTU!O6</f>
        <v>1.1290000000003602</v>
      </c>
      <c r="V5" s="48">
        <f>BTU!L6</f>
        <v>1.5900000000001455</v>
      </c>
      <c r="W5" s="48">
        <f>BTU!R6</f>
        <v>1.2200000000002547</v>
      </c>
      <c r="X5" s="45">
        <f>ELECT.!B6</f>
        <v>138</v>
      </c>
      <c r="Y5" s="45">
        <f t="shared" si="0"/>
        <v>1734</v>
      </c>
      <c r="Z5">
        <f>'Mall, Citadel, Rotana'!C6+'Mall, Citadel, Rotana'!E6+'Mall, Citadel, Rotana'!G6+'Mall, Citadel, Rotana'!I6</f>
        <v>802</v>
      </c>
      <c r="AA5">
        <f>'Mall, Citadel, Rotana'!K6+'Mall, Citadel, Rotana'!M6</f>
        <v>320</v>
      </c>
      <c r="AB5">
        <f>'Mall, Citadel, Rotana'!O6</f>
        <v>5</v>
      </c>
      <c r="AC5">
        <f>'Mall, Citadel, Rotana'!Q6+'Mall, Citadel, Rotana'!S6</f>
        <v>146</v>
      </c>
      <c r="AD5" s="45">
        <f t="shared" si="1"/>
        <v>186.23735400000001</v>
      </c>
      <c r="AE5" s="45">
        <f t="shared" si="2"/>
        <v>1226.7926459999999</v>
      </c>
    </row>
    <row r="6" spans="1:31" x14ac:dyDescent="0.2">
      <c r="A6" s="58" t="s">
        <v>53</v>
      </c>
      <c r="B6" s="63">
        <f t="shared" si="3"/>
        <v>5</v>
      </c>
      <c r="C6" s="63">
        <v>6</v>
      </c>
      <c r="D6" s="63">
        <v>2021</v>
      </c>
      <c r="E6" s="47">
        <f>Water!C7</f>
        <v>1860</v>
      </c>
      <c r="F6" s="47">
        <f>Water!E7</f>
        <v>16.2</v>
      </c>
      <c r="G6" s="47">
        <f>Water!G7</f>
        <v>1215</v>
      </c>
      <c r="H6" s="47">
        <f>Water!I7</f>
        <v>3.5640000000000001</v>
      </c>
      <c r="I6" s="47">
        <f>ELECT.!F7</f>
        <v>13521</v>
      </c>
      <c r="J6" s="47">
        <f>ELECT.!H7</f>
        <v>42561</v>
      </c>
      <c r="K6" s="47">
        <f>ELECT.!K7</f>
        <v>4751</v>
      </c>
      <c r="L6" s="47">
        <f>ELECT.!M7</f>
        <v>4522</v>
      </c>
      <c r="M6" s="47">
        <f>ELECT.!O7</f>
        <v>8886</v>
      </c>
      <c r="N6" s="47">
        <f>ELECT.!Q7</f>
        <v>9278</v>
      </c>
      <c r="O6" s="47">
        <f>ELECT.!S7</f>
        <v>8570</v>
      </c>
      <c r="P6" s="47">
        <f>ELECT.!W7*2</f>
        <v>19078</v>
      </c>
      <c r="Q6" s="47">
        <f>ELECT.!D7</f>
        <v>800</v>
      </c>
      <c r="R6" s="48">
        <f>BTU!C7</f>
        <v>7.2860000000000582</v>
      </c>
      <c r="S6" s="48">
        <f>BTU!F7</f>
        <v>2.4909999999999854</v>
      </c>
      <c r="T6" s="48">
        <f>BTU!I7</f>
        <v>8</v>
      </c>
      <c r="U6" s="48">
        <f>BTU!O7</f>
        <v>1.4119999999998072</v>
      </c>
      <c r="V6" s="48">
        <f>BTU!L7</f>
        <v>2.6300000000010186</v>
      </c>
      <c r="W6" s="48">
        <f>BTU!R7</f>
        <v>2.3500000000003638</v>
      </c>
      <c r="X6" s="45">
        <f>ELECT.!B7</f>
        <v>211</v>
      </c>
      <c r="Y6" s="45">
        <f t="shared" si="0"/>
        <v>997</v>
      </c>
      <c r="Z6">
        <f>'Mall, Citadel, Rotana'!C7+'Mall, Citadel, Rotana'!E7+'Mall, Citadel, Rotana'!G7+'Mall, Citadel, Rotana'!I7</f>
        <v>2042</v>
      </c>
      <c r="AA6">
        <f>'Mall, Citadel, Rotana'!K7+'Mall, Citadel, Rotana'!M7</f>
        <v>480</v>
      </c>
      <c r="AB6">
        <f>'Mall, Citadel, Rotana'!O7</f>
        <v>3</v>
      </c>
      <c r="AC6">
        <f>'Mall, Citadel, Rotana'!Q7+'Mall, Citadel, Rotana'!S7</f>
        <v>135</v>
      </c>
      <c r="AD6" s="45">
        <f t="shared" si="1"/>
        <v>219.1090648</v>
      </c>
      <c r="AE6" s="45">
        <f t="shared" si="2"/>
        <v>1443.3269352</v>
      </c>
    </row>
    <row r="7" spans="1:31" x14ac:dyDescent="0.2">
      <c r="A7" s="58" t="s">
        <v>53</v>
      </c>
      <c r="B7" s="63">
        <f t="shared" si="3"/>
        <v>6</v>
      </c>
      <c r="C7" s="63">
        <v>6</v>
      </c>
      <c r="D7" s="63">
        <v>2021</v>
      </c>
      <c r="E7" s="47">
        <f>Water!C8</f>
        <v>1170</v>
      </c>
      <c r="F7" s="47">
        <f>Water!E8</f>
        <v>0</v>
      </c>
      <c r="G7" s="47">
        <f>Water!G8</f>
        <v>723.6</v>
      </c>
      <c r="H7" s="47">
        <f>Water!I8</f>
        <v>3.5640000000000001</v>
      </c>
      <c r="I7" s="47">
        <f>ELECT.!F8</f>
        <v>15303</v>
      </c>
      <c r="J7" s="47">
        <f>ELECT.!H8</f>
        <v>58609</v>
      </c>
      <c r="K7" s="47">
        <f>ELECT.!K8</f>
        <v>6844</v>
      </c>
      <c r="L7" s="47">
        <f>ELECT.!M8</f>
        <v>5060</v>
      </c>
      <c r="M7" s="47">
        <f>ELECT.!O8</f>
        <v>10006</v>
      </c>
      <c r="N7" s="47">
        <f>ELECT.!Q8</f>
        <v>12605</v>
      </c>
      <c r="O7" s="47">
        <f>ELECT.!S8</f>
        <v>11291</v>
      </c>
      <c r="P7" s="47">
        <f>ELECT.!W8*2</f>
        <v>26412</v>
      </c>
      <c r="Q7" s="47">
        <f>ELECT.!D8</f>
        <v>480</v>
      </c>
      <c r="R7" s="48">
        <f>BTU!C8</f>
        <v>10.252999999996973</v>
      </c>
      <c r="S7" s="48">
        <f>BTU!F8</f>
        <v>2.0760000000000218</v>
      </c>
      <c r="T7" s="48">
        <f>BTU!I8</f>
        <v>8</v>
      </c>
      <c r="U7" s="48">
        <f>BTU!O8</f>
        <v>1.5349999999998545</v>
      </c>
      <c r="V7" s="48">
        <f>BTU!L8</f>
        <v>2.2299999999995634</v>
      </c>
      <c r="W7" s="48">
        <f>BTU!R8</f>
        <v>2.3800000000001091</v>
      </c>
      <c r="X7" s="45">
        <f>ELECT.!B8</f>
        <v>222</v>
      </c>
      <c r="Y7" s="45">
        <f t="shared" si="0"/>
        <v>1694</v>
      </c>
      <c r="Z7">
        <f>'Mall, Citadel, Rotana'!C8+'Mall, Citadel, Rotana'!E8+'Mall, Citadel, Rotana'!G8+'Mall, Citadel, Rotana'!I8</f>
        <v>1437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60</v>
      </c>
      <c r="AD7" s="45">
        <f t="shared" si="1"/>
        <v>128.16706479999999</v>
      </c>
      <c r="AE7" s="45">
        <f t="shared" si="2"/>
        <v>844.26893519999999</v>
      </c>
    </row>
    <row r="8" spans="1:31" x14ac:dyDescent="0.2">
      <c r="A8" s="58" t="s">
        <v>53</v>
      </c>
      <c r="B8" s="63">
        <f t="shared" si="3"/>
        <v>7</v>
      </c>
      <c r="C8" s="63">
        <v>6</v>
      </c>
      <c r="D8" s="63">
        <v>2021</v>
      </c>
      <c r="E8" s="47">
        <f>Water!C9</f>
        <v>1200</v>
      </c>
      <c r="F8" s="47">
        <f>Water!E9</f>
        <v>0</v>
      </c>
      <c r="G8" s="47">
        <f>Water!G9</f>
        <v>734.4</v>
      </c>
      <c r="H8" s="47">
        <f>Water!I9</f>
        <v>4.4009999999999998</v>
      </c>
      <c r="I8" s="47">
        <f>ELECT.!F9</f>
        <v>13052</v>
      </c>
      <c r="J8" s="47">
        <f>ELECT.!H9</f>
        <v>48074</v>
      </c>
      <c r="K8" s="47">
        <f>ELECT.!K9</f>
        <v>5988</v>
      </c>
      <c r="L8" s="47">
        <f>ELECT.!M9</f>
        <v>4536</v>
      </c>
      <c r="M8" s="47">
        <f>ELECT.!O9</f>
        <v>8364</v>
      </c>
      <c r="N8" s="47">
        <f>ELECT.!Q9</f>
        <v>10414</v>
      </c>
      <c r="O8" s="47">
        <f>ELECT.!S9</f>
        <v>9337</v>
      </c>
      <c r="P8" s="47">
        <f>ELECT.!W9*2</f>
        <v>21286</v>
      </c>
      <c r="Q8" s="47">
        <f>ELECT.!D9</f>
        <v>480</v>
      </c>
      <c r="R8" s="48">
        <f>BTU!C9</f>
        <v>7.7090000000025611</v>
      </c>
      <c r="S8" s="48">
        <f>BTU!F9</f>
        <v>2.6859999999996944</v>
      </c>
      <c r="T8" s="48">
        <f>BTU!I9</f>
        <v>6</v>
      </c>
      <c r="U8" s="48">
        <f>BTU!O9</f>
        <v>1.1849999999999454</v>
      </c>
      <c r="V8" s="48">
        <f>BTU!L9</f>
        <v>2.0499999999992724</v>
      </c>
      <c r="W8" s="48">
        <f>BTU!R9</f>
        <v>1.5999999999994543</v>
      </c>
      <c r="X8" s="45">
        <f>ELECT.!B9</f>
        <v>235</v>
      </c>
      <c r="Y8" s="45">
        <f t="shared" si="0"/>
        <v>1201</v>
      </c>
      <c r="Z8">
        <f>'Mall, Citadel, Rotana'!C9+'Mall, Citadel, Rotana'!E9+'Mall, Citadel, Rotana'!G9+'Mall, Citadel, Rotana'!I9</f>
        <v>1576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115</v>
      </c>
      <c r="AD8" s="45">
        <f t="shared" si="1"/>
        <v>132.01074819999999</v>
      </c>
      <c r="AE8" s="45">
        <f t="shared" si="2"/>
        <v>869.58825179999985</v>
      </c>
    </row>
    <row r="9" spans="1:31" x14ac:dyDescent="0.2">
      <c r="A9" s="58" t="s">
        <v>53</v>
      </c>
      <c r="B9" s="63">
        <f t="shared" si="3"/>
        <v>8</v>
      </c>
      <c r="C9" s="63">
        <v>6</v>
      </c>
      <c r="D9" s="63">
        <v>2021</v>
      </c>
      <c r="E9" s="47">
        <f>Water!C10</f>
        <v>1050</v>
      </c>
      <c r="F9" s="47">
        <f>Water!E10</f>
        <v>0</v>
      </c>
      <c r="G9" s="47">
        <f>Water!G10</f>
        <v>588.6</v>
      </c>
      <c r="H9" s="47">
        <f>Water!I10</f>
        <v>3.9689999999999999</v>
      </c>
      <c r="I9" s="47">
        <f>ELECT.!F10</f>
        <v>10313</v>
      </c>
      <c r="J9" s="47">
        <f>ELECT.!H10</f>
        <v>38064</v>
      </c>
      <c r="K9" s="47">
        <f>ELECT.!K10</f>
        <v>4719</v>
      </c>
      <c r="L9" s="47">
        <f>ELECT.!M10</f>
        <v>3532</v>
      </c>
      <c r="M9" s="47">
        <f>ELECT.!O10</f>
        <v>6628</v>
      </c>
      <c r="N9" s="47">
        <f>ELECT.!Q10</f>
        <v>8239</v>
      </c>
      <c r="O9" s="47">
        <f>ELECT.!S10</f>
        <v>7444</v>
      </c>
      <c r="P9" s="47">
        <f>ELECT.!W10*2</f>
        <v>16756</v>
      </c>
      <c r="Q9" s="47">
        <f>ELECT.!D10</f>
        <v>480</v>
      </c>
      <c r="R9" s="48">
        <f>BTU!C10</f>
        <v>7.7739999999976135</v>
      </c>
      <c r="S9" s="48">
        <f>BTU!F10</f>
        <v>1.9360000000001492</v>
      </c>
      <c r="T9" s="48">
        <f>BTU!I10</f>
        <v>6</v>
      </c>
      <c r="U9" s="48">
        <f>BTU!O10</f>
        <v>0.943000000000211</v>
      </c>
      <c r="V9" s="48">
        <f>BTU!L10</f>
        <v>1.5500000000010914</v>
      </c>
      <c r="W9" s="48">
        <f>BTU!R10</f>
        <v>1.4899999999997817</v>
      </c>
      <c r="X9" s="45">
        <f>ELECT.!B10</f>
        <v>221</v>
      </c>
      <c r="Y9" s="45">
        <f t="shared" si="0"/>
        <v>1059</v>
      </c>
      <c r="Z9">
        <f>'Mall, Citadel, Rotana'!C10+'Mall, Citadel, Rotana'!E10+'Mall, Citadel, Rotana'!G10+'Mall, Citadel, Rotana'!I10</f>
        <v>1593</v>
      </c>
      <c r="AA9">
        <f>'Mall, Citadel, Rotana'!K10+'Mall, Citadel, Rotana'!M10</f>
        <v>800</v>
      </c>
      <c r="AB9">
        <f>'Mall, Citadel, Rotana'!O10</f>
        <v>4</v>
      </c>
      <c r="AC9">
        <f>'Mall, Citadel, Rotana'!Q10+'Mall, Citadel, Rotana'!S10</f>
        <v>0</v>
      </c>
      <c r="AD9" s="45">
        <f t="shared" si="1"/>
        <v>112.2976858</v>
      </c>
      <c r="AE9" s="45">
        <f t="shared" si="2"/>
        <v>739.7333142</v>
      </c>
    </row>
    <row r="10" spans="1:31" x14ac:dyDescent="0.2">
      <c r="A10" s="58" t="s">
        <v>53</v>
      </c>
      <c r="B10" s="63">
        <f t="shared" si="3"/>
        <v>9</v>
      </c>
      <c r="C10" s="63">
        <v>6</v>
      </c>
      <c r="D10" s="63">
        <v>2021</v>
      </c>
      <c r="E10" s="47">
        <f>Water!C11</f>
        <v>1230</v>
      </c>
      <c r="F10" s="47">
        <f>Water!E11</f>
        <v>0</v>
      </c>
      <c r="G10" s="47">
        <f>Water!G11</f>
        <v>761.4</v>
      </c>
      <c r="H10" s="47">
        <f>Water!I11</f>
        <v>29.483999999999998</v>
      </c>
      <c r="I10" s="47">
        <f>ELECT.!F11</f>
        <v>14651</v>
      </c>
      <c r="J10" s="47">
        <f>ELECT.!H11</f>
        <v>55507</v>
      </c>
      <c r="K10" s="47">
        <f>ELECT.!K11</f>
        <v>6659</v>
      </c>
      <c r="L10" s="47">
        <f>ELECT.!M11</f>
        <v>4819</v>
      </c>
      <c r="M10" s="47">
        <f>ELECT.!O11</f>
        <v>9642</v>
      </c>
      <c r="N10" s="47">
        <f>ELECT.!Q11</f>
        <v>12439</v>
      </c>
      <c r="O10" s="47">
        <f>ELECT.!S11</f>
        <v>10644</v>
      </c>
      <c r="P10" s="47">
        <f>ELECT.!W11*2</f>
        <v>24492</v>
      </c>
      <c r="Q10" s="47">
        <f>ELECT.!D11</f>
        <v>480</v>
      </c>
      <c r="R10" s="48">
        <f>BTU!C11</f>
        <v>8.1840000000011059</v>
      </c>
      <c r="S10" s="48">
        <f>BTU!F11</f>
        <v>3.1390000000001237</v>
      </c>
      <c r="T10" s="48">
        <f>BTU!I11</f>
        <v>7</v>
      </c>
      <c r="U10" s="48">
        <f>BTU!O11</f>
        <v>1.362999999999829</v>
      </c>
      <c r="V10" s="48">
        <f>BTU!L11</f>
        <v>2.3299999999999272</v>
      </c>
      <c r="W10" s="48">
        <f>BTU!R11</f>
        <v>2.0700000000006185</v>
      </c>
      <c r="X10" s="45">
        <f>ELECT.!B11</f>
        <v>230</v>
      </c>
      <c r="Y10" s="45">
        <f t="shared" si="0"/>
        <v>1463</v>
      </c>
      <c r="Z10">
        <f>'Mall, Citadel, Rotana'!C11+'Mall, Citadel, Rotana'!E11+'Mall, Citadel, Rotana'!G11+'Mall, Citadel, Rotana'!I11</f>
        <v>1262</v>
      </c>
      <c r="AA10">
        <f>'Mall, Citadel, Rotana'!K11+'Mall, Citadel, Rotana'!M11</f>
        <v>480</v>
      </c>
      <c r="AB10">
        <f>'Mall, Citadel, Rotana'!O11</f>
        <v>3</v>
      </c>
      <c r="AC10">
        <f>'Mall, Citadel, Rotana'!Q11+'Mall, Citadel, Rotana'!S11</f>
        <v>199</v>
      </c>
      <c r="AD10" s="45">
        <f t="shared" si="1"/>
        <v>132.6588088</v>
      </c>
      <c r="AE10" s="45">
        <f t="shared" si="2"/>
        <v>873.85719119999999</v>
      </c>
    </row>
    <row r="11" spans="1:31" x14ac:dyDescent="0.2">
      <c r="A11" s="58" t="s">
        <v>53</v>
      </c>
      <c r="B11" s="63">
        <f t="shared" si="3"/>
        <v>10</v>
      </c>
      <c r="C11" s="63">
        <v>6</v>
      </c>
      <c r="D11" s="63">
        <v>2021</v>
      </c>
      <c r="E11" s="47">
        <f>Water!C12</f>
        <v>930</v>
      </c>
      <c r="F11" s="47">
        <f>Water!E12</f>
        <v>0</v>
      </c>
      <c r="G11" s="47">
        <f>Water!G12</f>
        <v>494.1</v>
      </c>
      <c r="H11" s="47">
        <f>Water!I12</f>
        <v>0</v>
      </c>
      <c r="I11" s="47">
        <f>ELECT.!F12</f>
        <v>13014</v>
      </c>
      <c r="J11" s="47">
        <f>ELECT.!H12</f>
        <v>47333</v>
      </c>
      <c r="K11" s="47">
        <f>ELECT.!K12</f>
        <v>5542</v>
      </c>
      <c r="L11" s="47">
        <f>ELECT.!M12</f>
        <v>4350</v>
      </c>
      <c r="M11" s="47">
        <f>ELECT.!O12</f>
        <v>8502</v>
      </c>
      <c r="N11" s="47">
        <f>ELECT.!Q12</f>
        <v>11054</v>
      </c>
      <c r="O11" s="47">
        <f>ELECT.!S12</f>
        <v>9087</v>
      </c>
      <c r="P11" s="47">
        <f>ELECT.!W12*2</f>
        <v>20574</v>
      </c>
      <c r="Q11" s="47">
        <f>ELECT.!D12</f>
        <v>640</v>
      </c>
      <c r="R11" s="48">
        <f>BTU!C12</f>
        <v>11.829000000001543</v>
      </c>
      <c r="S11" s="48">
        <f>BTU!F12</f>
        <v>3.1169999999997344</v>
      </c>
      <c r="T11" s="48">
        <f>BTU!I12</f>
        <v>8</v>
      </c>
      <c r="U11" s="48">
        <f>BTU!O12</f>
        <v>1.9540000000001783</v>
      </c>
      <c r="V11" s="48">
        <f>BTU!L12</f>
        <v>2.5599999999994907</v>
      </c>
      <c r="W11" s="48">
        <f>BTU!R12</f>
        <v>2.3999999999996362</v>
      </c>
      <c r="X11" s="45">
        <f>ELECT.!B12</f>
        <v>225</v>
      </c>
      <c r="Y11" s="45">
        <f t="shared" si="0"/>
        <v>1238</v>
      </c>
      <c r="Z11">
        <f>'Mall, Citadel, Rotana'!C12+'Mall, Citadel, Rotana'!E12+'Mall, Citadel, Rotana'!G12+'Mall, Citadel, Rotana'!I12</f>
        <v>1615</v>
      </c>
      <c r="AA11">
        <f>'Mall, Citadel, Rotana'!K12+'Mall, Citadel, Rotana'!M12</f>
        <v>640</v>
      </c>
      <c r="AB11">
        <f>'Mall, Citadel, Rotana'!O12</f>
        <v>3</v>
      </c>
      <c r="AC11">
        <f>'Mall, Citadel, Rotana'!Q12+'Mall, Citadel, Rotana'!S12</f>
        <v>0</v>
      </c>
      <c r="AD11" s="45">
        <f t="shared" si="1"/>
        <v>97.004800000000003</v>
      </c>
      <c r="AE11" s="45">
        <f t="shared" si="2"/>
        <v>638.99519999999995</v>
      </c>
    </row>
    <row r="12" spans="1:31" x14ac:dyDescent="0.2">
      <c r="A12" s="58" t="s">
        <v>53</v>
      </c>
      <c r="B12" s="63">
        <f t="shared" si="3"/>
        <v>11</v>
      </c>
      <c r="C12" s="63">
        <v>6</v>
      </c>
      <c r="D12" s="63">
        <v>2021</v>
      </c>
      <c r="E12" s="47">
        <f>Water!C13</f>
        <v>1030</v>
      </c>
      <c r="F12" s="47">
        <f>Water!E13</f>
        <v>0</v>
      </c>
      <c r="G12" s="47">
        <f>Water!G13</f>
        <v>494.1</v>
      </c>
      <c r="H12" s="47">
        <f>Water!I13</f>
        <v>4.077</v>
      </c>
      <c r="I12" s="47">
        <f>ELECT.!F13</f>
        <v>17829</v>
      </c>
      <c r="J12" s="47">
        <f>ELECT.!H13</f>
        <v>66196</v>
      </c>
      <c r="K12" s="47">
        <f>ELECT.!K13</f>
        <v>6851</v>
      </c>
      <c r="L12" s="47">
        <f>ELECT.!M13</f>
        <v>5477</v>
      </c>
      <c r="M12" s="47">
        <f>ELECT.!O13</f>
        <v>12090</v>
      </c>
      <c r="N12" s="47">
        <f>ELECT.!Q13</f>
        <v>15135</v>
      </c>
      <c r="O12" s="47">
        <f>ELECT.!S13</f>
        <v>13058</v>
      </c>
      <c r="P12" s="47">
        <f>ELECT.!W13*2</f>
        <v>29794</v>
      </c>
      <c r="Q12" s="47">
        <f>ELECT.!D13</f>
        <v>640</v>
      </c>
      <c r="R12" s="48">
        <f>BTU!C13</f>
        <v>8.2239999999983411</v>
      </c>
      <c r="S12" s="48">
        <f>BTU!F13</f>
        <v>0.77700000000004366</v>
      </c>
      <c r="T12" s="48">
        <f>BTU!I13</f>
        <v>5</v>
      </c>
      <c r="U12" s="48">
        <f>BTU!O13</f>
        <v>1.125999999999749</v>
      </c>
      <c r="V12" s="48">
        <f>BTU!L13</f>
        <v>1.1999999999989086</v>
      </c>
      <c r="W12" s="48">
        <f>BTU!R13</f>
        <v>2.3699999999998909</v>
      </c>
      <c r="X12" s="45">
        <f>ELECT.!B13</f>
        <v>169</v>
      </c>
      <c r="Y12" s="45">
        <f t="shared" si="0"/>
        <v>1620</v>
      </c>
      <c r="Z12">
        <f>'Mall, Citadel, Rotana'!C13+'Mall, Citadel, Rotana'!E13+'Mall, Citadel, Rotana'!G13+'Mall, Citadel, Rotana'!I13</f>
        <v>1455</v>
      </c>
      <c r="AA12">
        <f>'Mall, Citadel, Rotana'!K13+'Mall, Citadel, Rotana'!M13</f>
        <v>480</v>
      </c>
      <c r="AB12">
        <f>'Mall, Citadel, Rotana'!O13</f>
        <v>3</v>
      </c>
      <c r="AC12">
        <f>'Mall, Citadel, Rotana'!Q13+'Mall, Citadel, Rotana'!S13</f>
        <v>0</v>
      </c>
      <c r="AD12" s="45">
        <f t="shared" si="1"/>
        <v>109.64745139999999</v>
      </c>
      <c r="AE12" s="45">
        <f t="shared" si="2"/>
        <v>722.27554859999998</v>
      </c>
    </row>
    <row r="13" spans="1:31" x14ac:dyDescent="0.2">
      <c r="A13" s="58" t="s">
        <v>53</v>
      </c>
      <c r="B13" s="63">
        <f t="shared" si="3"/>
        <v>12</v>
      </c>
      <c r="C13" s="63">
        <v>6</v>
      </c>
      <c r="D13" s="63">
        <v>2021</v>
      </c>
      <c r="E13" s="47">
        <f>Water!C14</f>
        <v>740</v>
      </c>
      <c r="F13" s="47">
        <f>Water!E14</f>
        <v>0</v>
      </c>
      <c r="G13" s="47">
        <f>Water!G14</f>
        <v>340.2</v>
      </c>
      <c r="H13" s="47">
        <f>Water!I14</f>
        <v>2.7269999999999999</v>
      </c>
      <c r="I13" s="47">
        <f>ELECT.!F14</f>
        <v>9075</v>
      </c>
      <c r="J13" s="47">
        <f>ELECT.!H14</f>
        <v>51838</v>
      </c>
      <c r="K13" s="47">
        <f>ELECT.!K14</f>
        <v>5273</v>
      </c>
      <c r="L13" s="47">
        <f>ELECT.!M14</f>
        <v>4266</v>
      </c>
      <c r="M13" s="47">
        <f>ELECT.!O14</f>
        <v>4694</v>
      </c>
      <c r="N13" s="47">
        <f>ELECT.!Q14</f>
        <v>16146</v>
      </c>
      <c r="O13" s="47">
        <f>ELECT.!S14</f>
        <v>8755</v>
      </c>
      <c r="P13" s="47">
        <f>ELECT.!W14*2</f>
        <v>20576</v>
      </c>
      <c r="Q13" s="47">
        <f>ELECT.!D14</f>
        <v>640</v>
      </c>
      <c r="R13" s="48">
        <f>BTU!C14</f>
        <v>10.413000000000466</v>
      </c>
      <c r="S13" s="48">
        <f>BTU!F14</f>
        <v>1.5480000000002292</v>
      </c>
      <c r="T13" s="48">
        <f>BTU!I14</f>
        <v>7</v>
      </c>
      <c r="U13" s="48">
        <f>BTU!O14</f>
        <v>1.4120000000002619</v>
      </c>
      <c r="V13" s="48">
        <f>BTU!L14</f>
        <v>2.2200000000011642</v>
      </c>
      <c r="W13" s="48">
        <f>BTU!R14</f>
        <v>2.4499999999998181</v>
      </c>
      <c r="X13" s="45">
        <f>ELECT.!B14</f>
        <v>180</v>
      </c>
      <c r="Y13" s="45">
        <f t="shared" si="0"/>
        <v>1203</v>
      </c>
      <c r="Z13">
        <f>'Mall, Citadel, Rotana'!C14+'Mall, Citadel, Rotana'!E14+'Mall, Citadel, Rotana'!G14+'Mall, Citadel, Rotana'!I14</f>
        <v>1433</v>
      </c>
      <c r="AA13">
        <f>'Mall, Citadel, Rotana'!K14+'Mall, Citadel, Rotana'!M14</f>
        <v>480</v>
      </c>
      <c r="AB13">
        <f>'Mall, Citadel, Rotana'!O14</f>
        <v>4</v>
      </c>
      <c r="AC13">
        <f>'Mall, Citadel, Rotana'!Q14+'Mall, Citadel, Rotana'!S14</f>
        <v>-96503</v>
      </c>
      <c r="AD13" s="45">
        <f t="shared" si="1"/>
        <v>71.603381400000004</v>
      </c>
      <c r="AE13" s="45">
        <f t="shared" si="2"/>
        <v>471.66961860000004</v>
      </c>
    </row>
    <row r="14" spans="1:31" x14ac:dyDescent="0.2">
      <c r="A14" s="58" t="s">
        <v>53</v>
      </c>
      <c r="B14" s="63">
        <f t="shared" si="3"/>
        <v>13</v>
      </c>
      <c r="C14" s="63">
        <v>6</v>
      </c>
      <c r="D14" s="63">
        <v>2021</v>
      </c>
      <c r="E14" s="47">
        <f>Water!C15</f>
        <v>1110</v>
      </c>
      <c r="F14" s="47">
        <f>Water!E15</f>
        <v>0</v>
      </c>
      <c r="G14" s="47">
        <f>Water!G15</f>
        <v>378</v>
      </c>
      <c r="H14" s="47">
        <f>Water!I15</f>
        <v>3.7530000000000001</v>
      </c>
      <c r="I14" s="47">
        <f>ELECT.!F15</f>
        <v>7519</v>
      </c>
      <c r="J14" s="47">
        <f>ELECT.!H15</f>
        <v>51133</v>
      </c>
      <c r="K14" s="47">
        <f>ELECT.!K15</f>
        <v>5186</v>
      </c>
      <c r="L14" s="47">
        <f>ELECT.!M15</f>
        <v>4228</v>
      </c>
      <c r="M14" s="47">
        <f>ELECT.!O15</f>
        <v>3148</v>
      </c>
      <c r="N14" s="47">
        <f>ELECT.!Q15</f>
        <v>16993</v>
      </c>
      <c r="O14" s="47">
        <f>ELECT.!S15</f>
        <v>8366</v>
      </c>
      <c r="P14" s="47">
        <f>ELECT.!W15*2</f>
        <v>19062</v>
      </c>
      <c r="Q14" s="47">
        <f>ELECT.!D15</f>
        <v>640</v>
      </c>
      <c r="R14" s="48">
        <f>BTU!C15</f>
        <v>11.03099999999904</v>
      </c>
      <c r="S14" s="48">
        <f>BTU!F15</f>
        <v>2.7519999999999527</v>
      </c>
      <c r="T14" s="48">
        <f>BTU!I15</f>
        <v>7</v>
      </c>
      <c r="U14" s="48">
        <f>BTU!O15</f>
        <v>1.5380000000000109</v>
      </c>
      <c r="V14" s="48">
        <f>BTU!L15</f>
        <v>2.1999999999989086</v>
      </c>
      <c r="W14" s="48">
        <f>BTU!R15</f>
        <v>2.2100000000000364</v>
      </c>
      <c r="X14" s="45">
        <f>ELECT.!B15</f>
        <v>138</v>
      </c>
      <c r="Y14" s="45">
        <f t="shared" si="0"/>
        <v>1669</v>
      </c>
      <c r="Z14">
        <f>'Mall, Citadel, Rotana'!C15+'Mall, Citadel, Rotana'!E15+'Mall, Citadel, Rotana'!G15+'Mall, Citadel, Rotana'!I15</f>
        <v>1428</v>
      </c>
      <c r="AA14">
        <f>'Mall, Citadel, Rotana'!K15+'Mall, Citadel, Rotana'!M15</f>
        <v>640</v>
      </c>
      <c r="AB14">
        <f>'Mall, Citadel, Rotana'!O15</f>
        <v>2</v>
      </c>
      <c r="AC14">
        <f>'Mall, Citadel, Rotana'!Q15+'Mall, Citadel, Rotana'!S15</f>
        <v>-10766</v>
      </c>
      <c r="AD14" s="45">
        <f t="shared" si="1"/>
        <v>120.23415460000001</v>
      </c>
      <c r="AE14" s="45">
        <f t="shared" si="2"/>
        <v>792.01284540000006</v>
      </c>
    </row>
    <row r="15" spans="1:31" x14ac:dyDescent="0.2">
      <c r="A15" s="58" t="s">
        <v>53</v>
      </c>
      <c r="B15" s="63">
        <f t="shared" si="3"/>
        <v>14</v>
      </c>
      <c r="C15" s="63">
        <v>6</v>
      </c>
      <c r="D15" s="63">
        <v>2021</v>
      </c>
      <c r="E15" s="47">
        <f>Water!C16</f>
        <v>720</v>
      </c>
      <c r="F15" s="47">
        <f>Water!E16</f>
        <v>0</v>
      </c>
      <c r="G15" s="47">
        <f>Water!G16</f>
        <v>391.5</v>
      </c>
      <c r="H15" s="47">
        <f>Water!I16</f>
        <v>2.9699999999999998</v>
      </c>
      <c r="I15" s="47">
        <f>ELECT.!F16</f>
        <v>11379</v>
      </c>
      <c r="J15" s="47">
        <f>ELECT.!H16</f>
        <v>56201</v>
      </c>
      <c r="K15" s="47">
        <f>ELECT.!K16</f>
        <v>6192</v>
      </c>
      <c r="L15" s="47">
        <f>ELECT.!M16</f>
        <v>5188</v>
      </c>
      <c r="M15" s="47">
        <f>ELECT.!O16</f>
        <v>6052</v>
      </c>
      <c r="N15" s="47">
        <f>ELECT.!Q16</f>
        <v>15838</v>
      </c>
      <c r="O15" s="47">
        <f>ELECT.!S16</f>
        <v>10225</v>
      </c>
      <c r="P15" s="47">
        <f>ELECT.!W16*2</f>
        <v>22930</v>
      </c>
      <c r="Q15" s="47">
        <f>ELECT.!D16</f>
        <v>960</v>
      </c>
      <c r="R15" s="48">
        <f>BTU!C16</f>
        <v>10.049000000002707</v>
      </c>
      <c r="S15" s="48">
        <f>BTU!F16</f>
        <v>3.0029999999997017</v>
      </c>
      <c r="T15" s="48">
        <f>BTU!I16</f>
        <v>7</v>
      </c>
      <c r="U15" s="48">
        <f>BTU!O16</f>
        <v>1.5169999999998254</v>
      </c>
      <c r="V15" s="48">
        <f>BTU!L16</f>
        <v>2.2400000000016007</v>
      </c>
      <c r="W15" s="48">
        <f>BTU!R16</f>
        <v>2.5399999999999636</v>
      </c>
      <c r="X15" s="45">
        <f>ELECT.!B16</f>
        <v>0</v>
      </c>
      <c r="Y15" s="45">
        <f t="shared" si="0"/>
        <v>1155</v>
      </c>
      <c r="Z15">
        <f>'Mall, Citadel, Rotana'!C16+'Mall, Citadel, Rotana'!E16+'Mall, Citadel, Rotana'!G16+'Mall, Citadel, Rotana'!I16</f>
        <v>1592</v>
      </c>
      <c r="AA15">
        <f>'Mall, Citadel, Rotana'!K16+'Mall, Citadel, Rotana'!M16</f>
        <v>640</v>
      </c>
      <c r="AB15">
        <f>'Mall, Citadel, Rotana'!O16</f>
        <v>4</v>
      </c>
      <c r="AC15">
        <f>'Mall, Citadel, Rotana'!Q16+'Mall, Citadel, Rotana'!S16</f>
        <v>0</v>
      </c>
      <c r="AD15" s="45">
        <f t="shared" si="1"/>
        <v>68.93535399999999</v>
      </c>
      <c r="AE15" s="45">
        <f t="shared" si="2"/>
        <v>454.09464600000001</v>
      </c>
    </row>
    <row r="16" spans="1:31" x14ac:dyDescent="0.2">
      <c r="A16" s="58" t="s">
        <v>53</v>
      </c>
      <c r="B16" s="63">
        <f t="shared" si="3"/>
        <v>15</v>
      </c>
      <c r="C16" s="63">
        <v>6</v>
      </c>
      <c r="D16" s="63">
        <v>2021</v>
      </c>
      <c r="E16" s="47">
        <f>Water!C17</f>
        <v>0</v>
      </c>
      <c r="F16" s="47">
        <f>Water!E17</f>
        <v>0</v>
      </c>
      <c r="G16" s="47">
        <f>Water!G17</f>
        <v>0</v>
      </c>
      <c r="H16" s="47">
        <f>Water!I17</f>
        <v>0</v>
      </c>
      <c r="I16" s="47" t="str">
        <f>ELECT.!F17</f>
        <v>0</v>
      </c>
      <c r="J16" s="47" t="str">
        <f>ELECT.!H17</f>
        <v>0</v>
      </c>
      <c r="K16" s="47" t="str">
        <f>ELECT.!K17</f>
        <v>0</v>
      </c>
      <c r="L16" s="47" t="str">
        <f>ELECT.!M17</f>
        <v>0</v>
      </c>
      <c r="M16" s="47">
        <f>ELECT.!O17</f>
        <v>0</v>
      </c>
      <c r="N16" s="47" t="str">
        <f>ELECT.!Q17</f>
        <v>0</v>
      </c>
      <c r="O16" s="47" t="str">
        <f>ELECT.!S17</f>
        <v>0</v>
      </c>
      <c r="P16" s="47">
        <f>ELECT.!W17*2</f>
        <v>0</v>
      </c>
      <c r="Q16" s="47">
        <f>ELECT.!D17</f>
        <v>0</v>
      </c>
      <c r="R16" s="48" t="str">
        <f>BTU!C17</f>
        <v>0</v>
      </c>
      <c r="S16" s="48" t="str">
        <f>BTU!F17</f>
        <v>0</v>
      </c>
      <c r="T16" s="48" t="str">
        <f>BTU!I17</f>
        <v>0</v>
      </c>
      <c r="U16" s="48" t="str">
        <f>BTU!O17</f>
        <v>0</v>
      </c>
      <c r="V16" s="48" t="str">
        <f>BTU!L17</f>
        <v>0</v>
      </c>
      <c r="W16" s="48" t="str">
        <f>BTU!R17</f>
        <v>0</v>
      </c>
      <c r="X16" s="45">
        <f>ELECT.!B17</f>
        <v>0</v>
      </c>
      <c r="Y16" s="45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5">
        <f t="shared" si="1"/>
        <v>-25.569199999999999</v>
      </c>
      <c r="AE16" s="45">
        <f t="shared" si="2"/>
        <v>-168.4308</v>
      </c>
    </row>
    <row r="17" spans="1:31" x14ac:dyDescent="0.2">
      <c r="A17" s="58" t="s">
        <v>53</v>
      </c>
      <c r="B17" s="63">
        <f t="shared" si="3"/>
        <v>16</v>
      </c>
      <c r="C17" s="63">
        <v>6</v>
      </c>
      <c r="D17" s="63">
        <v>2021</v>
      </c>
      <c r="E17" s="47">
        <f>Water!C18</f>
        <v>0</v>
      </c>
      <c r="F17" s="47">
        <f>Water!E18</f>
        <v>0</v>
      </c>
      <c r="G17" s="47">
        <f>Water!G18</f>
        <v>0</v>
      </c>
      <c r="H17" s="47">
        <f>Water!I18</f>
        <v>0</v>
      </c>
      <c r="I17" s="47">
        <f>ELECT.!F18</f>
        <v>0</v>
      </c>
      <c r="J17" s="47">
        <f>ELECT.!H18</f>
        <v>0</v>
      </c>
      <c r="K17" s="47">
        <f>ELECT.!K18</f>
        <v>0</v>
      </c>
      <c r="L17" s="47">
        <f>ELECT.!M18</f>
        <v>0</v>
      </c>
      <c r="M17" s="47">
        <f>ELECT.!O18</f>
        <v>0</v>
      </c>
      <c r="N17" s="47">
        <f>ELECT.!Q18</f>
        <v>0</v>
      </c>
      <c r="O17" s="47">
        <f>ELECT.!S18</f>
        <v>0</v>
      </c>
      <c r="P17" s="47">
        <f>ELECT.!W18*2</f>
        <v>0</v>
      </c>
      <c r="Q17" s="47">
        <f>ELECT.!D18</f>
        <v>0</v>
      </c>
      <c r="R17" s="48">
        <f>BTU!C18</f>
        <v>0</v>
      </c>
      <c r="S17" s="48">
        <f>BTU!F18</f>
        <v>0</v>
      </c>
      <c r="T17" s="48">
        <f>BTU!I18</f>
        <v>0</v>
      </c>
      <c r="U17" s="48">
        <f>BTU!O18</f>
        <v>0</v>
      </c>
      <c r="V17" s="48">
        <f>BTU!L18</f>
        <v>0</v>
      </c>
      <c r="W17" s="48">
        <f>BTU!R18</f>
        <v>0</v>
      </c>
      <c r="X17" s="45">
        <f>ELECT.!B18</f>
        <v>0</v>
      </c>
      <c r="Y17" s="45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5">
        <f t="shared" si="1"/>
        <v>-25.569199999999999</v>
      </c>
      <c r="AE17" s="45">
        <f t="shared" si="2"/>
        <v>-168.4308</v>
      </c>
    </row>
    <row r="18" spans="1:31" x14ac:dyDescent="0.2">
      <c r="A18" s="58" t="s">
        <v>53</v>
      </c>
      <c r="B18" s="63">
        <f t="shared" si="3"/>
        <v>17</v>
      </c>
      <c r="C18" s="63">
        <v>6</v>
      </c>
      <c r="D18" s="63">
        <v>2021</v>
      </c>
      <c r="E18" s="47">
        <f>Water!C19</f>
        <v>0</v>
      </c>
      <c r="F18" s="47">
        <f>Water!E19</f>
        <v>0</v>
      </c>
      <c r="G18" s="47">
        <f>Water!G19</f>
        <v>0</v>
      </c>
      <c r="H18" s="47">
        <f>Water!I19</f>
        <v>0</v>
      </c>
      <c r="I18" s="47">
        <f>ELECT.!F19</f>
        <v>0</v>
      </c>
      <c r="J18" s="47">
        <f>ELECT.!H19</f>
        <v>0</v>
      </c>
      <c r="K18" s="47">
        <f>ELECT.!K19</f>
        <v>0</v>
      </c>
      <c r="L18" s="47">
        <f>ELECT.!M19</f>
        <v>0</v>
      </c>
      <c r="M18" s="47">
        <f>ELECT.!O19</f>
        <v>0</v>
      </c>
      <c r="N18" s="47">
        <f>ELECT.!Q19</f>
        <v>0</v>
      </c>
      <c r="O18" s="47">
        <f>ELECT.!S19</f>
        <v>0</v>
      </c>
      <c r="P18" s="47">
        <f>ELECT.!W19*2</f>
        <v>0</v>
      </c>
      <c r="Q18" s="47">
        <f>ELECT.!D19</f>
        <v>0</v>
      </c>
      <c r="R18" s="48">
        <f>BTU!C19</f>
        <v>0</v>
      </c>
      <c r="S18" s="48">
        <f>BTU!F19</f>
        <v>0</v>
      </c>
      <c r="T18" s="48">
        <f>BTU!I19</f>
        <v>0</v>
      </c>
      <c r="U18" s="48">
        <f>BTU!O19</f>
        <v>0</v>
      </c>
      <c r="V18" s="48">
        <f>BTU!L19</f>
        <v>0</v>
      </c>
      <c r="W18" s="48">
        <f>BTU!R19</f>
        <v>0</v>
      </c>
      <c r="X18" s="45">
        <f>ELECT.!B19</f>
        <v>0</v>
      </c>
      <c r="Y18" s="4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5">
        <f t="shared" si="1"/>
        <v>-25.569199999999999</v>
      </c>
      <c r="AE18" s="45">
        <f t="shared" si="2"/>
        <v>-168.4308</v>
      </c>
    </row>
    <row r="19" spans="1:31" x14ac:dyDescent="0.2">
      <c r="A19" s="58" t="s">
        <v>53</v>
      </c>
      <c r="B19" s="63">
        <f t="shared" si="3"/>
        <v>18</v>
      </c>
      <c r="C19" s="63">
        <v>6</v>
      </c>
      <c r="D19" s="63">
        <v>2021</v>
      </c>
      <c r="E19" s="47">
        <f>Water!C20</f>
        <v>0</v>
      </c>
      <c r="F19" s="47">
        <f>Water!E20</f>
        <v>0</v>
      </c>
      <c r="G19" s="47">
        <f>Water!G20</f>
        <v>0</v>
      </c>
      <c r="H19" s="47">
        <f>Water!I20</f>
        <v>0</v>
      </c>
      <c r="I19" s="47">
        <f>ELECT.!F20</f>
        <v>0</v>
      </c>
      <c r="J19" s="47">
        <f>ELECT.!H20</f>
        <v>0</v>
      </c>
      <c r="K19" s="47">
        <f>ELECT.!K20</f>
        <v>0</v>
      </c>
      <c r="L19" s="47">
        <f>ELECT.!M20</f>
        <v>0</v>
      </c>
      <c r="M19" s="47">
        <f>ELECT.!O20</f>
        <v>0</v>
      </c>
      <c r="N19" s="47">
        <f>ELECT.!Q20</f>
        <v>0</v>
      </c>
      <c r="O19" s="47">
        <f>ELECT.!S20</f>
        <v>0</v>
      </c>
      <c r="P19" s="47">
        <f>ELECT.!W20*2</f>
        <v>0</v>
      </c>
      <c r="Q19" s="47">
        <f>ELECT.!D20</f>
        <v>0</v>
      </c>
      <c r="R19" s="48">
        <f>BTU!C20</f>
        <v>0</v>
      </c>
      <c r="S19" s="48">
        <f>BTU!F20</f>
        <v>0</v>
      </c>
      <c r="T19" s="48">
        <f>BTU!I20</f>
        <v>0</v>
      </c>
      <c r="U19" s="48">
        <f>BTU!O20</f>
        <v>0</v>
      </c>
      <c r="V19" s="48">
        <f>BTU!L20</f>
        <v>0</v>
      </c>
      <c r="W19" s="48">
        <f>BTU!R20</f>
        <v>0</v>
      </c>
      <c r="X19" s="45">
        <f>ELECT.!B20</f>
        <v>0</v>
      </c>
      <c r="Y19" s="4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5">
        <f t="shared" si="1"/>
        <v>-25.569199999999999</v>
      </c>
      <c r="AE19" s="45">
        <f t="shared" si="2"/>
        <v>-168.4308</v>
      </c>
    </row>
    <row r="20" spans="1:31" x14ac:dyDescent="0.2">
      <c r="A20" s="58" t="s">
        <v>53</v>
      </c>
      <c r="B20" s="63">
        <f t="shared" si="3"/>
        <v>19</v>
      </c>
      <c r="C20" s="63">
        <v>6</v>
      </c>
      <c r="D20" s="63">
        <v>2021</v>
      </c>
      <c r="E20" s="47">
        <f>Water!C21</f>
        <v>0</v>
      </c>
      <c r="F20" s="47">
        <f>Water!E21</f>
        <v>0</v>
      </c>
      <c r="G20" s="47">
        <f>Water!G21</f>
        <v>0</v>
      </c>
      <c r="H20" s="47">
        <f>Water!I21</f>
        <v>0</v>
      </c>
      <c r="I20" s="47">
        <f>ELECT.!F21</f>
        <v>0</v>
      </c>
      <c r="J20" s="47">
        <f>ELECT.!H21</f>
        <v>0</v>
      </c>
      <c r="K20" s="47">
        <f>ELECT.!K21</f>
        <v>0</v>
      </c>
      <c r="L20" s="47">
        <f>ELECT.!M21</f>
        <v>0</v>
      </c>
      <c r="M20" s="47">
        <f>ELECT.!O21</f>
        <v>0</v>
      </c>
      <c r="N20" s="47">
        <f>ELECT.!Q21</f>
        <v>0</v>
      </c>
      <c r="O20" s="47">
        <f>ELECT.!S21</f>
        <v>0</v>
      </c>
      <c r="P20" s="47">
        <f>ELECT.!W21*2</f>
        <v>0</v>
      </c>
      <c r="Q20" s="47">
        <f>ELECT.!D21</f>
        <v>0</v>
      </c>
      <c r="R20" s="48">
        <f>BTU!C21</f>
        <v>0</v>
      </c>
      <c r="S20" s="48">
        <f>BTU!F21</f>
        <v>0</v>
      </c>
      <c r="T20" s="48">
        <f>BTU!I21</f>
        <v>0</v>
      </c>
      <c r="U20" s="48">
        <f>BTU!O21</f>
        <v>0</v>
      </c>
      <c r="V20" s="48">
        <f>BTU!L21</f>
        <v>0</v>
      </c>
      <c r="W20" s="48">
        <f>BTU!R21</f>
        <v>0</v>
      </c>
      <c r="X20" s="45">
        <f>ELECT.!B21</f>
        <v>0</v>
      </c>
      <c r="Y20" s="4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5">
        <f t="shared" si="1"/>
        <v>-25.569199999999999</v>
      </c>
      <c r="AE20" s="45">
        <f t="shared" si="2"/>
        <v>-168.4308</v>
      </c>
    </row>
    <row r="21" spans="1:31" x14ac:dyDescent="0.2">
      <c r="A21" s="58" t="s">
        <v>53</v>
      </c>
      <c r="B21" s="63">
        <f t="shared" si="3"/>
        <v>20</v>
      </c>
      <c r="C21" s="63">
        <v>6</v>
      </c>
      <c r="D21" s="63">
        <v>2021</v>
      </c>
      <c r="E21" s="47">
        <f>Water!C22</f>
        <v>0</v>
      </c>
      <c r="F21" s="47">
        <f>Water!E22</f>
        <v>0</v>
      </c>
      <c r="G21" s="47">
        <f>Water!G22</f>
        <v>0</v>
      </c>
      <c r="H21" s="47">
        <f>Water!I22</f>
        <v>0</v>
      </c>
      <c r="I21" s="47">
        <f>ELECT.!F22</f>
        <v>0</v>
      </c>
      <c r="J21" s="47">
        <f>ELECT.!H22</f>
        <v>0</v>
      </c>
      <c r="K21" s="47">
        <f>ELECT.!K22</f>
        <v>0</v>
      </c>
      <c r="L21" s="47">
        <f>ELECT.!M22</f>
        <v>0</v>
      </c>
      <c r="M21" s="47">
        <f>ELECT.!O22</f>
        <v>0</v>
      </c>
      <c r="N21" s="47">
        <f>ELECT.!Q22</f>
        <v>0</v>
      </c>
      <c r="O21" s="47">
        <f>ELECT.!S22</f>
        <v>0</v>
      </c>
      <c r="P21" s="47">
        <f>ELECT.!W22*2</f>
        <v>0</v>
      </c>
      <c r="Q21" s="47">
        <f>ELECT.!D22</f>
        <v>0</v>
      </c>
      <c r="R21" s="48">
        <f>BTU!C22</f>
        <v>0</v>
      </c>
      <c r="S21" s="48">
        <f>BTU!F22</f>
        <v>0</v>
      </c>
      <c r="T21" s="48">
        <f>BTU!I22</f>
        <v>0</v>
      </c>
      <c r="U21" s="48">
        <f>BTU!O22</f>
        <v>0</v>
      </c>
      <c r="V21" s="48">
        <f>BTU!L22</f>
        <v>0</v>
      </c>
      <c r="W21" s="48">
        <f>BTU!R22</f>
        <v>0</v>
      </c>
      <c r="X21" s="45">
        <f>ELECT.!B22</f>
        <v>0</v>
      </c>
      <c r="Y21" s="4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5">
        <f t="shared" si="1"/>
        <v>-25.569199999999999</v>
      </c>
      <c r="AE21" s="45">
        <f t="shared" si="2"/>
        <v>-168.4308</v>
      </c>
    </row>
    <row r="22" spans="1:31" x14ac:dyDescent="0.2">
      <c r="A22" s="58" t="s">
        <v>53</v>
      </c>
      <c r="B22" s="63">
        <f t="shared" si="3"/>
        <v>21</v>
      </c>
      <c r="C22" s="63">
        <v>6</v>
      </c>
      <c r="D22" s="63">
        <v>2021</v>
      </c>
      <c r="E22" s="47">
        <f>Water!C23</f>
        <v>0</v>
      </c>
      <c r="F22" s="47">
        <f>Water!E23</f>
        <v>0</v>
      </c>
      <c r="G22" s="47">
        <f>Water!G23</f>
        <v>0</v>
      </c>
      <c r="H22" s="47">
        <f>Water!I23</f>
        <v>0</v>
      </c>
      <c r="I22" s="47">
        <f>ELECT.!F23</f>
        <v>0</v>
      </c>
      <c r="J22" s="47">
        <f>ELECT.!H23</f>
        <v>0</v>
      </c>
      <c r="K22" s="47">
        <f>ELECT.!K23</f>
        <v>0</v>
      </c>
      <c r="L22" s="47">
        <f>ELECT.!M23</f>
        <v>0</v>
      </c>
      <c r="M22" s="47">
        <f>ELECT.!O23</f>
        <v>0</v>
      </c>
      <c r="N22" s="47">
        <f>ELECT.!Q23</f>
        <v>0</v>
      </c>
      <c r="O22" s="47">
        <f>ELECT.!S23</f>
        <v>0</v>
      </c>
      <c r="P22" s="47">
        <f>ELECT.!W23*2</f>
        <v>0</v>
      </c>
      <c r="Q22" s="47">
        <f>ELECT.!D23</f>
        <v>0</v>
      </c>
      <c r="R22" s="48">
        <f>BTU!C23</f>
        <v>0</v>
      </c>
      <c r="S22" s="48">
        <f>BTU!F23</f>
        <v>0</v>
      </c>
      <c r="T22" s="48">
        <f>BTU!I23</f>
        <v>0</v>
      </c>
      <c r="U22" s="48">
        <f>BTU!O23</f>
        <v>0</v>
      </c>
      <c r="V22" s="48">
        <f>BTU!L23</f>
        <v>0</v>
      </c>
      <c r="W22" s="48">
        <f>BTU!R23</f>
        <v>0</v>
      </c>
      <c r="X22" s="45">
        <f>ELECT.!B23</f>
        <v>0</v>
      </c>
      <c r="Y22" s="4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5">
        <f t="shared" si="1"/>
        <v>-25.569199999999999</v>
      </c>
      <c r="AE22" s="45">
        <f t="shared" si="2"/>
        <v>-168.4308</v>
      </c>
    </row>
    <row r="23" spans="1:31" x14ac:dyDescent="0.2">
      <c r="A23" s="58" t="s">
        <v>53</v>
      </c>
      <c r="B23" s="63">
        <f t="shared" si="3"/>
        <v>22</v>
      </c>
      <c r="C23" s="63">
        <v>6</v>
      </c>
      <c r="D23" s="63">
        <v>2021</v>
      </c>
      <c r="E23" s="47">
        <f>Water!C24</f>
        <v>0</v>
      </c>
      <c r="F23" s="47">
        <f>Water!E24</f>
        <v>0</v>
      </c>
      <c r="G23" s="47">
        <f>Water!G24</f>
        <v>0</v>
      </c>
      <c r="H23" s="47">
        <f>Water!I24</f>
        <v>0</v>
      </c>
      <c r="I23" s="47">
        <f>ELECT.!F24</f>
        <v>0</v>
      </c>
      <c r="J23" s="47">
        <f>ELECT.!H24</f>
        <v>0</v>
      </c>
      <c r="K23" s="47">
        <f>ELECT.!K24</f>
        <v>0</v>
      </c>
      <c r="L23" s="47">
        <f>ELECT.!M24</f>
        <v>0</v>
      </c>
      <c r="M23" s="47">
        <f>ELECT.!O24</f>
        <v>0</v>
      </c>
      <c r="N23" s="47">
        <f>ELECT.!Q24</f>
        <v>0</v>
      </c>
      <c r="O23" s="47">
        <f>ELECT.!S24</f>
        <v>0</v>
      </c>
      <c r="P23" s="47">
        <f>ELECT.!W24*2</f>
        <v>0</v>
      </c>
      <c r="Q23" s="47">
        <f>ELECT.!D24</f>
        <v>0</v>
      </c>
      <c r="R23" s="48">
        <f>BTU!C24</f>
        <v>0</v>
      </c>
      <c r="S23" s="48">
        <f>BTU!F24</f>
        <v>0</v>
      </c>
      <c r="T23" s="48">
        <f>BTU!I24</f>
        <v>0</v>
      </c>
      <c r="U23" s="48">
        <f>BTU!O24</f>
        <v>0</v>
      </c>
      <c r="V23" s="48">
        <f>BTU!L24</f>
        <v>0</v>
      </c>
      <c r="W23" s="48">
        <f>BTU!R24</f>
        <v>0</v>
      </c>
      <c r="X23" s="45">
        <f>ELECT.!B24</f>
        <v>0</v>
      </c>
      <c r="Y23" s="4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5">
        <f t="shared" si="1"/>
        <v>-25.569199999999999</v>
      </c>
      <c r="AE23" s="45">
        <f t="shared" si="2"/>
        <v>-168.4308</v>
      </c>
    </row>
    <row r="24" spans="1:31" x14ac:dyDescent="0.2">
      <c r="A24" s="58" t="s">
        <v>53</v>
      </c>
      <c r="B24" s="63">
        <f t="shared" si="3"/>
        <v>23</v>
      </c>
      <c r="C24" s="63">
        <v>6</v>
      </c>
      <c r="D24" s="63">
        <v>2021</v>
      </c>
      <c r="E24" s="47">
        <f>Water!C25</f>
        <v>0</v>
      </c>
      <c r="F24" s="47">
        <f>Water!E25</f>
        <v>0</v>
      </c>
      <c r="G24" s="47">
        <f>Water!G25</f>
        <v>0</v>
      </c>
      <c r="H24" s="47">
        <f>Water!I25</f>
        <v>0</v>
      </c>
      <c r="I24" s="47">
        <f>ELECT.!F25</f>
        <v>0</v>
      </c>
      <c r="J24" s="47">
        <f>ELECT.!H25</f>
        <v>0</v>
      </c>
      <c r="K24" s="47">
        <f>ELECT.!K25</f>
        <v>0</v>
      </c>
      <c r="L24" s="47">
        <f>ELECT.!M25</f>
        <v>0</v>
      </c>
      <c r="M24" s="47">
        <f>ELECT.!O25</f>
        <v>0</v>
      </c>
      <c r="N24" s="47">
        <f>ELECT.!Q25</f>
        <v>0</v>
      </c>
      <c r="O24" s="47">
        <f>ELECT.!S25</f>
        <v>0</v>
      </c>
      <c r="P24" s="47">
        <f>ELECT.!W25*2</f>
        <v>0</v>
      </c>
      <c r="Q24" s="47">
        <f>ELECT.!D25</f>
        <v>0</v>
      </c>
      <c r="R24" s="48">
        <f>BTU!C25</f>
        <v>0</v>
      </c>
      <c r="S24" s="48">
        <f>BTU!F25</f>
        <v>0</v>
      </c>
      <c r="T24" s="48">
        <f>BTU!I25</f>
        <v>0</v>
      </c>
      <c r="U24" s="48">
        <f>BTU!O25</f>
        <v>0</v>
      </c>
      <c r="V24" s="48">
        <f>BTU!L25</f>
        <v>0</v>
      </c>
      <c r="W24" s="48">
        <f>BTU!R25</f>
        <v>0</v>
      </c>
      <c r="X24" s="45">
        <f>ELECT.!B25</f>
        <v>0</v>
      </c>
      <c r="Y24" s="4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5">
        <f t="shared" si="1"/>
        <v>-25.569199999999999</v>
      </c>
      <c r="AE24" s="45">
        <f t="shared" si="2"/>
        <v>-168.4308</v>
      </c>
    </row>
    <row r="25" spans="1:31" x14ac:dyDescent="0.2">
      <c r="A25" s="58" t="s">
        <v>53</v>
      </c>
      <c r="B25" s="63">
        <f t="shared" si="3"/>
        <v>24</v>
      </c>
      <c r="C25" s="63">
        <v>6</v>
      </c>
      <c r="D25" s="63">
        <v>2021</v>
      </c>
      <c r="E25" s="47">
        <f>Water!C26</f>
        <v>0</v>
      </c>
      <c r="F25" s="47">
        <f>Water!E26</f>
        <v>0</v>
      </c>
      <c r="G25" s="47">
        <f>Water!G26</f>
        <v>0</v>
      </c>
      <c r="H25" s="47">
        <f>Water!I26</f>
        <v>0</v>
      </c>
      <c r="I25" s="47">
        <f>ELECT.!F26</f>
        <v>0</v>
      </c>
      <c r="J25" s="47">
        <f>ELECT.!H26</f>
        <v>0</v>
      </c>
      <c r="K25" s="47">
        <f>ELECT.!K26</f>
        <v>0</v>
      </c>
      <c r="L25" s="47">
        <f>ELECT.!M26</f>
        <v>0</v>
      </c>
      <c r="M25" s="47">
        <f>ELECT.!O26</f>
        <v>0</v>
      </c>
      <c r="N25" s="47">
        <f>ELECT.!Q26</f>
        <v>0</v>
      </c>
      <c r="O25" s="47">
        <f>ELECT.!S26</f>
        <v>0</v>
      </c>
      <c r="P25" s="47">
        <f>ELECT.!W26*2</f>
        <v>0</v>
      </c>
      <c r="Q25" s="47">
        <f>ELECT.!D26</f>
        <v>0</v>
      </c>
      <c r="R25" s="48">
        <f>BTU!C26</f>
        <v>0</v>
      </c>
      <c r="S25" s="48">
        <f>BTU!F26</f>
        <v>0</v>
      </c>
      <c r="T25" s="48">
        <f>BTU!I26</f>
        <v>0</v>
      </c>
      <c r="U25" s="48">
        <f>BTU!O26</f>
        <v>0</v>
      </c>
      <c r="V25" s="48">
        <f>BTU!L26</f>
        <v>0</v>
      </c>
      <c r="W25" s="48">
        <f>BTU!R26</f>
        <v>0</v>
      </c>
      <c r="X25" s="45">
        <f>ELECT.!B26</f>
        <v>0</v>
      </c>
      <c r="Y25" s="4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45">
        <f t="shared" si="1"/>
        <v>-25.569199999999999</v>
      </c>
      <c r="AE25" s="45">
        <f t="shared" si="2"/>
        <v>-168.4308</v>
      </c>
    </row>
    <row r="26" spans="1:31" x14ac:dyDescent="0.2">
      <c r="A26" s="58" t="s">
        <v>53</v>
      </c>
      <c r="B26" s="63">
        <f>B25+1</f>
        <v>25</v>
      </c>
      <c r="C26" s="63">
        <v>6</v>
      </c>
      <c r="D26" s="63">
        <v>2021</v>
      </c>
      <c r="E26" s="47">
        <f>Water!C27</f>
        <v>0</v>
      </c>
      <c r="F26" s="47">
        <f>Water!E27</f>
        <v>0</v>
      </c>
      <c r="G26" s="47">
        <f>Water!G27</f>
        <v>0</v>
      </c>
      <c r="H26" s="47">
        <f>Water!I27</f>
        <v>0</v>
      </c>
      <c r="I26" s="47">
        <f>ELECT.!F27</f>
        <v>0</v>
      </c>
      <c r="J26" s="47">
        <f>ELECT.!H27</f>
        <v>0</v>
      </c>
      <c r="K26" s="47">
        <f>ELECT.!K27</f>
        <v>0</v>
      </c>
      <c r="L26" s="47">
        <f>ELECT.!M27</f>
        <v>0</v>
      </c>
      <c r="M26" s="47">
        <f>ELECT.!O27</f>
        <v>0</v>
      </c>
      <c r="N26" s="47">
        <f>ELECT.!Q27</f>
        <v>0</v>
      </c>
      <c r="O26" s="47">
        <f>ELECT.!S27</f>
        <v>0</v>
      </c>
      <c r="P26" s="47">
        <f>ELECT.!W27*2</f>
        <v>0</v>
      </c>
      <c r="Q26" s="47">
        <f>ELECT.!D27</f>
        <v>0</v>
      </c>
      <c r="R26" s="48">
        <f>BTU!C27</f>
        <v>0</v>
      </c>
      <c r="S26" s="48">
        <f>BTU!F27</f>
        <v>0</v>
      </c>
      <c r="T26" s="48">
        <f>BTU!I27</f>
        <v>0</v>
      </c>
      <c r="U26" s="48">
        <f>BTU!O27</f>
        <v>0</v>
      </c>
      <c r="V26" s="48">
        <f>BTU!L27</f>
        <v>0</v>
      </c>
      <c r="W26" s="48">
        <f>BTU!R27</f>
        <v>0</v>
      </c>
      <c r="X26" s="45">
        <f>ELECT.!B27</f>
        <v>0</v>
      </c>
      <c r="Y26" s="4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5">
        <f t="shared" si="1"/>
        <v>-25.569199999999999</v>
      </c>
      <c r="AE26" s="45">
        <f t="shared" si="2"/>
        <v>-168.4308</v>
      </c>
    </row>
    <row r="27" spans="1:31" x14ac:dyDescent="0.2">
      <c r="A27" s="58" t="s">
        <v>53</v>
      </c>
      <c r="B27" s="63">
        <f t="shared" si="3"/>
        <v>26</v>
      </c>
      <c r="C27" s="63">
        <v>6</v>
      </c>
      <c r="D27" s="63">
        <v>2021</v>
      </c>
      <c r="E27" s="47">
        <f>Water!C28</f>
        <v>0</v>
      </c>
      <c r="F27" s="47">
        <f>Water!E28</f>
        <v>0</v>
      </c>
      <c r="G27" s="47">
        <f>Water!G28</f>
        <v>0</v>
      </c>
      <c r="H27" s="47">
        <f>Water!I28</f>
        <v>0</v>
      </c>
      <c r="I27" s="47">
        <f>ELECT.!F28</f>
        <v>0</v>
      </c>
      <c r="J27" s="47">
        <f>ELECT.!H28</f>
        <v>0</v>
      </c>
      <c r="K27" s="47">
        <f>ELECT.!K28</f>
        <v>0</v>
      </c>
      <c r="L27" s="47">
        <f>ELECT.!M28</f>
        <v>0</v>
      </c>
      <c r="M27" s="47">
        <f>ELECT.!O28</f>
        <v>0</v>
      </c>
      <c r="N27" s="47">
        <f>ELECT.!Q28</f>
        <v>0</v>
      </c>
      <c r="O27" s="47">
        <f>ELECT.!S28</f>
        <v>0</v>
      </c>
      <c r="P27" s="47">
        <f>ELECT.!W28*2</f>
        <v>0</v>
      </c>
      <c r="Q27" s="47">
        <f>ELECT.!D28</f>
        <v>0</v>
      </c>
      <c r="R27" s="48">
        <f>BTU!C28</f>
        <v>0</v>
      </c>
      <c r="S27" s="48">
        <f>BTU!F28</f>
        <v>0</v>
      </c>
      <c r="T27" s="48">
        <f>BTU!I28</f>
        <v>0</v>
      </c>
      <c r="U27" s="48">
        <f>BTU!O28</f>
        <v>0</v>
      </c>
      <c r="V27" s="48">
        <f>BTU!L28</f>
        <v>0</v>
      </c>
      <c r="W27" s="48">
        <f>BTU!R28</f>
        <v>0</v>
      </c>
      <c r="X27" s="45">
        <f>ELECT.!B28</f>
        <v>0</v>
      </c>
      <c r="Y27" s="4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5">
        <f t="shared" si="1"/>
        <v>-25.569199999999999</v>
      </c>
      <c r="AE27" s="45">
        <f t="shared" si="2"/>
        <v>-168.4308</v>
      </c>
    </row>
    <row r="28" spans="1:31" x14ac:dyDescent="0.2">
      <c r="A28" s="58" t="s">
        <v>53</v>
      </c>
      <c r="B28" s="63">
        <f t="shared" si="3"/>
        <v>27</v>
      </c>
      <c r="C28" s="63">
        <v>6</v>
      </c>
      <c r="D28" s="63">
        <v>2021</v>
      </c>
      <c r="E28" s="47">
        <f>Water!C29</f>
        <v>0</v>
      </c>
      <c r="F28" s="47">
        <f>Water!E29</f>
        <v>0</v>
      </c>
      <c r="G28" s="47">
        <f>Water!G29</f>
        <v>0</v>
      </c>
      <c r="H28" s="47">
        <f>Water!I29</f>
        <v>0</v>
      </c>
      <c r="I28" s="47">
        <f>ELECT.!F29</f>
        <v>0</v>
      </c>
      <c r="J28" s="47">
        <f>ELECT.!H29</f>
        <v>0</v>
      </c>
      <c r="K28" s="47">
        <f>ELECT.!K29</f>
        <v>0</v>
      </c>
      <c r="L28" s="47">
        <f>ELECT.!M29</f>
        <v>0</v>
      </c>
      <c r="M28" s="47">
        <f>ELECT.!O29</f>
        <v>0</v>
      </c>
      <c r="N28" s="47">
        <f>ELECT.!Q29</f>
        <v>0</v>
      </c>
      <c r="O28" s="47">
        <f>ELECT.!S29</f>
        <v>0</v>
      </c>
      <c r="P28" s="47">
        <f>ELECT.!W29*2</f>
        <v>0</v>
      </c>
      <c r="Q28" s="47">
        <f>ELECT.!D29</f>
        <v>0</v>
      </c>
      <c r="R28" s="48">
        <f>BTU!C29</f>
        <v>0</v>
      </c>
      <c r="S28" s="48">
        <f>BTU!F29</f>
        <v>0</v>
      </c>
      <c r="T28" s="48">
        <f>BTU!I29</f>
        <v>0</v>
      </c>
      <c r="U28" s="48">
        <f>BTU!O29</f>
        <v>0</v>
      </c>
      <c r="V28" s="48">
        <f>BTU!L29</f>
        <v>0</v>
      </c>
      <c r="W28" s="48">
        <f>BTU!R29</f>
        <v>0</v>
      </c>
      <c r="X28" s="45">
        <f>ELECT.!B29</f>
        <v>0</v>
      </c>
      <c r="Y28" s="4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5">
        <f t="shared" si="1"/>
        <v>-25.569199999999999</v>
      </c>
      <c r="AE28" s="45">
        <f t="shared" si="2"/>
        <v>-168.4308</v>
      </c>
    </row>
    <row r="29" spans="1:31" x14ac:dyDescent="0.2">
      <c r="A29" s="58" t="s">
        <v>53</v>
      </c>
      <c r="B29" s="63">
        <f t="shared" si="3"/>
        <v>28</v>
      </c>
      <c r="C29" s="63">
        <v>6</v>
      </c>
      <c r="D29" s="63">
        <v>2021</v>
      </c>
      <c r="E29" s="47">
        <f>Water!C30</f>
        <v>0</v>
      </c>
      <c r="F29" s="47">
        <f>Water!E30</f>
        <v>0</v>
      </c>
      <c r="G29" s="47">
        <f>Water!G30</f>
        <v>0</v>
      </c>
      <c r="H29" s="47">
        <f>Water!I30</f>
        <v>0</v>
      </c>
      <c r="I29" s="47">
        <f>ELECT.!F30</f>
        <v>0</v>
      </c>
      <c r="J29" s="47">
        <f>ELECT.!H30</f>
        <v>0</v>
      </c>
      <c r="K29" s="47">
        <f>ELECT.!K30</f>
        <v>0</v>
      </c>
      <c r="L29" s="47">
        <f>ELECT.!M30</f>
        <v>0</v>
      </c>
      <c r="M29" s="47">
        <f>ELECT.!O30</f>
        <v>0</v>
      </c>
      <c r="N29" s="47">
        <f>ELECT.!Q30</f>
        <v>0</v>
      </c>
      <c r="O29" s="47">
        <f>ELECT.!S30</f>
        <v>0</v>
      </c>
      <c r="P29" s="47">
        <f>ELECT.!W30*2</f>
        <v>0</v>
      </c>
      <c r="Q29" s="47">
        <f>ELECT.!D30</f>
        <v>0</v>
      </c>
      <c r="R29" s="48">
        <f>BTU!C30</f>
        <v>0</v>
      </c>
      <c r="S29" s="48">
        <f>BTU!F30</f>
        <v>0</v>
      </c>
      <c r="T29" s="48">
        <f>BTU!I30</f>
        <v>0</v>
      </c>
      <c r="U29" s="48">
        <f>BTU!O30</f>
        <v>0</v>
      </c>
      <c r="V29" s="48">
        <f>BTU!L30</f>
        <v>0</v>
      </c>
      <c r="W29" s="48">
        <f>BTU!R30</f>
        <v>0</v>
      </c>
      <c r="X29" s="45">
        <f>ELECT.!B30</f>
        <v>0</v>
      </c>
      <c r="Y29" s="4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5">
        <f t="shared" si="1"/>
        <v>-25.569199999999999</v>
      </c>
      <c r="AE29" s="45">
        <f t="shared" si="2"/>
        <v>-168.4308</v>
      </c>
    </row>
    <row r="30" spans="1:31" x14ac:dyDescent="0.2">
      <c r="A30" s="58" t="s">
        <v>53</v>
      </c>
      <c r="B30" s="63">
        <f t="shared" si="3"/>
        <v>29</v>
      </c>
      <c r="C30" s="63">
        <v>6</v>
      </c>
      <c r="D30" s="63">
        <v>2021</v>
      </c>
      <c r="E30" s="47">
        <f>Water!C31</f>
        <v>0</v>
      </c>
      <c r="F30" s="47">
        <f>Water!E31</f>
        <v>0</v>
      </c>
      <c r="G30" s="47">
        <f>Water!E31</f>
        <v>0</v>
      </c>
      <c r="H30" s="47">
        <f>Water!I31</f>
        <v>0</v>
      </c>
      <c r="I30" s="47">
        <f>Water!G31</f>
        <v>0</v>
      </c>
      <c r="J30" s="47">
        <f>ELECT.!H31</f>
        <v>0</v>
      </c>
      <c r="K30" s="47">
        <f>Water!I31</f>
        <v>0</v>
      </c>
      <c r="L30" s="47">
        <f>Water!J31</f>
        <v>0</v>
      </c>
      <c r="M30" s="47">
        <f>Water!K31</f>
        <v>0</v>
      </c>
      <c r="N30" s="47">
        <f>Water!L31</f>
        <v>0</v>
      </c>
      <c r="O30" s="47">
        <f>Water!M31</f>
        <v>0</v>
      </c>
      <c r="P30" s="47">
        <f>Water!N31</f>
        <v>0</v>
      </c>
      <c r="Q30" s="47">
        <f>Water!O31</f>
        <v>0</v>
      </c>
      <c r="R30" s="48">
        <f>BTU!C31</f>
        <v>0</v>
      </c>
      <c r="S30" s="48">
        <f>BTU!F31</f>
        <v>0</v>
      </c>
      <c r="T30" s="48">
        <f>BTU!I31</f>
        <v>0</v>
      </c>
      <c r="U30" s="48">
        <f>BTU!O31</f>
        <v>0</v>
      </c>
      <c r="V30" s="48">
        <f>BTU!L31</f>
        <v>0</v>
      </c>
      <c r="W30" s="48">
        <f>BTU!R31</f>
        <v>0</v>
      </c>
      <c r="X30" s="45">
        <f>ELECT.!B31</f>
        <v>0</v>
      </c>
      <c r="Y30" s="45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5">
        <f t="shared" si="1"/>
        <v>-25.569199999999999</v>
      </c>
      <c r="AE30" s="45">
        <f t="shared" si="2"/>
        <v>-168.4308</v>
      </c>
    </row>
    <row r="31" spans="1:31" x14ac:dyDescent="0.2">
      <c r="A31" s="58" t="s">
        <v>53</v>
      </c>
      <c r="B31" s="63">
        <f t="shared" si="3"/>
        <v>30</v>
      </c>
      <c r="C31" s="63">
        <v>6</v>
      </c>
      <c r="D31" s="63">
        <v>2021</v>
      </c>
      <c r="E31" s="47">
        <f>Water!C32</f>
        <v>0</v>
      </c>
      <c r="F31" s="47">
        <f>Water!E32</f>
        <v>0</v>
      </c>
      <c r="G31" s="47">
        <f>Water!E32</f>
        <v>0</v>
      </c>
      <c r="H31" s="47">
        <f>Water!I32</f>
        <v>0</v>
      </c>
      <c r="I31" s="47">
        <f>Water!G32</f>
        <v>0</v>
      </c>
      <c r="J31" s="47">
        <f>ELECT.!H32</f>
        <v>0</v>
      </c>
      <c r="K31" s="47">
        <f>Water!I32</f>
        <v>0</v>
      </c>
      <c r="L31" s="47">
        <f>Water!J32</f>
        <v>0</v>
      </c>
      <c r="M31" s="47">
        <f>Water!K32</f>
        <v>0</v>
      </c>
      <c r="N31" s="47">
        <f>Water!L32</f>
        <v>0</v>
      </c>
      <c r="O31" s="47">
        <f>Water!M32</f>
        <v>0</v>
      </c>
      <c r="P31" s="47">
        <f>Water!N32</f>
        <v>0</v>
      </c>
      <c r="Q31" s="47">
        <f>Water!O32</f>
        <v>0</v>
      </c>
      <c r="R31" s="48">
        <f>BTU!C32</f>
        <v>0</v>
      </c>
      <c r="S31" s="48">
        <f>BTU!F32</f>
        <v>0</v>
      </c>
      <c r="T31" s="48">
        <f>BTU!I32</f>
        <v>0</v>
      </c>
      <c r="U31" s="48">
        <f>BTU!O32</f>
        <v>0</v>
      </c>
      <c r="V31" s="48">
        <f>BTU!L32</f>
        <v>0</v>
      </c>
      <c r="W31" s="48">
        <f>BTU!R32</f>
        <v>0</v>
      </c>
      <c r="X31" s="45">
        <f>ELECT.!B32</f>
        <v>0</v>
      </c>
      <c r="Y31" s="45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45">
        <f t="shared" si="1"/>
        <v>-25.569199999999999</v>
      </c>
      <c r="AE31" s="45">
        <f t="shared" si="2"/>
        <v>-168.4308</v>
      </c>
    </row>
    <row r="32" spans="1:31" x14ac:dyDescent="0.2">
      <c r="A32" s="58" t="s">
        <v>53</v>
      </c>
      <c r="B32" s="63">
        <v>30</v>
      </c>
      <c r="C32" s="63">
        <v>6</v>
      </c>
      <c r="D32" s="63">
        <v>2021</v>
      </c>
      <c r="E32" s="47">
        <f>Water!C33</f>
        <v>0</v>
      </c>
      <c r="F32" s="47">
        <f>Water!E33</f>
        <v>0</v>
      </c>
      <c r="G32" s="47">
        <f>Water!E33</f>
        <v>0</v>
      </c>
      <c r="H32" s="47">
        <f>Water!I33</f>
        <v>0</v>
      </c>
      <c r="I32" s="47">
        <f>Water!G33</f>
        <v>0</v>
      </c>
      <c r="J32" s="47">
        <f>ELECT.!H33</f>
        <v>0</v>
      </c>
      <c r="K32" s="47">
        <f>Water!I33</f>
        <v>0</v>
      </c>
      <c r="L32" s="47">
        <f>Water!J33</f>
        <v>0</v>
      </c>
      <c r="M32" s="47">
        <f>Water!K33</f>
        <v>0</v>
      </c>
      <c r="N32" s="47">
        <f>Water!L33</f>
        <v>0</v>
      </c>
      <c r="O32" s="47">
        <f>Water!M33</f>
        <v>0</v>
      </c>
      <c r="P32" s="47">
        <f>Water!N33</f>
        <v>0</v>
      </c>
      <c r="Q32" s="47">
        <f>Water!O33</f>
        <v>0</v>
      </c>
      <c r="R32" s="48">
        <f>BTU!C33</f>
        <v>0</v>
      </c>
      <c r="S32" s="48">
        <f>BTU!F33</f>
        <v>0</v>
      </c>
      <c r="T32" s="48">
        <f>BTU!I33</f>
        <v>0</v>
      </c>
      <c r="U32" s="48">
        <f>BTU!O33</f>
        <v>0</v>
      </c>
      <c r="V32" s="48">
        <f>BTU!L33</f>
        <v>0</v>
      </c>
      <c r="W32" s="48">
        <f>BTU!R33</f>
        <v>0</v>
      </c>
      <c r="X32" s="45">
        <f>ELECT.!B33</f>
        <v>0</v>
      </c>
      <c r="Y32" s="45">
        <f>I32+J32-(K32+L32+M32+N32+O32+P32)</f>
        <v>0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0</v>
      </c>
      <c r="AD32" s="45">
        <f>(E32-H32-194)*0.1318</f>
        <v>-25.569199999999999</v>
      </c>
      <c r="AE32" s="45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topLeftCell="A4" workbookViewId="0">
      <selection activeCell="H16" sqref="H16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41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42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44347</v>
      </c>
      <c r="B2" s="42">
        <v>45328</v>
      </c>
      <c r="C2" s="16"/>
      <c r="D2" s="42">
        <v>39551</v>
      </c>
      <c r="E2" s="16">
        <v>320</v>
      </c>
      <c r="F2" s="42">
        <v>20411</v>
      </c>
      <c r="G2" s="16"/>
      <c r="H2" s="42">
        <v>242585</v>
      </c>
      <c r="I2" s="16"/>
      <c r="J2" s="42">
        <v>303517</v>
      </c>
      <c r="K2" s="16"/>
      <c r="L2" s="42">
        <v>24984</v>
      </c>
      <c r="M2" s="16"/>
      <c r="N2" s="42">
        <v>215544</v>
      </c>
      <c r="O2" s="16"/>
      <c r="P2" s="42">
        <v>106171</v>
      </c>
      <c r="Q2" s="16">
        <v>99</v>
      </c>
      <c r="R2" s="1">
        <v>55047</v>
      </c>
      <c r="S2" s="16">
        <v>0</v>
      </c>
      <c r="T2" s="42">
        <v>3652</v>
      </c>
      <c r="U2" s="16">
        <v>320</v>
      </c>
    </row>
    <row r="3" spans="1:24" ht="13.5" thickBot="1" x14ac:dyDescent="0.25">
      <c r="A3" s="10">
        <v>44348</v>
      </c>
      <c r="B3" s="42">
        <v>45334</v>
      </c>
      <c r="C3" s="16">
        <f>(B3-B2)*800/5</f>
        <v>960</v>
      </c>
      <c r="D3" s="42">
        <v>39554</v>
      </c>
      <c r="E3" s="16">
        <f>(D3-D2)*800/5</f>
        <v>480</v>
      </c>
      <c r="F3" s="42">
        <v>20414</v>
      </c>
      <c r="G3" s="16">
        <f>(F3-F2)*100/5</f>
        <v>60</v>
      </c>
      <c r="H3" s="42">
        <v>242642</v>
      </c>
      <c r="I3" s="16">
        <f>(H3-H2)</f>
        <v>57</v>
      </c>
      <c r="J3" s="42">
        <f>J2</f>
        <v>303517</v>
      </c>
      <c r="K3" s="16">
        <f>(J3-J2)*800/5</f>
        <v>0</v>
      </c>
      <c r="L3" s="42">
        <v>24988</v>
      </c>
      <c r="M3" s="16">
        <f>(L3-L2)*800/5</f>
        <v>640</v>
      </c>
      <c r="N3" s="42">
        <v>215547</v>
      </c>
      <c r="O3" s="16">
        <f>N3-N2</f>
        <v>3</v>
      </c>
      <c r="P3" s="42">
        <v>106320</v>
      </c>
      <c r="Q3" s="16">
        <f>P3-P2</f>
        <v>149</v>
      </c>
      <c r="R3" s="1">
        <f>R2</f>
        <v>55047</v>
      </c>
      <c r="S3" s="16">
        <f>R3-R2</f>
        <v>0</v>
      </c>
      <c r="T3" s="42">
        <v>3653</v>
      </c>
      <c r="U3" s="16">
        <f>(T3-T2)*800/5</f>
        <v>160</v>
      </c>
    </row>
    <row r="4" spans="1:24" ht="13.5" thickBot="1" x14ac:dyDescent="0.25">
      <c r="A4" s="10">
        <v>44349</v>
      </c>
      <c r="B4" s="42">
        <v>45339</v>
      </c>
      <c r="C4" s="16">
        <f t="shared" ref="C4:C33" si="0">(B4-B3)*800/5</f>
        <v>800</v>
      </c>
      <c r="D4" s="42">
        <v>39557</v>
      </c>
      <c r="E4" s="16">
        <f t="shared" ref="E4:E33" si="1">(D4-D3)*800/5</f>
        <v>480</v>
      </c>
      <c r="F4" s="42">
        <v>20418</v>
      </c>
      <c r="G4" s="16">
        <f t="shared" ref="G4:G33" si="2">(F4-F3)*100/5</f>
        <v>80</v>
      </c>
      <c r="H4" s="42">
        <v>242702</v>
      </c>
      <c r="I4" s="16">
        <f t="shared" ref="I4:I33" si="3">(H4-H3)</f>
        <v>60</v>
      </c>
      <c r="J4" s="42">
        <v>303517</v>
      </c>
      <c r="K4" s="16">
        <f t="shared" ref="K4:K33" si="4">(J4-J3)*800/5</f>
        <v>0</v>
      </c>
      <c r="L4" s="42">
        <v>24992</v>
      </c>
      <c r="M4" s="16">
        <f t="shared" ref="M4:M33" si="5">(L4-L3)*800/5</f>
        <v>640</v>
      </c>
      <c r="N4" s="42">
        <v>215550</v>
      </c>
      <c r="O4" s="16">
        <f t="shared" ref="O4:O33" si="6">N4-N3</f>
        <v>3</v>
      </c>
      <c r="P4" s="42">
        <v>106441</v>
      </c>
      <c r="Q4" s="16">
        <f t="shared" ref="Q4:Q33" si="7">P4-P3</f>
        <v>121</v>
      </c>
      <c r="R4" s="1">
        <v>55047</v>
      </c>
      <c r="S4" s="16">
        <f t="shared" ref="S4:S33" si="8">R4-R3</f>
        <v>0</v>
      </c>
      <c r="T4" s="42">
        <v>3654</v>
      </c>
      <c r="U4" s="16">
        <f t="shared" ref="U4:U33" si="9">(T4-T3)*800/5</f>
        <v>160</v>
      </c>
    </row>
    <row r="5" spans="1:24" ht="13.5" thickBot="1" x14ac:dyDescent="0.25">
      <c r="A5" s="10">
        <v>44350</v>
      </c>
      <c r="B5" s="42">
        <v>45344</v>
      </c>
      <c r="C5" s="16">
        <f t="shared" si="0"/>
        <v>800</v>
      </c>
      <c r="D5" s="42">
        <v>39559</v>
      </c>
      <c r="E5" s="16">
        <f t="shared" si="1"/>
        <v>320</v>
      </c>
      <c r="F5" s="42">
        <v>20421</v>
      </c>
      <c r="G5" s="16">
        <f t="shared" si="2"/>
        <v>60</v>
      </c>
      <c r="H5" s="42">
        <v>242776</v>
      </c>
      <c r="I5" s="16">
        <f t="shared" si="3"/>
        <v>74</v>
      </c>
      <c r="J5" s="42">
        <v>303517</v>
      </c>
      <c r="K5" s="16">
        <f t="shared" si="4"/>
        <v>0</v>
      </c>
      <c r="L5" s="42">
        <v>24996</v>
      </c>
      <c r="M5" s="16">
        <f t="shared" si="5"/>
        <v>640</v>
      </c>
      <c r="N5" s="42">
        <v>215552</v>
      </c>
      <c r="O5" s="16">
        <f t="shared" si="6"/>
        <v>2</v>
      </c>
      <c r="P5" s="42">
        <v>106614</v>
      </c>
      <c r="Q5" s="16">
        <f t="shared" si="7"/>
        <v>173</v>
      </c>
      <c r="R5" s="1">
        <v>55047</v>
      </c>
      <c r="S5" s="16">
        <f t="shared" si="8"/>
        <v>0</v>
      </c>
      <c r="T5" s="42">
        <v>3655</v>
      </c>
      <c r="U5" s="16">
        <f t="shared" si="9"/>
        <v>160</v>
      </c>
    </row>
    <row r="6" spans="1:24" ht="13.5" thickBot="1" x14ac:dyDescent="0.25">
      <c r="A6" s="10">
        <v>44351</v>
      </c>
      <c r="B6" s="42">
        <v>45345</v>
      </c>
      <c r="C6" s="16">
        <f t="shared" si="0"/>
        <v>160</v>
      </c>
      <c r="D6" s="42">
        <v>39562</v>
      </c>
      <c r="E6" s="16">
        <f t="shared" si="1"/>
        <v>480</v>
      </c>
      <c r="F6" s="42">
        <v>20425</v>
      </c>
      <c r="G6" s="16">
        <f t="shared" si="2"/>
        <v>80</v>
      </c>
      <c r="H6" s="42">
        <v>242858</v>
      </c>
      <c r="I6" s="16">
        <f t="shared" si="3"/>
        <v>82</v>
      </c>
      <c r="J6" s="42">
        <v>303517</v>
      </c>
      <c r="K6" s="16">
        <f t="shared" si="4"/>
        <v>0</v>
      </c>
      <c r="L6" s="42">
        <v>24998</v>
      </c>
      <c r="M6" s="16">
        <f t="shared" si="5"/>
        <v>320</v>
      </c>
      <c r="N6" s="42">
        <v>215557</v>
      </c>
      <c r="O6" s="16">
        <f t="shared" si="6"/>
        <v>5</v>
      </c>
      <c r="P6" s="42">
        <v>106760</v>
      </c>
      <c r="Q6" s="16">
        <f t="shared" si="7"/>
        <v>146</v>
      </c>
      <c r="R6" s="1">
        <v>55047</v>
      </c>
      <c r="S6" s="16">
        <f>R30-R5</f>
        <v>0</v>
      </c>
      <c r="T6" s="42">
        <v>3656</v>
      </c>
      <c r="U6" s="16">
        <f t="shared" si="9"/>
        <v>160</v>
      </c>
    </row>
    <row r="7" spans="1:24" ht="13.5" thickBot="1" x14ac:dyDescent="0.25">
      <c r="A7" s="10">
        <v>44352</v>
      </c>
      <c r="B7" s="42">
        <v>45354</v>
      </c>
      <c r="C7" s="16">
        <f t="shared" si="0"/>
        <v>1440</v>
      </c>
      <c r="D7" s="42">
        <v>39565</v>
      </c>
      <c r="E7" s="16">
        <f t="shared" si="1"/>
        <v>480</v>
      </c>
      <c r="F7" s="42">
        <v>20428</v>
      </c>
      <c r="G7" s="16">
        <f t="shared" si="2"/>
        <v>60</v>
      </c>
      <c r="H7" s="42">
        <v>242920</v>
      </c>
      <c r="I7" s="16">
        <f t="shared" si="3"/>
        <v>62</v>
      </c>
      <c r="J7" s="42">
        <v>303517</v>
      </c>
      <c r="K7" s="16">
        <f t="shared" si="4"/>
        <v>0</v>
      </c>
      <c r="L7" s="42">
        <v>25001</v>
      </c>
      <c r="M7" s="16">
        <f t="shared" si="5"/>
        <v>480</v>
      </c>
      <c r="N7" s="42">
        <v>215560</v>
      </c>
      <c r="O7" s="16">
        <f t="shared" si="6"/>
        <v>3</v>
      </c>
      <c r="P7" s="42">
        <v>106895</v>
      </c>
      <c r="Q7" s="16">
        <f t="shared" si="7"/>
        <v>135</v>
      </c>
      <c r="R7" s="1">
        <v>55047</v>
      </c>
      <c r="S7" s="16">
        <f>R7-R30</f>
        <v>0</v>
      </c>
      <c r="T7" s="42">
        <v>3657</v>
      </c>
      <c r="U7" s="16">
        <f t="shared" si="9"/>
        <v>160</v>
      </c>
    </row>
    <row r="8" spans="1:24" ht="13.5" thickBot="1" x14ac:dyDescent="0.25">
      <c r="A8" s="10">
        <v>44353</v>
      </c>
      <c r="B8" s="42">
        <v>45359</v>
      </c>
      <c r="C8" s="16">
        <f t="shared" si="0"/>
        <v>800</v>
      </c>
      <c r="D8" s="42">
        <v>39568</v>
      </c>
      <c r="E8" s="16">
        <f t="shared" si="1"/>
        <v>480</v>
      </c>
      <c r="F8" s="42">
        <v>20432</v>
      </c>
      <c r="G8" s="16">
        <f t="shared" si="2"/>
        <v>80</v>
      </c>
      <c r="H8" s="42">
        <v>242997</v>
      </c>
      <c r="I8" s="16">
        <f t="shared" si="3"/>
        <v>77</v>
      </c>
      <c r="J8" s="42">
        <v>303517</v>
      </c>
      <c r="K8" s="16">
        <f t="shared" si="4"/>
        <v>0</v>
      </c>
      <c r="L8" s="42">
        <v>25005</v>
      </c>
      <c r="M8" s="16">
        <f t="shared" si="5"/>
        <v>640</v>
      </c>
      <c r="N8" s="42">
        <v>215563</v>
      </c>
      <c r="O8" s="16">
        <f t="shared" si="6"/>
        <v>3</v>
      </c>
      <c r="P8" s="42">
        <v>106955</v>
      </c>
      <c r="Q8" s="16">
        <f t="shared" si="7"/>
        <v>60</v>
      </c>
      <c r="R8" s="1">
        <v>55047</v>
      </c>
      <c r="S8" s="16">
        <f>R8-R7</f>
        <v>0</v>
      </c>
      <c r="T8" s="42">
        <v>3658</v>
      </c>
      <c r="U8" s="16">
        <f t="shared" si="9"/>
        <v>160</v>
      </c>
    </row>
    <row r="9" spans="1:24" ht="13.5" thickBot="1" x14ac:dyDescent="0.25">
      <c r="A9" s="10">
        <v>44354</v>
      </c>
      <c r="B9" s="42">
        <v>45365</v>
      </c>
      <c r="C9" s="16">
        <f t="shared" si="0"/>
        <v>960</v>
      </c>
      <c r="D9" s="42">
        <v>39571</v>
      </c>
      <c r="E9" s="16">
        <f t="shared" si="1"/>
        <v>480</v>
      </c>
      <c r="F9" s="42">
        <v>20435</v>
      </c>
      <c r="G9" s="16">
        <f t="shared" si="2"/>
        <v>60</v>
      </c>
      <c r="H9" s="42">
        <v>243073</v>
      </c>
      <c r="I9" s="16">
        <f t="shared" si="3"/>
        <v>76</v>
      </c>
      <c r="J9" s="42">
        <v>303517</v>
      </c>
      <c r="K9" s="16">
        <f t="shared" si="4"/>
        <v>0</v>
      </c>
      <c r="L9" s="42">
        <v>25009</v>
      </c>
      <c r="M9" s="16">
        <f t="shared" si="5"/>
        <v>640</v>
      </c>
      <c r="N9" s="42">
        <v>215566</v>
      </c>
      <c r="O9" s="16">
        <f t="shared" si="6"/>
        <v>3</v>
      </c>
      <c r="P9" s="42">
        <v>107070</v>
      </c>
      <c r="Q9" s="16">
        <f>P9-P8</f>
        <v>115</v>
      </c>
      <c r="R9" s="1">
        <v>55047</v>
      </c>
      <c r="S9" s="16">
        <f>R9-R8</f>
        <v>0</v>
      </c>
      <c r="T9" s="42">
        <v>3659</v>
      </c>
      <c r="U9" s="16">
        <f t="shared" si="9"/>
        <v>160</v>
      </c>
    </row>
    <row r="10" spans="1:24" ht="13.5" thickBot="1" x14ac:dyDescent="0.25">
      <c r="A10" s="10">
        <v>44355</v>
      </c>
      <c r="B10" s="42">
        <v>45370</v>
      </c>
      <c r="C10" s="16">
        <f t="shared" si="0"/>
        <v>800</v>
      </c>
      <c r="D10" s="42">
        <v>39575</v>
      </c>
      <c r="E10" s="16">
        <f t="shared" si="1"/>
        <v>640</v>
      </c>
      <c r="F10" s="42">
        <v>20439</v>
      </c>
      <c r="G10" s="16">
        <f t="shared" si="2"/>
        <v>80</v>
      </c>
      <c r="H10" s="42">
        <v>243146</v>
      </c>
      <c r="I10" s="16">
        <f t="shared" si="3"/>
        <v>73</v>
      </c>
      <c r="J10" s="42">
        <v>303517</v>
      </c>
      <c r="K10" s="16">
        <f t="shared" si="4"/>
        <v>0</v>
      </c>
      <c r="L10" s="42">
        <v>25014</v>
      </c>
      <c r="M10" s="16">
        <f t="shared" si="5"/>
        <v>800</v>
      </c>
      <c r="N10" s="42">
        <v>215570</v>
      </c>
      <c r="O10" s="16">
        <f t="shared" si="6"/>
        <v>4</v>
      </c>
      <c r="P10" s="42">
        <f t="shared" ref="P10:P33" si="10">P9</f>
        <v>107070</v>
      </c>
      <c r="Q10" s="16">
        <f>P10-P9</f>
        <v>0</v>
      </c>
      <c r="R10" s="1">
        <v>55047</v>
      </c>
      <c r="S10" s="16">
        <f>R10-R9</f>
        <v>0</v>
      </c>
      <c r="T10" s="42">
        <v>3660</v>
      </c>
      <c r="U10" s="16">
        <f t="shared" si="9"/>
        <v>160</v>
      </c>
    </row>
    <row r="11" spans="1:24" ht="13.5" thickBot="1" x14ac:dyDescent="0.25">
      <c r="A11" s="10">
        <v>44356</v>
      </c>
      <c r="B11" s="42">
        <v>45375</v>
      </c>
      <c r="C11" s="16">
        <f t="shared" si="0"/>
        <v>800</v>
      </c>
      <c r="D11" s="42">
        <v>39577</v>
      </c>
      <c r="E11" s="16">
        <f t="shared" si="1"/>
        <v>320</v>
      </c>
      <c r="F11" s="42">
        <v>20442</v>
      </c>
      <c r="G11" s="16">
        <f t="shared" si="2"/>
        <v>60</v>
      </c>
      <c r="H11" s="42">
        <v>243228</v>
      </c>
      <c r="I11" s="16">
        <f t="shared" si="3"/>
        <v>82</v>
      </c>
      <c r="J11" s="42">
        <v>303517</v>
      </c>
      <c r="K11" s="16">
        <f t="shared" si="4"/>
        <v>0</v>
      </c>
      <c r="L11" s="42">
        <v>25017</v>
      </c>
      <c r="M11" s="16">
        <f t="shared" si="5"/>
        <v>480</v>
      </c>
      <c r="N11" s="42">
        <v>215573</v>
      </c>
      <c r="O11" s="16">
        <f t="shared" si="6"/>
        <v>3</v>
      </c>
      <c r="P11" s="42">
        <v>107269</v>
      </c>
      <c r="Q11" s="16">
        <f t="shared" si="7"/>
        <v>199</v>
      </c>
      <c r="R11" s="1">
        <v>55047</v>
      </c>
      <c r="S11" s="16">
        <f t="shared" si="8"/>
        <v>0</v>
      </c>
      <c r="T11" s="42">
        <v>3661</v>
      </c>
      <c r="U11" s="16">
        <f t="shared" si="9"/>
        <v>160</v>
      </c>
    </row>
    <row r="12" spans="1:24" ht="13.5" thickBot="1" x14ac:dyDescent="0.25">
      <c r="A12" s="10">
        <v>44357</v>
      </c>
      <c r="B12" s="42">
        <v>45381</v>
      </c>
      <c r="C12" s="16">
        <f t="shared" si="0"/>
        <v>960</v>
      </c>
      <c r="D12" s="42">
        <v>39580</v>
      </c>
      <c r="E12" s="16">
        <f t="shared" si="1"/>
        <v>480</v>
      </c>
      <c r="F12" s="42">
        <v>20446</v>
      </c>
      <c r="G12" s="16">
        <f t="shared" si="2"/>
        <v>80</v>
      </c>
      <c r="H12" s="42">
        <v>243323</v>
      </c>
      <c r="I12" s="16">
        <f t="shared" si="3"/>
        <v>95</v>
      </c>
      <c r="J12" s="42">
        <v>303517</v>
      </c>
      <c r="K12" s="16">
        <f t="shared" si="4"/>
        <v>0</v>
      </c>
      <c r="L12" s="42">
        <v>25021</v>
      </c>
      <c r="M12" s="16">
        <f t="shared" si="5"/>
        <v>640</v>
      </c>
      <c r="N12" s="42">
        <v>215576</v>
      </c>
      <c r="O12" s="16">
        <f t="shared" si="6"/>
        <v>3</v>
      </c>
      <c r="P12" s="42">
        <f t="shared" si="10"/>
        <v>107269</v>
      </c>
      <c r="Q12" s="16">
        <f t="shared" si="7"/>
        <v>0</v>
      </c>
      <c r="R12" s="1">
        <v>55047</v>
      </c>
      <c r="S12" s="16">
        <f t="shared" si="8"/>
        <v>0</v>
      </c>
      <c r="T12" s="42">
        <v>3662</v>
      </c>
      <c r="U12" s="16">
        <f t="shared" si="9"/>
        <v>160</v>
      </c>
    </row>
    <row r="13" spans="1:24" ht="13.5" thickBot="1" x14ac:dyDescent="0.25">
      <c r="A13" s="10">
        <v>44358</v>
      </c>
      <c r="B13" s="42">
        <v>45386</v>
      </c>
      <c r="C13" s="16">
        <f t="shared" si="0"/>
        <v>800</v>
      </c>
      <c r="D13" s="42">
        <v>39583</v>
      </c>
      <c r="E13" s="16">
        <f t="shared" si="1"/>
        <v>480</v>
      </c>
      <c r="F13" s="42">
        <v>20450</v>
      </c>
      <c r="G13" s="16">
        <f t="shared" si="2"/>
        <v>80</v>
      </c>
      <c r="H13" s="42">
        <v>243418</v>
      </c>
      <c r="I13" s="16">
        <f t="shared" si="3"/>
        <v>95</v>
      </c>
      <c r="J13" s="42">
        <v>303517</v>
      </c>
      <c r="K13" s="16">
        <f t="shared" si="4"/>
        <v>0</v>
      </c>
      <c r="L13" s="42">
        <v>25024</v>
      </c>
      <c r="M13" s="16">
        <f t="shared" si="5"/>
        <v>480</v>
      </c>
      <c r="N13" s="42">
        <v>215579</v>
      </c>
      <c r="O13" s="16">
        <f t="shared" si="6"/>
        <v>3</v>
      </c>
      <c r="P13" s="42">
        <f t="shared" si="10"/>
        <v>107269</v>
      </c>
      <c r="Q13" s="16">
        <f t="shared" si="7"/>
        <v>0</v>
      </c>
      <c r="R13" s="1">
        <v>55047</v>
      </c>
      <c r="S13" s="16">
        <f t="shared" si="8"/>
        <v>0</v>
      </c>
      <c r="T13" s="42">
        <v>3663</v>
      </c>
      <c r="U13" s="16">
        <f t="shared" si="9"/>
        <v>160</v>
      </c>
    </row>
    <row r="14" spans="1:24" ht="13.5" thickBot="1" x14ac:dyDescent="0.25">
      <c r="A14" s="10">
        <v>44359</v>
      </c>
      <c r="B14" s="42">
        <v>45391</v>
      </c>
      <c r="C14" s="16">
        <f t="shared" si="0"/>
        <v>800</v>
      </c>
      <c r="D14" s="42">
        <v>39586</v>
      </c>
      <c r="E14" s="16">
        <f t="shared" si="1"/>
        <v>480</v>
      </c>
      <c r="F14" s="42">
        <v>20453</v>
      </c>
      <c r="G14" s="16">
        <f t="shared" si="2"/>
        <v>60</v>
      </c>
      <c r="H14" s="42">
        <v>243511</v>
      </c>
      <c r="I14" s="16">
        <f t="shared" si="3"/>
        <v>93</v>
      </c>
      <c r="J14" s="42">
        <v>303517</v>
      </c>
      <c r="K14" s="16">
        <f t="shared" si="4"/>
        <v>0</v>
      </c>
      <c r="L14" s="42">
        <v>25027</v>
      </c>
      <c r="M14" s="16">
        <f t="shared" si="5"/>
        <v>480</v>
      </c>
      <c r="N14" s="42">
        <v>215583</v>
      </c>
      <c r="O14" s="16">
        <f t="shared" si="6"/>
        <v>4</v>
      </c>
      <c r="P14" s="42">
        <v>10766</v>
      </c>
      <c r="Q14" s="16">
        <f t="shared" si="7"/>
        <v>-96503</v>
      </c>
      <c r="R14" s="1">
        <v>55047</v>
      </c>
      <c r="S14" s="16">
        <f t="shared" si="8"/>
        <v>0</v>
      </c>
      <c r="T14" s="42">
        <v>3664</v>
      </c>
      <c r="U14" s="16">
        <f>(T14-T13)*800/5</f>
        <v>160</v>
      </c>
    </row>
    <row r="15" spans="1:24" ht="13.5" thickBot="1" x14ac:dyDescent="0.25">
      <c r="A15" s="10">
        <v>44360</v>
      </c>
      <c r="B15" s="42">
        <v>45396</v>
      </c>
      <c r="C15" s="16">
        <f t="shared" si="0"/>
        <v>800</v>
      </c>
      <c r="D15" s="42">
        <v>39589</v>
      </c>
      <c r="E15" s="16">
        <f t="shared" si="1"/>
        <v>480</v>
      </c>
      <c r="F15" s="42">
        <v>20456</v>
      </c>
      <c r="G15" s="16">
        <f t="shared" si="2"/>
        <v>60</v>
      </c>
      <c r="H15" s="42">
        <v>243599</v>
      </c>
      <c r="I15" s="16">
        <f t="shared" si="3"/>
        <v>88</v>
      </c>
      <c r="J15" s="42">
        <v>303517</v>
      </c>
      <c r="K15" s="16">
        <f t="shared" si="4"/>
        <v>0</v>
      </c>
      <c r="L15" s="42">
        <v>25031</v>
      </c>
      <c r="M15" s="16">
        <f t="shared" si="5"/>
        <v>640</v>
      </c>
      <c r="N15" s="42">
        <v>215585</v>
      </c>
      <c r="O15" s="16">
        <f t="shared" si="6"/>
        <v>2</v>
      </c>
      <c r="P15" s="42"/>
      <c r="Q15" s="16">
        <f t="shared" si="7"/>
        <v>-10766</v>
      </c>
      <c r="R15" s="1">
        <v>55047</v>
      </c>
      <c r="S15" s="16">
        <f t="shared" si="8"/>
        <v>0</v>
      </c>
      <c r="T15" s="42">
        <v>3665</v>
      </c>
      <c r="U15" s="16">
        <f>(T15-T14)*800/5</f>
        <v>160</v>
      </c>
      <c r="X15" t="s">
        <v>12</v>
      </c>
    </row>
    <row r="16" spans="1:24" ht="13.5" thickBot="1" x14ac:dyDescent="0.25">
      <c r="A16" s="10">
        <v>44361</v>
      </c>
      <c r="B16" s="42">
        <v>45402</v>
      </c>
      <c r="C16" s="16">
        <f t="shared" si="0"/>
        <v>960</v>
      </c>
      <c r="D16" s="42">
        <v>39592</v>
      </c>
      <c r="E16" s="16">
        <f t="shared" si="1"/>
        <v>480</v>
      </c>
      <c r="F16" s="42">
        <v>20460</v>
      </c>
      <c r="G16" s="16">
        <f t="shared" si="2"/>
        <v>80</v>
      </c>
      <c r="H16" s="42">
        <v>243671</v>
      </c>
      <c r="I16" s="16">
        <f t="shared" si="3"/>
        <v>72</v>
      </c>
      <c r="J16" s="42">
        <v>303517</v>
      </c>
      <c r="K16" s="16">
        <f t="shared" si="4"/>
        <v>0</v>
      </c>
      <c r="L16" s="42">
        <v>25035</v>
      </c>
      <c r="M16" s="16">
        <f t="shared" si="5"/>
        <v>640</v>
      </c>
      <c r="N16" s="42">
        <v>215589</v>
      </c>
      <c r="O16" s="16">
        <f t="shared" si="6"/>
        <v>4</v>
      </c>
      <c r="P16" s="42">
        <f t="shared" si="10"/>
        <v>0</v>
      </c>
      <c r="Q16" s="16">
        <f t="shared" si="7"/>
        <v>0</v>
      </c>
      <c r="R16" s="1">
        <v>55047</v>
      </c>
      <c r="S16" s="16">
        <f t="shared" si="8"/>
        <v>0</v>
      </c>
      <c r="T16" s="42">
        <v>3667</v>
      </c>
      <c r="U16" s="16">
        <f t="shared" si="9"/>
        <v>320</v>
      </c>
      <c r="W16" t="s">
        <v>12</v>
      </c>
    </row>
    <row r="17" spans="1:23" ht="13.5" thickBot="1" x14ac:dyDescent="0.25">
      <c r="A17" s="10">
        <v>44362</v>
      </c>
      <c r="B17" s="42">
        <f t="shared" ref="B16:B33" si="11">B16</f>
        <v>45402</v>
      </c>
      <c r="C17" s="16">
        <f t="shared" si="0"/>
        <v>0</v>
      </c>
      <c r="D17" s="42">
        <f t="shared" ref="D16:D33" si="12">D16</f>
        <v>39592</v>
      </c>
      <c r="E17" s="16">
        <f t="shared" si="1"/>
        <v>0</v>
      </c>
      <c r="F17" s="42">
        <f t="shared" ref="F16:F33" si="13">F16</f>
        <v>20460</v>
      </c>
      <c r="G17" s="16">
        <f t="shared" si="2"/>
        <v>0</v>
      </c>
      <c r="H17" s="42">
        <f t="shared" ref="H16:H33" si="14">H16</f>
        <v>243671</v>
      </c>
      <c r="I17" s="16">
        <f t="shared" si="3"/>
        <v>0</v>
      </c>
      <c r="J17" s="42">
        <v>303517</v>
      </c>
      <c r="K17" s="16">
        <f t="shared" si="4"/>
        <v>0</v>
      </c>
      <c r="L17" s="42">
        <f t="shared" ref="L16:L33" si="15">L16</f>
        <v>25035</v>
      </c>
      <c r="M17" s="16">
        <f t="shared" si="5"/>
        <v>0</v>
      </c>
      <c r="N17" s="42">
        <f t="shared" ref="N16:N33" si="16">N16</f>
        <v>215589</v>
      </c>
      <c r="O17" s="16">
        <f t="shared" si="6"/>
        <v>0</v>
      </c>
      <c r="P17" s="42">
        <f t="shared" si="10"/>
        <v>0</v>
      </c>
      <c r="Q17" s="16">
        <f t="shared" si="7"/>
        <v>0</v>
      </c>
      <c r="R17" s="1">
        <v>55047</v>
      </c>
      <c r="S17" s="16">
        <f>S16</f>
        <v>0</v>
      </c>
      <c r="T17" s="42">
        <f t="shared" ref="T16:T33" si="17">T16</f>
        <v>3667</v>
      </c>
      <c r="U17" s="16">
        <f t="shared" si="9"/>
        <v>0</v>
      </c>
    </row>
    <row r="18" spans="1:23" ht="13.5" thickBot="1" x14ac:dyDescent="0.25">
      <c r="A18" s="10">
        <v>44363</v>
      </c>
      <c r="B18" s="42">
        <f t="shared" si="11"/>
        <v>45402</v>
      </c>
      <c r="C18" s="16">
        <f t="shared" si="0"/>
        <v>0</v>
      </c>
      <c r="D18" s="42">
        <f t="shared" si="12"/>
        <v>39592</v>
      </c>
      <c r="E18" s="16">
        <f t="shared" si="1"/>
        <v>0</v>
      </c>
      <c r="F18" s="42">
        <f t="shared" si="13"/>
        <v>20460</v>
      </c>
      <c r="G18" s="16">
        <f t="shared" si="2"/>
        <v>0</v>
      </c>
      <c r="H18" s="42">
        <f t="shared" si="14"/>
        <v>243671</v>
      </c>
      <c r="I18" s="16">
        <f t="shared" si="3"/>
        <v>0</v>
      </c>
      <c r="J18" s="42">
        <v>303517</v>
      </c>
      <c r="K18" s="16">
        <f t="shared" si="4"/>
        <v>0</v>
      </c>
      <c r="L18" s="42">
        <f t="shared" si="15"/>
        <v>25035</v>
      </c>
      <c r="M18" s="16">
        <f t="shared" si="5"/>
        <v>0</v>
      </c>
      <c r="N18" s="42">
        <f t="shared" si="16"/>
        <v>215589</v>
      </c>
      <c r="O18" s="16">
        <f t="shared" si="6"/>
        <v>0</v>
      </c>
      <c r="P18" s="42">
        <f t="shared" si="10"/>
        <v>0</v>
      </c>
      <c r="Q18" s="16">
        <f t="shared" si="7"/>
        <v>0</v>
      </c>
      <c r="R18" s="1">
        <v>55047</v>
      </c>
      <c r="S18" s="16">
        <f t="shared" si="8"/>
        <v>0</v>
      </c>
      <c r="T18" s="42">
        <f t="shared" si="17"/>
        <v>3667</v>
      </c>
      <c r="U18" s="16">
        <f t="shared" si="9"/>
        <v>0</v>
      </c>
    </row>
    <row r="19" spans="1:23" ht="13.5" thickBot="1" x14ac:dyDescent="0.25">
      <c r="A19" s="10">
        <v>44364</v>
      </c>
      <c r="B19" s="42">
        <f t="shared" si="11"/>
        <v>45402</v>
      </c>
      <c r="C19" s="16">
        <f t="shared" si="0"/>
        <v>0</v>
      </c>
      <c r="D19" s="42">
        <f t="shared" si="12"/>
        <v>39592</v>
      </c>
      <c r="E19" s="16">
        <f t="shared" si="1"/>
        <v>0</v>
      </c>
      <c r="F19" s="42">
        <f t="shared" si="13"/>
        <v>20460</v>
      </c>
      <c r="G19" s="16">
        <f t="shared" si="2"/>
        <v>0</v>
      </c>
      <c r="H19" s="42">
        <f t="shared" si="14"/>
        <v>243671</v>
      </c>
      <c r="I19" s="16">
        <f t="shared" si="3"/>
        <v>0</v>
      </c>
      <c r="J19" s="42">
        <v>303517</v>
      </c>
      <c r="K19" s="16">
        <f t="shared" si="4"/>
        <v>0</v>
      </c>
      <c r="L19" s="42">
        <f t="shared" si="15"/>
        <v>25035</v>
      </c>
      <c r="M19" s="16">
        <f t="shared" si="5"/>
        <v>0</v>
      </c>
      <c r="N19" s="42">
        <f t="shared" si="16"/>
        <v>215589</v>
      </c>
      <c r="O19" s="16">
        <f t="shared" si="6"/>
        <v>0</v>
      </c>
      <c r="P19" s="42">
        <f t="shared" si="10"/>
        <v>0</v>
      </c>
      <c r="Q19" s="16">
        <f t="shared" si="7"/>
        <v>0</v>
      </c>
      <c r="R19" s="1">
        <v>55047</v>
      </c>
      <c r="S19" s="16">
        <f t="shared" si="8"/>
        <v>0</v>
      </c>
      <c r="T19" s="42">
        <f t="shared" si="17"/>
        <v>3667</v>
      </c>
      <c r="U19" s="16">
        <f t="shared" si="9"/>
        <v>0</v>
      </c>
      <c r="W19" t="s">
        <v>12</v>
      </c>
    </row>
    <row r="20" spans="1:23" ht="13.5" thickBot="1" x14ac:dyDescent="0.25">
      <c r="A20" s="10">
        <v>44365</v>
      </c>
      <c r="B20" s="42">
        <f t="shared" si="11"/>
        <v>45402</v>
      </c>
      <c r="C20" s="16">
        <f t="shared" si="0"/>
        <v>0</v>
      </c>
      <c r="D20" s="42">
        <f t="shared" si="12"/>
        <v>39592</v>
      </c>
      <c r="E20" s="16">
        <f t="shared" si="1"/>
        <v>0</v>
      </c>
      <c r="F20" s="42">
        <f t="shared" si="13"/>
        <v>20460</v>
      </c>
      <c r="G20" s="16">
        <f t="shared" si="2"/>
        <v>0</v>
      </c>
      <c r="H20" s="42">
        <f t="shared" si="14"/>
        <v>243671</v>
      </c>
      <c r="I20" s="16">
        <f t="shared" si="3"/>
        <v>0</v>
      </c>
      <c r="J20" s="42">
        <v>303517</v>
      </c>
      <c r="K20" s="16">
        <v>0</v>
      </c>
      <c r="L20" s="42">
        <f t="shared" si="15"/>
        <v>25035</v>
      </c>
      <c r="M20" s="16">
        <f t="shared" si="5"/>
        <v>0</v>
      </c>
      <c r="N20" s="42">
        <f t="shared" si="16"/>
        <v>215589</v>
      </c>
      <c r="O20" s="16">
        <f t="shared" si="6"/>
        <v>0</v>
      </c>
      <c r="P20" s="42">
        <f t="shared" si="10"/>
        <v>0</v>
      </c>
      <c r="Q20" s="16">
        <f t="shared" si="7"/>
        <v>0</v>
      </c>
      <c r="R20" s="1">
        <v>55047</v>
      </c>
      <c r="S20" s="16">
        <f t="shared" si="8"/>
        <v>0</v>
      </c>
      <c r="T20" s="42">
        <f t="shared" si="17"/>
        <v>3667</v>
      </c>
      <c r="U20" s="16">
        <f t="shared" si="9"/>
        <v>0</v>
      </c>
    </row>
    <row r="21" spans="1:23" ht="13.5" thickBot="1" x14ac:dyDescent="0.25">
      <c r="A21" s="10">
        <v>44366</v>
      </c>
      <c r="B21" s="42">
        <f t="shared" si="11"/>
        <v>45402</v>
      </c>
      <c r="C21" s="16">
        <f t="shared" si="0"/>
        <v>0</v>
      </c>
      <c r="D21" s="42">
        <f t="shared" si="12"/>
        <v>39592</v>
      </c>
      <c r="E21" s="16">
        <f t="shared" si="1"/>
        <v>0</v>
      </c>
      <c r="F21" s="42">
        <f t="shared" si="13"/>
        <v>20460</v>
      </c>
      <c r="G21" s="16">
        <f t="shared" si="2"/>
        <v>0</v>
      </c>
      <c r="H21" s="42">
        <f t="shared" si="14"/>
        <v>243671</v>
      </c>
      <c r="I21" s="16">
        <f t="shared" si="3"/>
        <v>0</v>
      </c>
      <c r="J21" s="42">
        <v>303517</v>
      </c>
      <c r="K21" s="16">
        <f t="shared" si="4"/>
        <v>0</v>
      </c>
      <c r="L21" s="42">
        <f t="shared" si="15"/>
        <v>25035</v>
      </c>
      <c r="M21" s="16">
        <f t="shared" si="5"/>
        <v>0</v>
      </c>
      <c r="N21" s="42">
        <f t="shared" si="16"/>
        <v>215589</v>
      </c>
      <c r="O21" s="16">
        <f t="shared" si="6"/>
        <v>0</v>
      </c>
      <c r="P21" s="42">
        <f t="shared" si="10"/>
        <v>0</v>
      </c>
      <c r="Q21" s="16">
        <f t="shared" si="7"/>
        <v>0</v>
      </c>
      <c r="R21" s="1">
        <v>55047</v>
      </c>
      <c r="S21" s="16">
        <f t="shared" si="8"/>
        <v>0</v>
      </c>
      <c r="T21" s="42">
        <f t="shared" si="17"/>
        <v>3667</v>
      </c>
      <c r="U21" s="16">
        <f t="shared" si="9"/>
        <v>0</v>
      </c>
    </row>
    <row r="22" spans="1:23" ht="13.5" thickBot="1" x14ac:dyDescent="0.25">
      <c r="A22" s="10">
        <v>44367</v>
      </c>
      <c r="B22" s="42">
        <f t="shared" si="11"/>
        <v>45402</v>
      </c>
      <c r="C22" s="16">
        <f t="shared" si="0"/>
        <v>0</v>
      </c>
      <c r="D22" s="42">
        <f t="shared" si="12"/>
        <v>39592</v>
      </c>
      <c r="E22" s="16">
        <f t="shared" si="1"/>
        <v>0</v>
      </c>
      <c r="F22" s="42">
        <f t="shared" si="13"/>
        <v>20460</v>
      </c>
      <c r="G22" s="16">
        <f t="shared" si="2"/>
        <v>0</v>
      </c>
      <c r="H22" s="42">
        <f t="shared" si="14"/>
        <v>243671</v>
      </c>
      <c r="I22" s="16">
        <f t="shared" si="3"/>
        <v>0</v>
      </c>
      <c r="J22" s="42">
        <v>303517</v>
      </c>
      <c r="K22" s="16">
        <f t="shared" si="4"/>
        <v>0</v>
      </c>
      <c r="L22" s="42">
        <f t="shared" si="15"/>
        <v>25035</v>
      </c>
      <c r="M22" s="16">
        <f t="shared" si="5"/>
        <v>0</v>
      </c>
      <c r="N22" s="42">
        <f t="shared" si="16"/>
        <v>215589</v>
      </c>
      <c r="O22" s="16">
        <f t="shared" si="6"/>
        <v>0</v>
      </c>
      <c r="P22" s="42">
        <f t="shared" si="10"/>
        <v>0</v>
      </c>
      <c r="Q22" s="16">
        <f t="shared" si="7"/>
        <v>0</v>
      </c>
      <c r="R22" s="1">
        <v>55047</v>
      </c>
      <c r="S22" s="16">
        <f t="shared" si="8"/>
        <v>0</v>
      </c>
      <c r="T22" s="42">
        <f t="shared" si="17"/>
        <v>3667</v>
      </c>
      <c r="U22" s="16">
        <f t="shared" si="9"/>
        <v>0</v>
      </c>
    </row>
    <row r="23" spans="1:23" ht="13.5" thickBot="1" x14ac:dyDescent="0.25">
      <c r="A23" s="10">
        <v>44368</v>
      </c>
      <c r="B23" s="42">
        <f t="shared" si="11"/>
        <v>45402</v>
      </c>
      <c r="C23" s="16">
        <f t="shared" si="0"/>
        <v>0</v>
      </c>
      <c r="D23" s="42">
        <f t="shared" si="12"/>
        <v>39592</v>
      </c>
      <c r="E23" s="16">
        <f t="shared" si="1"/>
        <v>0</v>
      </c>
      <c r="F23" s="42">
        <f t="shared" si="13"/>
        <v>20460</v>
      </c>
      <c r="G23" s="16">
        <f t="shared" si="2"/>
        <v>0</v>
      </c>
      <c r="H23" s="42">
        <f t="shared" si="14"/>
        <v>243671</v>
      </c>
      <c r="I23" s="16">
        <f t="shared" si="3"/>
        <v>0</v>
      </c>
      <c r="J23" s="42">
        <v>303517</v>
      </c>
      <c r="K23" s="16">
        <f t="shared" si="4"/>
        <v>0</v>
      </c>
      <c r="L23" s="42">
        <f t="shared" si="15"/>
        <v>25035</v>
      </c>
      <c r="M23" s="16">
        <f t="shared" si="5"/>
        <v>0</v>
      </c>
      <c r="N23" s="42">
        <f t="shared" si="16"/>
        <v>215589</v>
      </c>
      <c r="O23" s="16">
        <f t="shared" si="6"/>
        <v>0</v>
      </c>
      <c r="P23" s="42">
        <f t="shared" si="10"/>
        <v>0</v>
      </c>
      <c r="Q23" s="16">
        <f t="shared" si="7"/>
        <v>0</v>
      </c>
      <c r="R23" s="1">
        <v>55047</v>
      </c>
      <c r="S23" s="16">
        <f t="shared" si="8"/>
        <v>0</v>
      </c>
      <c r="T23" s="42">
        <f t="shared" si="17"/>
        <v>3667</v>
      </c>
      <c r="U23" s="16">
        <f t="shared" si="9"/>
        <v>0</v>
      </c>
    </row>
    <row r="24" spans="1:23" s="153" customFormat="1" ht="13.5" thickBot="1" x14ac:dyDescent="0.25">
      <c r="A24" s="10">
        <v>44369</v>
      </c>
      <c r="B24" s="42">
        <f t="shared" si="11"/>
        <v>45402</v>
      </c>
      <c r="C24" s="16">
        <f t="shared" si="0"/>
        <v>0</v>
      </c>
      <c r="D24" s="42">
        <f t="shared" si="12"/>
        <v>39592</v>
      </c>
      <c r="E24" s="16">
        <f t="shared" si="1"/>
        <v>0</v>
      </c>
      <c r="F24" s="42">
        <f t="shared" si="13"/>
        <v>20460</v>
      </c>
      <c r="G24" s="16">
        <f t="shared" si="2"/>
        <v>0</v>
      </c>
      <c r="H24" s="42">
        <f t="shared" si="14"/>
        <v>243671</v>
      </c>
      <c r="I24" s="16">
        <f t="shared" si="3"/>
        <v>0</v>
      </c>
      <c r="J24" s="42">
        <v>303517</v>
      </c>
      <c r="K24" s="16">
        <f t="shared" si="4"/>
        <v>0</v>
      </c>
      <c r="L24" s="42">
        <f t="shared" si="15"/>
        <v>25035</v>
      </c>
      <c r="M24" s="16">
        <f t="shared" si="5"/>
        <v>0</v>
      </c>
      <c r="N24" s="42">
        <f t="shared" si="16"/>
        <v>215589</v>
      </c>
      <c r="O24" s="16">
        <f t="shared" si="6"/>
        <v>0</v>
      </c>
      <c r="P24" s="42">
        <f t="shared" si="10"/>
        <v>0</v>
      </c>
      <c r="Q24" s="16">
        <f t="shared" si="7"/>
        <v>0</v>
      </c>
      <c r="R24" s="1">
        <v>55047</v>
      </c>
      <c r="S24" s="16">
        <f t="shared" si="8"/>
        <v>0</v>
      </c>
      <c r="T24" s="42">
        <f t="shared" si="17"/>
        <v>3667</v>
      </c>
      <c r="U24" s="16">
        <f t="shared" si="9"/>
        <v>0</v>
      </c>
    </row>
    <row r="25" spans="1:23" ht="13.5" thickBot="1" x14ac:dyDescent="0.25">
      <c r="A25" s="10">
        <v>44370</v>
      </c>
      <c r="B25" s="42">
        <f t="shared" si="11"/>
        <v>45402</v>
      </c>
      <c r="C25" s="16">
        <f t="shared" si="0"/>
        <v>0</v>
      </c>
      <c r="D25" s="42">
        <f t="shared" si="12"/>
        <v>39592</v>
      </c>
      <c r="E25" s="16">
        <f t="shared" si="1"/>
        <v>0</v>
      </c>
      <c r="F25" s="42">
        <f t="shared" si="13"/>
        <v>20460</v>
      </c>
      <c r="G25" s="16">
        <f t="shared" si="2"/>
        <v>0</v>
      </c>
      <c r="H25" s="42">
        <f t="shared" si="14"/>
        <v>243671</v>
      </c>
      <c r="I25" s="16">
        <f t="shared" si="3"/>
        <v>0</v>
      </c>
      <c r="J25" s="42">
        <v>303517</v>
      </c>
      <c r="K25" s="16">
        <f t="shared" si="4"/>
        <v>0</v>
      </c>
      <c r="L25" s="42">
        <f t="shared" si="15"/>
        <v>25035</v>
      </c>
      <c r="M25" s="16">
        <f t="shared" si="5"/>
        <v>0</v>
      </c>
      <c r="N25" s="42">
        <f t="shared" si="16"/>
        <v>215589</v>
      </c>
      <c r="O25" s="16">
        <f t="shared" si="6"/>
        <v>0</v>
      </c>
      <c r="P25" s="42">
        <f t="shared" si="10"/>
        <v>0</v>
      </c>
      <c r="Q25" s="16">
        <f t="shared" si="7"/>
        <v>0</v>
      </c>
      <c r="R25" s="1">
        <v>55047</v>
      </c>
      <c r="S25" s="16">
        <f t="shared" si="8"/>
        <v>0</v>
      </c>
      <c r="T25" s="42">
        <f t="shared" si="17"/>
        <v>3667</v>
      </c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44371</v>
      </c>
      <c r="B26" s="42">
        <f t="shared" si="11"/>
        <v>45402</v>
      </c>
      <c r="C26" s="16">
        <f t="shared" si="0"/>
        <v>0</v>
      </c>
      <c r="D26" s="42">
        <f t="shared" si="12"/>
        <v>39592</v>
      </c>
      <c r="E26" s="16">
        <f t="shared" si="1"/>
        <v>0</v>
      </c>
      <c r="F26" s="42">
        <f t="shared" si="13"/>
        <v>20460</v>
      </c>
      <c r="G26" s="16">
        <f t="shared" si="2"/>
        <v>0</v>
      </c>
      <c r="H26" s="42">
        <f t="shared" si="14"/>
        <v>243671</v>
      </c>
      <c r="I26" s="16">
        <f t="shared" si="3"/>
        <v>0</v>
      </c>
      <c r="J26" s="42">
        <v>303517</v>
      </c>
      <c r="K26" s="16">
        <f t="shared" si="4"/>
        <v>0</v>
      </c>
      <c r="L26" s="42">
        <f t="shared" si="15"/>
        <v>25035</v>
      </c>
      <c r="M26" s="16">
        <f t="shared" si="5"/>
        <v>0</v>
      </c>
      <c r="N26" s="42">
        <f t="shared" si="16"/>
        <v>215589</v>
      </c>
      <c r="O26" s="16">
        <f t="shared" si="6"/>
        <v>0</v>
      </c>
      <c r="P26" s="42">
        <f t="shared" si="10"/>
        <v>0</v>
      </c>
      <c r="Q26" s="16">
        <f t="shared" si="7"/>
        <v>0</v>
      </c>
      <c r="R26" s="1">
        <v>55047</v>
      </c>
      <c r="S26" s="16">
        <f t="shared" si="8"/>
        <v>0</v>
      </c>
      <c r="T26" s="42">
        <f t="shared" si="17"/>
        <v>3667</v>
      </c>
      <c r="U26" s="16">
        <f t="shared" si="9"/>
        <v>0</v>
      </c>
      <c r="W26" t="s">
        <v>12</v>
      </c>
    </row>
    <row r="27" spans="1:23" ht="13.5" thickBot="1" x14ac:dyDescent="0.25">
      <c r="A27" s="10">
        <v>44372</v>
      </c>
      <c r="B27" s="42">
        <f t="shared" si="11"/>
        <v>45402</v>
      </c>
      <c r="C27" s="16">
        <f t="shared" si="0"/>
        <v>0</v>
      </c>
      <c r="D27" s="42">
        <f t="shared" si="12"/>
        <v>39592</v>
      </c>
      <c r="E27" s="16">
        <f t="shared" si="1"/>
        <v>0</v>
      </c>
      <c r="F27" s="42">
        <f t="shared" si="13"/>
        <v>20460</v>
      </c>
      <c r="G27" s="16">
        <f t="shared" si="2"/>
        <v>0</v>
      </c>
      <c r="H27" s="42">
        <f t="shared" si="14"/>
        <v>243671</v>
      </c>
      <c r="I27" s="16">
        <f t="shared" si="3"/>
        <v>0</v>
      </c>
      <c r="J27" s="42">
        <v>303517</v>
      </c>
      <c r="K27" s="16">
        <f t="shared" si="4"/>
        <v>0</v>
      </c>
      <c r="L27" s="42">
        <f t="shared" si="15"/>
        <v>25035</v>
      </c>
      <c r="M27" s="16">
        <f t="shared" si="5"/>
        <v>0</v>
      </c>
      <c r="N27" s="42">
        <f t="shared" si="16"/>
        <v>215589</v>
      </c>
      <c r="O27" s="16">
        <f t="shared" si="6"/>
        <v>0</v>
      </c>
      <c r="P27" s="42">
        <f t="shared" si="10"/>
        <v>0</v>
      </c>
      <c r="Q27" s="16">
        <f t="shared" si="7"/>
        <v>0</v>
      </c>
      <c r="R27" s="1">
        <v>55047</v>
      </c>
      <c r="S27" s="16">
        <f t="shared" si="8"/>
        <v>0</v>
      </c>
      <c r="T27" s="42">
        <f t="shared" si="17"/>
        <v>3667</v>
      </c>
      <c r="U27" s="16">
        <f t="shared" si="9"/>
        <v>0</v>
      </c>
    </row>
    <row r="28" spans="1:23" ht="13.5" thickBot="1" x14ac:dyDescent="0.25">
      <c r="A28" s="10">
        <v>44373</v>
      </c>
      <c r="B28" s="42">
        <f t="shared" si="11"/>
        <v>45402</v>
      </c>
      <c r="C28" s="16">
        <f t="shared" si="0"/>
        <v>0</v>
      </c>
      <c r="D28" s="42">
        <f t="shared" si="12"/>
        <v>39592</v>
      </c>
      <c r="E28" s="16">
        <f t="shared" si="1"/>
        <v>0</v>
      </c>
      <c r="F28" s="42">
        <f t="shared" si="13"/>
        <v>20460</v>
      </c>
      <c r="G28" s="16">
        <f t="shared" si="2"/>
        <v>0</v>
      </c>
      <c r="H28" s="42">
        <f t="shared" si="14"/>
        <v>243671</v>
      </c>
      <c r="I28" s="16">
        <f t="shared" si="3"/>
        <v>0</v>
      </c>
      <c r="J28" s="42">
        <v>303517</v>
      </c>
      <c r="K28" s="16">
        <f t="shared" si="4"/>
        <v>0</v>
      </c>
      <c r="L28" s="42">
        <f t="shared" si="15"/>
        <v>25035</v>
      </c>
      <c r="M28" s="16">
        <f t="shared" si="5"/>
        <v>0</v>
      </c>
      <c r="N28" s="42">
        <f t="shared" si="16"/>
        <v>215589</v>
      </c>
      <c r="O28" s="16">
        <f t="shared" si="6"/>
        <v>0</v>
      </c>
      <c r="P28" s="42">
        <f t="shared" si="10"/>
        <v>0</v>
      </c>
      <c r="Q28" s="17">
        <f t="shared" si="7"/>
        <v>0</v>
      </c>
      <c r="R28" s="1">
        <v>55047</v>
      </c>
      <c r="S28" s="17">
        <f t="shared" si="8"/>
        <v>0</v>
      </c>
      <c r="T28" s="42">
        <f t="shared" si="17"/>
        <v>3667</v>
      </c>
      <c r="U28" s="16">
        <f t="shared" si="9"/>
        <v>0</v>
      </c>
    </row>
    <row r="29" spans="1:23" ht="13.5" thickBot="1" x14ac:dyDescent="0.25">
      <c r="A29" s="10">
        <v>44374</v>
      </c>
      <c r="B29" s="42">
        <f t="shared" si="11"/>
        <v>45402</v>
      </c>
      <c r="C29" s="16">
        <f t="shared" si="0"/>
        <v>0</v>
      </c>
      <c r="D29" s="42">
        <f t="shared" si="12"/>
        <v>39592</v>
      </c>
      <c r="E29" s="16">
        <f t="shared" si="1"/>
        <v>0</v>
      </c>
      <c r="F29" s="42">
        <f t="shared" si="13"/>
        <v>20460</v>
      </c>
      <c r="G29" s="16">
        <f t="shared" si="2"/>
        <v>0</v>
      </c>
      <c r="H29" s="42">
        <f t="shared" si="14"/>
        <v>243671</v>
      </c>
      <c r="I29" s="16">
        <f t="shared" si="3"/>
        <v>0</v>
      </c>
      <c r="J29" s="42">
        <v>303517</v>
      </c>
      <c r="K29" s="16">
        <f t="shared" si="4"/>
        <v>0</v>
      </c>
      <c r="L29" s="42">
        <f t="shared" si="15"/>
        <v>25035</v>
      </c>
      <c r="M29" s="16">
        <f t="shared" si="5"/>
        <v>0</v>
      </c>
      <c r="N29" s="42">
        <f t="shared" si="16"/>
        <v>215589</v>
      </c>
      <c r="O29" s="16">
        <f t="shared" si="6"/>
        <v>0</v>
      </c>
      <c r="P29" s="42">
        <f t="shared" si="10"/>
        <v>0</v>
      </c>
      <c r="Q29" s="16">
        <f t="shared" si="7"/>
        <v>0</v>
      </c>
      <c r="R29" s="1">
        <v>55047</v>
      </c>
      <c r="S29" s="16">
        <f t="shared" si="8"/>
        <v>0</v>
      </c>
      <c r="T29" s="42">
        <f t="shared" si="17"/>
        <v>3667</v>
      </c>
      <c r="U29" s="16">
        <f t="shared" si="9"/>
        <v>0</v>
      </c>
    </row>
    <row r="30" spans="1:23" ht="13.5" thickBot="1" x14ac:dyDescent="0.25">
      <c r="A30" s="10">
        <v>44375</v>
      </c>
      <c r="B30" s="42">
        <f t="shared" si="11"/>
        <v>45402</v>
      </c>
      <c r="C30" s="16">
        <f t="shared" si="0"/>
        <v>0</v>
      </c>
      <c r="D30" s="42">
        <f t="shared" si="12"/>
        <v>39592</v>
      </c>
      <c r="E30" s="16">
        <f t="shared" si="1"/>
        <v>0</v>
      </c>
      <c r="F30" s="42">
        <f t="shared" si="13"/>
        <v>20460</v>
      </c>
      <c r="G30" s="16">
        <f t="shared" si="2"/>
        <v>0</v>
      </c>
      <c r="H30" s="42">
        <f t="shared" si="14"/>
        <v>243671</v>
      </c>
      <c r="I30" s="16">
        <f t="shared" si="3"/>
        <v>0</v>
      </c>
      <c r="J30" s="42">
        <v>303517</v>
      </c>
      <c r="K30" s="16">
        <f t="shared" si="4"/>
        <v>0</v>
      </c>
      <c r="L30" s="42">
        <f t="shared" si="15"/>
        <v>25035</v>
      </c>
      <c r="M30" s="16">
        <f t="shared" si="5"/>
        <v>0</v>
      </c>
      <c r="N30" s="42">
        <f t="shared" si="16"/>
        <v>215589</v>
      </c>
      <c r="O30" s="16">
        <f t="shared" si="6"/>
        <v>0</v>
      </c>
      <c r="P30" s="42">
        <f t="shared" si="10"/>
        <v>0</v>
      </c>
      <c r="Q30" s="16">
        <f t="shared" si="7"/>
        <v>0</v>
      </c>
      <c r="R30" s="1">
        <v>55047</v>
      </c>
      <c r="S30" s="16">
        <f t="shared" si="8"/>
        <v>0</v>
      </c>
      <c r="T30" s="42">
        <f t="shared" si="17"/>
        <v>3667</v>
      </c>
      <c r="U30" s="16">
        <f t="shared" si="9"/>
        <v>0</v>
      </c>
    </row>
    <row r="31" spans="1:23" ht="13.5" thickBot="1" x14ac:dyDescent="0.25">
      <c r="A31" s="10">
        <v>44376</v>
      </c>
      <c r="B31" s="42">
        <f t="shared" si="11"/>
        <v>45402</v>
      </c>
      <c r="C31" s="16">
        <f t="shared" si="0"/>
        <v>0</v>
      </c>
      <c r="D31" s="42">
        <f t="shared" si="12"/>
        <v>39592</v>
      </c>
      <c r="E31" s="16">
        <f t="shared" si="1"/>
        <v>0</v>
      </c>
      <c r="F31" s="42">
        <f t="shared" si="13"/>
        <v>20460</v>
      </c>
      <c r="G31" s="16">
        <f t="shared" si="2"/>
        <v>0</v>
      </c>
      <c r="H31" s="42">
        <f t="shared" si="14"/>
        <v>243671</v>
      </c>
      <c r="I31" s="16">
        <f t="shared" si="3"/>
        <v>0</v>
      </c>
      <c r="J31" s="42">
        <v>303517</v>
      </c>
      <c r="K31" s="16">
        <f t="shared" si="4"/>
        <v>0</v>
      </c>
      <c r="L31" s="42">
        <f t="shared" si="15"/>
        <v>25035</v>
      </c>
      <c r="M31" s="16">
        <f t="shared" si="5"/>
        <v>0</v>
      </c>
      <c r="N31" s="42">
        <f t="shared" si="16"/>
        <v>215589</v>
      </c>
      <c r="O31" s="16">
        <f t="shared" si="6"/>
        <v>0</v>
      </c>
      <c r="P31" s="42">
        <f t="shared" si="10"/>
        <v>0</v>
      </c>
      <c r="Q31" s="16">
        <f t="shared" si="7"/>
        <v>0</v>
      </c>
      <c r="R31" s="1">
        <v>55047</v>
      </c>
      <c r="S31" s="16">
        <f t="shared" si="8"/>
        <v>0</v>
      </c>
      <c r="T31" s="42">
        <f t="shared" si="17"/>
        <v>3667</v>
      </c>
      <c r="U31" s="16">
        <f t="shared" si="9"/>
        <v>0</v>
      </c>
    </row>
    <row r="32" spans="1:23" ht="15" customHeight="1" thickBot="1" x14ac:dyDescent="0.25">
      <c r="A32" s="10">
        <v>44377</v>
      </c>
      <c r="B32" s="42">
        <f t="shared" si="11"/>
        <v>45402</v>
      </c>
      <c r="C32" s="16">
        <f t="shared" si="0"/>
        <v>0</v>
      </c>
      <c r="D32" s="42">
        <f t="shared" si="12"/>
        <v>39592</v>
      </c>
      <c r="E32" s="16">
        <f t="shared" si="1"/>
        <v>0</v>
      </c>
      <c r="F32" s="42">
        <f t="shared" si="13"/>
        <v>20460</v>
      </c>
      <c r="G32" s="16">
        <f t="shared" si="2"/>
        <v>0</v>
      </c>
      <c r="H32" s="42">
        <f t="shared" si="14"/>
        <v>243671</v>
      </c>
      <c r="I32" s="16">
        <f t="shared" si="3"/>
        <v>0</v>
      </c>
      <c r="J32" s="42">
        <v>303517</v>
      </c>
      <c r="K32" s="16">
        <f t="shared" si="4"/>
        <v>0</v>
      </c>
      <c r="L32" s="42">
        <f t="shared" si="15"/>
        <v>25035</v>
      </c>
      <c r="M32" s="16">
        <f t="shared" si="5"/>
        <v>0</v>
      </c>
      <c r="N32" s="42">
        <f t="shared" si="16"/>
        <v>215589</v>
      </c>
      <c r="O32" s="16">
        <f t="shared" si="6"/>
        <v>0</v>
      </c>
      <c r="P32" s="42">
        <f t="shared" si="10"/>
        <v>0</v>
      </c>
      <c r="Q32" s="16">
        <f t="shared" si="7"/>
        <v>0</v>
      </c>
      <c r="R32" s="1">
        <v>55047</v>
      </c>
      <c r="S32" s="16">
        <f t="shared" si="8"/>
        <v>0</v>
      </c>
      <c r="T32" s="42">
        <f t="shared" si="17"/>
        <v>3667</v>
      </c>
      <c r="U32" s="16">
        <f t="shared" si="9"/>
        <v>0</v>
      </c>
      <c r="V32" t="s">
        <v>12</v>
      </c>
    </row>
    <row r="33" spans="1:21" ht="13.5" thickBot="1" x14ac:dyDescent="0.25">
      <c r="A33" s="10">
        <v>44377</v>
      </c>
      <c r="B33" s="42">
        <f t="shared" si="11"/>
        <v>45402</v>
      </c>
      <c r="C33" s="16">
        <f t="shared" si="0"/>
        <v>0</v>
      </c>
      <c r="D33" s="42">
        <f t="shared" si="12"/>
        <v>39592</v>
      </c>
      <c r="E33" s="16">
        <f t="shared" si="1"/>
        <v>0</v>
      </c>
      <c r="F33" s="42">
        <f t="shared" si="13"/>
        <v>20460</v>
      </c>
      <c r="G33" s="16">
        <f t="shared" si="2"/>
        <v>0</v>
      </c>
      <c r="H33" s="42">
        <f t="shared" si="14"/>
        <v>243671</v>
      </c>
      <c r="I33" s="16">
        <f t="shared" si="3"/>
        <v>0</v>
      </c>
      <c r="J33" s="42">
        <v>303517</v>
      </c>
      <c r="K33" s="16">
        <f t="shared" si="4"/>
        <v>0</v>
      </c>
      <c r="L33" s="42">
        <f t="shared" si="15"/>
        <v>25035</v>
      </c>
      <c r="M33" s="16">
        <f t="shared" si="5"/>
        <v>0</v>
      </c>
      <c r="N33" s="42">
        <f t="shared" si="16"/>
        <v>215589</v>
      </c>
      <c r="O33" s="16">
        <f t="shared" si="6"/>
        <v>0</v>
      </c>
      <c r="P33" s="42">
        <f t="shared" si="10"/>
        <v>0</v>
      </c>
      <c r="Q33" s="16">
        <f t="shared" si="7"/>
        <v>0</v>
      </c>
      <c r="R33" s="1">
        <v>55047</v>
      </c>
      <c r="S33" s="16">
        <f t="shared" si="8"/>
        <v>0</v>
      </c>
      <c r="T33" s="42">
        <f t="shared" si="17"/>
        <v>3667</v>
      </c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11840</v>
      </c>
      <c r="D34" s="13"/>
      <c r="E34" s="11">
        <f>SUM(E3:E33)</f>
        <v>6560</v>
      </c>
      <c r="F34" s="13"/>
      <c r="G34" s="11">
        <f>SUM(G3:G33)</f>
        <v>980</v>
      </c>
      <c r="H34" s="13"/>
      <c r="I34" s="11">
        <f>SUM(I3:I33)</f>
        <v>1086</v>
      </c>
      <c r="J34" s="13"/>
      <c r="K34" s="11">
        <f>SUM(K3:K33)</f>
        <v>0</v>
      </c>
      <c r="L34" s="13"/>
      <c r="M34" s="11">
        <f>SUM(M3:M33)</f>
        <v>8160</v>
      </c>
      <c r="N34" s="43"/>
      <c r="O34" s="11">
        <f>SUM(O3:O33)</f>
        <v>45</v>
      </c>
      <c r="P34" s="13"/>
      <c r="Q34" s="11">
        <f>SUM(Q3:Q33)</f>
        <v>-106171</v>
      </c>
      <c r="R34" s="1"/>
      <c r="S34" s="11">
        <f>SUM(S3:S33)</f>
        <v>0</v>
      </c>
      <c r="T34" s="1"/>
      <c r="U34" s="11">
        <f>SUM(U3:U33)</f>
        <v>2400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selection activeCell="A16" sqref="A16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22" t="s">
        <v>25</v>
      </c>
      <c r="H1" s="3" t="s">
        <v>28</v>
      </c>
      <c r="I1" s="53" t="s">
        <v>25</v>
      </c>
      <c r="J1" s="3" t="s">
        <v>23</v>
      </c>
      <c r="K1" s="3" t="s">
        <v>29</v>
      </c>
    </row>
    <row r="2" spans="1:14" ht="16.5" thickBot="1" x14ac:dyDescent="0.3">
      <c r="A2" s="10">
        <v>44347</v>
      </c>
      <c r="B2" s="3">
        <v>412240</v>
      </c>
      <c r="C2" s="49"/>
      <c r="D2" s="3">
        <v>4377900</v>
      </c>
      <c r="E2" s="49">
        <v>0</v>
      </c>
      <c r="F2" s="3">
        <v>3251800</v>
      </c>
      <c r="G2" s="49"/>
      <c r="H2" s="3">
        <v>734422</v>
      </c>
      <c r="I2" s="54"/>
      <c r="J2" s="23"/>
      <c r="K2" s="24"/>
    </row>
    <row r="3" spans="1:14" ht="16.5" thickBot="1" x14ac:dyDescent="0.3">
      <c r="A3" s="10">
        <v>44348</v>
      </c>
      <c r="B3" s="3">
        <v>412383</v>
      </c>
      <c r="C3" s="49">
        <f t="shared" ref="C3" si="0">(IF((B3-B2)&lt;0,"0",(B3-B2)))*10</f>
        <v>1430</v>
      </c>
      <c r="D3" s="3">
        <v>4377900</v>
      </c>
      <c r="E3" s="49">
        <f>(IF((D3-D2)&lt;0,"0",(D3-D2)))*0.027</f>
        <v>0</v>
      </c>
      <c r="F3" s="3">
        <v>3264300</v>
      </c>
      <c r="G3" s="49">
        <f>(IF((F3-F2)&lt;0,"0",(F3-F2)))*0.027</f>
        <v>337.5</v>
      </c>
      <c r="H3" s="3">
        <v>734541</v>
      </c>
      <c r="I3" s="54">
        <f>(IF((H3-H2)&lt;0,"0",(H3-H2)))*0.027</f>
        <v>3.2130000000000001</v>
      </c>
      <c r="J3" s="23">
        <f t="shared" ref="J3" si="1">C3+E3+G3+I3</f>
        <v>1770.713</v>
      </c>
      <c r="K3" s="24">
        <f t="shared" ref="K3" si="2">J3*5.86</f>
        <v>10376.37818</v>
      </c>
    </row>
    <row r="4" spans="1:14" ht="16.5" thickBot="1" x14ac:dyDescent="0.3">
      <c r="A4" s="10">
        <v>44349</v>
      </c>
      <c r="B4" s="3">
        <v>412493</v>
      </c>
      <c r="C4" s="49">
        <f t="shared" ref="C4:C8" si="3">(IF((B4-B3)&lt;0,"0",(B4-B3)))*10</f>
        <v>1100</v>
      </c>
      <c r="D4" s="3">
        <v>4377900</v>
      </c>
      <c r="E4" s="49">
        <f t="shared" ref="E4:E33" si="4">(IF((D4-D3)&lt;0,"0",(D4-D3)))*0.027</f>
        <v>0</v>
      </c>
      <c r="F4" s="3">
        <v>3277400</v>
      </c>
      <c r="G4" s="49">
        <f>(IF((F4-F3)&lt;0,"0",(F4-F3)))*0.027</f>
        <v>353.7</v>
      </c>
      <c r="H4" s="3">
        <v>734690</v>
      </c>
      <c r="I4" s="54">
        <f>(IF((H4-H3)&lt;0,"0",(H4-H3)))*0.027</f>
        <v>4.0229999999999997</v>
      </c>
      <c r="J4" s="23">
        <f t="shared" ref="J4:J33" si="5">C4+E4+G4+I4</f>
        <v>1457.723</v>
      </c>
      <c r="K4" s="24">
        <f t="shared" ref="K4:K33" si="6">J4*5.86</f>
        <v>8542.2567799999997</v>
      </c>
    </row>
    <row r="5" spans="1:14" ht="16.5" thickBot="1" x14ac:dyDescent="0.3">
      <c r="A5" s="10">
        <v>44350</v>
      </c>
      <c r="B5" s="3">
        <v>412608</v>
      </c>
      <c r="C5" s="49">
        <f t="shared" si="3"/>
        <v>1150</v>
      </c>
      <c r="D5" s="3">
        <v>4377900</v>
      </c>
      <c r="E5" s="49">
        <f t="shared" si="4"/>
        <v>0</v>
      </c>
      <c r="F5" s="3">
        <v>3289800</v>
      </c>
      <c r="G5" s="49">
        <f t="shared" ref="G5:G33" si="7">(IF((F5-F4)&lt;0,"0",(F5-F4)))*0.027</f>
        <v>334.8</v>
      </c>
      <c r="H5" s="3">
        <v>734834</v>
      </c>
      <c r="I5" s="54">
        <f t="shared" ref="I5:I33" si="8">(IF((H5-H4)&lt;0,"0",(H5-H4)))*0.027</f>
        <v>3.8879999999999999</v>
      </c>
      <c r="J5" s="23">
        <f t="shared" si="5"/>
        <v>1488.6879999999999</v>
      </c>
      <c r="K5" s="24">
        <f t="shared" si="6"/>
        <v>8723.7116800000003</v>
      </c>
    </row>
    <row r="6" spans="1:14" ht="16.5" thickBot="1" x14ac:dyDescent="0.3">
      <c r="A6" s="10">
        <v>44351</v>
      </c>
      <c r="B6" s="3">
        <v>412769</v>
      </c>
      <c r="C6" s="49">
        <f t="shared" si="3"/>
        <v>1610</v>
      </c>
      <c r="D6" s="3">
        <v>4377300</v>
      </c>
      <c r="E6" s="49">
        <f t="shared" si="4"/>
        <v>0</v>
      </c>
      <c r="F6" s="3">
        <v>3318400</v>
      </c>
      <c r="G6" s="49">
        <f t="shared" si="7"/>
        <v>772.2</v>
      </c>
      <c r="H6" s="3">
        <v>734944</v>
      </c>
      <c r="I6" s="54">
        <f t="shared" si="8"/>
        <v>2.9699999999999998</v>
      </c>
      <c r="J6" s="23">
        <f t="shared" si="5"/>
        <v>2385.1699999999996</v>
      </c>
      <c r="K6" s="24">
        <f t="shared" si="6"/>
        <v>13977.096199999998</v>
      </c>
    </row>
    <row r="7" spans="1:14" ht="16.5" thickBot="1" x14ac:dyDescent="0.3">
      <c r="A7" s="10">
        <v>44352</v>
      </c>
      <c r="B7" s="3">
        <v>412955</v>
      </c>
      <c r="C7" s="49">
        <f t="shared" si="3"/>
        <v>1860</v>
      </c>
      <c r="D7" s="3">
        <v>4377900</v>
      </c>
      <c r="E7" s="49">
        <f t="shared" si="4"/>
        <v>16.2</v>
      </c>
      <c r="F7" s="3">
        <v>3363400</v>
      </c>
      <c r="G7" s="49">
        <f t="shared" si="7"/>
        <v>1215</v>
      </c>
      <c r="H7" s="3">
        <v>735076</v>
      </c>
      <c r="I7" s="54">
        <f t="shared" si="8"/>
        <v>3.5640000000000001</v>
      </c>
      <c r="J7" s="23">
        <f t="shared" si="5"/>
        <v>3094.7639999999997</v>
      </c>
      <c r="K7" s="24">
        <f t="shared" si="6"/>
        <v>18135.317039999998</v>
      </c>
      <c r="L7" t="s">
        <v>12</v>
      </c>
      <c r="N7" t="s">
        <v>12</v>
      </c>
    </row>
    <row r="8" spans="1:14" ht="16.5" thickBot="1" x14ac:dyDescent="0.3">
      <c r="A8" s="10">
        <v>44353</v>
      </c>
      <c r="B8" s="3">
        <v>413072</v>
      </c>
      <c r="C8" s="49">
        <f t="shared" si="3"/>
        <v>1170</v>
      </c>
      <c r="D8" s="3">
        <v>4377900</v>
      </c>
      <c r="E8" s="49">
        <f t="shared" si="4"/>
        <v>0</v>
      </c>
      <c r="F8" s="3">
        <v>3390200</v>
      </c>
      <c r="G8" s="49">
        <f t="shared" si="7"/>
        <v>723.6</v>
      </c>
      <c r="H8" s="3">
        <v>735208</v>
      </c>
      <c r="I8" s="54">
        <f t="shared" si="8"/>
        <v>3.5640000000000001</v>
      </c>
      <c r="J8" s="23">
        <f t="shared" si="5"/>
        <v>1897.164</v>
      </c>
      <c r="K8" s="24">
        <f t="shared" si="6"/>
        <v>11117.38104</v>
      </c>
    </row>
    <row r="9" spans="1:14" ht="16.5" thickBot="1" x14ac:dyDescent="0.3">
      <c r="A9" s="10">
        <v>44354</v>
      </c>
      <c r="B9" s="3">
        <v>413192</v>
      </c>
      <c r="C9" s="49">
        <f t="shared" ref="C9:C33" si="9">(IF((B9-B8)&lt;0,"0",(B9-B8)))*10</f>
        <v>1200</v>
      </c>
      <c r="D9" s="3">
        <v>4377900</v>
      </c>
      <c r="E9" s="49">
        <f t="shared" si="4"/>
        <v>0</v>
      </c>
      <c r="F9" s="3">
        <v>3417400</v>
      </c>
      <c r="G9" s="49">
        <f t="shared" si="7"/>
        <v>734.4</v>
      </c>
      <c r="H9" s="3">
        <v>735371</v>
      </c>
      <c r="I9" s="54">
        <f t="shared" si="8"/>
        <v>4.4009999999999998</v>
      </c>
      <c r="J9" s="23">
        <f t="shared" si="5"/>
        <v>1938.8010000000002</v>
      </c>
      <c r="K9" s="24">
        <f t="shared" si="6"/>
        <v>11361.373860000002</v>
      </c>
    </row>
    <row r="10" spans="1:14" ht="16.5" thickBot="1" x14ac:dyDescent="0.3">
      <c r="A10" s="10">
        <v>44355</v>
      </c>
      <c r="B10" s="3">
        <v>413297</v>
      </c>
      <c r="C10" s="49">
        <f>(IF((B10-B9)&lt;0,"0",(B10-B9)))*10</f>
        <v>1050</v>
      </c>
      <c r="D10" s="3">
        <v>4377900</v>
      </c>
      <c r="E10" s="49">
        <f t="shared" si="4"/>
        <v>0</v>
      </c>
      <c r="F10" s="3">
        <v>3439200</v>
      </c>
      <c r="G10" s="49">
        <f t="shared" si="7"/>
        <v>588.6</v>
      </c>
      <c r="H10" s="3">
        <v>735518</v>
      </c>
      <c r="I10" s="54">
        <f t="shared" si="8"/>
        <v>3.9689999999999999</v>
      </c>
      <c r="J10" s="23">
        <f t="shared" si="5"/>
        <v>1642.569</v>
      </c>
      <c r="K10" s="24">
        <f t="shared" si="6"/>
        <v>9625.4543400000002</v>
      </c>
    </row>
    <row r="11" spans="1:14" ht="16.5" thickBot="1" x14ac:dyDescent="0.3">
      <c r="A11" s="10">
        <v>44356</v>
      </c>
      <c r="B11" s="3">
        <v>413420</v>
      </c>
      <c r="C11" s="49">
        <f t="shared" si="9"/>
        <v>1230</v>
      </c>
      <c r="D11" s="3">
        <v>4377900</v>
      </c>
      <c r="E11" s="49">
        <f t="shared" si="4"/>
        <v>0</v>
      </c>
      <c r="F11" s="3">
        <v>3467400</v>
      </c>
      <c r="G11" s="49">
        <f t="shared" si="7"/>
        <v>761.4</v>
      </c>
      <c r="H11" s="3">
        <v>736610</v>
      </c>
      <c r="I11" s="54">
        <f t="shared" si="8"/>
        <v>29.483999999999998</v>
      </c>
      <c r="J11" s="23">
        <f t="shared" si="5"/>
        <v>2020.884</v>
      </c>
      <c r="K11" s="24">
        <f t="shared" si="6"/>
        <v>11842.38024</v>
      </c>
      <c r="N11" t="s">
        <v>12</v>
      </c>
    </row>
    <row r="12" spans="1:14" ht="16.5" thickBot="1" x14ac:dyDescent="0.3">
      <c r="A12" s="10">
        <v>44357</v>
      </c>
      <c r="B12" s="3">
        <v>413513</v>
      </c>
      <c r="C12" s="49">
        <f t="shared" si="9"/>
        <v>930</v>
      </c>
      <c r="D12" s="3">
        <v>4377900</v>
      </c>
      <c r="E12" s="49">
        <f t="shared" si="4"/>
        <v>0</v>
      </c>
      <c r="F12" s="3">
        <v>3485700</v>
      </c>
      <c r="G12" s="49">
        <f t="shared" si="7"/>
        <v>494.1</v>
      </c>
      <c r="H12" s="3">
        <v>735802</v>
      </c>
      <c r="I12" s="54">
        <f t="shared" si="8"/>
        <v>0</v>
      </c>
      <c r="J12" s="23">
        <f t="shared" si="5"/>
        <v>1424.1</v>
      </c>
      <c r="K12" s="24">
        <f t="shared" si="6"/>
        <v>8345.2260000000006</v>
      </c>
    </row>
    <row r="13" spans="1:14" ht="16.5" thickBot="1" x14ac:dyDescent="0.3">
      <c r="A13" s="10">
        <v>44358</v>
      </c>
      <c r="B13" s="3">
        <v>413616</v>
      </c>
      <c r="C13" s="49">
        <f t="shared" si="9"/>
        <v>1030</v>
      </c>
      <c r="D13" s="3">
        <v>4377900</v>
      </c>
      <c r="E13" s="49">
        <f t="shared" si="4"/>
        <v>0</v>
      </c>
      <c r="F13" s="3">
        <v>3504000</v>
      </c>
      <c r="G13" s="49">
        <f t="shared" si="7"/>
        <v>494.1</v>
      </c>
      <c r="H13" s="3">
        <v>735953</v>
      </c>
      <c r="I13" s="54">
        <f t="shared" si="8"/>
        <v>4.077</v>
      </c>
      <c r="J13" s="23">
        <f t="shared" si="5"/>
        <v>1528.1769999999999</v>
      </c>
      <c r="K13" s="24">
        <f t="shared" si="6"/>
        <v>8955.1172200000001</v>
      </c>
    </row>
    <row r="14" spans="1:14" ht="16.5" thickBot="1" x14ac:dyDescent="0.3">
      <c r="A14" s="10">
        <v>44359</v>
      </c>
      <c r="B14" s="3">
        <v>413690</v>
      </c>
      <c r="C14" s="49">
        <f t="shared" si="9"/>
        <v>740</v>
      </c>
      <c r="D14" s="3">
        <v>4377900</v>
      </c>
      <c r="E14" s="49">
        <f t="shared" si="4"/>
        <v>0</v>
      </c>
      <c r="F14" s="3">
        <v>3516600</v>
      </c>
      <c r="G14" s="49">
        <f t="shared" si="7"/>
        <v>340.2</v>
      </c>
      <c r="H14" s="3">
        <v>736054</v>
      </c>
      <c r="I14" s="54">
        <f t="shared" si="8"/>
        <v>2.7269999999999999</v>
      </c>
      <c r="J14" s="23">
        <f t="shared" si="5"/>
        <v>1082.9270000000001</v>
      </c>
      <c r="K14" s="24">
        <f t="shared" si="6"/>
        <v>6345.952220000001</v>
      </c>
    </row>
    <row r="15" spans="1:14" ht="16.5" thickBot="1" x14ac:dyDescent="0.3">
      <c r="A15" s="10">
        <v>44360</v>
      </c>
      <c r="B15" s="3">
        <v>413801</v>
      </c>
      <c r="C15" s="49">
        <f t="shared" si="9"/>
        <v>1110</v>
      </c>
      <c r="D15" s="3">
        <v>4377900</v>
      </c>
      <c r="E15" s="49">
        <f t="shared" si="4"/>
        <v>0</v>
      </c>
      <c r="F15" s="3">
        <v>3530600</v>
      </c>
      <c r="G15" s="49">
        <f t="shared" si="7"/>
        <v>378</v>
      </c>
      <c r="H15" s="3">
        <v>736193</v>
      </c>
      <c r="I15" s="54">
        <f t="shared" si="8"/>
        <v>3.7530000000000001</v>
      </c>
      <c r="J15" s="23">
        <f t="shared" si="5"/>
        <v>1491.7529999999999</v>
      </c>
      <c r="K15" s="24">
        <f t="shared" si="6"/>
        <v>8741.6725800000004</v>
      </c>
    </row>
    <row r="16" spans="1:14" ht="16.5" thickBot="1" x14ac:dyDescent="0.3">
      <c r="A16" s="10">
        <v>44361</v>
      </c>
      <c r="B16" s="3">
        <v>413873</v>
      </c>
      <c r="C16" s="49">
        <f t="shared" si="9"/>
        <v>720</v>
      </c>
      <c r="D16" s="3">
        <v>437700</v>
      </c>
      <c r="E16" s="49">
        <f t="shared" si="4"/>
        <v>0</v>
      </c>
      <c r="F16" s="3">
        <v>3545100</v>
      </c>
      <c r="G16" s="49">
        <f t="shared" si="7"/>
        <v>391.5</v>
      </c>
      <c r="H16" s="3">
        <v>736303</v>
      </c>
      <c r="I16" s="54">
        <f t="shared" si="8"/>
        <v>2.9699999999999998</v>
      </c>
      <c r="J16" s="23">
        <f t="shared" si="5"/>
        <v>1114.47</v>
      </c>
      <c r="K16" s="24">
        <f t="shared" si="6"/>
        <v>6530.7942000000003</v>
      </c>
    </row>
    <row r="17" spans="1:25" ht="16.5" thickBot="1" x14ac:dyDescent="0.3">
      <c r="A17" s="10">
        <v>44362</v>
      </c>
      <c r="B17" s="3"/>
      <c r="C17" s="49">
        <f t="shared" si="9"/>
        <v>0</v>
      </c>
      <c r="D17" s="3"/>
      <c r="E17" s="49">
        <f t="shared" si="4"/>
        <v>0</v>
      </c>
      <c r="F17" s="3"/>
      <c r="G17" s="49">
        <f t="shared" si="7"/>
        <v>0</v>
      </c>
      <c r="H17" s="3"/>
      <c r="I17" s="54">
        <f t="shared" si="8"/>
        <v>0</v>
      </c>
      <c r="J17" s="23">
        <f t="shared" si="5"/>
        <v>0</v>
      </c>
      <c r="K17" s="24">
        <f t="shared" si="6"/>
        <v>0</v>
      </c>
      <c r="P17" t="s">
        <v>12</v>
      </c>
      <c r="R17" t="s">
        <v>12</v>
      </c>
    </row>
    <row r="18" spans="1:25" ht="16.5" thickBot="1" x14ac:dyDescent="0.3">
      <c r="A18" s="10">
        <v>44363</v>
      </c>
      <c r="B18" s="3"/>
      <c r="C18" s="49">
        <f t="shared" si="9"/>
        <v>0</v>
      </c>
      <c r="D18" s="3"/>
      <c r="E18" s="49">
        <f t="shared" si="4"/>
        <v>0</v>
      </c>
      <c r="F18" s="3"/>
      <c r="G18" s="49">
        <f t="shared" si="7"/>
        <v>0</v>
      </c>
      <c r="H18" s="3"/>
      <c r="I18" s="54">
        <f t="shared" si="8"/>
        <v>0</v>
      </c>
      <c r="J18" s="23">
        <f t="shared" si="5"/>
        <v>0</v>
      </c>
      <c r="K18" s="24">
        <f t="shared" si="6"/>
        <v>0</v>
      </c>
      <c r="Q18" t="s">
        <v>43</v>
      </c>
    </row>
    <row r="19" spans="1:25" ht="16.5" thickBot="1" x14ac:dyDescent="0.3">
      <c r="A19" s="10">
        <v>44364</v>
      </c>
      <c r="B19" s="3"/>
      <c r="C19" s="49">
        <f t="shared" si="9"/>
        <v>0</v>
      </c>
      <c r="D19" s="3"/>
      <c r="E19" s="49">
        <f t="shared" si="4"/>
        <v>0</v>
      </c>
      <c r="F19" s="3"/>
      <c r="G19" s="49">
        <f t="shared" si="7"/>
        <v>0</v>
      </c>
      <c r="H19" s="3"/>
      <c r="I19" s="54">
        <f t="shared" si="8"/>
        <v>0</v>
      </c>
      <c r="J19" s="23">
        <f t="shared" si="5"/>
        <v>0</v>
      </c>
      <c r="K19" s="24">
        <f t="shared" si="6"/>
        <v>0</v>
      </c>
      <c r="Q19" t="s">
        <v>12</v>
      </c>
    </row>
    <row r="20" spans="1:25" ht="16.5" thickBot="1" x14ac:dyDescent="0.3">
      <c r="A20" s="10">
        <v>44365</v>
      </c>
      <c r="B20" s="3"/>
      <c r="C20" s="49">
        <f t="shared" si="9"/>
        <v>0</v>
      </c>
      <c r="D20" s="3"/>
      <c r="E20" s="49">
        <f t="shared" si="4"/>
        <v>0</v>
      </c>
      <c r="F20" s="3"/>
      <c r="G20" s="49">
        <f t="shared" si="7"/>
        <v>0</v>
      </c>
      <c r="H20" s="3"/>
      <c r="I20" s="54">
        <f t="shared" si="8"/>
        <v>0</v>
      </c>
      <c r="J20" s="23">
        <f t="shared" si="5"/>
        <v>0</v>
      </c>
      <c r="K20" s="24">
        <f t="shared" si="6"/>
        <v>0</v>
      </c>
    </row>
    <row r="21" spans="1:25" ht="16.5" thickBot="1" x14ac:dyDescent="0.3">
      <c r="A21" s="10">
        <v>44366</v>
      </c>
      <c r="B21" s="3"/>
      <c r="C21" s="49">
        <f t="shared" si="9"/>
        <v>0</v>
      </c>
      <c r="D21" s="3"/>
      <c r="E21" s="49">
        <f t="shared" si="4"/>
        <v>0</v>
      </c>
      <c r="F21" s="3"/>
      <c r="G21" s="49">
        <f t="shared" si="7"/>
        <v>0</v>
      </c>
      <c r="H21" s="3"/>
      <c r="I21" s="54">
        <f t="shared" si="8"/>
        <v>0</v>
      </c>
      <c r="J21" s="23">
        <f t="shared" si="5"/>
        <v>0</v>
      </c>
      <c r="K21" s="24">
        <f t="shared" si="6"/>
        <v>0</v>
      </c>
    </row>
    <row r="22" spans="1:25" ht="16.5" thickBot="1" x14ac:dyDescent="0.3">
      <c r="A22" s="10">
        <v>44367</v>
      </c>
      <c r="B22" s="3"/>
      <c r="C22" s="49">
        <f t="shared" si="9"/>
        <v>0</v>
      </c>
      <c r="D22" s="3"/>
      <c r="E22" s="49">
        <f t="shared" si="4"/>
        <v>0</v>
      </c>
      <c r="F22" s="3"/>
      <c r="G22" s="49">
        <f t="shared" si="7"/>
        <v>0</v>
      </c>
      <c r="H22" s="3"/>
      <c r="I22" s="54">
        <f t="shared" si="8"/>
        <v>0</v>
      </c>
      <c r="J22" s="23">
        <f t="shared" si="5"/>
        <v>0</v>
      </c>
      <c r="K22" s="24">
        <f t="shared" si="6"/>
        <v>0</v>
      </c>
      <c r="P22" t="s">
        <v>12</v>
      </c>
      <c r="S22" s="36" t="s">
        <v>12</v>
      </c>
    </row>
    <row r="23" spans="1:25" ht="16.5" thickBot="1" x14ac:dyDescent="0.3">
      <c r="A23" s="10">
        <v>44368</v>
      </c>
      <c r="B23" s="3"/>
      <c r="C23" s="49">
        <f t="shared" si="9"/>
        <v>0</v>
      </c>
      <c r="D23" s="3"/>
      <c r="E23" s="49">
        <f t="shared" si="4"/>
        <v>0</v>
      </c>
      <c r="F23" s="3"/>
      <c r="G23" s="49">
        <f t="shared" si="7"/>
        <v>0</v>
      </c>
      <c r="H23" s="3"/>
      <c r="I23" s="54">
        <f t="shared" si="8"/>
        <v>0</v>
      </c>
      <c r="J23" s="23">
        <f t="shared" si="5"/>
        <v>0</v>
      </c>
      <c r="K23" s="24">
        <f t="shared" si="6"/>
        <v>0</v>
      </c>
      <c r="Q23" t="s">
        <v>12</v>
      </c>
    </row>
    <row r="24" spans="1:25" ht="16.5" thickBot="1" x14ac:dyDescent="0.3">
      <c r="A24" s="10">
        <v>44369</v>
      </c>
      <c r="B24" s="3"/>
      <c r="C24" s="49">
        <f t="shared" si="9"/>
        <v>0</v>
      </c>
      <c r="D24" s="3"/>
      <c r="E24" s="49">
        <f t="shared" si="4"/>
        <v>0</v>
      </c>
      <c r="F24" s="3"/>
      <c r="G24" s="49">
        <f t="shared" si="7"/>
        <v>0</v>
      </c>
      <c r="H24" s="3"/>
      <c r="I24" s="54">
        <f t="shared" si="8"/>
        <v>0</v>
      </c>
      <c r="J24" s="23">
        <f t="shared" si="5"/>
        <v>0</v>
      </c>
      <c r="K24" s="24">
        <f t="shared" si="6"/>
        <v>0</v>
      </c>
    </row>
    <row r="25" spans="1:25" ht="17.25" customHeight="1" thickBot="1" x14ac:dyDescent="0.4">
      <c r="A25" s="10">
        <v>44370</v>
      </c>
      <c r="B25" s="3"/>
      <c r="C25" s="49">
        <f t="shared" si="9"/>
        <v>0</v>
      </c>
      <c r="D25" s="3"/>
      <c r="E25" s="49">
        <f t="shared" si="4"/>
        <v>0</v>
      </c>
      <c r="F25" s="3"/>
      <c r="G25" s="49">
        <f>F25-F24</f>
        <v>0</v>
      </c>
      <c r="H25" s="3"/>
      <c r="I25" s="54">
        <f t="shared" si="8"/>
        <v>0</v>
      </c>
      <c r="J25" s="23">
        <f t="shared" si="5"/>
        <v>0</v>
      </c>
      <c r="K25" s="24">
        <f t="shared" si="6"/>
        <v>0</v>
      </c>
      <c r="Y25" s="65"/>
    </row>
    <row r="26" spans="1:25" ht="16.5" thickBot="1" x14ac:dyDescent="0.3">
      <c r="A26" s="10">
        <v>44371</v>
      </c>
      <c r="B26" s="3"/>
      <c r="C26" s="49">
        <f t="shared" si="9"/>
        <v>0</v>
      </c>
      <c r="D26" s="3"/>
      <c r="E26" s="49">
        <f t="shared" si="4"/>
        <v>0</v>
      </c>
      <c r="F26" s="3"/>
      <c r="G26" s="49">
        <f t="shared" si="7"/>
        <v>0</v>
      </c>
      <c r="H26" s="3"/>
      <c r="I26" s="54">
        <f t="shared" si="8"/>
        <v>0</v>
      </c>
      <c r="J26" s="23">
        <f t="shared" si="5"/>
        <v>0</v>
      </c>
      <c r="K26" s="24">
        <f t="shared" si="6"/>
        <v>0</v>
      </c>
      <c r="L26" t="s">
        <v>12</v>
      </c>
    </row>
    <row r="27" spans="1:25" ht="16.5" thickBot="1" x14ac:dyDescent="0.3">
      <c r="A27" s="10">
        <v>44372</v>
      </c>
      <c r="B27" s="3"/>
      <c r="C27" s="49">
        <f t="shared" si="9"/>
        <v>0</v>
      </c>
      <c r="D27" s="3"/>
      <c r="E27" s="49">
        <f t="shared" si="4"/>
        <v>0</v>
      </c>
      <c r="F27" s="3"/>
      <c r="G27" s="49">
        <f t="shared" si="7"/>
        <v>0</v>
      </c>
      <c r="H27" s="3"/>
      <c r="I27" s="54">
        <f t="shared" si="8"/>
        <v>0</v>
      </c>
      <c r="J27" s="23">
        <f t="shared" si="5"/>
        <v>0</v>
      </c>
      <c r="K27" s="24">
        <f t="shared" si="6"/>
        <v>0</v>
      </c>
      <c r="O27" t="s">
        <v>12</v>
      </c>
    </row>
    <row r="28" spans="1:25" ht="16.5" thickBot="1" x14ac:dyDescent="0.3">
      <c r="A28" s="10">
        <v>44373</v>
      </c>
      <c r="B28" s="3"/>
      <c r="C28" s="49">
        <f t="shared" si="9"/>
        <v>0</v>
      </c>
      <c r="D28" s="3"/>
      <c r="E28" s="49">
        <f t="shared" si="4"/>
        <v>0</v>
      </c>
      <c r="F28" s="3"/>
      <c r="G28" s="49">
        <f t="shared" si="7"/>
        <v>0</v>
      </c>
      <c r="H28" s="3"/>
      <c r="I28" s="54">
        <f t="shared" si="8"/>
        <v>0</v>
      </c>
      <c r="J28" s="23">
        <f t="shared" si="5"/>
        <v>0</v>
      </c>
      <c r="K28" s="24">
        <f t="shared" si="6"/>
        <v>0</v>
      </c>
    </row>
    <row r="29" spans="1:25" ht="16.5" thickBot="1" x14ac:dyDescent="0.3">
      <c r="A29" s="10">
        <v>44374</v>
      </c>
      <c r="B29" s="3"/>
      <c r="C29" s="49">
        <f t="shared" si="9"/>
        <v>0</v>
      </c>
      <c r="D29" s="3"/>
      <c r="E29" s="49">
        <f t="shared" si="4"/>
        <v>0</v>
      </c>
      <c r="F29" s="3"/>
      <c r="G29" s="49">
        <f t="shared" si="7"/>
        <v>0</v>
      </c>
      <c r="H29" s="3"/>
      <c r="I29" s="54">
        <f t="shared" si="8"/>
        <v>0</v>
      </c>
      <c r="J29" s="23">
        <f t="shared" si="5"/>
        <v>0</v>
      </c>
      <c r="K29" s="24">
        <f t="shared" si="6"/>
        <v>0</v>
      </c>
    </row>
    <row r="30" spans="1:25" ht="16.5" thickBot="1" x14ac:dyDescent="0.3">
      <c r="A30" s="10">
        <v>44375</v>
      </c>
      <c r="B30" s="3"/>
      <c r="C30" s="49">
        <f t="shared" si="9"/>
        <v>0</v>
      </c>
      <c r="D30" s="3"/>
      <c r="E30" s="49">
        <f t="shared" si="4"/>
        <v>0</v>
      </c>
      <c r="F30" s="3"/>
      <c r="G30" s="49">
        <f t="shared" si="7"/>
        <v>0</v>
      </c>
      <c r="H30" s="3"/>
      <c r="I30" s="54">
        <f t="shared" si="8"/>
        <v>0</v>
      </c>
      <c r="J30" s="23">
        <f t="shared" si="5"/>
        <v>0</v>
      </c>
      <c r="K30" s="24">
        <f t="shared" si="6"/>
        <v>0</v>
      </c>
    </row>
    <row r="31" spans="1:25" ht="16.5" thickBot="1" x14ac:dyDescent="0.3">
      <c r="A31" s="10">
        <v>44376</v>
      </c>
      <c r="B31" s="3"/>
      <c r="C31" s="49">
        <f t="shared" si="9"/>
        <v>0</v>
      </c>
      <c r="D31" s="3"/>
      <c r="E31" s="49">
        <f t="shared" si="4"/>
        <v>0</v>
      </c>
      <c r="F31" s="3"/>
      <c r="G31" s="49">
        <f t="shared" si="7"/>
        <v>0</v>
      </c>
      <c r="H31" s="3"/>
      <c r="I31" s="54">
        <f t="shared" si="8"/>
        <v>0</v>
      </c>
      <c r="J31" s="23">
        <f t="shared" si="5"/>
        <v>0</v>
      </c>
      <c r="K31" s="24">
        <f t="shared" si="6"/>
        <v>0</v>
      </c>
    </row>
    <row r="32" spans="1:25" ht="16.5" thickBot="1" x14ac:dyDescent="0.3">
      <c r="A32" s="10">
        <v>44377</v>
      </c>
      <c r="B32" s="3"/>
      <c r="C32" s="49">
        <f t="shared" si="9"/>
        <v>0</v>
      </c>
      <c r="D32" s="3"/>
      <c r="E32" s="49">
        <f t="shared" si="4"/>
        <v>0</v>
      </c>
      <c r="F32" s="3"/>
      <c r="G32" s="49">
        <f t="shared" si="7"/>
        <v>0</v>
      </c>
      <c r="H32" s="3"/>
      <c r="I32" s="54">
        <f t="shared" si="8"/>
        <v>0</v>
      </c>
      <c r="J32" s="23">
        <f t="shared" si="5"/>
        <v>0</v>
      </c>
      <c r="K32" s="24">
        <f t="shared" si="6"/>
        <v>0</v>
      </c>
    </row>
    <row r="33" spans="1:11" ht="16.5" thickBot="1" x14ac:dyDescent="0.3">
      <c r="A33" s="10">
        <v>44377</v>
      </c>
      <c r="B33" s="3"/>
      <c r="C33" s="49">
        <f t="shared" si="9"/>
        <v>0</v>
      </c>
      <c r="D33" s="3"/>
      <c r="E33" s="49">
        <f t="shared" si="4"/>
        <v>0</v>
      </c>
      <c r="F33" s="3"/>
      <c r="G33" s="49">
        <f t="shared" si="7"/>
        <v>0</v>
      </c>
      <c r="H33" s="3"/>
      <c r="I33" s="54">
        <f t="shared" si="8"/>
        <v>0</v>
      </c>
      <c r="J33" s="23">
        <f t="shared" si="5"/>
        <v>0</v>
      </c>
      <c r="K33" s="24">
        <f t="shared" si="6"/>
        <v>0</v>
      </c>
    </row>
    <row r="34" spans="1:11" ht="21" thickBot="1" x14ac:dyDescent="0.3">
      <c r="A34" s="9" t="s">
        <v>23</v>
      </c>
      <c r="B34" s="3"/>
      <c r="C34" s="66">
        <f>SUM(C3:C33)</f>
        <v>16330</v>
      </c>
      <c r="D34" s="3"/>
      <c r="E34" s="66">
        <f>SUM(E3:E33)</f>
        <v>16.2</v>
      </c>
      <c r="F34" s="3"/>
      <c r="G34" s="66">
        <f>SUM(G3:G33)</f>
        <v>7919.1</v>
      </c>
      <c r="H34" s="3"/>
      <c r="I34" s="66">
        <f>SUM(I3:I33)</f>
        <v>72.602999999999994</v>
      </c>
      <c r="J34" s="66">
        <f>SUM(J3:J33)</f>
        <v>24337.902999999998</v>
      </c>
      <c r="K34" s="66">
        <f>SUM(K3:K33)</f>
        <v>142620.11158000003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B48"/>
  <sheetViews>
    <sheetView zoomScale="120" zoomScaleNormal="120" zoomScaleSheetLayoutView="110" workbookViewId="0">
      <selection activeCell="A16" sqref="A16"/>
    </sheetView>
  </sheetViews>
  <sheetFormatPr defaultColWidth="23" defaultRowHeight="15.75" x14ac:dyDescent="0.25"/>
  <cols>
    <col min="1" max="1" width="20.7109375" style="30" bestFit="1" customWidth="1"/>
    <col min="2" max="2" width="14.85546875" style="51" bestFit="1" customWidth="1"/>
    <col min="3" max="3" width="15.28515625" style="51" bestFit="1" customWidth="1"/>
    <col min="4" max="4" width="10.28515625" style="51" bestFit="1" customWidth="1"/>
    <col min="5" max="5" width="12.85546875" style="26" bestFit="1" customWidth="1"/>
    <col min="6" max="6" width="10" style="26" bestFit="1" customWidth="1"/>
    <col min="7" max="7" width="12.85546875" style="26" bestFit="1" customWidth="1"/>
    <col min="8" max="8" width="16.5703125" style="26" bestFit="1" customWidth="1"/>
    <col min="9" max="9" width="11.85546875" style="26" customWidth="1"/>
    <col min="10" max="10" width="11.85546875" style="26" bestFit="1" customWidth="1"/>
    <col min="11" max="11" width="9" style="26" bestFit="1" customWidth="1"/>
    <col min="12" max="12" width="11.5703125" style="26" bestFit="1" customWidth="1"/>
    <col min="13" max="13" width="10.28515625" style="26" bestFit="1" customWidth="1"/>
    <col min="14" max="17" width="11.5703125" style="26" bestFit="1" customWidth="1"/>
    <col min="18" max="18" width="12.85546875" style="26" bestFit="1" customWidth="1"/>
    <col min="19" max="19" width="9" style="26" bestFit="1" customWidth="1"/>
    <col min="20" max="20" width="4.7109375" style="26" bestFit="1" customWidth="1"/>
    <col min="21" max="21" width="10.28515625" style="26" bestFit="1" customWidth="1"/>
    <col min="22" max="22" width="11.5703125" style="26" bestFit="1" customWidth="1"/>
    <col min="23" max="23" width="9" style="26" bestFit="1" customWidth="1"/>
    <col min="24" max="24" width="10.7109375" style="26" bestFit="1" customWidth="1"/>
    <col min="25" max="25" width="12.5703125" style="26" bestFit="1" customWidth="1"/>
    <col min="26" max="26" width="27.140625" style="31" bestFit="1" customWidth="1"/>
    <col min="27" max="27" width="26.85546875" style="31" bestFit="1" customWidth="1"/>
    <col min="28" max="16384" width="23" style="26"/>
  </cols>
  <sheetData>
    <row r="1" spans="1:27" ht="16.5" thickBot="1" x14ac:dyDescent="0.3">
      <c r="A1" s="6" t="s">
        <v>0</v>
      </c>
      <c r="B1" s="49" t="s">
        <v>54</v>
      </c>
      <c r="C1" s="52" t="s">
        <v>63</v>
      </c>
      <c r="D1" s="5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5" t="s">
        <v>40</v>
      </c>
      <c r="AA1" s="25" t="s">
        <v>41</v>
      </c>
    </row>
    <row r="2" spans="1:27" ht="16.5" thickBot="1" x14ac:dyDescent="0.25">
      <c r="A2" s="10">
        <v>44347</v>
      </c>
      <c r="B2" s="49">
        <v>102</v>
      </c>
      <c r="C2" s="161">
        <v>18252</v>
      </c>
      <c r="D2" s="49"/>
      <c r="E2" s="137">
        <v>26143363</v>
      </c>
      <c r="F2" s="49"/>
      <c r="G2" s="141">
        <v>82726315</v>
      </c>
      <c r="H2" s="49"/>
      <c r="I2" s="28"/>
      <c r="J2" s="137">
        <v>8089438</v>
      </c>
      <c r="K2" s="49"/>
      <c r="L2" s="139">
        <v>8075564</v>
      </c>
      <c r="M2" s="49">
        <v>3901</v>
      </c>
      <c r="N2" s="137">
        <v>5208255</v>
      </c>
      <c r="O2" s="49"/>
      <c r="P2" s="139">
        <v>3524726</v>
      </c>
      <c r="Q2" s="49"/>
      <c r="R2" s="137">
        <v>17551875</v>
      </c>
      <c r="S2" s="49"/>
      <c r="T2" s="137">
        <v>0</v>
      </c>
      <c r="U2" s="29"/>
      <c r="V2" s="137">
        <v>5221164</v>
      </c>
      <c r="W2" s="49"/>
      <c r="X2" s="28"/>
      <c r="Y2" s="35"/>
      <c r="Z2" s="27"/>
      <c r="AA2" s="27"/>
    </row>
    <row r="3" spans="1:27" ht="16.5" thickBot="1" x14ac:dyDescent="0.25">
      <c r="A3" s="10">
        <v>44348</v>
      </c>
      <c r="B3" s="49">
        <v>110</v>
      </c>
      <c r="C3" s="161">
        <v>18255</v>
      </c>
      <c r="D3" s="49">
        <f t="shared" ref="D3" si="0">IF((C3-C2)&lt;0,"0",(C3-C2))*160</f>
        <v>480</v>
      </c>
      <c r="E3" s="137">
        <v>26159794</v>
      </c>
      <c r="F3" s="49">
        <f t="shared" ref="F3" si="1">IF((E3-E2)&lt;0,"0",(E3-E2))</f>
        <v>16431</v>
      </c>
      <c r="G3" s="141">
        <v>82787902</v>
      </c>
      <c r="H3" s="49">
        <f t="shared" ref="H3" si="2">IF((G3-G2)&lt;0,"0",(G3-G2))</f>
        <v>61587</v>
      </c>
      <c r="I3" s="28">
        <f>F3+H3</f>
        <v>78018</v>
      </c>
      <c r="J3" s="137">
        <v>8096891</v>
      </c>
      <c r="K3" s="49">
        <f t="shared" ref="K3" si="3">IF((J3-J2)&lt;0,"0",(J3-J2))</f>
        <v>7453</v>
      </c>
      <c r="L3" s="139">
        <v>8080904</v>
      </c>
      <c r="M3" s="49">
        <f t="shared" ref="M3" si="4">IF((L3-L2)&lt;0,"0",(L3-L2))</f>
        <v>5340</v>
      </c>
      <c r="N3" s="137">
        <v>5213703</v>
      </c>
      <c r="O3" s="49">
        <f>(IF((N3-N2)&lt;P94,"0",(N3-N2)))*2</f>
        <v>10896</v>
      </c>
      <c r="P3" s="139">
        <v>3538419</v>
      </c>
      <c r="Q3" s="49">
        <f t="shared" ref="Q3" si="5">IF((P3-P2)&lt;0,"0",(P3-P2))</f>
        <v>13693</v>
      </c>
      <c r="R3" s="137">
        <v>17563602</v>
      </c>
      <c r="S3" s="49">
        <f t="shared" ref="S3" si="6">IF((R3-R2)&lt;0,"0",(R3-R2))</f>
        <v>11727</v>
      </c>
      <c r="T3" s="137">
        <v>0</v>
      </c>
      <c r="U3" s="140"/>
      <c r="V3" s="137">
        <v>5234762</v>
      </c>
      <c r="W3" s="49">
        <f t="shared" ref="W3" si="7">IF((V3-V2)&lt;0,"0",(V3-V2))</f>
        <v>13598</v>
      </c>
      <c r="X3" s="28">
        <f t="shared" ref="X3" si="8">K3+M3+O3+Q3+S3+U3+W3</f>
        <v>62707</v>
      </c>
      <c r="Y3" s="35">
        <f t="shared" ref="Y3" si="9">I3-X3</f>
        <v>15311</v>
      </c>
      <c r="Z3" s="27">
        <f t="shared" ref="Z3" si="10">(0.93352*(W3+S3)+0.5568*(Q3+O3))*0.26</f>
        <v>9706.4627920000003</v>
      </c>
      <c r="AA3" s="27">
        <f>SUM(Z1:Z3)</f>
        <v>9706.4627920000003</v>
      </c>
    </row>
    <row r="4" spans="1:27" ht="16.5" thickBot="1" x14ac:dyDescent="0.25">
      <c r="A4" s="10">
        <v>44349</v>
      </c>
      <c r="B4" s="49">
        <v>144</v>
      </c>
      <c r="C4" s="161">
        <v>18259</v>
      </c>
      <c r="D4" s="49">
        <f t="shared" ref="D4:D33" si="11">IF((C4-C3)&lt;0,"0",(C4-C3))*160</f>
        <v>640</v>
      </c>
      <c r="E4" s="137">
        <v>26173157</v>
      </c>
      <c r="F4" s="49">
        <f t="shared" ref="F4:F33" si="12">IF((E4-E3)&lt;0,"0",(E4-E3))</f>
        <v>13363</v>
      </c>
      <c r="G4" s="141">
        <v>82836652</v>
      </c>
      <c r="H4" s="49">
        <f t="shared" ref="H4:H33" si="13">IF((G4-G3)&lt;0,"0",(G4-G3))</f>
        <v>48750</v>
      </c>
      <c r="I4" s="138">
        <f t="shared" ref="I4:I30" si="14">F4+H4</f>
        <v>62113</v>
      </c>
      <c r="J4" s="137">
        <v>8102662</v>
      </c>
      <c r="K4" s="49">
        <f t="shared" ref="K4:K33" si="15">IF((J4-J3)&lt;0,"0",(J4-J3))</f>
        <v>5771</v>
      </c>
      <c r="L4" s="139">
        <v>8085519</v>
      </c>
      <c r="M4" s="49">
        <f t="shared" ref="M4:M33" si="16">IF((L4-L3)&lt;0,"0",(L4-L3))</f>
        <v>4615</v>
      </c>
      <c r="N4" s="137">
        <v>5217984</v>
      </c>
      <c r="O4" s="49">
        <f>(IF((N4-N3)&lt;P96,"0",(N4-N3)))*2</f>
        <v>8562</v>
      </c>
      <c r="P4" s="139">
        <v>3549232</v>
      </c>
      <c r="Q4" s="49">
        <f t="shared" ref="Q4:Q33" si="17">IF((P4-P3)&lt;0,"0",(P4-P3))</f>
        <v>10813</v>
      </c>
      <c r="R4" s="137">
        <v>17573128</v>
      </c>
      <c r="S4" s="49">
        <f t="shared" ref="S4:S33" si="18">IF((R4-R3)&lt;0,"0",(R4-R3))</f>
        <v>9526</v>
      </c>
      <c r="T4" s="137">
        <v>0</v>
      </c>
      <c r="U4" s="140"/>
      <c r="V4" s="137">
        <v>5245459</v>
      </c>
      <c r="W4" s="49">
        <f t="shared" ref="W4:W33" si="19">IF((V4-V3)&lt;0,"0",(V4-V3))</f>
        <v>10697</v>
      </c>
      <c r="X4" s="28">
        <f t="shared" ref="X4:X33" si="20">K4+M4+O4+Q4+S4+U4+W4</f>
        <v>49984</v>
      </c>
      <c r="Y4" s="35">
        <f t="shared" ref="Y4:Y33" si="21">I4-X4</f>
        <v>12129</v>
      </c>
      <c r="Z4" s="27">
        <f t="shared" ref="Z4:Z33" si="22">(0.93352*(W4+S4)+0.5568*(Q4+O4))*0.26</f>
        <v>7713.3094896000011</v>
      </c>
      <c r="AA4" s="27">
        <f>SUM(Z2:Z4)</f>
        <v>17419.772281600002</v>
      </c>
    </row>
    <row r="5" spans="1:27" ht="16.5" thickBot="1" x14ac:dyDescent="0.25">
      <c r="A5" s="10">
        <v>44350</v>
      </c>
      <c r="B5" s="49">
        <v>182</v>
      </c>
      <c r="C5" s="161">
        <v>18262</v>
      </c>
      <c r="D5" s="49">
        <f t="shared" si="11"/>
        <v>480</v>
      </c>
      <c r="E5" s="137">
        <v>26188308</v>
      </c>
      <c r="F5" s="49">
        <f t="shared" si="12"/>
        <v>15151</v>
      </c>
      <c r="G5" s="141">
        <v>82877019</v>
      </c>
      <c r="H5" s="49">
        <f t="shared" si="13"/>
        <v>40367</v>
      </c>
      <c r="I5" s="138">
        <f t="shared" si="14"/>
        <v>55518</v>
      </c>
      <c r="J5" s="137">
        <v>8107522</v>
      </c>
      <c r="K5" s="49">
        <f t="shared" si="15"/>
        <v>4860</v>
      </c>
      <c r="L5" s="139">
        <v>8090552</v>
      </c>
      <c r="M5" s="49">
        <f t="shared" si="16"/>
        <v>5033</v>
      </c>
      <c r="N5" s="137">
        <v>5222962</v>
      </c>
      <c r="O5" s="49">
        <f t="shared" ref="O5:O33" si="23">(IF((N5-N4)&lt;0,"0",(N5-N4)))*2</f>
        <v>9956</v>
      </c>
      <c r="P5" s="139">
        <v>3557796</v>
      </c>
      <c r="Q5" s="49">
        <f t="shared" si="17"/>
        <v>8564</v>
      </c>
      <c r="R5" s="137">
        <v>17581249</v>
      </c>
      <c r="S5" s="49">
        <f t="shared" si="18"/>
        <v>8121</v>
      </c>
      <c r="T5" s="137">
        <v>0</v>
      </c>
      <c r="U5" s="140"/>
      <c r="V5" s="137">
        <v>5254319</v>
      </c>
      <c r="W5" s="49">
        <f t="shared" si="19"/>
        <v>8860</v>
      </c>
      <c r="X5" s="28">
        <f t="shared" si="20"/>
        <v>45394</v>
      </c>
      <c r="Y5" s="35">
        <f t="shared" si="21"/>
        <v>10124</v>
      </c>
      <c r="Z5" s="27">
        <f t="shared" si="22"/>
        <v>6802.6501712000008</v>
      </c>
      <c r="AA5" s="27">
        <f>SUM(Z3:Z5)</f>
        <v>24222.422452800005</v>
      </c>
    </row>
    <row r="6" spans="1:27" ht="16.5" thickBot="1" x14ac:dyDescent="0.25">
      <c r="A6" s="10">
        <v>44351</v>
      </c>
      <c r="B6" s="49">
        <v>138</v>
      </c>
      <c r="C6" s="161">
        <v>18265</v>
      </c>
      <c r="D6" s="49">
        <f t="shared" si="11"/>
        <v>480</v>
      </c>
      <c r="E6" s="137">
        <v>26207632</v>
      </c>
      <c r="F6" s="49">
        <f t="shared" si="12"/>
        <v>19324</v>
      </c>
      <c r="G6" s="141">
        <v>82937097</v>
      </c>
      <c r="H6" s="49">
        <f t="shared" si="13"/>
        <v>60078</v>
      </c>
      <c r="I6" s="138">
        <f t="shared" si="14"/>
        <v>79402</v>
      </c>
      <c r="J6" s="137">
        <v>8114200</v>
      </c>
      <c r="K6" s="49">
        <f t="shared" si="15"/>
        <v>6678</v>
      </c>
      <c r="L6" s="139">
        <v>8097124</v>
      </c>
      <c r="M6" s="49">
        <f t="shared" si="16"/>
        <v>6572</v>
      </c>
      <c r="N6" s="137">
        <v>5229198</v>
      </c>
      <c r="O6" s="49">
        <f t="shared" si="23"/>
        <v>12472</v>
      </c>
      <c r="P6" s="139">
        <v>3570624</v>
      </c>
      <c r="Q6" s="49">
        <f t="shared" si="17"/>
        <v>12828</v>
      </c>
      <c r="R6" s="137">
        <v>17593309</v>
      </c>
      <c r="S6" s="49">
        <f t="shared" si="18"/>
        <v>12060</v>
      </c>
      <c r="T6" s="137">
        <v>0</v>
      </c>
      <c r="U6" s="140"/>
      <c r="V6" s="137">
        <v>5267848</v>
      </c>
      <c r="W6" s="49">
        <f t="shared" si="19"/>
        <v>13529</v>
      </c>
      <c r="X6" s="28">
        <f t="shared" si="20"/>
        <v>64139</v>
      </c>
      <c r="Y6" s="35">
        <f t="shared" si="21"/>
        <v>15263</v>
      </c>
      <c r="Z6" s="27">
        <f t="shared" si="22"/>
        <v>9873.4696528000004</v>
      </c>
      <c r="AA6" s="27">
        <f>SUM(Z4:Z6)</f>
        <v>24389.429313600005</v>
      </c>
    </row>
    <row r="7" spans="1:27" ht="16.5" thickBot="1" x14ac:dyDescent="0.25">
      <c r="A7" s="10">
        <v>44352</v>
      </c>
      <c r="B7" s="49">
        <v>211</v>
      </c>
      <c r="C7" s="161">
        <v>18270</v>
      </c>
      <c r="D7" s="49">
        <f t="shared" si="11"/>
        <v>800</v>
      </c>
      <c r="E7" s="137">
        <v>26221153</v>
      </c>
      <c r="F7" s="49">
        <f t="shared" si="12"/>
        <v>13521</v>
      </c>
      <c r="G7" s="141">
        <v>82979658</v>
      </c>
      <c r="H7" s="49">
        <f t="shared" si="13"/>
        <v>42561</v>
      </c>
      <c r="I7" s="138">
        <f t="shared" si="14"/>
        <v>56082</v>
      </c>
      <c r="J7" s="137">
        <v>8118951</v>
      </c>
      <c r="K7" s="49">
        <f t="shared" si="15"/>
        <v>4751</v>
      </c>
      <c r="L7" s="139">
        <v>8101646</v>
      </c>
      <c r="M7" s="49">
        <f t="shared" si="16"/>
        <v>4522</v>
      </c>
      <c r="N7" s="137">
        <v>5233641</v>
      </c>
      <c r="O7" s="49">
        <f t="shared" si="23"/>
        <v>8886</v>
      </c>
      <c r="P7" s="139">
        <v>3579902</v>
      </c>
      <c r="Q7" s="49">
        <f t="shared" si="17"/>
        <v>9278</v>
      </c>
      <c r="R7" s="137">
        <v>17601879</v>
      </c>
      <c r="S7" s="49">
        <f t="shared" si="18"/>
        <v>8570</v>
      </c>
      <c r="T7" s="137">
        <v>0</v>
      </c>
      <c r="U7" s="140"/>
      <c r="V7" s="137">
        <v>5277387</v>
      </c>
      <c r="W7" s="49">
        <f t="shared" si="19"/>
        <v>9539</v>
      </c>
      <c r="X7" s="28">
        <f t="shared" si="20"/>
        <v>45546</v>
      </c>
      <c r="Y7" s="35">
        <f t="shared" si="21"/>
        <v>10536</v>
      </c>
      <c r="Z7" s="27">
        <f t="shared" si="22"/>
        <v>7024.8955087999993</v>
      </c>
      <c r="AA7" s="27">
        <f t="shared" ref="AA7:AA33" si="24">SUM(Z4:Z7)</f>
        <v>31414.324822400005</v>
      </c>
    </row>
    <row r="8" spans="1:27" ht="16.5" thickBot="1" x14ac:dyDescent="0.25">
      <c r="A8" s="10">
        <v>44353</v>
      </c>
      <c r="B8" s="49">
        <v>222</v>
      </c>
      <c r="C8" s="161">
        <v>18273</v>
      </c>
      <c r="D8" s="49">
        <f t="shared" si="11"/>
        <v>480</v>
      </c>
      <c r="E8" s="137">
        <v>26236456</v>
      </c>
      <c r="F8" s="49">
        <f t="shared" si="12"/>
        <v>15303</v>
      </c>
      <c r="G8" s="141">
        <v>83038267</v>
      </c>
      <c r="H8" s="49">
        <f t="shared" si="13"/>
        <v>58609</v>
      </c>
      <c r="I8" s="138">
        <f t="shared" si="14"/>
        <v>73912</v>
      </c>
      <c r="J8" s="137">
        <v>8125795</v>
      </c>
      <c r="K8" s="49">
        <f t="shared" si="15"/>
        <v>6844</v>
      </c>
      <c r="L8" s="139">
        <v>8106706</v>
      </c>
      <c r="M8" s="49">
        <f t="shared" si="16"/>
        <v>5060</v>
      </c>
      <c r="N8" s="137">
        <v>5238644</v>
      </c>
      <c r="O8" s="49">
        <f t="shared" si="23"/>
        <v>10006</v>
      </c>
      <c r="P8" s="139">
        <v>3592507</v>
      </c>
      <c r="Q8" s="49">
        <f t="shared" si="17"/>
        <v>12605</v>
      </c>
      <c r="R8" s="137">
        <v>17613170</v>
      </c>
      <c r="S8" s="49">
        <f t="shared" si="18"/>
        <v>11291</v>
      </c>
      <c r="T8" s="137">
        <v>0</v>
      </c>
      <c r="U8" s="140"/>
      <c r="V8" s="137">
        <v>5290593</v>
      </c>
      <c r="W8" s="49">
        <f t="shared" si="19"/>
        <v>13206</v>
      </c>
      <c r="X8" s="28">
        <f t="shared" si="20"/>
        <v>59012</v>
      </c>
      <c r="Y8" s="35">
        <f t="shared" si="21"/>
        <v>14900</v>
      </c>
      <c r="Z8" s="27">
        <f t="shared" si="22"/>
        <v>9219.1435024000002</v>
      </c>
      <c r="AA8" s="27">
        <f t="shared" si="24"/>
        <v>32920.158835200004</v>
      </c>
    </row>
    <row r="9" spans="1:27" ht="16.5" thickBot="1" x14ac:dyDescent="0.25">
      <c r="A9" s="10">
        <v>44354</v>
      </c>
      <c r="B9" s="49">
        <v>235</v>
      </c>
      <c r="C9" s="161">
        <v>18276</v>
      </c>
      <c r="D9" s="49">
        <f t="shared" si="11"/>
        <v>480</v>
      </c>
      <c r="E9" s="137">
        <v>26249508</v>
      </c>
      <c r="F9" s="49">
        <f t="shared" si="12"/>
        <v>13052</v>
      </c>
      <c r="G9" s="141">
        <v>83086341</v>
      </c>
      <c r="H9" s="49">
        <f t="shared" si="13"/>
        <v>48074</v>
      </c>
      <c r="I9" s="138">
        <f t="shared" si="14"/>
        <v>61126</v>
      </c>
      <c r="J9" s="137">
        <v>8131783</v>
      </c>
      <c r="K9" s="49">
        <f t="shared" si="15"/>
        <v>5988</v>
      </c>
      <c r="L9" s="139">
        <v>8111242</v>
      </c>
      <c r="M9" s="49">
        <f t="shared" si="16"/>
        <v>4536</v>
      </c>
      <c r="N9" s="137">
        <v>5242826</v>
      </c>
      <c r="O9" s="49">
        <f t="shared" si="23"/>
        <v>8364</v>
      </c>
      <c r="P9" s="139">
        <v>3602921</v>
      </c>
      <c r="Q9" s="49">
        <f t="shared" si="17"/>
        <v>10414</v>
      </c>
      <c r="R9" s="137">
        <v>17622507</v>
      </c>
      <c r="S9" s="49">
        <f t="shared" si="18"/>
        <v>9337</v>
      </c>
      <c r="T9" s="137">
        <v>0</v>
      </c>
      <c r="U9" s="140"/>
      <c r="V9" s="137">
        <v>5301236</v>
      </c>
      <c r="W9" s="49">
        <f t="shared" si="19"/>
        <v>10643</v>
      </c>
      <c r="X9" s="28">
        <f t="shared" si="20"/>
        <v>49282</v>
      </c>
      <c r="Y9" s="35">
        <f t="shared" si="21"/>
        <v>11844</v>
      </c>
      <c r="Z9" s="27">
        <f t="shared" si="22"/>
        <v>7567.9031999999997</v>
      </c>
      <c r="AA9" s="27">
        <f t="shared" si="24"/>
        <v>33685.411864000002</v>
      </c>
    </row>
    <row r="10" spans="1:27" ht="16.5" thickBot="1" x14ac:dyDescent="0.25">
      <c r="A10" s="10">
        <v>44355</v>
      </c>
      <c r="B10" s="49">
        <v>221</v>
      </c>
      <c r="C10" s="161">
        <v>18279</v>
      </c>
      <c r="D10" s="49">
        <f t="shared" si="11"/>
        <v>480</v>
      </c>
      <c r="E10" s="137">
        <v>26259821</v>
      </c>
      <c r="F10" s="49">
        <f t="shared" si="12"/>
        <v>10313</v>
      </c>
      <c r="G10" s="141">
        <v>83124405</v>
      </c>
      <c r="H10" s="49">
        <f t="shared" si="13"/>
        <v>38064</v>
      </c>
      <c r="I10" s="138">
        <f t="shared" si="14"/>
        <v>48377</v>
      </c>
      <c r="J10" s="137">
        <v>8136502</v>
      </c>
      <c r="K10" s="49">
        <f t="shared" si="15"/>
        <v>4719</v>
      </c>
      <c r="L10" s="139">
        <v>8114774</v>
      </c>
      <c r="M10" s="49">
        <f t="shared" si="16"/>
        <v>3532</v>
      </c>
      <c r="N10" s="137">
        <v>5246140</v>
      </c>
      <c r="O10" s="49">
        <f t="shared" si="23"/>
        <v>6628</v>
      </c>
      <c r="P10" s="139">
        <v>3611160</v>
      </c>
      <c r="Q10" s="49">
        <f t="shared" si="17"/>
        <v>8239</v>
      </c>
      <c r="R10" s="137">
        <v>17629951</v>
      </c>
      <c r="S10" s="49">
        <f t="shared" si="18"/>
        <v>7444</v>
      </c>
      <c r="T10" s="137">
        <v>0</v>
      </c>
      <c r="U10" s="140"/>
      <c r="V10" s="137">
        <v>5309614</v>
      </c>
      <c r="W10" s="49">
        <f t="shared" si="19"/>
        <v>8378</v>
      </c>
      <c r="X10" s="28">
        <f t="shared" si="20"/>
        <v>38940</v>
      </c>
      <c r="Y10" s="35">
        <f t="shared" si="21"/>
        <v>9437</v>
      </c>
      <c r="Z10" s="27">
        <f t="shared" si="22"/>
        <v>5992.5057504000006</v>
      </c>
      <c r="AA10" s="27">
        <f t="shared" si="24"/>
        <v>29804.447961599999</v>
      </c>
    </row>
    <row r="11" spans="1:27" ht="15.75" customHeight="1" thickBot="1" x14ac:dyDescent="0.25">
      <c r="A11" s="10">
        <v>44356</v>
      </c>
      <c r="B11" s="49">
        <v>230</v>
      </c>
      <c r="C11" s="161">
        <v>18282</v>
      </c>
      <c r="D11" s="49">
        <f t="shared" si="11"/>
        <v>480</v>
      </c>
      <c r="E11" s="137">
        <v>26274472</v>
      </c>
      <c r="F11" s="49">
        <f t="shared" si="12"/>
        <v>14651</v>
      </c>
      <c r="G11" s="141">
        <v>83179912</v>
      </c>
      <c r="H11" s="49">
        <f t="shared" si="13"/>
        <v>55507</v>
      </c>
      <c r="I11" s="138">
        <f t="shared" si="14"/>
        <v>70158</v>
      </c>
      <c r="J11" s="137">
        <v>8143161</v>
      </c>
      <c r="K11" s="49">
        <f t="shared" si="15"/>
        <v>6659</v>
      </c>
      <c r="L11" s="139">
        <v>8119593</v>
      </c>
      <c r="M11" s="49">
        <f t="shared" si="16"/>
        <v>4819</v>
      </c>
      <c r="N11" s="137">
        <v>5250961</v>
      </c>
      <c r="O11" s="49">
        <f t="shared" si="23"/>
        <v>9642</v>
      </c>
      <c r="P11" s="139">
        <v>3623599</v>
      </c>
      <c r="Q11" s="49">
        <f t="shared" si="17"/>
        <v>12439</v>
      </c>
      <c r="R11" s="137">
        <v>17640595</v>
      </c>
      <c r="S11" s="49">
        <f t="shared" si="18"/>
        <v>10644</v>
      </c>
      <c r="T11" s="137">
        <v>0</v>
      </c>
      <c r="U11" s="140"/>
      <c r="V11" s="137">
        <v>5321860</v>
      </c>
      <c r="W11" s="49">
        <f t="shared" si="19"/>
        <v>12246</v>
      </c>
      <c r="X11" s="28">
        <f t="shared" si="20"/>
        <v>56449</v>
      </c>
      <c r="Y11" s="35">
        <f t="shared" si="21"/>
        <v>13709</v>
      </c>
      <c r="Z11" s="27">
        <f t="shared" si="22"/>
        <v>8752.3731360000002</v>
      </c>
      <c r="AA11" s="27">
        <f t="shared" si="24"/>
        <v>31531.925588799997</v>
      </c>
    </row>
    <row r="12" spans="1:27" ht="16.5" thickBot="1" x14ac:dyDescent="0.25">
      <c r="A12" s="10">
        <v>44357</v>
      </c>
      <c r="B12" s="49">
        <v>225</v>
      </c>
      <c r="C12" s="161">
        <v>18286</v>
      </c>
      <c r="D12" s="49">
        <f t="shared" si="11"/>
        <v>640</v>
      </c>
      <c r="E12" s="137">
        <v>26287486</v>
      </c>
      <c r="F12" s="49">
        <f t="shared" si="12"/>
        <v>13014</v>
      </c>
      <c r="G12" s="141">
        <v>83227245</v>
      </c>
      <c r="H12" s="49">
        <f t="shared" si="13"/>
        <v>47333</v>
      </c>
      <c r="I12" s="138">
        <f t="shared" si="14"/>
        <v>60347</v>
      </c>
      <c r="J12" s="137">
        <v>8148703</v>
      </c>
      <c r="K12" s="49">
        <f t="shared" si="15"/>
        <v>5542</v>
      </c>
      <c r="L12" s="139">
        <v>8123943</v>
      </c>
      <c r="M12" s="49">
        <f t="shared" si="16"/>
        <v>4350</v>
      </c>
      <c r="N12" s="137">
        <v>5255212</v>
      </c>
      <c r="O12" s="49">
        <f t="shared" si="23"/>
        <v>8502</v>
      </c>
      <c r="P12" s="139">
        <v>3634653</v>
      </c>
      <c r="Q12" s="49">
        <f t="shared" si="17"/>
        <v>11054</v>
      </c>
      <c r="R12" s="137">
        <v>17649682</v>
      </c>
      <c r="S12" s="49">
        <f t="shared" si="18"/>
        <v>9087</v>
      </c>
      <c r="T12" s="137">
        <v>0</v>
      </c>
      <c r="U12" s="140"/>
      <c r="V12" s="137">
        <v>5332147</v>
      </c>
      <c r="W12" s="49">
        <f t="shared" si="19"/>
        <v>10287</v>
      </c>
      <c r="X12" s="28">
        <f t="shared" si="20"/>
        <v>48822</v>
      </c>
      <c r="Y12" s="35">
        <f t="shared" si="21"/>
        <v>11525</v>
      </c>
      <c r="Z12" s="27">
        <f t="shared" si="22"/>
        <v>7533.4472927999996</v>
      </c>
      <c r="AA12" s="27">
        <f t="shared" si="24"/>
        <v>29846.229379200002</v>
      </c>
    </row>
    <row r="13" spans="1:27" ht="16.5" thickBot="1" x14ac:dyDescent="0.25">
      <c r="A13" s="10">
        <v>44358</v>
      </c>
      <c r="B13" s="49">
        <v>169</v>
      </c>
      <c r="C13" s="161">
        <v>18290</v>
      </c>
      <c r="D13" s="49">
        <f t="shared" si="11"/>
        <v>640</v>
      </c>
      <c r="E13" s="137">
        <v>26305315</v>
      </c>
      <c r="F13" s="49">
        <f t="shared" si="12"/>
        <v>17829</v>
      </c>
      <c r="G13" s="141">
        <v>83293441</v>
      </c>
      <c r="H13" s="49">
        <f t="shared" si="13"/>
        <v>66196</v>
      </c>
      <c r="I13" s="138">
        <f t="shared" si="14"/>
        <v>84025</v>
      </c>
      <c r="J13" s="137">
        <v>8155554</v>
      </c>
      <c r="K13" s="49">
        <f t="shared" si="15"/>
        <v>6851</v>
      </c>
      <c r="L13" s="139">
        <v>8129420</v>
      </c>
      <c r="M13" s="49">
        <f t="shared" si="16"/>
        <v>5477</v>
      </c>
      <c r="N13" s="137">
        <v>5261257</v>
      </c>
      <c r="O13" s="49">
        <f t="shared" si="23"/>
        <v>12090</v>
      </c>
      <c r="P13" s="139">
        <v>3649788</v>
      </c>
      <c r="Q13" s="49">
        <f t="shared" si="17"/>
        <v>15135</v>
      </c>
      <c r="R13" s="137">
        <v>17662740</v>
      </c>
      <c r="S13" s="49">
        <f>IF((R13-R12)&lt;0,"0",(R13-R12))</f>
        <v>13058</v>
      </c>
      <c r="T13" s="137">
        <v>0</v>
      </c>
      <c r="U13" s="140"/>
      <c r="V13" s="137">
        <v>5347044</v>
      </c>
      <c r="W13" s="49">
        <f t="shared" si="19"/>
        <v>14897</v>
      </c>
      <c r="X13" s="28">
        <f t="shared" si="20"/>
        <v>67508</v>
      </c>
      <c r="Y13" s="35">
        <f t="shared" si="21"/>
        <v>16517</v>
      </c>
      <c r="Z13" s="27">
        <f t="shared" si="22"/>
        <v>10726.412215999999</v>
      </c>
      <c r="AA13" s="27">
        <f t="shared" si="24"/>
        <v>33004.738395200002</v>
      </c>
    </row>
    <row r="14" spans="1:27" ht="16.5" thickBot="1" x14ac:dyDescent="0.25">
      <c r="A14" s="10">
        <v>44359</v>
      </c>
      <c r="B14" s="49">
        <v>180</v>
      </c>
      <c r="C14" s="161">
        <v>18294</v>
      </c>
      <c r="D14" s="49">
        <f t="shared" si="11"/>
        <v>640</v>
      </c>
      <c r="E14" s="137">
        <v>26314390</v>
      </c>
      <c r="F14" s="49">
        <f>IF((E14-E13)&lt;0,"0",(E14-E13))</f>
        <v>9075</v>
      </c>
      <c r="G14" s="141">
        <v>83345279</v>
      </c>
      <c r="H14" s="49">
        <f t="shared" si="13"/>
        <v>51838</v>
      </c>
      <c r="I14" s="138">
        <f t="shared" si="14"/>
        <v>60913</v>
      </c>
      <c r="J14" s="137">
        <v>8160827</v>
      </c>
      <c r="K14" s="49">
        <f t="shared" si="15"/>
        <v>5273</v>
      </c>
      <c r="L14" s="139">
        <v>8133686</v>
      </c>
      <c r="M14" s="49">
        <f t="shared" si="16"/>
        <v>4266</v>
      </c>
      <c r="N14" s="137">
        <v>5263604</v>
      </c>
      <c r="O14" s="49">
        <f t="shared" si="23"/>
        <v>4694</v>
      </c>
      <c r="P14" s="139">
        <v>3665934</v>
      </c>
      <c r="Q14" s="49">
        <f t="shared" si="17"/>
        <v>16146</v>
      </c>
      <c r="R14" s="137">
        <v>17671495</v>
      </c>
      <c r="S14" s="49">
        <f>IF((R14-R13)&lt;0,"0",(R14-R13))</f>
        <v>8755</v>
      </c>
      <c r="T14" s="137">
        <v>0</v>
      </c>
      <c r="U14" s="140"/>
      <c r="V14" s="137">
        <v>5357332</v>
      </c>
      <c r="W14" s="49">
        <f t="shared" si="19"/>
        <v>10288</v>
      </c>
      <c r="X14" s="28">
        <f t="shared" si="20"/>
        <v>49422</v>
      </c>
      <c r="Y14" s="35">
        <f t="shared" si="21"/>
        <v>11491</v>
      </c>
      <c r="Z14" s="27">
        <f t="shared" si="22"/>
        <v>7638.9906736000003</v>
      </c>
      <c r="AA14" s="27">
        <f t="shared" si="24"/>
        <v>34651.2233184</v>
      </c>
    </row>
    <row r="15" spans="1:27" ht="16.5" thickBot="1" x14ac:dyDescent="0.25">
      <c r="A15" s="10">
        <v>44360</v>
      </c>
      <c r="B15" s="49">
        <v>138</v>
      </c>
      <c r="C15" s="161">
        <v>18298</v>
      </c>
      <c r="D15" s="49">
        <f t="shared" si="11"/>
        <v>640</v>
      </c>
      <c r="E15" s="137">
        <v>26321909</v>
      </c>
      <c r="F15" s="49">
        <f>IF((E15-E14)&lt;0,"0",(E15-E14))</f>
        <v>7519</v>
      </c>
      <c r="G15" s="141">
        <v>83396412</v>
      </c>
      <c r="H15" s="49">
        <f t="shared" si="13"/>
        <v>51133</v>
      </c>
      <c r="I15" s="138">
        <f t="shared" si="14"/>
        <v>58652</v>
      </c>
      <c r="J15" s="137">
        <v>8166013</v>
      </c>
      <c r="K15" s="49">
        <f t="shared" si="15"/>
        <v>5186</v>
      </c>
      <c r="L15" s="139">
        <v>8137914</v>
      </c>
      <c r="M15" s="49">
        <f t="shared" si="16"/>
        <v>4228</v>
      </c>
      <c r="N15" s="137">
        <v>5265178</v>
      </c>
      <c r="O15" s="49">
        <f t="shared" si="23"/>
        <v>3148</v>
      </c>
      <c r="P15" s="139">
        <v>3682927</v>
      </c>
      <c r="Q15" s="49">
        <f t="shared" si="17"/>
        <v>16993</v>
      </c>
      <c r="R15" s="137">
        <v>17679861</v>
      </c>
      <c r="S15" s="49">
        <f>IF((R15-R14)&lt;0,"0",(R15-R14))</f>
        <v>8366</v>
      </c>
      <c r="T15" s="137">
        <v>0</v>
      </c>
      <c r="U15" s="140"/>
      <c r="V15" s="137">
        <v>5366863</v>
      </c>
      <c r="W15" s="49">
        <f t="shared" si="19"/>
        <v>9531</v>
      </c>
      <c r="X15" s="28">
        <f t="shared" si="20"/>
        <v>47452</v>
      </c>
      <c r="Y15" s="35">
        <f t="shared" si="21"/>
        <v>11200</v>
      </c>
      <c r="Z15" s="27">
        <f t="shared" si="22"/>
        <v>7259.6462224000006</v>
      </c>
      <c r="AA15" s="27">
        <f t="shared" si="24"/>
        <v>33158.496404800004</v>
      </c>
    </row>
    <row r="16" spans="1:27" ht="16.5" thickBot="1" x14ac:dyDescent="0.25">
      <c r="A16" s="10">
        <v>44361</v>
      </c>
      <c r="B16" s="49"/>
      <c r="C16" s="161">
        <v>18304</v>
      </c>
      <c r="D16" s="49">
        <f t="shared" si="11"/>
        <v>960</v>
      </c>
      <c r="E16" s="137">
        <v>26333288</v>
      </c>
      <c r="F16" s="49">
        <f>IF((E16-E15)&lt;0,"0",(E16-E15))</f>
        <v>11379</v>
      </c>
      <c r="G16" s="141">
        <v>83452613</v>
      </c>
      <c r="H16" s="49">
        <f t="shared" si="13"/>
        <v>56201</v>
      </c>
      <c r="I16" s="138">
        <f t="shared" si="14"/>
        <v>67580</v>
      </c>
      <c r="J16" s="137">
        <v>8172205</v>
      </c>
      <c r="K16" s="49">
        <f t="shared" si="15"/>
        <v>6192</v>
      </c>
      <c r="L16" s="139">
        <v>8143102</v>
      </c>
      <c r="M16" s="49">
        <f t="shared" si="16"/>
        <v>5188</v>
      </c>
      <c r="N16" s="137">
        <v>5268204</v>
      </c>
      <c r="O16" s="49">
        <f t="shared" si="23"/>
        <v>6052</v>
      </c>
      <c r="P16" s="139">
        <v>3698765</v>
      </c>
      <c r="Q16" s="49">
        <f t="shared" si="17"/>
        <v>15838</v>
      </c>
      <c r="R16" s="137">
        <v>17690086</v>
      </c>
      <c r="S16" s="49">
        <f t="shared" si="18"/>
        <v>10225</v>
      </c>
      <c r="T16" s="137">
        <v>0</v>
      </c>
      <c r="U16" s="140"/>
      <c r="V16" s="137">
        <v>5378328</v>
      </c>
      <c r="W16" s="49">
        <f t="shared" si="19"/>
        <v>11465</v>
      </c>
      <c r="X16" s="28">
        <f t="shared" si="20"/>
        <v>54960</v>
      </c>
      <c r="Y16" s="35">
        <f t="shared" si="21"/>
        <v>12620</v>
      </c>
      <c r="Z16" s="27">
        <f t="shared" si="22"/>
        <v>8433.4642079999994</v>
      </c>
      <c r="AA16" s="27">
        <f t="shared" si="24"/>
        <v>34058.513319999998</v>
      </c>
    </row>
    <row r="17" spans="1:27" s="151" customFormat="1" ht="16.5" thickBot="1" x14ac:dyDescent="0.25">
      <c r="A17" s="10">
        <v>44362</v>
      </c>
      <c r="B17" s="146"/>
      <c r="C17" s="161"/>
      <c r="D17" s="49">
        <f t="shared" si="11"/>
        <v>0</v>
      </c>
      <c r="E17" s="137"/>
      <c r="F17" s="146" t="str">
        <f t="shared" si="12"/>
        <v>0</v>
      </c>
      <c r="G17" s="141"/>
      <c r="H17" s="49" t="str">
        <f t="shared" si="13"/>
        <v>0</v>
      </c>
      <c r="I17" s="148">
        <f t="shared" si="14"/>
        <v>0</v>
      </c>
      <c r="J17" s="137"/>
      <c r="K17" s="146" t="str">
        <f t="shared" si="15"/>
        <v>0</v>
      </c>
      <c r="L17" s="139"/>
      <c r="M17" s="146" t="str">
        <f t="shared" si="16"/>
        <v>0</v>
      </c>
      <c r="N17" s="137"/>
      <c r="O17" s="146">
        <f t="shared" si="23"/>
        <v>0</v>
      </c>
      <c r="P17" s="139"/>
      <c r="Q17" s="146" t="str">
        <f t="shared" si="17"/>
        <v>0</v>
      </c>
      <c r="R17" s="137"/>
      <c r="S17" s="146" t="str">
        <f t="shared" si="18"/>
        <v>0</v>
      </c>
      <c r="T17" s="147">
        <v>0</v>
      </c>
      <c r="U17" s="140"/>
      <c r="V17" s="137"/>
      <c r="W17" s="146" t="str">
        <f t="shared" si="19"/>
        <v>0</v>
      </c>
      <c r="X17" s="28">
        <f t="shared" si="20"/>
        <v>0</v>
      </c>
      <c r="Y17" s="149">
        <f t="shared" si="21"/>
        <v>0</v>
      </c>
      <c r="Z17" s="150">
        <f t="shared" si="22"/>
        <v>0</v>
      </c>
      <c r="AA17" s="150">
        <f t="shared" si="24"/>
        <v>23332.101104000001</v>
      </c>
    </row>
    <row r="18" spans="1:27" s="151" customFormat="1" ht="16.5" thickBot="1" x14ac:dyDescent="0.25">
      <c r="A18" s="10">
        <v>44363</v>
      </c>
      <c r="B18" s="146"/>
      <c r="C18" s="161"/>
      <c r="D18" s="49">
        <f t="shared" si="11"/>
        <v>0</v>
      </c>
      <c r="E18" s="137"/>
      <c r="F18" s="146">
        <f t="shared" si="12"/>
        <v>0</v>
      </c>
      <c r="G18" s="141"/>
      <c r="H18" s="49">
        <f t="shared" si="13"/>
        <v>0</v>
      </c>
      <c r="I18" s="148">
        <f t="shared" si="14"/>
        <v>0</v>
      </c>
      <c r="J18" s="137"/>
      <c r="K18" s="146">
        <f t="shared" si="15"/>
        <v>0</v>
      </c>
      <c r="L18" s="139"/>
      <c r="M18" s="146">
        <f t="shared" si="16"/>
        <v>0</v>
      </c>
      <c r="N18" s="137"/>
      <c r="O18" s="146">
        <f t="shared" si="23"/>
        <v>0</v>
      </c>
      <c r="P18" s="139"/>
      <c r="Q18" s="146">
        <f t="shared" si="17"/>
        <v>0</v>
      </c>
      <c r="R18" s="137"/>
      <c r="S18" s="146">
        <f t="shared" si="18"/>
        <v>0</v>
      </c>
      <c r="T18" s="147">
        <v>0</v>
      </c>
      <c r="U18" s="140"/>
      <c r="V18" s="137"/>
      <c r="W18" s="146">
        <f t="shared" si="19"/>
        <v>0</v>
      </c>
      <c r="X18" s="28">
        <f t="shared" si="20"/>
        <v>0</v>
      </c>
      <c r="Y18" s="149">
        <f t="shared" si="21"/>
        <v>0</v>
      </c>
      <c r="Z18" s="150">
        <f t="shared" si="22"/>
        <v>0</v>
      </c>
      <c r="AA18" s="150">
        <f t="shared" si="24"/>
        <v>15693.1104304</v>
      </c>
    </row>
    <row r="19" spans="1:27" s="151" customFormat="1" ht="16.5" thickBot="1" x14ac:dyDescent="0.25">
      <c r="A19" s="10">
        <v>44364</v>
      </c>
      <c r="B19" s="146"/>
      <c r="C19" s="161"/>
      <c r="D19" s="49">
        <f>IF((C19-C18)&lt;0,"0",(C19-C18))*160</f>
        <v>0</v>
      </c>
      <c r="E19" s="137"/>
      <c r="F19" s="146">
        <f t="shared" si="12"/>
        <v>0</v>
      </c>
      <c r="G19" s="141"/>
      <c r="H19" s="49">
        <f t="shared" si="13"/>
        <v>0</v>
      </c>
      <c r="I19" s="148">
        <f t="shared" si="14"/>
        <v>0</v>
      </c>
      <c r="J19" s="137"/>
      <c r="K19" s="146">
        <f t="shared" si="15"/>
        <v>0</v>
      </c>
      <c r="L19" s="139"/>
      <c r="M19" s="146">
        <f t="shared" si="16"/>
        <v>0</v>
      </c>
      <c r="N19" s="137"/>
      <c r="O19" s="146">
        <f t="shared" si="23"/>
        <v>0</v>
      </c>
      <c r="P19" s="139"/>
      <c r="Q19" s="146">
        <f t="shared" si="17"/>
        <v>0</v>
      </c>
      <c r="R19" s="137"/>
      <c r="S19" s="146">
        <f t="shared" si="18"/>
        <v>0</v>
      </c>
      <c r="T19" s="147">
        <v>0</v>
      </c>
      <c r="U19" s="140"/>
      <c r="V19" s="137"/>
      <c r="W19" s="146">
        <f t="shared" si="19"/>
        <v>0</v>
      </c>
      <c r="X19" s="28">
        <f t="shared" si="20"/>
        <v>0</v>
      </c>
      <c r="Y19" s="149">
        <f t="shared" si="21"/>
        <v>0</v>
      </c>
      <c r="Z19" s="150">
        <f t="shared" si="22"/>
        <v>0</v>
      </c>
      <c r="AA19" s="150">
        <f t="shared" si="24"/>
        <v>8433.4642079999994</v>
      </c>
    </row>
    <row r="20" spans="1:27" s="151" customFormat="1" ht="16.5" thickBot="1" x14ac:dyDescent="0.25">
      <c r="A20" s="10">
        <v>44365</v>
      </c>
      <c r="B20" s="146"/>
      <c r="C20" s="161"/>
      <c r="D20" s="49">
        <f>IF((C20-C19)&lt;0,"0",(C20-C19))*160</f>
        <v>0</v>
      </c>
      <c r="E20" s="137"/>
      <c r="F20" s="146">
        <f t="shared" si="12"/>
        <v>0</v>
      </c>
      <c r="G20" s="141"/>
      <c r="H20" s="49">
        <f t="shared" si="13"/>
        <v>0</v>
      </c>
      <c r="I20" s="148">
        <f t="shared" si="14"/>
        <v>0</v>
      </c>
      <c r="J20" s="137"/>
      <c r="K20" s="146">
        <f t="shared" si="15"/>
        <v>0</v>
      </c>
      <c r="L20" s="139"/>
      <c r="M20" s="146">
        <f t="shared" si="16"/>
        <v>0</v>
      </c>
      <c r="N20" s="137"/>
      <c r="O20" s="146">
        <f t="shared" si="23"/>
        <v>0</v>
      </c>
      <c r="P20" s="139"/>
      <c r="Q20" s="146">
        <f t="shared" si="17"/>
        <v>0</v>
      </c>
      <c r="R20" s="137"/>
      <c r="S20" s="146">
        <f t="shared" si="18"/>
        <v>0</v>
      </c>
      <c r="T20" s="147">
        <v>0</v>
      </c>
      <c r="U20" s="140"/>
      <c r="V20" s="137"/>
      <c r="W20" s="146">
        <f t="shared" si="19"/>
        <v>0</v>
      </c>
      <c r="X20" s="28">
        <f t="shared" si="20"/>
        <v>0</v>
      </c>
      <c r="Y20" s="149">
        <f t="shared" si="21"/>
        <v>0</v>
      </c>
      <c r="Z20" s="150">
        <f t="shared" si="22"/>
        <v>0</v>
      </c>
      <c r="AA20" s="150">
        <f t="shared" si="24"/>
        <v>0</v>
      </c>
    </row>
    <row r="21" spans="1:27" s="151" customFormat="1" ht="16.5" thickBot="1" x14ac:dyDescent="0.25">
      <c r="A21" s="10">
        <v>44366</v>
      </c>
      <c r="B21" s="146"/>
      <c r="C21" s="161"/>
      <c r="D21" s="49">
        <f>IF((C21-C20)&lt;0,"0",(C21-C20))*160</f>
        <v>0</v>
      </c>
      <c r="E21" s="137"/>
      <c r="F21" s="146">
        <f t="shared" si="12"/>
        <v>0</v>
      </c>
      <c r="G21" s="141"/>
      <c r="H21" s="49">
        <f t="shared" si="13"/>
        <v>0</v>
      </c>
      <c r="I21" s="148">
        <f t="shared" si="14"/>
        <v>0</v>
      </c>
      <c r="J21" s="137"/>
      <c r="K21" s="146">
        <f t="shared" si="15"/>
        <v>0</v>
      </c>
      <c r="L21" s="139"/>
      <c r="M21" s="146">
        <f t="shared" si="16"/>
        <v>0</v>
      </c>
      <c r="N21" s="137"/>
      <c r="O21" s="146">
        <f t="shared" si="23"/>
        <v>0</v>
      </c>
      <c r="P21" s="139"/>
      <c r="Q21" s="146">
        <f t="shared" si="17"/>
        <v>0</v>
      </c>
      <c r="R21" s="137"/>
      <c r="S21" s="146">
        <f t="shared" si="18"/>
        <v>0</v>
      </c>
      <c r="T21" s="147">
        <v>0</v>
      </c>
      <c r="U21" s="140"/>
      <c r="V21" s="137"/>
      <c r="W21" s="146">
        <f t="shared" si="19"/>
        <v>0</v>
      </c>
      <c r="X21" s="28">
        <f t="shared" si="20"/>
        <v>0</v>
      </c>
      <c r="Y21" s="149">
        <f t="shared" si="21"/>
        <v>0</v>
      </c>
      <c r="Z21" s="150">
        <f t="shared" si="22"/>
        <v>0</v>
      </c>
      <c r="AA21" s="150">
        <f t="shared" si="24"/>
        <v>0</v>
      </c>
    </row>
    <row r="22" spans="1:27" ht="16.5" thickBot="1" x14ac:dyDescent="0.25">
      <c r="A22" s="10">
        <v>44367</v>
      </c>
      <c r="B22" s="49"/>
      <c r="C22" s="161"/>
      <c r="D22" s="49">
        <f t="shared" si="11"/>
        <v>0</v>
      </c>
      <c r="E22" s="137"/>
      <c r="F22" s="49">
        <f t="shared" si="12"/>
        <v>0</v>
      </c>
      <c r="G22" s="141"/>
      <c r="H22" s="49">
        <f t="shared" si="13"/>
        <v>0</v>
      </c>
      <c r="I22" s="138">
        <f t="shared" si="14"/>
        <v>0</v>
      </c>
      <c r="J22" s="137"/>
      <c r="K22" s="49">
        <f t="shared" si="15"/>
        <v>0</v>
      </c>
      <c r="L22" s="139"/>
      <c r="M22" s="49">
        <f t="shared" si="16"/>
        <v>0</v>
      </c>
      <c r="N22" s="137"/>
      <c r="O22" s="49">
        <f t="shared" si="23"/>
        <v>0</v>
      </c>
      <c r="P22" s="139"/>
      <c r="Q22" s="49">
        <f t="shared" si="17"/>
        <v>0</v>
      </c>
      <c r="R22" s="137"/>
      <c r="S22" s="49">
        <f t="shared" si="18"/>
        <v>0</v>
      </c>
      <c r="T22" s="137">
        <v>0</v>
      </c>
      <c r="U22" s="140"/>
      <c r="V22" s="137"/>
      <c r="W22" s="49">
        <f t="shared" si="19"/>
        <v>0</v>
      </c>
      <c r="X22" s="28">
        <f t="shared" si="20"/>
        <v>0</v>
      </c>
      <c r="Y22" s="35">
        <f t="shared" si="21"/>
        <v>0</v>
      </c>
      <c r="Z22" s="27">
        <f t="shared" si="22"/>
        <v>0</v>
      </c>
      <c r="AA22" s="27">
        <f t="shared" si="24"/>
        <v>0</v>
      </c>
    </row>
    <row r="23" spans="1:27" ht="16.5" thickBot="1" x14ac:dyDescent="0.25">
      <c r="A23" s="10">
        <v>44368</v>
      </c>
      <c r="B23" s="49"/>
      <c r="C23" s="161"/>
      <c r="D23" s="49">
        <f t="shared" si="11"/>
        <v>0</v>
      </c>
      <c r="E23" s="137"/>
      <c r="F23" s="49">
        <f t="shared" si="12"/>
        <v>0</v>
      </c>
      <c r="G23" s="141"/>
      <c r="H23" s="49">
        <f t="shared" si="13"/>
        <v>0</v>
      </c>
      <c r="I23" s="138">
        <f t="shared" si="14"/>
        <v>0</v>
      </c>
      <c r="J23" s="137"/>
      <c r="K23" s="49">
        <f t="shared" si="15"/>
        <v>0</v>
      </c>
      <c r="L23" s="139"/>
      <c r="M23" s="49">
        <f t="shared" si="16"/>
        <v>0</v>
      </c>
      <c r="N23" s="137"/>
      <c r="O23" s="49">
        <f t="shared" si="23"/>
        <v>0</v>
      </c>
      <c r="P23" s="139"/>
      <c r="Q23" s="49">
        <f t="shared" si="17"/>
        <v>0</v>
      </c>
      <c r="R23" s="137"/>
      <c r="S23" s="49">
        <f t="shared" si="18"/>
        <v>0</v>
      </c>
      <c r="T23" s="137">
        <v>0</v>
      </c>
      <c r="U23" s="140"/>
      <c r="V23" s="137"/>
      <c r="W23" s="49">
        <f t="shared" si="19"/>
        <v>0</v>
      </c>
      <c r="X23" s="28">
        <f t="shared" si="20"/>
        <v>0</v>
      </c>
      <c r="Y23" s="35">
        <f t="shared" si="21"/>
        <v>0</v>
      </c>
      <c r="Z23" s="27">
        <f t="shared" si="22"/>
        <v>0</v>
      </c>
      <c r="AA23" s="27">
        <f t="shared" si="24"/>
        <v>0</v>
      </c>
    </row>
    <row r="24" spans="1:27" ht="16.5" thickBot="1" x14ac:dyDescent="0.25">
      <c r="A24" s="10">
        <v>44369</v>
      </c>
      <c r="B24" s="49"/>
      <c r="C24" s="161"/>
      <c r="D24" s="49">
        <f t="shared" si="11"/>
        <v>0</v>
      </c>
      <c r="E24" s="137"/>
      <c r="F24" s="49">
        <f t="shared" si="12"/>
        <v>0</v>
      </c>
      <c r="G24" s="141"/>
      <c r="H24" s="49">
        <f t="shared" si="13"/>
        <v>0</v>
      </c>
      <c r="I24" s="138">
        <f t="shared" si="14"/>
        <v>0</v>
      </c>
      <c r="J24" s="137"/>
      <c r="K24" s="49">
        <f t="shared" si="15"/>
        <v>0</v>
      </c>
      <c r="L24" s="139"/>
      <c r="M24" s="49">
        <f t="shared" si="16"/>
        <v>0</v>
      </c>
      <c r="N24" s="137"/>
      <c r="O24" s="49">
        <f t="shared" si="23"/>
        <v>0</v>
      </c>
      <c r="P24" s="139"/>
      <c r="Q24" s="49">
        <f t="shared" si="17"/>
        <v>0</v>
      </c>
      <c r="R24" s="137"/>
      <c r="S24" s="49">
        <f t="shared" si="18"/>
        <v>0</v>
      </c>
      <c r="T24" s="137">
        <v>0</v>
      </c>
      <c r="U24" s="140"/>
      <c r="V24" s="137"/>
      <c r="W24" s="49">
        <f t="shared" si="19"/>
        <v>0</v>
      </c>
      <c r="X24" s="28">
        <f t="shared" si="20"/>
        <v>0</v>
      </c>
      <c r="Y24" s="35">
        <f t="shared" si="21"/>
        <v>0</v>
      </c>
      <c r="Z24" s="27">
        <f t="shared" si="22"/>
        <v>0</v>
      </c>
      <c r="AA24" s="27">
        <f t="shared" si="24"/>
        <v>0</v>
      </c>
    </row>
    <row r="25" spans="1:27" ht="16.5" thickBot="1" x14ac:dyDescent="0.25">
      <c r="A25" s="10">
        <v>44370</v>
      </c>
      <c r="B25" s="49"/>
      <c r="C25" s="161"/>
      <c r="D25" s="49">
        <f t="shared" si="11"/>
        <v>0</v>
      </c>
      <c r="E25" s="137"/>
      <c r="F25" s="49">
        <f t="shared" si="12"/>
        <v>0</v>
      </c>
      <c r="G25" s="141"/>
      <c r="H25" s="49">
        <f t="shared" si="13"/>
        <v>0</v>
      </c>
      <c r="I25" s="138">
        <f t="shared" si="14"/>
        <v>0</v>
      </c>
      <c r="J25" s="137"/>
      <c r="K25" s="49">
        <f t="shared" si="15"/>
        <v>0</v>
      </c>
      <c r="L25" s="139"/>
      <c r="M25" s="49">
        <f t="shared" si="16"/>
        <v>0</v>
      </c>
      <c r="N25" s="137"/>
      <c r="O25" s="49">
        <f t="shared" si="23"/>
        <v>0</v>
      </c>
      <c r="P25" s="139"/>
      <c r="Q25" s="49">
        <f t="shared" si="17"/>
        <v>0</v>
      </c>
      <c r="R25" s="137"/>
      <c r="S25" s="49">
        <f t="shared" si="18"/>
        <v>0</v>
      </c>
      <c r="T25" s="137">
        <v>0</v>
      </c>
      <c r="U25" s="140"/>
      <c r="V25" s="137"/>
      <c r="W25" s="49">
        <f t="shared" si="19"/>
        <v>0</v>
      </c>
      <c r="X25" s="28">
        <f t="shared" si="20"/>
        <v>0</v>
      </c>
      <c r="Y25" s="35">
        <f t="shared" si="21"/>
        <v>0</v>
      </c>
      <c r="Z25" s="27">
        <f t="shared" si="22"/>
        <v>0</v>
      </c>
      <c r="AA25" s="27">
        <f t="shared" si="24"/>
        <v>0</v>
      </c>
    </row>
    <row r="26" spans="1:27" ht="16.5" thickBot="1" x14ac:dyDescent="0.25">
      <c r="A26" s="10">
        <v>44371</v>
      </c>
      <c r="B26" s="49"/>
      <c r="C26" s="161"/>
      <c r="D26" s="49">
        <f t="shared" si="11"/>
        <v>0</v>
      </c>
      <c r="E26" s="137"/>
      <c r="F26" s="49">
        <f t="shared" si="12"/>
        <v>0</v>
      </c>
      <c r="G26" s="141"/>
      <c r="H26" s="49">
        <f t="shared" si="13"/>
        <v>0</v>
      </c>
      <c r="I26" s="138">
        <f t="shared" si="14"/>
        <v>0</v>
      </c>
      <c r="J26" s="137"/>
      <c r="K26" s="49">
        <f t="shared" si="15"/>
        <v>0</v>
      </c>
      <c r="L26" s="139"/>
      <c r="M26" s="49">
        <f t="shared" si="16"/>
        <v>0</v>
      </c>
      <c r="N26" s="137"/>
      <c r="O26" s="49">
        <f t="shared" si="23"/>
        <v>0</v>
      </c>
      <c r="P26" s="139"/>
      <c r="Q26" s="49">
        <f t="shared" si="17"/>
        <v>0</v>
      </c>
      <c r="R26" s="137"/>
      <c r="S26" s="49">
        <f t="shared" si="18"/>
        <v>0</v>
      </c>
      <c r="T26" s="137">
        <v>0</v>
      </c>
      <c r="U26" s="140"/>
      <c r="V26" s="137"/>
      <c r="W26" s="49">
        <f t="shared" si="19"/>
        <v>0</v>
      </c>
      <c r="X26" s="28">
        <f t="shared" si="20"/>
        <v>0</v>
      </c>
      <c r="Y26" s="35">
        <f t="shared" si="21"/>
        <v>0</v>
      </c>
      <c r="Z26" s="27">
        <f t="shared" si="22"/>
        <v>0</v>
      </c>
      <c r="AA26" s="27">
        <f t="shared" si="24"/>
        <v>0</v>
      </c>
    </row>
    <row r="27" spans="1:27" ht="16.5" thickBot="1" x14ac:dyDescent="0.25">
      <c r="A27" s="10">
        <v>44372</v>
      </c>
      <c r="B27" s="49"/>
      <c r="C27" s="161"/>
      <c r="D27" s="49">
        <f t="shared" si="11"/>
        <v>0</v>
      </c>
      <c r="E27" s="137"/>
      <c r="F27" s="49">
        <f t="shared" si="12"/>
        <v>0</v>
      </c>
      <c r="G27" s="141"/>
      <c r="H27" s="49">
        <f t="shared" si="13"/>
        <v>0</v>
      </c>
      <c r="I27" s="138">
        <f t="shared" si="14"/>
        <v>0</v>
      </c>
      <c r="J27" s="137"/>
      <c r="K27" s="49">
        <f t="shared" si="15"/>
        <v>0</v>
      </c>
      <c r="L27" s="139"/>
      <c r="M27" s="49">
        <f t="shared" si="16"/>
        <v>0</v>
      </c>
      <c r="N27" s="137"/>
      <c r="O27" s="49">
        <f t="shared" si="23"/>
        <v>0</v>
      </c>
      <c r="P27" s="139"/>
      <c r="Q27" s="49">
        <f t="shared" si="17"/>
        <v>0</v>
      </c>
      <c r="R27" s="137"/>
      <c r="S27" s="49">
        <f t="shared" si="18"/>
        <v>0</v>
      </c>
      <c r="T27" s="137">
        <v>0</v>
      </c>
      <c r="U27" s="140"/>
      <c r="V27" s="137"/>
      <c r="W27" s="49">
        <f t="shared" si="19"/>
        <v>0</v>
      </c>
      <c r="X27" s="28">
        <f t="shared" si="20"/>
        <v>0</v>
      </c>
      <c r="Y27" s="35">
        <f t="shared" si="21"/>
        <v>0</v>
      </c>
      <c r="Z27" s="27">
        <f t="shared" si="22"/>
        <v>0</v>
      </c>
      <c r="AA27" s="27">
        <f t="shared" si="24"/>
        <v>0</v>
      </c>
    </row>
    <row r="28" spans="1:27" ht="16.5" thickBot="1" x14ac:dyDescent="0.25">
      <c r="A28" s="10">
        <v>44373</v>
      </c>
      <c r="B28" s="49"/>
      <c r="C28" s="161"/>
      <c r="D28" s="49">
        <f t="shared" si="11"/>
        <v>0</v>
      </c>
      <c r="E28" s="137"/>
      <c r="F28" s="49">
        <f t="shared" si="12"/>
        <v>0</v>
      </c>
      <c r="G28" s="141"/>
      <c r="H28" s="49">
        <f t="shared" si="13"/>
        <v>0</v>
      </c>
      <c r="I28" s="138">
        <f t="shared" si="14"/>
        <v>0</v>
      </c>
      <c r="J28" s="137"/>
      <c r="K28" s="49">
        <f t="shared" si="15"/>
        <v>0</v>
      </c>
      <c r="L28" s="139"/>
      <c r="M28" s="49">
        <f t="shared" si="16"/>
        <v>0</v>
      </c>
      <c r="N28" s="137"/>
      <c r="O28" s="49">
        <f t="shared" si="23"/>
        <v>0</v>
      </c>
      <c r="P28" s="139"/>
      <c r="Q28" s="49">
        <f t="shared" si="17"/>
        <v>0</v>
      </c>
      <c r="R28" s="137"/>
      <c r="S28" s="49">
        <f t="shared" si="18"/>
        <v>0</v>
      </c>
      <c r="T28" s="137">
        <v>0</v>
      </c>
      <c r="U28" s="140"/>
      <c r="V28" s="137"/>
      <c r="W28" s="49">
        <f t="shared" si="19"/>
        <v>0</v>
      </c>
      <c r="X28" s="28">
        <f t="shared" si="20"/>
        <v>0</v>
      </c>
      <c r="Y28" s="35">
        <f t="shared" si="21"/>
        <v>0</v>
      </c>
      <c r="Z28" s="27">
        <f t="shared" si="22"/>
        <v>0</v>
      </c>
      <c r="AA28" s="27">
        <f t="shared" si="24"/>
        <v>0</v>
      </c>
    </row>
    <row r="29" spans="1:27" ht="16.5" thickBot="1" x14ac:dyDescent="0.25">
      <c r="A29" s="10">
        <v>44374</v>
      </c>
      <c r="B29" s="49"/>
      <c r="C29" s="161"/>
      <c r="D29" s="49">
        <f t="shared" si="11"/>
        <v>0</v>
      </c>
      <c r="E29" s="137"/>
      <c r="F29" s="49">
        <f t="shared" si="12"/>
        <v>0</v>
      </c>
      <c r="G29" s="141"/>
      <c r="H29" s="49">
        <f t="shared" si="13"/>
        <v>0</v>
      </c>
      <c r="I29" s="138">
        <f t="shared" si="14"/>
        <v>0</v>
      </c>
      <c r="J29" s="137"/>
      <c r="K29" s="49">
        <f t="shared" si="15"/>
        <v>0</v>
      </c>
      <c r="L29" s="139"/>
      <c r="M29" s="49">
        <f t="shared" si="16"/>
        <v>0</v>
      </c>
      <c r="N29" s="137"/>
      <c r="O29" s="49">
        <f t="shared" si="23"/>
        <v>0</v>
      </c>
      <c r="P29" s="139"/>
      <c r="Q29" s="49">
        <f t="shared" si="17"/>
        <v>0</v>
      </c>
      <c r="R29" s="137"/>
      <c r="S29" s="49">
        <f t="shared" si="18"/>
        <v>0</v>
      </c>
      <c r="T29" s="137">
        <v>0</v>
      </c>
      <c r="U29" s="140"/>
      <c r="V29" s="137"/>
      <c r="W29" s="49">
        <f t="shared" si="19"/>
        <v>0</v>
      </c>
      <c r="X29" s="28">
        <f t="shared" si="20"/>
        <v>0</v>
      </c>
      <c r="Y29" s="35">
        <f t="shared" si="21"/>
        <v>0</v>
      </c>
      <c r="Z29" s="27">
        <f t="shared" si="22"/>
        <v>0</v>
      </c>
      <c r="AA29" s="27">
        <f t="shared" si="24"/>
        <v>0</v>
      </c>
    </row>
    <row r="30" spans="1:27" ht="16.5" thickBot="1" x14ac:dyDescent="0.25">
      <c r="A30" s="10">
        <v>44375</v>
      </c>
      <c r="B30" s="49"/>
      <c r="C30" s="161"/>
      <c r="D30" s="49">
        <f t="shared" si="11"/>
        <v>0</v>
      </c>
      <c r="E30" s="137"/>
      <c r="F30" s="49">
        <f t="shared" si="12"/>
        <v>0</v>
      </c>
      <c r="G30" s="141"/>
      <c r="H30" s="49">
        <f t="shared" si="13"/>
        <v>0</v>
      </c>
      <c r="I30" s="138">
        <f t="shared" si="14"/>
        <v>0</v>
      </c>
      <c r="J30" s="137"/>
      <c r="K30" s="49">
        <f t="shared" si="15"/>
        <v>0</v>
      </c>
      <c r="L30" s="139"/>
      <c r="M30" s="49">
        <f t="shared" si="16"/>
        <v>0</v>
      </c>
      <c r="N30" s="137"/>
      <c r="O30" s="49">
        <f t="shared" si="23"/>
        <v>0</v>
      </c>
      <c r="P30" s="139"/>
      <c r="Q30" s="49">
        <f t="shared" si="17"/>
        <v>0</v>
      </c>
      <c r="R30" s="137"/>
      <c r="S30" s="49">
        <f t="shared" si="18"/>
        <v>0</v>
      </c>
      <c r="T30" s="137">
        <v>0</v>
      </c>
      <c r="U30" s="140"/>
      <c r="V30" s="137"/>
      <c r="W30" s="49">
        <f t="shared" si="19"/>
        <v>0</v>
      </c>
      <c r="X30" s="28">
        <f t="shared" si="20"/>
        <v>0</v>
      </c>
      <c r="Y30" s="35">
        <f t="shared" si="21"/>
        <v>0</v>
      </c>
      <c r="Z30" s="27">
        <f t="shared" si="22"/>
        <v>0</v>
      </c>
      <c r="AA30" s="27">
        <f t="shared" si="24"/>
        <v>0</v>
      </c>
    </row>
    <row r="31" spans="1:27" ht="16.5" thickBot="1" x14ac:dyDescent="0.25">
      <c r="A31" s="10">
        <v>44376</v>
      </c>
      <c r="B31" s="49"/>
      <c r="C31" s="161"/>
      <c r="D31" s="49">
        <f t="shared" si="11"/>
        <v>0</v>
      </c>
      <c r="E31" s="137"/>
      <c r="F31" s="49">
        <f t="shared" si="12"/>
        <v>0</v>
      </c>
      <c r="G31" s="141"/>
      <c r="H31" s="49">
        <f t="shared" si="13"/>
        <v>0</v>
      </c>
      <c r="I31" s="28">
        <f>F31+H31</f>
        <v>0</v>
      </c>
      <c r="J31" s="137"/>
      <c r="K31" s="49">
        <f t="shared" si="15"/>
        <v>0</v>
      </c>
      <c r="L31" s="139"/>
      <c r="M31" s="49">
        <f t="shared" si="16"/>
        <v>0</v>
      </c>
      <c r="N31" s="137"/>
      <c r="O31" s="49">
        <f t="shared" si="23"/>
        <v>0</v>
      </c>
      <c r="P31" s="139"/>
      <c r="Q31" s="49">
        <f t="shared" si="17"/>
        <v>0</v>
      </c>
      <c r="R31" s="137"/>
      <c r="S31" s="49">
        <f t="shared" si="18"/>
        <v>0</v>
      </c>
      <c r="T31" s="137">
        <v>0</v>
      </c>
      <c r="U31" s="29"/>
      <c r="V31" s="137"/>
      <c r="W31" s="49">
        <f t="shared" si="19"/>
        <v>0</v>
      </c>
      <c r="X31" s="28">
        <f t="shared" si="20"/>
        <v>0</v>
      </c>
      <c r="Y31" s="35">
        <f t="shared" si="21"/>
        <v>0</v>
      </c>
      <c r="Z31" s="27">
        <f t="shared" si="22"/>
        <v>0</v>
      </c>
      <c r="AA31" s="27">
        <f t="shared" si="24"/>
        <v>0</v>
      </c>
    </row>
    <row r="32" spans="1:27" ht="16.5" thickBot="1" x14ac:dyDescent="0.25">
      <c r="A32" s="10">
        <v>44377</v>
      </c>
      <c r="B32" s="49"/>
      <c r="C32" s="161"/>
      <c r="D32" s="49">
        <f t="shared" si="11"/>
        <v>0</v>
      </c>
      <c r="E32" s="137"/>
      <c r="F32" s="49">
        <f t="shared" si="12"/>
        <v>0</v>
      </c>
      <c r="G32" s="141"/>
      <c r="H32" s="49">
        <f t="shared" si="13"/>
        <v>0</v>
      </c>
      <c r="I32" s="28">
        <f>F32+H32</f>
        <v>0</v>
      </c>
      <c r="J32" s="137"/>
      <c r="K32" s="49">
        <f t="shared" si="15"/>
        <v>0</v>
      </c>
      <c r="L32" s="139"/>
      <c r="M32" s="49">
        <f t="shared" si="16"/>
        <v>0</v>
      </c>
      <c r="N32" s="137"/>
      <c r="O32" s="49">
        <f t="shared" si="23"/>
        <v>0</v>
      </c>
      <c r="P32" s="139"/>
      <c r="Q32" s="49">
        <f t="shared" si="17"/>
        <v>0</v>
      </c>
      <c r="R32" s="137"/>
      <c r="S32" s="49">
        <f t="shared" si="18"/>
        <v>0</v>
      </c>
      <c r="T32" s="137">
        <v>0</v>
      </c>
      <c r="U32" s="29"/>
      <c r="V32" s="137"/>
      <c r="W32" s="49">
        <f t="shared" si="19"/>
        <v>0</v>
      </c>
      <c r="X32" s="28">
        <f t="shared" si="20"/>
        <v>0</v>
      </c>
      <c r="Y32" s="35">
        <f t="shared" si="21"/>
        <v>0</v>
      </c>
      <c r="Z32" s="27">
        <f t="shared" si="22"/>
        <v>0</v>
      </c>
      <c r="AA32" s="27">
        <f t="shared" si="24"/>
        <v>0</v>
      </c>
    </row>
    <row r="33" spans="1:28" ht="16.5" thickBot="1" x14ac:dyDescent="0.25">
      <c r="A33" s="10">
        <v>44377</v>
      </c>
      <c r="B33" s="49"/>
      <c r="C33" s="161"/>
      <c r="D33" s="49">
        <f t="shared" si="11"/>
        <v>0</v>
      </c>
      <c r="E33" s="137"/>
      <c r="F33" s="49">
        <f t="shared" si="12"/>
        <v>0</v>
      </c>
      <c r="G33" s="141"/>
      <c r="H33" s="49">
        <f t="shared" si="13"/>
        <v>0</v>
      </c>
      <c r="I33" s="28">
        <f>F33+H33</f>
        <v>0</v>
      </c>
      <c r="J33" s="137"/>
      <c r="K33" s="49">
        <f t="shared" si="15"/>
        <v>0</v>
      </c>
      <c r="L33" s="139"/>
      <c r="M33" s="49">
        <f t="shared" si="16"/>
        <v>0</v>
      </c>
      <c r="N33" s="137"/>
      <c r="O33" s="49">
        <f t="shared" si="23"/>
        <v>0</v>
      </c>
      <c r="P33" s="139"/>
      <c r="Q33" s="49">
        <f t="shared" si="17"/>
        <v>0</v>
      </c>
      <c r="R33" s="137"/>
      <c r="S33" s="49">
        <f t="shared" si="18"/>
        <v>0</v>
      </c>
      <c r="T33" s="137">
        <v>0</v>
      </c>
      <c r="U33" s="29"/>
      <c r="V33" s="137"/>
      <c r="W33" s="49">
        <f t="shared" si="19"/>
        <v>0</v>
      </c>
      <c r="X33" s="28">
        <f t="shared" si="20"/>
        <v>0</v>
      </c>
      <c r="Y33" s="35">
        <f t="shared" si="21"/>
        <v>0</v>
      </c>
      <c r="Z33" s="27">
        <f t="shared" si="22"/>
        <v>0</v>
      </c>
      <c r="AA33" s="27">
        <f t="shared" si="24"/>
        <v>0</v>
      </c>
    </row>
    <row r="34" spans="1:28" ht="16.5" thickBot="1" x14ac:dyDescent="0.25">
      <c r="A34" s="6" t="s">
        <v>23</v>
      </c>
      <c r="B34" s="159">
        <f>SUM(B2:B33)</f>
        <v>2507</v>
      </c>
      <c r="C34" s="159"/>
      <c r="D34" s="159">
        <f>SUM(D2:D33)</f>
        <v>8320</v>
      </c>
      <c r="E34" s="159">
        <v>0</v>
      </c>
      <c r="F34" s="159">
        <f>SUM(F2:F33)</f>
        <v>189925</v>
      </c>
      <c r="G34" s="159">
        <v>0</v>
      </c>
      <c r="H34" s="159">
        <f>SUM(H2:H33)</f>
        <v>726298</v>
      </c>
      <c r="I34" s="159">
        <f>SUM(I5:I33)</f>
        <v>776092</v>
      </c>
      <c r="J34" s="159">
        <v>0</v>
      </c>
      <c r="K34" s="159">
        <f>SUM(K2:K33)</f>
        <v>82767</v>
      </c>
      <c r="L34" s="159">
        <v>0</v>
      </c>
      <c r="M34" s="159">
        <f>SUM(M2:M33)</f>
        <v>71439</v>
      </c>
      <c r="N34" s="159">
        <v>0</v>
      </c>
      <c r="O34" s="159">
        <f>SUM(O2:O33)</f>
        <v>119898</v>
      </c>
      <c r="P34" s="159">
        <v>0</v>
      </c>
      <c r="Q34" s="159">
        <f>SUM(Q2:Q33)</f>
        <v>174039</v>
      </c>
      <c r="R34" s="159">
        <v>0</v>
      </c>
      <c r="S34" s="159">
        <f>SUM(S2:S33)</f>
        <v>138211</v>
      </c>
      <c r="T34" s="159">
        <f>SUM(T5:T33)</f>
        <v>0</v>
      </c>
      <c r="U34" s="159">
        <f>SUM(U2:U33)</f>
        <v>0</v>
      </c>
      <c r="V34" s="159">
        <v>0</v>
      </c>
      <c r="W34" s="159">
        <f>SUM(W2:W33)</f>
        <v>157164</v>
      </c>
      <c r="X34" s="159">
        <f>SUM(X5:X33)</f>
        <v>626926</v>
      </c>
      <c r="Y34" s="159">
        <f>SUM(Y2:Y33)</f>
        <v>176606</v>
      </c>
      <c r="Z34" s="159">
        <f>SUM(Z2:Z33)</f>
        <v>114244.67381600001</v>
      </c>
      <c r="AA34" s="159">
        <f>SUM(AA2:AA33)</f>
        <v>447272.23247199995</v>
      </c>
    </row>
    <row r="35" spans="1:28" x14ac:dyDescent="0.25">
      <c r="U35" s="26" t="s">
        <v>12</v>
      </c>
      <c r="Y35" s="31"/>
    </row>
    <row r="36" spans="1:28" x14ac:dyDescent="0.25">
      <c r="Y36" s="31"/>
      <c r="AB36" s="145"/>
    </row>
    <row r="37" spans="1:28" x14ac:dyDescent="0.25">
      <c r="Y37" s="31"/>
    </row>
    <row r="48" spans="1:28" ht="15" x14ac:dyDescent="0.2">
      <c r="A48" s="26"/>
      <c r="B48" s="50"/>
      <c r="C48" s="50"/>
      <c r="D48" s="50"/>
      <c r="Z48" s="26"/>
      <c r="AA48" s="26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selection activeCell="B16" sqref="B16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6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32" t="s">
        <v>0</v>
      </c>
      <c r="B1" s="33" t="s">
        <v>42</v>
      </c>
      <c r="C1" s="34" t="s">
        <v>25</v>
      </c>
    </row>
    <row r="2" spans="1:9" ht="24" thickBot="1" x14ac:dyDescent="0.4">
      <c r="A2" s="10">
        <v>44347</v>
      </c>
      <c r="B2" s="154">
        <v>17373532</v>
      </c>
      <c r="C2" s="55"/>
    </row>
    <row r="3" spans="1:9" ht="24" thickBot="1" x14ac:dyDescent="0.4">
      <c r="A3" s="10">
        <v>44348</v>
      </c>
      <c r="B3" s="154">
        <v>17375432</v>
      </c>
      <c r="C3" s="55">
        <f>IF((B3-B2)&lt;0,"0",(B3-B2))</f>
        <v>1900</v>
      </c>
    </row>
    <row r="4" spans="1:9" ht="24" thickBot="1" x14ac:dyDescent="0.4">
      <c r="A4" s="10">
        <v>44349</v>
      </c>
      <c r="B4" s="154">
        <v>17377195</v>
      </c>
      <c r="C4" s="55">
        <f t="shared" ref="C4:C30" si="0">IF((B4-B3)&lt;0,"0",(B4-B3))</f>
        <v>1763</v>
      </c>
    </row>
    <row r="5" spans="1:9" ht="24" thickBot="1" x14ac:dyDescent="0.4">
      <c r="A5" s="10">
        <v>44350</v>
      </c>
      <c r="B5" s="154">
        <v>17379111</v>
      </c>
      <c r="C5" s="55">
        <f t="shared" si="0"/>
        <v>1916</v>
      </c>
    </row>
    <row r="6" spans="1:9" ht="24" thickBot="1" x14ac:dyDescent="0.4">
      <c r="A6" s="10">
        <v>44351</v>
      </c>
      <c r="B6" s="154">
        <v>17381045</v>
      </c>
      <c r="C6" s="55">
        <f>IF((B6-B5)&lt;0,"0",(B6-B5))</f>
        <v>1934</v>
      </c>
    </row>
    <row r="7" spans="1:9" ht="24" thickBot="1" x14ac:dyDescent="0.4">
      <c r="A7" s="10">
        <v>44352</v>
      </c>
      <c r="B7" s="154">
        <v>17383528</v>
      </c>
      <c r="C7" s="55">
        <f>IF((B7-B6)&lt;0,"0",(B7-B6))</f>
        <v>2483</v>
      </c>
    </row>
    <row r="8" spans="1:9" ht="24" thickBot="1" x14ac:dyDescent="0.4">
      <c r="A8" s="10">
        <v>44353</v>
      </c>
      <c r="B8" s="154">
        <v>17385519</v>
      </c>
      <c r="C8" s="55">
        <f>IF((B8-B7)&lt;0,"0",(B8-B7))</f>
        <v>1991</v>
      </c>
    </row>
    <row r="9" spans="1:9" ht="24" thickBot="1" x14ac:dyDescent="0.4">
      <c r="A9" s="10">
        <v>44354</v>
      </c>
      <c r="B9" s="154">
        <v>17387350</v>
      </c>
      <c r="C9" s="55">
        <f t="shared" si="0"/>
        <v>1831</v>
      </c>
    </row>
    <row r="10" spans="1:9" ht="24" thickBot="1" x14ac:dyDescent="0.4">
      <c r="A10" s="10">
        <v>44355</v>
      </c>
      <c r="B10" s="154">
        <v>17389732</v>
      </c>
      <c r="C10" s="55">
        <f t="shared" si="0"/>
        <v>2382</v>
      </c>
    </row>
    <row r="11" spans="1:9" ht="24" thickBot="1" x14ac:dyDescent="0.4">
      <c r="A11" s="10">
        <v>44356</v>
      </c>
      <c r="B11" s="154">
        <v>17391627</v>
      </c>
      <c r="C11" s="55">
        <f t="shared" si="0"/>
        <v>1895</v>
      </c>
    </row>
    <row r="12" spans="1:9" ht="24" thickBot="1" x14ac:dyDescent="0.4">
      <c r="A12" s="10">
        <v>44357</v>
      </c>
      <c r="B12" s="154">
        <v>17393230</v>
      </c>
      <c r="C12" s="55">
        <f t="shared" si="0"/>
        <v>1603</v>
      </c>
    </row>
    <row r="13" spans="1:9" ht="24" thickBot="1" x14ac:dyDescent="0.4">
      <c r="A13" s="10">
        <v>44358</v>
      </c>
      <c r="B13" s="154">
        <v>17395851</v>
      </c>
      <c r="C13" s="55">
        <f t="shared" si="0"/>
        <v>2621</v>
      </c>
    </row>
    <row r="14" spans="1:9" ht="24" thickBot="1" x14ac:dyDescent="0.4">
      <c r="A14" s="10">
        <v>44359</v>
      </c>
      <c r="B14" s="154">
        <v>17397860</v>
      </c>
      <c r="C14" s="55">
        <f t="shared" si="0"/>
        <v>2009</v>
      </c>
    </row>
    <row r="15" spans="1:9" ht="24" thickBot="1" x14ac:dyDescent="0.4">
      <c r="A15" s="10">
        <v>44360</v>
      </c>
      <c r="B15" s="154">
        <v>17400130</v>
      </c>
      <c r="C15" s="55">
        <f t="shared" si="0"/>
        <v>2270</v>
      </c>
      <c r="I15" t="s">
        <v>12</v>
      </c>
    </row>
    <row r="16" spans="1:9" ht="26.25" customHeight="1" thickBot="1" x14ac:dyDescent="0.4">
      <c r="A16" s="10">
        <v>44361</v>
      </c>
      <c r="B16" s="154">
        <v>17402232</v>
      </c>
      <c r="C16" s="55">
        <f t="shared" si="0"/>
        <v>2102</v>
      </c>
    </row>
    <row r="17" spans="1:9" ht="25.5" customHeight="1" thickBot="1" x14ac:dyDescent="0.4">
      <c r="A17" s="10">
        <v>44362</v>
      </c>
      <c r="B17" s="154"/>
      <c r="C17" s="55" t="str">
        <f t="shared" si="0"/>
        <v>0</v>
      </c>
      <c r="F17" s="152"/>
    </row>
    <row r="18" spans="1:9" ht="24" thickBot="1" x14ac:dyDescent="0.4">
      <c r="A18" s="10">
        <v>44363</v>
      </c>
      <c r="B18" s="154"/>
      <c r="C18" s="55">
        <f t="shared" si="0"/>
        <v>0</v>
      </c>
    </row>
    <row r="19" spans="1:9" ht="24" thickBot="1" x14ac:dyDescent="0.4">
      <c r="A19" s="10">
        <v>44364</v>
      </c>
      <c r="B19" s="154"/>
      <c r="C19" s="55">
        <f t="shared" si="0"/>
        <v>0</v>
      </c>
    </row>
    <row r="20" spans="1:9" ht="24" thickBot="1" x14ac:dyDescent="0.4">
      <c r="A20" s="10">
        <v>44365</v>
      </c>
      <c r="B20" s="154"/>
      <c r="C20" s="55">
        <f t="shared" si="0"/>
        <v>0</v>
      </c>
    </row>
    <row r="21" spans="1:9" ht="24" thickBot="1" x14ac:dyDescent="0.4">
      <c r="A21" s="10">
        <v>44366</v>
      </c>
      <c r="B21" s="154"/>
      <c r="C21" s="55">
        <f t="shared" si="0"/>
        <v>0</v>
      </c>
    </row>
    <row r="22" spans="1:9" ht="24" thickBot="1" x14ac:dyDescent="0.4">
      <c r="A22" s="10">
        <v>44367</v>
      </c>
      <c r="B22" s="154"/>
      <c r="C22" s="55">
        <f t="shared" si="0"/>
        <v>0</v>
      </c>
    </row>
    <row r="23" spans="1:9" ht="24" thickBot="1" x14ac:dyDescent="0.4">
      <c r="A23" s="10">
        <v>44368</v>
      </c>
      <c r="B23" s="154"/>
      <c r="C23" s="55">
        <f t="shared" si="0"/>
        <v>0</v>
      </c>
      <c r="F23" t="s">
        <v>12</v>
      </c>
    </row>
    <row r="24" spans="1:9" ht="24" thickBot="1" x14ac:dyDescent="0.4">
      <c r="A24" s="10">
        <v>44369</v>
      </c>
      <c r="B24" s="154"/>
      <c r="C24" s="55">
        <f t="shared" si="0"/>
        <v>0</v>
      </c>
      <c r="E24" t="s">
        <v>12</v>
      </c>
    </row>
    <row r="25" spans="1:9" ht="24" thickBot="1" x14ac:dyDescent="0.4">
      <c r="A25" s="10">
        <v>44370</v>
      </c>
      <c r="B25" s="154"/>
      <c r="C25" s="55">
        <f t="shared" si="0"/>
        <v>0</v>
      </c>
    </row>
    <row r="26" spans="1:9" ht="24" thickBot="1" x14ac:dyDescent="0.4">
      <c r="A26" s="10">
        <v>44371</v>
      </c>
      <c r="B26" s="154"/>
      <c r="C26" s="55">
        <f t="shared" si="0"/>
        <v>0</v>
      </c>
    </row>
    <row r="27" spans="1:9" ht="24" thickBot="1" x14ac:dyDescent="0.4">
      <c r="A27" s="10">
        <v>44372</v>
      </c>
      <c r="B27" s="154"/>
      <c r="C27" s="55">
        <f t="shared" si="0"/>
        <v>0</v>
      </c>
    </row>
    <row r="28" spans="1:9" ht="24" thickBot="1" x14ac:dyDescent="0.4">
      <c r="A28" s="10">
        <v>44373</v>
      </c>
      <c r="B28" s="154"/>
      <c r="C28" s="55">
        <f t="shared" si="0"/>
        <v>0</v>
      </c>
      <c r="I28" t="s">
        <v>12</v>
      </c>
    </row>
    <row r="29" spans="1:9" ht="24" thickBot="1" x14ac:dyDescent="0.4">
      <c r="A29" s="10">
        <v>44374</v>
      </c>
      <c r="B29" s="154"/>
      <c r="C29" s="55">
        <f t="shared" si="0"/>
        <v>0</v>
      </c>
    </row>
    <row r="30" spans="1:9" ht="24" thickBot="1" x14ac:dyDescent="0.4">
      <c r="A30" s="10">
        <v>44375</v>
      </c>
      <c r="B30" s="154"/>
      <c r="C30" s="55">
        <f t="shared" si="0"/>
        <v>0</v>
      </c>
    </row>
    <row r="31" spans="1:9" ht="24" thickBot="1" x14ac:dyDescent="0.4">
      <c r="A31" s="10">
        <v>44376</v>
      </c>
      <c r="B31" s="154"/>
      <c r="C31" s="55">
        <f>IF((B31-B30)&lt;0,"0",(B31-B30))</f>
        <v>0</v>
      </c>
    </row>
    <row r="32" spans="1:9" ht="24" thickBot="1" x14ac:dyDescent="0.4">
      <c r="A32" s="10">
        <v>44377</v>
      </c>
      <c r="B32" s="154"/>
      <c r="C32" s="55">
        <f>IF((B32-B31)&lt;0,"0",(B32-B31))</f>
        <v>0</v>
      </c>
    </row>
    <row r="33" spans="1:3" ht="24" thickBot="1" x14ac:dyDescent="0.4">
      <c r="A33" s="10">
        <v>44377</v>
      </c>
      <c r="B33" s="154"/>
      <c r="C33" s="55">
        <f>IF((B33-B32)&lt;0,"0",(B33-B32))</f>
        <v>0</v>
      </c>
    </row>
    <row r="34" spans="1:3" ht="24" thickBot="1" x14ac:dyDescent="0.4">
      <c r="A34" s="168" t="s">
        <v>138</v>
      </c>
      <c r="B34" s="169"/>
      <c r="C34" s="157">
        <f>SUM(C3:C33)</f>
        <v>28700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abSelected="1" zoomScale="87" zoomScaleNormal="87" workbookViewId="0">
      <pane xSplit="1" topLeftCell="B1" activePane="topRight" state="frozen"/>
      <selection pane="topRight" activeCell="B18" sqref="B18"/>
    </sheetView>
  </sheetViews>
  <sheetFormatPr defaultRowHeight="12.75" x14ac:dyDescent="0.2"/>
  <cols>
    <col min="1" max="1" width="20.85546875" bestFit="1" customWidth="1"/>
    <col min="2" max="2" width="12.85546875" bestFit="1" customWidth="1"/>
    <col min="3" max="3" width="17" style="46" bestFit="1" customWidth="1"/>
    <col min="4" max="4" width="15.140625" bestFit="1" customWidth="1"/>
    <col min="5" max="5" width="12.5703125" bestFit="1" customWidth="1"/>
    <col min="6" max="6" width="17" style="46" bestFit="1" customWidth="1"/>
    <col min="7" max="7" width="15.140625" customWidth="1"/>
    <col min="8" max="8" width="17.7109375" customWidth="1"/>
    <col min="9" max="9" width="12.85546875" style="46" bestFit="1" customWidth="1"/>
    <col min="10" max="10" width="11.42578125" bestFit="1" customWidth="1"/>
    <col min="11" max="11" width="15.5703125" bestFit="1" customWidth="1"/>
    <col min="12" max="12" width="12.5703125" style="46" customWidth="1"/>
    <col min="13" max="13" width="12.7109375" bestFit="1" customWidth="1"/>
    <col min="14" max="14" width="11.28515625" bestFit="1" customWidth="1"/>
    <col min="15" max="15" width="12.85546875" style="46" bestFit="1" customWidth="1"/>
    <col min="16" max="16" width="15.140625" bestFit="1" customWidth="1"/>
    <col min="17" max="17" width="13.85546875" bestFit="1" customWidth="1"/>
    <col min="18" max="18" width="16.28515625" style="46" bestFit="1" customWidth="1"/>
    <col min="19" max="19" width="15.140625" bestFit="1" customWidth="1"/>
    <col min="20" max="20" width="18" bestFit="1" customWidth="1"/>
    <col min="21" max="21" width="22.7109375" customWidth="1"/>
  </cols>
  <sheetData>
    <row r="1" spans="1:25" ht="16.5" thickBot="1" x14ac:dyDescent="0.3">
      <c r="A1" s="2" t="s">
        <v>0</v>
      </c>
      <c r="B1" s="3" t="s">
        <v>1</v>
      </c>
      <c r="C1" s="53" t="s">
        <v>2</v>
      </c>
      <c r="D1" s="37" t="s">
        <v>3</v>
      </c>
      <c r="E1" s="3" t="s">
        <v>4</v>
      </c>
      <c r="F1" s="53" t="s">
        <v>2</v>
      </c>
      <c r="G1" s="37" t="s">
        <v>3</v>
      </c>
      <c r="H1" s="3" t="s">
        <v>5</v>
      </c>
      <c r="I1" s="53" t="s">
        <v>6</v>
      </c>
      <c r="J1" s="37" t="s">
        <v>3</v>
      </c>
      <c r="K1" s="3" t="s">
        <v>7</v>
      </c>
      <c r="L1" s="53" t="s">
        <v>6</v>
      </c>
      <c r="M1" s="37" t="s">
        <v>3</v>
      </c>
      <c r="N1" s="4" t="s">
        <v>8</v>
      </c>
      <c r="O1" s="53" t="s">
        <v>6</v>
      </c>
      <c r="P1" s="37" t="s">
        <v>3</v>
      </c>
      <c r="Q1" s="4" t="s">
        <v>9</v>
      </c>
      <c r="R1" s="53" t="s">
        <v>6</v>
      </c>
      <c r="S1" s="37" t="s">
        <v>3</v>
      </c>
      <c r="T1" s="5" t="s">
        <v>10</v>
      </c>
      <c r="U1" s="39" t="s">
        <v>11</v>
      </c>
    </row>
    <row r="2" spans="1:25" ht="16.5" thickBot="1" x14ac:dyDescent="0.25">
      <c r="A2" s="10">
        <v>44347</v>
      </c>
      <c r="B2" s="1">
        <v>20747.607</v>
      </c>
      <c r="C2" s="54">
        <v>9.9749999999985448</v>
      </c>
      <c r="D2" s="38">
        <v>18952.499999997231</v>
      </c>
      <c r="E2" s="1">
        <v>3613.8829999999998</v>
      </c>
      <c r="F2" s="54">
        <v>2.7979999999997744</v>
      </c>
      <c r="G2" s="38">
        <v>5316.1999999995714</v>
      </c>
      <c r="H2" s="1">
        <v>3176</v>
      </c>
      <c r="I2" s="54">
        <v>8</v>
      </c>
      <c r="J2" s="38">
        <v>15200</v>
      </c>
      <c r="K2" s="7">
        <v>13414.59</v>
      </c>
      <c r="L2" s="54">
        <v>2.1300000000010186</v>
      </c>
      <c r="M2" s="38">
        <v>4047.0000000019349</v>
      </c>
      <c r="N2" s="7">
        <v>3052.0720000000001</v>
      </c>
      <c r="O2" s="54">
        <v>1.3440000000000509</v>
      </c>
      <c r="P2" s="38">
        <v>2553.6000000000968</v>
      </c>
      <c r="Q2" s="7">
        <v>4814.08</v>
      </c>
      <c r="R2" s="54">
        <v>2.3699999999998909</v>
      </c>
      <c r="S2" s="38">
        <v>4502.9999999997926</v>
      </c>
      <c r="T2" s="8">
        <v>26.61699999999928</v>
      </c>
      <c r="U2" s="40">
        <v>50572.299999998628</v>
      </c>
    </row>
    <row r="3" spans="1:25" ht="16.5" thickBot="1" x14ac:dyDescent="0.25">
      <c r="A3" s="10">
        <v>44348</v>
      </c>
      <c r="B3" s="1">
        <v>20757.772000000001</v>
      </c>
      <c r="C3" s="54">
        <f>IF((B3-B2)&lt;0,"0",(B3-B2))</f>
        <v>10.165000000000873</v>
      </c>
      <c r="D3" s="38">
        <f t="shared" ref="D3" si="0">C3*1.9*1000</f>
        <v>19313.500000001655</v>
      </c>
      <c r="E3" s="1">
        <v>3616.77</v>
      </c>
      <c r="F3" s="54">
        <f t="shared" ref="F3" si="1">IF((E3-E2)&lt;0,"0",(E3-E2))</f>
        <v>2.887000000000171</v>
      </c>
      <c r="G3" s="38">
        <f t="shared" ref="G3" si="2">F3*1.9*1000</f>
        <v>5485.3000000003249</v>
      </c>
      <c r="H3" s="1">
        <v>3185</v>
      </c>
      <c r="I3" s="54">
        <f t="shared" ref="I3" si="3">IF((H3-H2)&lt;0,"0",(H3-H2))</f>
        <v>9</v>
      </c>
      <c r="J3" s="38">
        <f t="shared" ref="J3" si="4">I3*1.9*1000</f>
        <v>17099.999999999996</v>
      </c>
      <c r="K3" s="7">
        <v>13416.86</v>
      </c>
      <c r="L3" s="54">
        <f t="shared" ref="L3" si="5">IF((K3-K2)&lt;0,"0",(K3-K2))</f>
        <v>2.2700000000004366</v>
      </c>
      <c r="M3" s="38">
        <f t="shared" ref="M3" si="6">L3*1.9*1000</f>
        <v>4313.0000000008295</v>
      </c>
      <c r="N3" s="7">
        <v>3053.3270000000002</v>
      </c>
      <c r="O3" s="54">
        <f t="shared" ref="O3" si="7">IF((N3-N2)&lt;0,"0",(N3-N2))</f>
        <v>1.2550000000001091</v>
      </c>
      <c r="P3" s="38">
        <f t="shared" ref="P3" si="8">O3*1.9*1000</f>
        <v>2384.5000000002074</v>
      </c>
      <c r="Q3" s="7">
        <v>4818.25</v>
      </c>
      <c r="R3" s="54">
        <f t="shared" ref="R3" si="9">IF((Q3-Q2)&lt;0,"0",(Q3-Q2))</f>
        <v>4.1700000000000728</v>
      </c>
      <c r="S3" s="38">
        <f t="shared" ref="S3" si="10">R3*1.9*1000</f>
        <v>7923.0000000001373</v>
      </c>
      <c r="T3" s="8">
        <f>C3+F3+I3+L3+O3+R3</f>
        <v>29.747000000001663</v>
      </c>
      <c r="U3" s="40">
        <f>T3*1.9*1000</f>
        <v>56519.300000003153</v>
      </c>
    </row>
    <row r="4" spans="1:25" ht="16.5" thickBot="1" x14ac:dyDescent="0.25">
      <c r="A4" s="10">
        <v>44349</v>
      </c>
      <c r="B4" s="1">
        <v>20767.098999999998</v>
      </c>
      <c r="C4" s="54">
        <f t="shared" ref="C4:C33" si="11">IF((B4-B3)&lt;0,"0",(B4-B3))</f>
        <v>9.3269999999974971</v>
      </c>
      <c r="D4" s="38">
        <f t="shared" ref="D4:D33" si="12">C4*1.9*1000</f>
        <v>17721.299999995241</v>
      </c>
      <c r="E4" s="1">
        <v>3619.5940000000001</v>
      </c>
      <c r="F4" s="54">
        <f t="shared" ref="F4:F33" si="13">IF((E4-E3)&lt;0,"0",(E4-E3))</f>
        <v>2.8240000000000691</v>
      </c>
      <c r="G4" s="38">
        <f t="shared" ref="G4:G33" si="14">F4*1.9*1000</f>
        <v>5365.6000000001313</v>
      </c>
      <c r="H4" s="1">
        <v>3193</v>
      </c>
      <c r="I4" s="54">
        <f t="shared" ref="I4:I33" si="15">IF((H4-H3)&lt;0,"0",(H4-H3))</f>
        <v>8</v>
      </c>
      <c r="J4" s="38">
        <f t="shared" ref="J4:J33" si="16">I4*1.9*1000</f>
        <v>15200</v>
      </c>
      <c r="K4" s="7">
        <v>13419.03</v>
      </c>
      <c r="L4" s="54">
        <f t="shared" ref="L4:L33" si="17">IF((K4-K3)&lt;0,"0",(K4-K3))</f>
        <v>2.1700000000000728</v>
      </c>
      <c r="M4" s="38">
        <f t="shared" ref="M4:M33" si="18">L4*1.9*1000</f>
        <v>4123.0000000001382</v>
      </c>
      <c r="N4" s="7">
        <v>3054.8850000000002</v>
      </c>
      <c r="O4" s="54">
        <f t="shared" ref="O4:O33" si="19">IF((N4-N3)&lt;0,"0",(N4-N3))</f>
        <v>1.5579999999999927</v>
      </c>
      <c r="P4" s="38">
        <f t="shared" ref="P4:P33" si="20">O4*1.9*1000</f>
        <v>2960.1999999999862</v>
      </c>
      <c r="Q4" s="7">
        <v>4820.63</v>
      </c>
      <c r="R4" s="54">
        <f t="shared" ref="R4:R33" si="21">IF((Q4-Q3)&lt;0,"0",(Q4-Q3))</f>
        <v>2.3800000000001091</v>
      </c>
      <c r="S4" s="38">
        <f t="shared" ref="S4:S33" si="22">R4*1.9*1000</f>
        <v>4522.0000000002074</v>
      </c>
      <c r="T4" s="8">
        <f>C4+F4+I4+L4+O4+R4</f>
        <v>26.258999999997741</v>
      </c>
      <c r="U4" s="40">
        <f t="shared" ref="U4:U33" si="23">T4*1.9*1000</f>
        <v>49892.099999995706</v>
      </c>
    </row>
    <row r="5" spans="1:25" ht="16.5" thickBot="1" x14ac:dyDescent="0.25">
      <c r="A5" s="10">
        <v>44350</v>
      </c>
      <c r="B5" s="1">
        <v>20775.728999999999</v>
      </c>
      <c r="C5" s="54">
        <f t="shared" si="11"/>
        <v>8.6300000000010186</v>
      </c>
      <c r="D5" s="38">
        <f t="shared" si="12"/>
        <v>16397.000000001935</v>
      </c>
      <c r="E5" s="1">
        <v>3622.3069999999998</v>
      </c>
      <c r="F5" s="54">
        <f t="shared" si="13"/>
        <v>2.7129999999997381</v>
      </c>
      <c r="G5" s="38">
        <f t="shared" si="14"/>
        <v>5154.6999999995014</v>
      </c>
      <c r="H5" s="1">
        <v>3201</v>
      </c>
      <c r="I5" s="54">
        <f t="shared" si="15"/>
        <v>8</v>
      </c>
      <c r="J5" s="38">
        <f t="shared" si="16"/>
        <v>15200</v>
      </c>
      <c r="K5" s="7">
        <v>13421.07</v>
      </c>
      <c r="L5" s="54">
        <f t="shared" si="17"/>
        <v>2.0399999999990541</v>
      </c>
      <c r="M5" s="38">
        <f t="shared" si="18"/>
        <v>3875.9999999982028</v>
      </c>
      <c r="N5" s="7">
        <v>3056.41</v>
      </c>
      <c r="O5" s="54">
        <f t="shared" si="19"/>
        <v>1.5249999999996362</v>
      </c>
      <c r="P5" s="38">
        <f t="shared" si="20"/>
        <v>2897.4999999993083</v>
      </c>
      <c r="Q5" s="7">
        <v>4822.8599999999997</v>
      </c>
      <c r="R5" s="54">
        <f t="shared" si="21"/>
        <v>2.2299999999995634</v>
      </c>
      <c r="S5" s="38">
        <f t="shared" si="22"/>
        <v>4236.9999999991705</v>
      </c>
      <c r="T5" s="8">
        <f>C5+F5+I5+L5+O5+R5</f>
        <v>25.13799999999901</v>
      </c>
      <c r="U5" s="40">
        <f t="shared" si="23"/>
        <v>47762.19999999812</v>
      </c>
    </row>
    <row r="6" spans="1:25" ht="16.5" thickBot="1" x14ac:dyDescent="0.25">
      <c r="A6" s="10">
        <v>44351</v>
      </c>
      <c r="B6" s="1">
        <v>20782.524000000001</v>
      </c>
      <c r="C6" s="54">
        <f t="shared" si="11"/>
        <v>6.7950000000018917</v>
      </c>
      <c r="D6" s="38">
        <f t="shared" si="12"/>
        <v>12910.500000003594</v>
      </c>
      <c r="E6" s="1">
        <v>3623.3110000000001</v>
      </c>
      <c r="F6" s="54">
        <f t="shared" si="13"/>
        <v>1.0040000000003602</v>
      </c>
      <c r="G6" s="38">
        <f t="shared" si="14"/>
        <v>1907.6000000006843</v>
      </c>
      <c r="H6" s="1">
        <v>3206</v>
      </c>
      <c r="I6" s="54">
        <f t="shared" si="15"/>
        <v>5</v>
      </c>
      <c r="J6" s="38">
        <f t="shared" si="16"/>
        <v>9500</v>
      </c>
      <c r="K6" s="7">
        <v>13422.66</v>
      </c>
      <c r="L6" s="54">
        <f t="shared" si="17"/>
        <v>1.5900000000001455</v>
      </c>
      <c r="M6" s="38">
        <f t="shared" si="18"/>
        <v>3021.000000000276</v>
      </c>
      <c r="N6" s="7">
        <v>3057.5390000000002</v>
      </c>
      <c r="O6" s="54">
        <f t="shared" si="19"/>
        <v>1.1290000000003602</v>
      </c>
      <c r="P6" s="38">
        <f t="shared" si="20"/>
        <v>2145.1000000006843</v>
      </c>
      <c r="Q6" s="7">
        <v>4824.08</v>
      </c>
      <c r="R6" s="54">
        <f t="shared" si="21"/>
        <v>1.2200000000002547</v>
      </c>
      <c r="S6" s="38">
        <f t="shared" si="22"/>
        <v>2318.0000000004839</v>
      </c>
      <c r="T6" s="8">
        <f t="shared" ref="T6:T33" si="24">C6+F6+I6+L6+O6+R6</f>
        <v>16.738000000003012</v>
      </c>
      <c r="U6" s="40">
        <f t="shared" si="23"/>
        <v>31802.200000005723</v>
      </c>
    </row>
    <row r="7" spans="1:25" ht="16.5" thickBot="1" x14ac:dyDescent="0.25">
      <c r="A7" s="10">
        <v>44352</v>
      </c>
      <c r="B7" s="1">
        <v>20789.810000000001</v>
      </c>
      <c r="C7" s="54">
        <f t="shared" si="11"/>
        <v>7.2860000000000582</v>
      </c>
      <c r="D7" s="38">
        <f t="shared" si="12"/>
        <v>13843.400000000109</v>
      </c>
      <c r="E7" s="1">
        <v>3625.8020000000001</v>
      </c>
      <c r="F7" s="54">
        <f t="shared" si="13"/>
        <v>2.4909999999999854</v>
      </c>
      <c r="G7" s="38">
        <f t="shared" si="14"/>
        <v>4732.8999999999724</v>
      </c>
      <c r="H7" s="1">
        <v>3214</v>
      </c>
      <c r="I7" s="54">
        <f t="shared" si="15"/>
        <v>8</v>
      </c>
      <c r="J7" s="38">
        <f t="shared" si="16"/>
        <v>15200</v>
      </c>
      <c r="K7" s="7">
        <v>13425.29</v>
      </c>
      <c r="L7" s="54">
        <f t="shared" si="17"/>
        <v>2.6300000000010186</v>
      </c>
      <c r="M7" s="38">
        <f t="shared" si="18"/>
        <v>4997.0000000019354</v>
      </c>
      <c r="N7" s="7">
        <v>3058.951</v>
      </c>
      <c r="O7" s="54">
        <f t="shared" si="19"/>
        <v>1.4119999999998072</v>
      </c>
      <c r="P7" s="38">
        <f t="shared" si="20"/>
        <v>2682.7999999996337</v>
      </c>
      <c r="Q7" s="7">
        <v>4826.43</v>
      </c>
      <c r="R7" s="54">
        <f t="shared" si="21"/>
        <v>2.3500000000003638</v>
      </c>
      <c r="S7" s="38">
        <f t="shared" si="22"/>
        <v>4465.0000000006912</v>
      </c>
      <c r="T7" s="8">
        <f t="shared" si="24"/>
        <v>24.169000000001233</v>
      </c>
      <c r="U7" s="40">
        <f t="shared" si="23"/>
        <v>45921.100000002341</v>
      </c>
    </row>
    <row r="8" spans="1:25" ht="16.5" thickBot="1" x14ac:dyDescent="0.25">
      <c r="A8" s="10">
        <v>44353</v>
      </c>
      <c r="B8" s="1">
        <v>20800.062999999998</v>
      </c>
      <c r="C8" s="54">
        <f t="shared" si="11"/>
        <v>10.252999999996973</v>
      </c>
      <c r="D8" s="38">
        <f t="shared" si="12"/>
        <v>19480.699999994245</v>
      </c>
      <c r="E8" s="1">
        <v>3627.8780000000002</v>
      </c>
      <c r="F8" s="54">
        <f t="shared" si="13"/>
        <v>2.0760000000000218</v>
      </c>
      <c r="G8" s="38">
        <f t="shared" si="14"/>
        <v>3944.400000000041</v>
      </c>
      <c r="H8" s="1">
        <v>3222</v>
      </c>
      <c r="I8" s="54">
        <f t="shared" si="15"/>
        <v>8</v>
      </c>
      <c r="J8" s="38">
        <f t="shared" si="16"/>
        <v>15200</v>
      </c>
      <c r="K8" s="7">
        <v>13427.52</v>
      </c>
      <c r="L8" s="54">
        <f t="shared" si="17"/>
        <v>2.2299999999995634</v>
      </c>
      <c r="M8" s="38">
        <f t="shared" si="18"/>
        <v>4236.9999999991705</v>
      </c>
      <c r="N8" s="7">
        <v>3060.4859999999999</v>
      </c>
      <c r="O8" s="54">
        <f t="shared" si="19"/>
        <v>1.5349999999998545</v>
      </c>
      <c r="P8" s="38">
        <f t="shared" si="20"/>
        <v>2916.4999999997235</v>
      </c>
      <c r="Q8" s="7">
        <v>4828.8100000000004</v>
      </c>
      <c r="R8" s="54">
        <f t="shared" si="21"/>
        <v>2.3800000000001091</v>
      </c>
      <c r="S8" s="38">
        <f t="shared" si="22"/>
        <v>4522.0000000002074</v>
      </c>
      <c r="T8" s="8">
        <f t="shared" si="24"/>
        <v>26.473999999996522</v>
      </c>
      <c r="U8" s="40">
        <f t="shared" si="23"/>
        <v>50300.599999993385</v>
      </c>
    </row>
    <row r="9" spans="1:25" ht="16.5" thickBot="1" x14ac:dyDescent="0.25">
      <c r="A9" s="10">
        <v>44354</v>
      </c>
      <c r="B9" s="1">
        <v>20807.772000000001</v>
      </c>
      <c r="C9" s="54">
        <f t="shared" si="11"/>
        <v>7.7090000000025611</v>
      </c>
      <c r="D9" s="38">
        <f t="shared" si="12"/>
        <v>14647.100000004866</v>
      </c>
      <c r="E9" s="1">
        <v>3630.5639999999999</v>
      </c>
      <c r="F9" s="54">
        <f t="shared" si="13"/>
        <v>2.6859999999996944</v>
      </c>
      <c r="G9" s="38">
        <f t="shared" si="14"/>
        <v>5103.3999999994185</v>
      </c>
      <c r="H9" s="1">
        <v>3228</v>
      </c>
      <c r="I9" s="54">
        <f t="shared" si="15"/>
        <v>6</v>
      </c>
      <c r="J9" s="38">
        <f t="shared" si="16"/>
        <v>11399.999999999998</v>
      </c>
      <c r="K9" s="7">
        <v>13429.57</v>
      </c>
      <c r="L9" s="54">
        <f t="shared" si="17"/>
        <v>2.0499999999992724</v>
      </c>
      <c r="M9" s="38">
        <f t="shared" si="18"/>
        <v>3894.9999999986176</v>
      </c>
      <c r="N9" s="7">
        <v>3061.6709999999998</v>
      </c>
      <c r="O9" s="54">
        <f t="shared" si="19"/>
        <v>1.1849999999999454</v>
      </c>
      <c r="P9" s="38">
        <f t="shared" si="20"/>
        <v>2251.4999999998963</v>
      </c>
      <c r="Q9" s="7">
        <v>4830.41</v>
      </c>
      <c r="R9" s="54">
        <f t="shared" si="21"/>
        <v>1.5999999999994543</v>
      </c>
      <c r="S9" s="38">
        <f t="shared" si="22"/>
        <v>3039.9999999989632</v>
      </c>
      <c r="T9" s="8">
        <f t="shared" si="24"/>
        <v>21.230000000000928</v>
      </c>
      <c r="U9" s="40">
        <f t="shared" si="23"/>
        <v>40337.000000001761</v>
      </c>
    </row>
    <row r="10" spans="1:25" ht="16.5" thickBot="1" x14ac:dyDescent="0.25">
      <c r="A10" s="10">
        <v>44355</v>
      </c>
      <c r="B10" s="1">
        <v>20815.545999999998</v>
      </c>
      <c r="C10" s="54">
        <f t="shared" si="11"/>
        <v>7.7739999999976135</v>
      </c>
      <c r="D10" s="38">
        <f t="shared" si="12"/>
        <v>14770.599999995466</v>
      </c>
      <c r="E10" s="1">
        <v>3632.5</v>
      </c>
      <c r="F10" s="54">
        <f t="shared" si="13"/>
        <v>1.9360000000001492</v>
      </c>
      <c r="G10" s="38">
        <f t="shared" si="14"/>
        <v>3678.4000000002834</v>
      </c>
      <c r="H10" s="1">
        <v>3234</v>
      </c>
      <c r="I10" s="54">
        <f t="shared" si="15"/>
        <v>6</v>
      </c>
      <c r="J10" s="38">
        <f t="shared" si="16"/>
        <v>11399.999999999998</v>
      </c>
      <c r="K10" s="7">
        <v>13431.12</v>
      </c>
      <c r="L10" s="54">
        <f t="shared" si="17"/>
        <v>1.5500000000010914</v>
      </c>
      <c r="M10" s="38">
        <f t="shared" si="18"/>
        <v>2945.0000000020732</v>
      </c>
      <c r="N10" s="7">
        <v>3062.614</v>
      </c>
      <c r="O10" s="54">
        <f t="shared" si="19"/>
        <v>0.943000000000211</v>
      </c>
      <c r="P10" s="38">
        <f t="shared" si="20"/>
        <v>1791.7000000004009</v>
      </c>
      <c r="Q10" s="7">
        <v>4831.8999999999996</v>
      </c>
      <c r="R10" s="54">
        <f t="shared" si="21"/>
        <v>1.4899999999997817</v>
      </c>
      <c r="S10" s="38">
        <f t="shared" si="22"/>
        <v>2830.9999999995853</v>
      </c>
      <c r="T10" s="8">
        <f t="shared" si="24"/>
        <v>19.692999999998847</v>
      </c>
      <c r="U10" s="40">
        <f t="shared" si="23"/>
        <v>37416.699999997807</v>
      </c>
    </row>
    <row r="11" spans="1:25" ht="16.5" thickBot="1" x14ac:dyDescent="0.25">
      <c r="A11" s="10">
        <v>44356</v>
      </c>
      <c r="B11" s="1">
        <v>20823.73</v>
      </c>
      <c r="C11" s="54">
        <f t="shared" si="11"/>
        <v>8.1840000000011059</v>
      </c>
      <c r="D11" s="38">
        <f t="shared" si="12"/>
        <v>15549.600000002101</v>
      </c>
      <c r="E11" s="1">
        <v>3635.6390000000001</v>
      </c>
      <c r="F11" s="54">
        <f t="shared" si="13"/>
        <v>3.1390000000001237</v>
      </c>
      <c r="G11" s="38">
        <f t="shared" si="14"/>
        <v>5964.100000000235</v>
      </c>
      <c r="H11" s="1">
        <v>3241</v>
      </c>
      <c r="I11" s="54">
        <f t="shared" si="15"/>
        <v>7</v>
      </c>
      <c r="J11" s="38">
        <f t="shared" si="16"/>
        <v>13299.999999999998</v>
      </c>
      <c r="K11" s="7">
        <v>13433.45</v>
      </c>
      <c r="L11" s="54">
        <f t="shared" si="17"/>
        <v>2.3299999999999272</v>
      </c>
      <c r="M11" s="38">
        <f t="shared" si="18"/>
        <v>4426.9999999998618</v>
      </c>
      <c r="N11" s="7">
        <v>3063.9769999999999</v>
      </c>
      <c r="O11" s="54">
        <f t="shared" si="19"/>
        <v>1.362999999999829</v>
      </c>
      <c r="P11" s="38">
        <f t="shared" si="20"/>
        <v>2589.6999999996751</v>
      </c>
      <c r="Q11" s="7">
        <v>4833.97</v>
      </c>
      <c r="R11" s="54">
        <f t="shared" si="21"/>
        <v>2.0700000000006185</v>
      </c>
      <c r="S11" s="38">
        <f t="shared" si="22"/>
        <v>3933.0000000011751</v>
      </c>
      <c r="T11" s="8">
        <f t="shared" si="24"/>
        <v>24.086000000001604</v>
      </c>
      <c r="U11" s="40">
        <f t="shared" si="23"/>
        <v>45763.400000003043</v>
      </c>
    </row>
    <row r="12" spans="1:25" ht="16.5" thickBot="1" x14ac:dyDescent="0.25">
      <c r="A12" s="10">
        <v>44357</v>
      </c>
      <c r="B12" s="1">
        <v>20835.559000000001</v>
      </c>
      <c r="C12" s="54">
        <f t="shared" si="11"/>
        <v>11.829000000001543</v>
      </c>
      <c r="D12" s="38">
        <f t="shared" si="12"/>
        <v>22475.100000002927</v>
      </c>
      <c r="E12" s="1">
        <v>3638.7559999999999</v>
      </c>
      <c r="F12" s="54">
        <f t="shared" si="13"/>
        <v>3.1169999999997344</v>
      </c>
      <c r="G12" s="38">
        <f t="shared" si="14"/>
        <v>5922.2999999994954</v>
      </c>
      <c r="H12" s="1">
        <v>3249</v>
      </c>
      <c r="I12" s="54">
        <f t="shared" si="15"/>
        <v>8</v>
      </c>
      <c r="J12" s="38">
        <f t="shared" si="16"/>
        <v>15200</v>
      </c>
      <c r="K12" s="7">
        <v>13436.01</v>
      </c>
      <c r="L12" s="54">
        <f t="shared" si="17"/>
        <v>2.5599999999994907</v>
      </c>
      <c r="M12" s="38">
        <f t="shared" si="18"/>
        <v>4863.9999999990314</v>
      </c>
      <c r="N12" s="7">
        <v>3065.931</v>
      </c>
      <c r="O12" s="54">
        <f t="shared" si="19"/>
        <v>1.9540000000001783</v>
      </c>
      <c r="P12" s="38">
        <f t="shared" si="20"/>
        <v>3712.6000000003387</v>
      </c>
      <c r="Q12" s="7">
        <v>4836.37</v>
      </c>
      <c r="R12" s="54">
        <f t="shared" si="21"/>
        <v>2.3999999999996362</v>
      </c>
      <c r="S12" s="38">
        <f t="shared" si="22"/>
        <v>4559.9999999993088</v>
      </c>
      <c r="T12" s="8">
        <f t="shared" si="24"/>
        <v>29.860000000000582</v>
      </c>
      <c r="U12" s="40">
        <f t="shared" si="23"/>
        <v>56734.000000001106</v>
      </c>
    </row>
    <row r="13" spans="1:25" ht="16.5" thickBot="1" x14ac:dyDescent="0.25">
      <c r="A13" s="10">
        <v>44358</v>
      </c>
      <c r="B13" s="1">
        <v>20843.782999999999</v>
      </c>
      <c r="C13" s="54">
        <f t="shared" si="11"/>
        <v>8.2239999999983411</v>
      </c>
      <c r="D13" s="38">
        <f t="shared" si="12"/>
        <v>15625.599999996848</v>
      </c>
      <c r="E13" s="1">
        <v>3639.5329999999999</v>
      </c>
      <c r="F13" s="54">
        <f t="shared" si="13"/>
        <v>0.77700000000004366</v>
      </c>
      <c r="G13" s="38">
        <f t="shared" si="14"/>
        <v>1476.3000000000827</v>
      </c>
      <c r="H13" s="1">
        <v>3254</v>
      </c>
      <c r="I13" s="54">
        <f t="shared" si="15"/>
        <v>5</v>
      </c>
      <c r="J13" s="38">
        <f t="shared" si="16"/>
        <v>9500</v>
      </c>
      <c r="K13" s="7">
        <v>13437.21</v>
      </c>
      <c r="L13" s="54">
        <f t="shared" si="17"/>
        <v>1.1999999999989086</v>
      </c>
      <c r="M13" s="38">
        <f t="shared" si="18"/>
        <v>2279.9999999979264</v>
      </c>
      <c r="N13" s="7">
        <v>3067.0569999999998</v>
      </c>
      <c r="O13" s="54">
        <f t="shared" si="19"/>
        <v>1.125999999999749</v>
      </c>
      <c r="P13" s="38">
        <f t="shared" si="20"/>
        <v>2139.3999999995226</v>
      </c>
      <c r="Q13" s="7">
        <v>4838.74</v>
      </c>
      <c r="R13" s="54">
        <f t="shared" si="21"/>
        <v>2.3699999999998909</v>
      </c>
      <c r="S13" s="38">
        <f t="shared" si="22"/>
        <v>4502.9999999997926</v>
      </c>
      <c r="T13" s="8">
        <f t="shared" si="24"/>
        <v>18.696999999996933</v>
      </c>
      <c r="U13" s="40">
        <f t="shared" si="23"/>
        <v>35524.299999994168</v>
      </c>
    </row>
    <row r="14" spans="1:25" ht="16.5" thickBot="1" x14ac:dyDescent="0.25">
      <c r="A14" s="10">
        <v>44359</v>
      </c>
      <c r="B14" s="1">
        <v>20854.196</v>
      </c>
      <c r="C14" s="54">
        <f t="shared" si="11"/>
        <v>10.413000000000466</v>
      </c>
      <c r="D14" s="38">
        <f t="shared" si="12"/>
        <v>19784.700000000885</v>
      </c>
      <c r="E14" s="1">
        <v>3641.0810000000001</v>
      </c>
      <c r="F14" s="54">
        <f t="shared" si="13"/>
        <v>1.5480000000002292</v>
      </c>
      <c r="G14" s="38">
        <f t="shared" si="14"/>
        <v>2941.2000000004355</v>
      </c>
      <c r="H14" s="1">
        <v>3261</v>
      </c>
      <c r="I14" s="54">
        <f t="shared" si="15"/>
        <v>7</v>
      </c>
      <c r="J14" s="38">
        <f t="shared" si="16"/>
        <v>13299.999999999998</v>
      </c>
      <c r="K14" s="7">
        <v>13439.43</v>
      </c>
      <c r="L14" s="54">
        <f t="shared" si="17"/>
        <v>2.2200000000011642</v>
      </c>
      <c r="M14" s="38">
        <f t="shared" si="18"/>
        <v>4218.0000000022119</v>
      </c>
      <c r="N14" s="7">
        <v>3068.4690000000001</v>
      </c>
      <c r="O14" s="54">
        <f t="shared" si="19"/>
        <v>1.4120000000002619</v>
      </c>
      <c r="P14" s="38">
        <f t="shared" si="20"/>
        <v>2682.8000000004977</v>
      </c>
      <c r="Q14" s="7">
        <v>4841.1899999999996</v>
      </c>
      <c r="R14" s="54">
        <f t="shared" si="21"/>
        <v>2.4499999999998181</v>
      </c>
      <c r="S14" s="38">
        <f t="shared" si="22"/>
        <v>4654.9999999996535</v>
      </c>
      <c r="T14" s="8">
        <f t="shared" si="24"/>
        <v>25.043000000001939</v>
      </c>
      <c r="U14" s="40">
        <f t="shared" si="23"/>
        <v>47581.700000003679</v>
      </c>
    </row>
    <row r="15" spans="1:25" ht="16.5" thickBot="1" x14ac:dyDescent="0.25">
      <c r="A15" s="10">
        <v>44360</v>
      </c>
      <c r="B15" s="1">
        <v>20865.226999999999</v>
      </c>
      <c r="C15" s="54">
        <f t="shared" si="11"/>
        <v>11.03099999999904</v>
      </c>
      <c r="D15" s="38">
        <f t="shared" si="12"/>
        <v>20958.899999998175</v>
      </c>
      <c r="E15" s="1">
        <v>3643.8330000000001</v>
      </c>
      <c r="F15" s="54">
        <f t="shared" si="13"/>
        <v>2.7519999999999527</v>
      </c>
      <c r="G15" s="38">
        <f t="shared" si="14"/>
        <v>5228.7999999999101</v>
      </c>
      <c r="H15" s="1">
        <v>3268</v>
      </c>
      <c r="I15" s="54">
        <f t="shared" si="15"/>
        <v>7</v>
      </c>
      <c r="J15" s="38">
        <f t="shared" si="16"/>
        <v>13299.999999999998</v>
      </c>
      <c r="K15" s="7">
        <v>13441.63</v>
      </c>
      <c r="L15" s="54">
        <f t="shared" si="17"/>
        <v>2.1999999999989086</v>
      </c>
      <c r="M15" s="38">
        <f t="shared" si="18"/>
        <v>4179.9999999979254</v>
      </c>
      <c r="N15" s="7">
        <v>3070.0070000000001</v>
      </c>
      <c r="O15" s="54">
        <f t="shared" si="19"/>
        <v>1.5380000000000109</v>
      </c>
      <c r="P15" s="38">
        <f t="shared" si="20"/>
        <v>2922.2000000000207</v>
      </c>
      <c r="Q15" s="7">
        <v>4843.3999999999996</v>
      </c>
      <c r="R15" s="54">
        <f t="shared" si="21"/>
        <v>2.2100000000000364</v>
      </c>
      <c r="S15" s="38">
        <f t="shared" si="22"/>
        <v>4199.0000000000691</v>
      </c>
      <c r="T15" s="8">
        <f t="shared" si="24"/>
        <v>26.730999999997948</v>
      </c>
      <c r="U15" s="40">
        <f t="shared" si="23"/>
        <v>50788.899999996094</v>
      </c>
      <c r="W15" t="s">
        <v>12</v>
      </c>
    </row>
    <row r="16" spans="1:25" ht="16.5" thickBot="1" x14ac:dyDescent="0.25">
      <c r="A16" s="10">
        <v>44361</v>
      </c>
      <c r="B16" s="1">
        <v>20875.276000000002</v>
      </c>
      <c r="C16" s="54">
        <f t="shared" si="11"/>
        <v>10.049000000002707</v>
      </c>
      <c r="D16" s="38">
        <f t="shared" si="12"/>
        <v>19093.100000005139</v>
      </c>
      <c r="E16" s="1">
        <v>3646.8359999999998</v>
      </c>
      <c r="F16" s="54">
        <f t="shared" si="13"/>
        <v>3.0029999999997017</v>
      </c>
      <c r="G16" s="38">
        <f t="shared" si="14"/>
        <v>5705.6999999994323</v>
      </c>
      <c r="H16" s="1">
        <v>3275</v>
      </c>
      <c r="I16" s="54">
        <f t="shared" si="15"/>
        <v>7</v>
      </c>
      <c r="J16" s="38">
        <f t="shared" si="16"/>
        <v>13299.999999999998</v>
      </c>
      <c r="K16" s="7">
        <v>13443.87</v>
      </c>
      <c r="L16" s="54">
        <f t="shared" si="17"/>
        <v>2.2400000000016007</v>
      </c>
      <c r="M16" s="38">
        <f t="shared" si="18"/>
        <v>4256.0000000030414</v>
      </c>
      <c r="N16" s="7">
        <v>3071.5239999999999</v>
      </c>
      <c r="O16" s="54">
        <f t="shared" si="19"/>
        <v>1.5169999999998254</v>
      </c>
      <c r="P16" s="38">
        <f t="shared" si="20"/>
        <v>2882.2999999996682</v>
      </c>
      <c r="Q16" s="7">
        <v>4845.9399999999996</v>
      </c>
      <c r="R16" s="54">
        <f t="shared" si="21"/>
        <v>2.5399999999999636</v>
      </c>
      <c r="S16" s="38">
        <f t="shared" si="22"/>
        <v>4825.99999999993</v>
      </c>
      <c r="T16" s="8">
        <f t="shared" si="24"/>
        <v>26.349000000003798</v>
      </c>
      <c r="U16" s="40">
        <f t="shared" si="23"/>
        <v>50063.100000007209</v>
      </c>
      <c r="Y16" t="s">
        <v>12</v>
      </c>
    </row>
    <row r="17" spans="1:24" ht="16.5" thickBot="1" x14ac:dyDescent="0.25">
      <c r="A17" s="10">
        <v>44362</v>
      </c>
      <c r="B17" s="1"/>
      <c r="C17" s="54" t="str">
        <f t="shared" si="11"/>
        <v>0</v>
      </c>
      <c r="D17" s="38">
        <f t="shared" si="12"/>
        <v>0</v>
      </c>
      <c r="E17" s="1"/>
      <c r="F17" s="54" t="str">
        <f t="shared" si="13"/>
        <v>0</v>
      </c>
      <c r="G17" s="38">
        <f t="shared" si="14"/>
        <v>0</v>
      </c>
      <c r="H17" s="1"/>
      <c r="I17" s="54" t="str">
        <f t="shared" si="15"/>
        <v>0</v>
      </c>
      <c r="J17" s="38">
        <f t="shared" si="16"/>
        <v>0</v>
      </c>
      <c r="K17" s="7"/>
      <c r="L17" s="54" t="str">
        <f t="shared" si="17"/>
        <v>0</v>
      </c>
      <c r="M17" s="38">
        <f t="shared" si="18"/>
        <v>0</v>
      </c>
      <c r="N17" s="7"/>
      <c r="O17" s="54" t="str">
        <f t="shared" si="19"/>
        <v>0</v>
      </c>
      <c r="P17" s="38">
        <f t="shared" si="20"/>
        <v>0</v>
      </c>
      <c r="Q17" s="7"/>
      <c r="R17" s="54" t="str">
        <f t="shared" si="21"/>
        <v>0</v>
      </c>
      <c r="S17" s="38">
        <f t="shared" si="22"/>
        <v>0</v>
      </c>
      <c r="T17" s="8">
        <f t="shared" si="24"/>
        <v>0</v>
      </c>
      <c r="U17" s="40">
        <f t="shared" si="23"/>
        <v>0</v>
      </c>
    </row>
    <row r="18" spans="1:24" ht="16.5" thickBot="1" x14ac:dyDescent="0.25">
      <c r="A18" s="10">
        <v>44363</v>
      </c>
      <c r="B18" s="1"/>
      <c r="C18" s="54">
        <f t="shared" si="11"/>
        <v>0</v>
      </c>
      <c r="D18" s="38">
        <f t="shared" si="12"/>
        <v>0</v>
      </c>
      <c r="E18" s="1"/>
      <c r="F18" s="54">
        <f t="shared" si="13"/>
        <v>0</v>
      </c>
      <c r="G18" s="38">
        <f t="shared" si="14"/>
        <v>0</v>
      </c>
      <c r="H18" s="1"/>
      <c r="I18" s="54">
        <f t="shared" si="15"/>
        <v>0</v>
      </c>
      <c r="J18" s="38">
        <f t="shared" si="16"/>
        <v>0</v>
      </c>
      <c r="K18" s="7"/>
      <c r="L18" s="54">
        <f t="shared" si="17"/>
        <v>0</v>
      </c>
      <c r="M18" s="38">
        <f t="shared" si="18"/>
        <v>0</v>
      </c>
      <c r="N18" s="7"/>
      <c r="O18" s="54">
        <f t="shared" si="19"/>
        <v>0</v>
      </c>
      <c r="P18" s="38">
        <f t="shared" si="20"/>
        <v>0</v>
      </c>
      <c r="Q18" s="7"/>
      <c r="R18" s="54">
        <f t="shared" si="21"/>
        <v>0</v>
      </c>
      <c r="S18" s="38">
        <f t="shared" si="22"/>
        <v>0</v>
      </c>
      <c r="T18" s="8">
        <f t="shared" si="24"/>
        <v>0</v>
      </c>
      <c r="U18" s="40">
        <f t="shared" si="23"/>
        <v>0</v>
      </c>
    </row>
    <row r="19" spans="1:24" ht="16.5" thickBot="1" x14ac:dyDescent="0.25">
      <c r="A19" s="10">
        <v>44364</v>
      </c>
      <c r="B19" s="1"/>
      <c r="C19" s="54">
        <f t="shared" si="11"/>
        <v>0</v>
      </c>
      <c r="D19" s="38">
        <f t="shared" si="12"/>
        <v>0</v>
      </c>
      <c r="E19" s="1"/>
      <c r="F19" s="54">
        <f t="shared" si="13"/>
        <v>0</v>
      </c>
      <c r="G19" s="38">
        <f t="shared" si="14"/>
        <v>0</v>
      </c>
      <c r="H19" s="1"/>
      <c r="I19" s="54">
        <f t="shared" si="15"/>
        <v>0</v>
      </c>
      <c r="J19" s="38">
        <f t="shared" si="16"/>
        <v>0</v>
      </c>
      <c r="K19" s="7"/>
      <c r="L19" s="54">
        <f t="shared" si="17"/>
        <v>0</v>
      </c>
      <c r="M19" s="38">
        <f t="shared" si="18"/>
        <v>0</v>
      </c>
      <c r="N19" s="7"/>
      <c r="O19" s="54">
        <f t="shared" si="19"/>
        <v>0</v>
      </c>
      <c r="P19" s="38">
        <f t="shared" si="20"/>
        <v>0</v>
      </c>
      <c r="Q19" s="7"/>
      <c r="R19" s="54">
        <f t="shared" si="21"/>
        <v>0</v>
      </c>
      <c r="S19" s="38">
        <f t="shared" si="22"/>
        <v>0</v>
      </c>
      <c r="T19" s="8">
        <f t="shared" si="24"/>
        <v>0</v>
      </c>
      <c r="U19" s="40">
        <f t="shared" si="23"/>
        <v>0</v>
      </c>
    </row>
    <row r="20" spans="1:24" ht="16.5" thickBot="1" x14ac:dyDescent="0.25">
      <c r="A20" s="10">
        <v>44365</v>
      </c>
      <c r="B20" s="1"/>
      <c r="C20" s="54">
        <f t="shared" si="11"/>
        <v>0</v>
      </c>
      <c r="D20" s="38">
        <f t="shared" si="12"/>
        <v>0</v>
      </c>
      <c r="E20" s="1"/>
      <c r="F20" s="54">
        <f t="shared" si="13"/>
        <v>0</v>
      </c>
      <c r="G20" s="38">
        <f t="shared" si="14"/>
        <v>0</v>
      </c>
      <c r="H20" s="1"/>
      <c r="I20" s="54">
        <f t="shared" si="15"/>
        <v>0</v>
      </c>
      <c r="J20" s="38">
        <f t="shared" si="16"/>
        <v>0</v>
      </c>
      <c r="K20" s="7"/>
      <c r="L20" s="54">
        <f t="shared" si="17"/>
        <v>0</v>
      </c>
      <c r="M20" s="38">
        <f t="shared" si="18"/>
        <v>0</v>
      </c>
      <c r="N20" s="7"/>
      <c r="O20" s="54">
        <f t="shared" si="19"/>
        <v>0</v>
      </c>
      <c r="P20" s="38">
        <f t="shared" si="20"/>
        <v>0</v>
      </c>
      <c r="Q20" s="7"/>
      <c r="R20" s="54">
        <f t="shared" si="21"/>
        <v>0</v>
      </c>
      <c r="S20" s="38">
        <f t="shared" si="22"/>
        <v>0</v>
      </c>
      <c r="T20" s="8">
        <f t="shared" si="24"/>
        <v>0</v>
      </c>
      <c r="U20" s="40">
        <f t="shared" si="23"/>
        <v>0</v>
      </c>
      <c r="X20" t="s">
        <v>12</v>
      </c>
    </row>
    <row r="21" spans="1:24" ht="16.5" thickBot="1" x14ac:dyDescent="0.25">
      <c r="A21" s="10">
        <v>44366</v>
      </c>
      <c r="B21" s="1"/>
      <c r="C21" s="54">
        <f t="shared" si="11"/>
        <v>0</v>
      </c>
      <c r="D21" s="38">
        <f t="shared" si="12"/>
        <v>0</v>
      </c>
      <c r="E21" s="1"/>
      <c r="F21" s="54">
        <f t="shared" si="13"/>
        <v>0</v>
      </c>
      <c r="G21" s="38">
        <f t="shared" si="14"/>
        <v>0</v>
      </c>
      <c r="H21" s="1"/>
      <c r="I21" s="54">
        <f t="shared" si="15"/>
        <v>0</v>
      </c>
      <c r="J21" s="38">
        <f t="shared" si="16"/>
        <v>0</v>
      </c>
      <c r="K21" s="7"/>
      <c r="L21" s="54">
        <f t="shared" si="17"/>
        <v>0</v>
      </c>
      <c r="M21" s="38">
        <f t="shared" si="18"/>
        <v>0</v>
      </c>
      <c r="N21" s="7"/>
      <c r="O21" s="54">
        <f t="shared" si="19"/>
        <v>0</v>
      </c>
      <c r="P21" s="38">
        <f t="shared" si="20"/>
        <v>0</v>
      </c>
      <c r="Q21" s="7"/>
      <c r="R21" s="54">
        <f t="shared" si="21"/>
        <v>0</v>
      </c>
      <c r="S21" s="38">
        <f t="shared" si="22"/>
        <v>0</v>
      </c>
      <c r="T21" s="8">
        <f t="shared" si="24"/>
        <v>0</v>
      </c>
      <c r="U21" s="40">
        <f t="shared" si="23"/>
        <v>0</v>
      </c>
    </row>
    <row r="22" spans="1:24" ht="16.5" thickBot="1" x14ac:dyDescent="0.25">
      <c r="A22" s="10">
        <v>44367</v>
      </c>
      <c r="B22" s="1"/>
      <c r="C22" s="54">
        <f t="shared" si="11"/>
        <v>0</v>
      </c>
      <c r="D22" s="38">
        <f t="shared" si="12"/>
        <v>0</v>
      </c>
      <c r="E22" s="1"/>
      <c r="F22" s="54">
        <f t="shared" si="13"/>
        <v>0</v>
      </c>
      <c r="G22" s="38">
        <f t="shared" si="14"/>
        <v>0</v>
      </c>
      <c r="H22" s="1"/>
      <c r="I22" s="54">
        <f t="shared" si="15"/>
        <v>0</v>
      </c>
      <c r="J22" s="38">
        <f t="shared" si="16"/>
        <v>0</v>
      </c>
      <c r="K22" s="7"/>
      <c r="L22" s="54">
        <f t="shared" si="17"/>
        <v>0</v>
      </c>
      <c r="M22" s="38">
        <f t="shared" si="18"/>
        <v>0</v>
      </c>
      <c r="N22" s="7"/>
      <c r="O22" s="54">
        <f t="shared" si="19"/>
        <v>0</v>
      </c>
      <c r="P22" s="38">
        <f t="shared" si="20"/>
        <v>0</v>
      </c>
      <c r="Q22" s="7"/>
      <c r="R22" s="54">
        <f t="shared" si="21"/>
        <v>0</v>
      </c>
      <c r="S22" s="38">
        <f t="shared" si="22"/>
        <v>0</v>
      </c>
      <c r="T22" s="8">
        <f t="shared" si="24"/>
        <v>0</v>
      </c>
      <c r="U22" s="40">
        <f t="shared" si="23"/>
        <v>0</v>
      </c>
    </row>
    <row r="23" spans="1:24" ht="16.5" thickBot="1" x14ac:dyDescent="0.25">
      <c r="A23" s="10">
        <v>44368</v>
      </c>
      <c r="B23" s="1"/>
      <c r="C23" s="54">
        <f t="shared" si="11"/>
        <v>0</v>
      </c>
      <c r="D23" s="38">
        <f t="shared" si="12"/>
        <v>0</v>
      </c>
      <c r="E23" s="1"/>
      <c r="F23" s="54">
        <f t="shared" si="13"/>
        <v>0</v>
      </c>
      <c r="G23" s="38">
        <f t="shared" si="14"/>
        <v>0</v>
      </c>
      <c r="H23" s="1"/>
      <c r="I23" s="54">
        <f t="shared" si="15"/>
        <v>0</v>
      </c>
      <c r="J23" s="38">
        <f t="shared" si="16"/>
        <v>0</v>
      </c>
      <c r="K23" s="7"/>
      <c r="L23" s="54">
        <f t="shared" si="17"/>
        <v>0</v>
      </c>
      <c r="M23" s="38">
        <f t="shared" si="18"/>
        <v>0</v>
      </c>
      <c r="N23" s="7"/>
      <c r="O23" s="54">
        <f t="shared" si="19"/>
        <v>0</v>
      </c>
      <c r="P23" s="38">
        <f t="shared" si="20"/>
        <v>0</v>
      </c>
      <c r="Q23" s="7"/>
      <c r="R23" s="54">
        <f t="shared" si="21"/>
        <v>0</v>
      </c>
      <c r="S23" s="38">
        <f t="shared" si="22"/>
        <v>0</v>
      </c>
      <c r="T23" s="8">
        <f t="shared" si="24"/>
        <v>0</v>
      </c>
      <c r="U23" s="40">
        <f t="shared" si="23"/>
        <v>0</v>
      </c>
    </row>
    <row r="24" spans="1:24" ht="16.5" thickBot="1" x14ac:dyDescent="0.25">
      <c r="A24" s="10">
        <v>44369</v>
      </c>
      <c r="B24" s="1"/>
      <c r="C24" s="54">
        <f t="shared" si="11"/>
        <v>0</v>
      </c>
      <c r="D24" s="38">
        <f t="shared" si="12"/>
        <v>0</v>
      </c>
      <c r="E24" s="1"/>
      <c r="F24" s="54">
        <f t="shared" si="13"/>
        <v>0</v>
      </c>
      <c r="G24" s="38">
        <f t="shared" si="14"/>
        <v>0</v>
      </c>
      <c r="H24" s="1"/>
      <c r="I24" s="54">
        <f t="shared" si="15"/>
        <v>0</v>
      </c>
      <c r="J24" s="38">
        <f t="shared" si="16"/>
        <v>0</v>
      </c>
      <c r="K24" s="7"/>
      <c r="L24" s="54">
        <f t="shared" si="17"/>
        <v>0</v>
      </c>
      <c r="M24" s="38">
        <f t="shared" si="18"/>
        <v>0</v>
      </c>
      <c r="N24" s="7"/>
      <c r="O24" s="54">
        <f t="shared" si="19"/>
        <v>0</v>
      </c>
      <c r="P24" s="38">
        <f t="shared" si="20"/>
        <v>0</v>
      </c>
      <c r="Q24" s="7"/>
      <c r="R24" s="54">
        <f t="shared" si="21"/>
        <v>0</v>
      </c>
      <c r="S24" s="38">
        <f t="shared" si="22"/>
        <v>0</v>
      </c>
      <c r="T24" s="8">
        <f t="shared" si="24"/>
        <v>0</v>
      </c>
      <c r="U24" s="40">
        <f t="shared" si="23"/>
        <v>0</v>
      </c>
    </row>
    <row r="25" spans="1:24" ht="16.5" thickBot="1" x14ac:dyDescent="0.25">
      <c r="A25" s="10">
        <v>44370</v>
      </c>
      <c r="B25" s="1"/>
      <c r="C25" s="54">
        <f t="shared" si="11"/>
        <v>0</v>
      </c>
      <c r="D25" s="38">
        <f t="shared" si="12"/>
        <v>0</v>
      </c>
      <c r="E25" s="1"/>
      <c r="F25" s="54">
        <f t="shared" si="13"/>
        <v>0</v>
      </c>
      <c r="G25" s="38">
        <f t="shared" si="14"/>
        <v>0</v>
      </c>
      <c r="H25" s="1"/>
      <c r="I25" s="54">
        <f t="shared" si="15"/>
        <v>0</v>
      </c>
      <c r="J25" s="38">
        <f t="shared" si="16"/>
        <v>0</v>
      </c>
      <c r="K25" s="7"/>
      <c r="L25" s="54">
        <f t="shared" si="17"/>
        <v>0</v>
      </c>
      <c r="M25" s="38">
        <f t="shared" si="18"/>
        <v>0</v>
      </c>
      <c r="N25" s="7"/>
      <c r="O25" s="54">
        <f t="shared" si="19"/>
        <v>0</v>
      </c>
      <c r="P25" s="38">
        <f t="shared" si="20"/>
        <v>0</v>
      </c>
      <c r="Q25" s="7"/>
      <c r="R25" s="54">
        <f t="shared" si="21"/>
        <v>0</v>
      </c>
      <c r="S25" s="38">
        <f t="shared" si="22"/>
        <v>0</v>
      </c>
      <c r="T25" s="8">
        <f t="shared" si="24"/>
        <v>0</v>
      </c>
      <c r="U25" s="40">
        <f t="shared" si="23"/>
        <v>0</v>
      </c>
    </row>
    <row r="26" spans="1:24" ht="16.5" thickBot="1" x14ac:dyDescent="0.25">
      <c r="A26" s="10">
        <v>44371</v>
      </c>
      <c r="B26" s="1"/>
      <c r="C26" s="54">
        <f t="shared" si="11"/>
        <v>0</v>
      </c>
      <c r="D26" s="38">
        <f t="shared" si="12"/>
        <v>0</v>
      </c>
      <c r="E26" s="1"/>
      <c r="F26" s="54">
        <f t="shared" si="13"/>
        <v>0</v>
      </c>
      <c r="G26" s="38">
        <f t="shared" si="14"/>
        <v>0</v>
      </c>
      <c r="H26" s="1"/>
      <c r="I26" s="54">
        <f t="shared" si="15"/>
        <v>0</v>
      </c>
      <c r="J26" s="38">
        <f t="shared" si="16"/>
        <v>0</v>
      </c>
      <c r="K26" s="7"/>
      <c r="L26" s="54">
        <f t="shared" si="17"/>
        <v>0</v>
      </c>
      <c r="M26" s="38">
        <f t="shared" si="18"/>
        <v>0</v>
      </c>
      <c r="N26" s="7"/>
      <c r="O26" s="54">
        <f t="shared" si="19"/>
        <v>0</v>
      </c>
      <c r="P26" s="38">
        <f t="shared" si="20"/>
        <v>0</v>
      </c>
      <c r="Q26" s="7"/>
      <c r="R26" s="54">
        <f t="shared" si="21"/>
        <v>0</v>
      </c>
      <c r="S26" s="38">
        <f t="shared" si="22"/>
        <v>0</v>
      </c>
      <c r="T26" s="8">
        <f t="shared" si="24"/>
        <v>0</v>
      </c>
      <c r="U26" s="40">
        <f t="shared" si="23"/>
        <v>0</v>
      </c>
      <c r="V26" t="s">
        <v>12</v>
      </c>
    </row>
    <row r="27" spans="1:24" ht="16.5" thickBot="1" x14ac:dyDescent="0.25">
      <c r="A27" s="10">
        <v>44372</v>
      </c>
      <c r="B27" s="1"/>
      <c r="C27" s="54">
        <f t="shared" si="11"/>
        <v>0</v>
      </c>
      <c r="D27" s="38">
        <f t="shared" si="12"/>
        <v>0</v>
      </c>
      <c r="E27" s="1"/>
      <c r="F27" s="54">
        <f t="shared" si="13"/>
        <v>0</v>
      </c>
      <c r="G27" s="38">
        <f t="shared" si="14"/>
        <v>0</v>
      </c>
      <c r="H27" s="1"/>
      <c r="I27" s="54">
        <f t="shared" si="15"/>
        <v>0</v>
      </c>
      <c r="J27" s="38">
        <f t="shared" si="16"/>
        <v>0</v>
      </c>
      <c r="K27" s="7"/>
      <c r="L27" s="54">
        <f t="shared" si="17"/>
        <v>0</v>
      </c>
      <c r="M27" s="38">
        <f t="shared" si="18"/>
        <v>0</v>
      </c>
      <c r="N27" s="7"/>
      <c r="O27" s="54">
        <f t="shared" si="19"/>
        <v>0</v>
      </c>
      <c r="P27" s="38">
        <f t="shared" si="20"/>
        <v>0</v>
      </c>
      <c r="Q27" s="7"/>
      <c r="R27" s="54">
        <f t="shared" si="21"/>
        <v>0</v>
      </c>
      <c r="S27" s="38">
        <f t="shared" si="22"/>
        <v>0</v>
      </c>
      <c r="T27" s="8">
        <f t="shared" si="24"/>
        <v>0</v>
      </c>
      <c r="U27" s="40">
        <f t="shared" si="23"/>
        <v>0</v>
      </c>
      <c r="V27" t="s">
        <v>12</v>
      </c>
    </row>
    <row r="28" spans="1:24" ht="16.5" thickBot="1" x14ac:dyDescent="0.25">
      <c r="A28" s="10">
        <v>44373</v>
      </c>
      <c r="B28" s="1"/>
      <c r="C28" s="54">
        <f t="shared" si="11"/>
        <v>0</v>
      </c>
      <c r="D28" s="38">
        <f t="shared" si="12"/>
        <v>0</v>
      </c>
      <c r="E28" s="1"/>
      <c r="F28" s="54">
        <f t="shared" si="13"/>
        <v>0</v>
      </c>
      <c r="G28" s="38">
        <f t="shared" si="14"/>
        <v>0</v>
      </c>
      <c r="H28" s="1"/>
      <c r="I28" s="54">
        <f t="shared" si="15"/>
        <v>0</v>
      </c>
      <c r="J28" s="38">
        <f t="shared" si="16"/>
        <v>0</v>
      </c>
      <c r="K28" s="7"/>
      <c r="L28" s="54">
        <f t="shared" si="17"/>
        <v>0</v>
      </c>
      <c r="M28" s="38">
        <f t="shared" si="18"/>
        <v>0</v>
      </c>
      <c r="N28" s="7"/>
      <c r="O28" s="54">
        <f t="shared" si="19"/>
        <v>0</v>
      </c>
      <c r="P28" s="38">
        <f t="shared" si="20"/>
        <v>0</v>
      </c>
      <c r="Q28" s="7"/>
      <c r="R28" s="54">
        <f t="shared" si="21"/>
        <v>0</v>
      </c>
      <c r="S28" s="38">
        <f t="shared" si="22"/>
        <v>0</v>
      </c>
      <c r="T28" s="8">
        <f t="shared" si="24"/>
        <v>0</v>
      </c>
      <c r="U28" s="40">
        <f t="shared" si="23"/>
        <v>0</v>
      </c>
    </row>
    <row r="29" spans="1:24" ht="16.5" thickBot="1" x14ac:dyDescent="0.25">
      <c r="A29" s="10">
        <v>44374</v>
      </c>
      <c r="B29" s="1"/>
      <c r="C29" s="54">
        <f t="shared" si="11"/>
        <v>0</v>
      </c>
      <c r="D29" s="38">
        <f t="shared" si="12"/>
        <v>0</v>
      </c>
      <c r="E29" s="1"/>
      <c r="F29" s="54">
        <f t="shared" si="13"/>
        <v>0</v>
      </c>
      <c r="G29" s="38">
        <f t="shared" si="14"/>
        <v>0</v>
      </c>
      <c r="H29" s="1"/>
      <c r="I29" s="54">
        <f t="shared" si="15"/>
        <v>0</v>
      </c>
      <c r="J29" s="38">
        <f t="shared" si="16"/>
        <v>0</v>
      </c>
      <c r="K29" s="7"/>
      <c r="L29" s="54">
        <f t="shared" si="17"/>
        <v>0</v>
      </c>
      <c r="M29" s="38">
        <f t="shared" si="18"/>
        <v>0</v>
      </c>
      <c r="N29" s="7"/>
      <c r="O29" s="54">
        <f t="shared" si="19"/>
        <v>0</v>
      </c>
      <c r="P29" s="38">
        <f t="shared" si="20"/>
        <v>0</v>
      </c>
      <c r="Q29" s="7"/>
      <c r="R29" s="54">
        <f t="shared" si="21"/>
        <v>0</v>
      </c>
      <c r="S29" s="38">
        <f t="shared" si="22"/>
        <v>0</v>
      </c>
      <c r="T29" s="8">
        <f t="shared" si="24"/>
        <v>0</v>
      </c>
      <c r="U29" s="40">
        <f t="shared" si="23"/>
        <v>0</v>
      </c>
    </row>
    <row r="30" spans="1:24" ht="16.5" thickBot="1" x14ac:dyDescent="0.25">
      <c r="A30" s="10">
        <v>44375</v>
      </c>
      <c r="B30" s="1"/>
      <c r="C30" s="54">
        <f t="shared" si="11"/>
        <v>0</v>
      </c>
      <c r="D30" s="38">
        <f t="shared" si="12"/>
        <v>0</v>
      </c>
      <c r="E30" s="1"/>
      <c r="F30" s="54">
        <f t="shared" si="13"/>
        <v>0</v>
      </c>
      <c r="G30" s="38">
        <f t="shared" si="14"/>
        <v>0</v>
      </c>
      <c r="H30" s="1"/>
      <c r="I30" s="54">
        <f t="shared" si="15"/>
        <v>0</v>
      </c>
      <c r="J30" s="38">
        <f t="shared" si="16"/>
        <v>0</v>
      </c>
      <c r="K30" s="7"/>
      <c r="L30" s="54">
        <f t="shared" si="17"/>
        <v>0</v>
      </c>
      <c r="M30" s="38">
        <f t="shared" si="18"/>
        <v>0</v>
      </c>
      <c r="N30" s="7"/>
      <c r="O30" s="54">
        <f t="shared" si="19"/>
        <v>0</v>
      </c>
      <c r="P30" s="38">
        <f t="shared" si="20"/>
        <v>0</v>
      </c>
      <c r="Q30" s="7"/>
      <c r="R30" s="54">
        <f t="shared" si="21"/>
        <v>0</v>
      </c>
      <c r="S30" s="38">
        <f t="shared" si="22"/>
        <v>0</v>
      </c>
      <c r="T30" s="8">
        <f t="shared" si="24"/>
        <v>0</v>
      </c>
      <c r="U30" s="40">
        <f t="shared" si="23"/>
        <v>0</v>
      </c>
    </row>
    <row r="31" spans="1:24" ht="16.5" thickBot="1" x14ac:dyDescent="0.25">
      <c r="A31" s="10">
        <v>44376</v>
      </c>
      <c r="B31" s="1"/>
      <c r="C31" s="54">
        <f t="shared" si="11"/>
        <v>0</v>
      </c>
      <c r="D31" s="38">
        <f t="shared" si="12"/>
        <v>0</v>
      </c>
      <c r="E31" s="1"/>
      <c r="F31" s="54">
        <f t="shared" si="13"/>
        <v>0</v>
      </c>
      <c r="G31" s="38">
        <f t="shared" si="14"/>
        <v>0</v>
      </c>
      <c r="H31" s="1"/>
      <c r="I31" s="54">
        <f t="shared" si="15"/>
        <v>0</v>
      </c>
      <c r="J31" s="38">
        <f t="shared" si="16"/>
        <v>0</v>
      </c>
      <c r="K31" s="7"/>
      <c r="L31" s="54">
        <f t="shared" si="17"/>
        <v>0</v>
      </c>
      <c r="M31" s="38">
        <f t="shared" si="18"/>
        <v>0</v>
      </c>
      <c r="N31" s="7"/>
      <c r="O31" s="54">
        <f t="shared" si="19"/>
        <v>0</v>
      </c>
      <c r="P31" s="38">
        <f t="shared" si="20"/>
        <v>0</v>
      </c>
      <c r="Q31" s="7"/>
      <c r="R31" s="54">
        <f t="shared" si="21"/>
        <v>0</v>
      </c>
      <c r="S31" s="38">
        <f t="shared" si="22"/>
        <v>0</v>
      </c>
      <c r="T31" s="8">
        <f t="shared" si="24"/>
        <v>0</v>
      </c>
      <c r="U31" s="40">
        <f t="shared" si="23"/>
        <v>0</v>
      </c>
    </row>
    <row r="32" spans="1:24" ht="16.5" thickBot="1" x14ac:dyDescent="0.25">
      <c r="A32" s="10">
        <v>44377</v>
      </c>
      <c r="B32" s="1"/>
      <c r="C32" s="54">
        <f t="shared" si="11"/>
        <v>0</v>
      </c>
      <c r="D32" s="38">
        <f t="shared" si="12"/>
        <v>0</v>
      </c>
      <c r="E32" s="1"/>
      <c r="F32" s="54">
        <f t="shared" si="13"/>
        <v>0</v>
      </c>
      <c r="G32" s="38">
        <f t="shared" si="14"/>
        <v>0</v>
      </c>
      <c r="H32" s="1"/>
      <c r="I32" s="54">
        <f t="shared" si="15"/>
        <v>0</v>
      </c>
      <c r="J32" s="38">
        <f t="shared" si="16"/>
        <v>0</v>
      </c>
      <c r="K32" s="7"/>
      <c r="L32" s="54">
        <f t="shared" si="17"/>
        <v>0</v>
      </c>
      <c r="M32" s="38">
        <f t="shared" si="18"/>
        <v>0</v>
      </c>
      <c r="N32" s="7"/>
      <c r="O32" s="54">
        <f t="shared" si="19"/>
        <v>0</v>
      </c>
      <c r="P32" s="38">
        <f t="shared" si="20"/>
        <v>0</v>
      </c>
      <c r="Q32" s="7"/>
      <c r="R32" s="54">
        <f t="shared" si="21"/>
        <v>0</v>
      </c>
      <c r="S32" s="38">
        <f t="shared" si="22"/>
        <v>0</v>
      </c>
      <c r="T32" s="8">
        <f t="shared" si="24"/>
        <v>0</v>
      </c>
      <c r="U32" s="40">
        <f t="shared" si="23"/>
        <v>0</v>
      </c>
    </row>
    <row r="33" spans="1:27" ht="16.5" thickBot="1" x14ac:dyDescent="0.25">
      <c r="A33" s="10">
        <v>44377</v>
      </c>
      <c r="B33" s="1"/>
      <c r="C33" s="54">
        <f t="shared" si="11"/>
        <v>0</v>
      </c>
      <c r="D33" s="38">
        <f t="shared" si="12"/>
        <v>0</v>
      </c>
      <c r="E33" s="1"/>
      <c r="F33" s="54">
        <f t="shared" si="13"/>
        <v>0</v>
      </c>
      <c r="G33" s="38">
        <f t="shared" si="14"/>
        <v>0</v>
      </c>
      <c r="H33" s="1"/>
      <c r="I33" s="54">
        <f t="shared" si="15"/>
        <v>0</v>
      </c>
      <c r="J33" s="38">
        <f t="shared" si="16"/>
        <v>0</v>
      </c>
      <c r="K33" s="7"/>
      <c r="L33" s="54">
        <f t="shared" si="17"/>
        <v>0</v>
      </c>
      <c r="M33" s="38">
        <f t="shared" si="18"/>
        <v>0</v>
      </c>
      <c r="N33" s="7"/>
      <c r="O33" s="54">
        <f t="shared" si="19"/>
        <v>0</v>
      </c>
      <c r="P33" s="38">
        <f t="shared" si="20"/>
        <v>0</v>
      </c>
      <c r="Q33" s="7"/>
      <c r="R33" s="54">
        <f t="shared" si="21"/>
        <v>0</v>
      </c>
      <c r="S33" s="38">
        <f t="shared" si="22"/>
        <v>0</v>
      </c>
      <c r="T33" s="8">
        <f t="shared" si="24"/>
        <v>0</v>
      </c>
      <c r="U33" s="40">
        <f t="shared" si="23"/>
        <v>0</v>
      </c>
    </row>
    <row r="34" spans="1:27" s="26" customFormat="1" ht="16.5" thickBot="1" x14ac:dyDescent="0.25">
      <c r="A34" s="6" t="s">
        <v>23</v>
      </c>
      <c r="B34" s="159"/>
      <c r="C34" s="159">
        <f>SUM(C3:C33)</f>
        <v>127.66900000000169</v>
      </c>
      <c r="D34" s="159">
        <f>SUM(D2:D33)</f>
        <v>261523.60000000041</v>
      </c>
      <c r="E34" s="159">
        <v>0</v>
      </c>
      <c r="F34" s="159">
        <f>SUM(F2:F33)</f>
        <v>35.750999999999749</v>
      </c>
      <c r="G34" s="159">
        <f>SUM(G2:G33)</f>
        <v>67926.899999999514</v>
      </c>
      <c r="H34" s="159"/>
      <c r="I34" s="159">
        <f>SUM(I2:I33)</f>
        <v>107</v>
      </c>
      <c r="J34" s="159">
        <f>SUM(J2:J33)</f>
        <v>203300</v>
      </c>
      <c r="K34" s="159"/>
      <c r="L34" s="159">
        <f>SUM(L2:L33)</f>
        <v>31.410000000001673</v>
      </c>
      <c r="M34" s="159">
        <f>SUM(M2:M33)</f>
        <v>59679.00000000318</v>
      </c>
      <c r="N34" s="159"/>
      <c r="O34" s="159">
        <f>SUM(O2:O33)</f>
        <v>20.795999999999822</v>
      </c>
      <c r="P34" s="159">
        <f>SUM(P2:P33)</f>
        <v>39512.399999999659</v>
      </c>
      <c r="Q34" s="159"/>
      <c r="R34" s="159">
        <f>SUM(R2:R33)</f>
        <v>34.229999999999563</v>
      </c>
      <c r="S34" s="159">
        <f>SUM(S2:S33)</f>
        <v>65036.999999999156</v>
      </c>
      <c r="T34" s="159">
        <f>SUM(T2:T33)</f>
        <v>366.83100000000104</v>
      </c>
      <c r="U34" s="159">
        <f>SUM(U2:U33)</f>
        <v>696978.90000000189</v>
      </c>
      <c r="V34"/>
      <c r="W34"/>
      <c r="X34"/>
      <c r="Y34"/>
      <c r="Z34"/>
      <c r="AA34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N18" sqref="N18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0" t="s">
        <v>143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</row>
    <row r="2" spans="1:11" ht="13.5" thickBot="1" x14ac:dyDescent="0.25">
      <c r="A2" s="105"/>
      <c r="B2" s="106" t="s">
        <v>92</v>
      </c>
      <c r="C2" s="107">
        <f>K8+K9+K14</f>
        <v>-64710473</v>
      </c>
      <c r="D2" s="107">
        <f>C2*1.27</f>
        <v>-82182300.710000008</v>
      </c>
      <c r="E2" s="108"/>
      <c r="F2" s="105"/>
      <c r="G2" s="105"/>
      <c r="H2" s="109" t="s">
        <v>93</v>
      </c>
      <c r="I2" s="110"/>
      <c r="J2" s="110"/>
      <c r="K2" s="110"/>
    </row>
    <row r="3" spans="1:11" ht="13.5" thickBot="1" x14ac:dyDescent="0.25">
      <c r="A3" s="105"/>
      <c r="B3" s="105"/>
      <c r="C3" s="105"/>
      <c r="D3" s="105"/>
      <c r="E3" s="105"/>
      <c r="F3" s="105"/>
      <c r="G3" s="105"/>
      <c r="H3" s="111" t="s">
        <v>94</v>
      </c>
      <c r="I3" s="155">
        <f>ELECT.!E2</f>
        <v>26143363</v>
      </c>
      <c r="J3" s="155">
        <f>ELECT.!E33</f>
        <v>0</v>
      </c>
      <c r="K3" s="102">
        <f>J3-I3</f>
        <v>-26143363</v>
      </c>
    </row>
    <row r="4" spans="1:11" ht="13.5" thickBot="1" x14ac:dyDescent="0.25">
      <c r="A4" s="105"/>
      <c r="B4" s="113" t="s">
        <v>95</v>
      </c>
      <c r="C4" s="114" t="s">
        <v>96</v>
      </c>
      <c r="D4" s="114" t="s">
        <v>97</v>
      </c>
      <c r="E4" s="114"/>
      <c r="F4" s="105"/>
      <c r="G4" s="105"/>
      <c r="H4" s="111" t="s">
        <v>98</v>
      </c>
      <c r="I4" s="112">
        <f>ELECT.!G2</f>
        <v>82726315</v>
      </c>
      <c r="J4" s="155">
        <f>ELECT.!G33</f>
        <v>0</v>
      </c>
      <c r="K4" s="102">
        <f>J4-I4</f>
        <v>-82726315</v>
      </c>
    </row>
    <row r="5" spans="1:11" ht="13.5" thickBot="1" x14ac:dyDescent="0.25">
      <c r="A5" s="105"/>
      <c r="B5" s="111" t="s">
        <v>27</v>
      </c>
      <c r="C5" s="115">
        <f>(K10+K12)*0.842284+K26</f>
        <v>-26499389.279651999</v>
      </c>
      <c r="D5" s="115">
        <f t="shared" ref="D5:D11" si="0">C5*1.27</f>
        <v>-33654224.38515804</v>
      </c>
      <c r="E5" s="116"/>
      <c r="F5" s="105"/>
      <c r="G5" s="105"/>
      <c r="H5" s="111" t="s">
        <v>23</v>
      </c>
      <c r="I5" s="117"/>
      <c r="J5" s="117"/>
      <c r="K5" s="142">
        <f>K3+K4</f>
        <v>-108869678</v>
      </c>
    </row>
    <row r="6" spans="1:11" ht="13.5" thickBot="1" x14ac:dyDescent="0.25">
      <c r="A6" s="105"/>
      <c r="B6" s="111" t="s">
        <v>99</v>
      </c>
      <c r="C6" s="115">
        <f>(K10+K12+K26)*0.1488</f>
        <v>-4600081.0223999992</v>
      </c>
      <c r="D6" s="115">
        <f t="shared" si="0"/>
        <v>-5842102.8984479988</v>
      </c>
      <c r="E6" s="116"/>
      <c r="F6" s="105"/>
      <c r="G6" s="105"/>
      <c r="H6" s="111" t="s">
        <v>100</v>
      </c>
      <c r="I6" s="160">
        <f>ELECT.!J2</f>
        <v>8089438</v>
      </c>
      <c r="J6" s="156">
        <f>ELECT.!J33</f>
        <v>0</v>
      </c>
      <c r="K6" s="102">
        <f>J6-I6</f>
        <v>-8089438</v>
      </c>
    </row>
    <row r="7" spans="1:11" ht="13.5" thickBot="1" x14ac:dyDescent="0.25">
      <c r="A7" s="105"/>
      <c r="B7" s="111" t="s">
        <v>101</v>
      </c>
      <c r="C7" s="115">
        <f>(K6+K7)-(C8+C9+C10+C11+K26)</f>
        <v>-13166622</v>
      </c>
      <c r="D7" s="115">
        <f t="shared" si="0"/>
        <v>-16721609.939999999</v>
      </c>
      <c r="E7" s="116"/>
      <c r="F7" s="105"/>
      <c r="G7" s="105"/>
      <c r="H7" s="111" t="s">
        <v>102</v>
      </c>
      <c r="I7" s="160">
        <f>ELECT.!L2</f>
        <v>8075564</v>
      </c>
      <c r="J7" s="156">
        <f>ELECT.!L33</f>
        <v>0</v>
      </c>
      <c r="K7" s="102">
        <f>J7-I7</f>
        <v>-8075564</v>
      </c>
    </row>
    <row r="8" spans="1:11" ht="13.5" thickBot="1" x14ac:dyDescent="0.25">
      <c r="A8" s="105"/>
      <c r="B8" s="111" t="s">
        <v>103</v>
      </c>
      <c r="C8" s="115">
        <f>K21+K22+K23+K24</f>
        <v>17506</v>
      </c>
      <c r="D8" s="115">
        <f t="shared" si="0"/>
        <v>22232.62</v>
      </c>
      <c r="E8" s="116"/>
      <c r="F8" s="105"/>
      <c r="G8" s="105"/>
      <c r="H8" s="111" t="s">
        <v>104</v>
      </c>
      <c r="I8" s="160">
        <f>ELECT.!N2</f>
        <v>5208255</v>
      </c>
      <c r="J8" s="156">
        <f>ELECT.!N33</f>
        <v>0</v>
      </c>
      <c r="K8" s="102">
        <f>(J8-I8)*2</f>
        <v>-10416510</v>
      </c>
    </row>
    <row r="9" spans="1:11" ht="13.5" thickBot="1" x14ac:dyDescent="0.25">
      <c r="A9" s="105"/>
      <c r="B9" s="111" t="s">
        <v>137</v>
      </c>
      <c r="C9" s="115">
        <f>K25+K16+K17</f>
        <v>2445</v>
      </c>
      <c r="D9" s="115">
        <f t="shared" si="0"/>
        <v>3105.15</v>
      </c>
      <c r="E9" s="116"/>
      <c r="F9" s="105"/>
      <c r="G9" s="105"/>
      <c r="H9" s="111" t="s">
        <v>105</v>
      </c>
      <c r="I9" s="160">
        <f>ELECT.!P2</f>
        <v>3524726</v>
      </c>
      <c r="J9" s="156">
        <f>ELECT.!P33</f>
        <v>0</v>
      </c>
      <c r="K9" s="102">
        <f>J9-I9</f>
        <v>-3524726</v>
      </c>
    </row>
    <row r="10" spans="1:11" ht="13.5" thickBot="1" x14ac:dyDescent="0.25">
      <c r="A10" s="105"/>
      <c r="B10" s="111" t="s">
        <v>106</v>
      </c>
      <c r="C10" s="115">
        <f>K18</f>
        <v>8160</v>
      </c>
      <c r="D10" s="115">
        <f t="shared" si="0"/>
        <v>10363.200000000001</v>
      </c>
      <c r="E10" s="116"/>
      <c r="F10" s="105"/>
      <c r="G10" s="105"/>
      <c r="H10" s="111" t="s">
        <v>107</v>
      </c>
      <c r="I10" s="160">
        <f>ELECT.!R2</f>
        <v>17551875</v>
      </c>
      <c r="J10" s="156">
        <f>ELECT.!R33</f>
        <v>0</v>
      </c>
      <c r="K10" s="102">
        <f>J10-I10</f>
        <v>-17551875</v>
      </c>
    </row>
    <row r="11" spans="1:11" ht="13.5" thickBot="1" x14ac:dyDescent="0.25">
      <c r="A11" s="105"/>
      <c r="B11" s="111" t="s">
        <v>108</v>
      </c>
      <c r="C11" s="115">
        <f>K19+K20</f>
        <v>-106171</v>
      </c>
      <c r="D11" s="115">
        <f t="shared" si="0"/>
        <v>-134837.17000000001</v>
      </c>
      <c r="E11" s="116"/>
      <c r="F11" s="105"/>
      <c r="G11" s="105"/>
      <c r="H11" s="111" t="s">
        <v>109</v>
      </c>
      <c r="I11" s="118">
        <v>0</v>
      </c>
      <c r="J11" s="156">
        <f>ELECT.!J38</f>
        <v>0</v>
      </c>
      <c r="K11" s="102">
        <f>J11-I11</f>
        <v>0</v>
      </c>
    </row>
    <row r="12" spans="1:11" ht="13.5" thickBot="1" x14ac:dyDescent="0.25">
      <c r="A12" s="105"/>
      <c r="B12" s="105"/>
      <c r="C12" s="119"/>
      <c r="D12" s="119"/>
      <c r="E12" s="119"/>
      <c r="F12" s="105"/>
      <c r="G12" s="105"/>
      <c r="H12" s="111" t="s">
        <v>110</v>
      </c>
      <c r="I12" s="160">
        <f>ELECT.!V2</f>
        <v>5221164</v>
      </c>
      <c r="J12" s="156">
        <f>ELECT.!V33</f>
        <v>0</v>
      </c>
      <c r="K12" s="102">
        <f>(J12-I12)*2</f>
        <v>-10442328</v>
      </c>
    </row>
    <row r="13" spans="1:11" ht="13.5" thickBot="1" x14ac:dyDescent="0.25">
      <c r="A13" s="105"/>
      <c r="B13" s="109" t="s">
        <v>111</v>
      </c>
      <c r="C13" s="116" t="s">
        <v>112</v>
      </c>
      <c r="D13" s="116" t="s">
        <v>97</v>
      </c>
      <c r="E13" s="116"/>
      <c r="F13" s="105"/>
      <c r="G13" s="105"/>
      <c r="H13" s="111" t="s">
        <v>113</v>
      </c>
      <c r="I13" s="120"/>
      <c r="J13" s="121"/>
      <c r="K13" s="122">
        <f>SUM(K6:K12)</f>
        <v>-58100441</v>
      </c>
    </row>
    <row r="14" spans="1:11" ht="13.5" thickBot="1" x14ac:dyDescent="0.25">
      <c r="A14" s="105"/>
      <c r="B14" s="111" t="s">
        <v>42</v>
      </c>
      <c r="C14" s="115">
        <f>K29</f>
        <v>-4122400</v>
      </c>
      <c r="D14" s="123">
        <f t="shared" ref="D14:D22" si="1">C14*10.03</f>
        <v>-41347672</v>
      </c>
      <c r="E14" s="124"/>
      <c r="F14" s="105"/>
      <c r="G14" s="105"/>
      <c r="H14" s="111" t="s">
        <v>114</v>
      </c>
      <c r="I14" s="120"/>
      <c r="J14" s="121"/>
      <c r="K14" s="103">
        <f>K5-K13</f>
        <v>-50769237</v>
      </c>
    </row>
    <row r="15" spans="1:11" ht="13.5" thickBot="1" x14ac:dyDescent="0.25">
      <c r="A15" s="105"/>
      <c r="B15" s="111" t="s">
        <v>115</v>
      </c>
      <c r="C15" s="125">
        <f>K30</f>
        <v>-19829.394</v>
      </c>
      <c r="D15" s="123">
        <f t="shared" si="1"/>
        <v>-198888.82181999998</v>
      </c>
      <c r="E15" s="124"/>
      <c r="F15" s="105"/>
      <c r="G15" s="105"/>
      <c r="H15" s="105"/>
      <c r="I15" s="105"/>
      <c r="J15" s="105"/>
      <c r="K15" s="105"/>
    </row>
    <row r="16" spans="1:11" ht="13.5" thickBot="1" x14ac:dyDescent="0.25">
      <c r="A16" s="105"/>
      <c r="B16" s="111" t="s">
        <v>99</v>
      </c>
      <c r="C16" s="125">
        <f>(C14-C15-C17-C18-C19-C20-C21)*0.1318</f>
        <v>-541485.88187080005</v>
      </c>
      <c r="D16" s="123">
        <f t="shared" si="1"/>
        <v>-5431103.3951641237</v>
      </c>
      <c r="E16" s="124"/>
      <c r="F16" s="105"/>
      <c r="G16" s="105"/>
      <c r="H16" s="126" t="s">
        <v>136</v>
      </c>
      <c r="I16" s="127">
        <f>'Mall, Citadel, Rotana'!T2</f>
        <v>3652</v>
      </c>
      <c r="J16" s="127">
        <f>'Mall, Citadel, Rotana'!T33</f>
        <v>3667</v>
      </c>
      <c r="K16" s="104">
        <f>(J16-I16)*160</f>
        <v>2400</v>
      </c>
    </row>
    <row r="17" spans="1:11" ht="13.5" thickBot="1" x14ac:dyDescent="0.25">
      <c r="A17" s="105"/>
      <c r="B17" s="111" t="s">
        <v>103</v>
      </c>
      <c r="C17" s="125">
        <v>1420</v>
      </c>
      <c r="D17" s="123">
        <f t="shared" si="1"/>
        <v>14242.599999999999</v>
      </c>
      <c r="E17" s="124"/>
      <c r="F17" s="105"/>
      <c r="G17" s="105"/>
      <c r="H17" s="126" t="s">
        <v>19</v>
      </c>
      <c r="I17" s="127">
        <f>'Mall, Citadel, Rotana'!J2</f>
        <v>303517</v>
      </c>
      <c r="J17" s="127">
        <f>'Mall, Citadel, Rotana'!J33</f>
        <v>303517</v>
      </c>
      <c r="K17" s="104">
        <f>(J17-I17)*160</f>
        <v>0</v>
      </c>
    </row>
    <row r="18" spans="1:11" ht="13.5" thickBot="1" x14ac:dyDescent="0.25">
      <c r="A18" s="105"/>
      <c r="B18" s="111" t="s">
        <v>108</v>
      </c>
      <c r="C18" s="125">
        <v>200</v>
      </c>
      <c r="D18" s="123">
        <f t="shared" si="1"/>
        <v>2005.9999999999998</v>
      </c>
      <c r="E18" s="124"/>
      <c r="F18" s="105"/>
      <c r="G18" s="105"/>
      <c r="H18" s="126" t="s">
        <v>20</v>
      </c>
      <c r="I18" s="127">
        <f>'Mall, Citadel, Rotana'!L2</f>
        <v>24984</v>
      </c>
      <c r="J18" s="127">
        <f>'Mall, Citadel, Rotana'!L33</f>
        <v>25035</v>
      </c>
      <c r="K18" s="104">
        <f>(J18-I18)*160</f>
        <v>8160</v>
      </c>
    </row>
    <row r="19" spans="1:11" ht="15.75" thickBot="1" x14ac:dyDescent="0.25">
      <c r="A19" s="105"/>
      <c r="B19" s="111" t="s">
        <v>137</v>
      </c>
      <c r="C19" s="125">
        <v>600</v>
      </c>
      <c r="D19" s="123">
        <f t="shared" si="1"/>
        <v>6018</v>
      </c>
      <c r="E19" s="171" t="s">
        <v>116</v>
      </c>
      <c r="F19" s="172"/>
      <c r="G19" s="105"/>
      <c r="H19" s="126" t="s">
        <v>117</v>
      </c>
      <c r="I19" s="127">
        <f>'Mall, Citadel, Rotana'!P2</f>
        <v>106171</v>
      </c>
      <c r="J19" s="127">
        <f>'Mall, Citadel, Rotana'!P33</f>
        <v>0</v>
      </c>
      <c r="K19" s="104">
        <f>J19-I19</f>
        <v>-106171</v>
      </c>
    </row>
    <row r="20" spans="1:11" ht="13.5" thickBot="1" x14ac:dyDescent="0.25">
      <c r="A20" s="105"/>
      <c r="B20" s="111" t="s">
        <v>106</v>
      </c>
      <c r="C20" s="125">
        <v>600</v>
      </c>
      <c r="D20" s="123">
        <f t="shared" si="1"/>
        <v>6018</v>
      </c>
      <c r="E20" s="124"/>
      <c r="F20" s="105"/>
      <c r="G20" s="105"/>
      <c r="H20" s="126" t="s">
        <v>118</v>
      </c>
      <c r="I20" s="127">
        <f>'Mall, Citadel, Rotana'!R2</f>
        <v>55047</v>
      </c>
      <c r="J20" s="127">
        <f>'Mall, Citadel, Rotana'!R33</f>
        <v>55047</v>
      </c>
      <c r="K20" s="104">
        <f>J20-I20</f>
        <v>0</v>
      </c>
    </row>
    <row r="21" spans="1:11" ht="13.5" thickBot="1" x14ac:dyDescent="0.25">
      <c r="A21" s="105"/>
      <c r="B21" s="111" t="s">
        <v>92</v>
      </c>
      <c r="C21" s="125">
        <v>3000</v>
      </c>
      <c r="D21" s="123">
        <f t="shared" si="1"/>
        <v>30089.999999999996</v>
      </c>
      <c r="E21" s="124"/>
      <c r="F21" s="105"/>
      <c r="G21" s="105"/>
      <c r="H21" s="126" t="s">
        <v>13</v>
      </c>
      <c r="I21" s="127">
        <f>'Mall, Citadel, Rotana'!B2</f>
        <v>45328</v>
      </c>
      <c r="J21" s="127">
        <f>'Mall, Citadel, Rotana'!B33</f>
        <v>45402</v>
      </c>
      <c r="K21" s="104">
        <f>(J21-I21)*120</f>
        <v>8880</v>
      </c>
    </row>
    <row r="22" spans="1:11" ht="13.5" thickBot="1" x14ac:dyDescent="0.25">
      <c r="A22" s="105"/>
      <c r="B22" s="111" t="s">
        <v>119</v>
      </c>
      <c r="C22" s="123">
        <f>C14-(C15+C16+C17+C18+C19+C20+C21)</f>
        <v>-3566904.7241292</v>
      </c>
      <c r="D22" s="123">
        <f t="shared" si="1"/>
        <v>-35776054.383015871</v>
      </c>
      <c r="E22" s="124"/>
      <c r="F22" s="105"/>
      <c r="G22" s="105"/>
      <c r="H22" s="126" t="s">
        <v>15</v>
      </c>
      <c r="I22" s="127">
        <f>'Mall, Citadel, Rotana'!D2</f>
        <v>39551</v>
      </c>
      <c r="J22" s="127">
        <f>'Mall, Citadel, Rotana'!D33</f>
        <v>39592</v>
      </c>
      <c r="K22" s="104">
        <f>(J22-I22)*160</f>
        <v>6560</v>
      </c>
    </row>
    <row r="23" spans="1:11" x14ac:dyDescent="0.2">
      <c r="A23" s="105"/>
      <c r="B23" s="105"/>
      <c r="C23" s="119"/>
      <c r="D23" s="128"/>
      <c r="E23" s="124"/>
      <c r="F23" s="105"/>
      <c r="G23" s="105"/>
      <c r="H23" s="126" t="s">
        <v>17</v>
      </c>
      <c r="I23" s="127">
        <f>'Mall, Citadel, Rotana'!F2</f>
        <v>20411</v>
      </c>
      <c r="J23" s="127">
        <f>'Mall, Citadel, Rotana'!F33</f>
        <v>20460</v>
      </c>
      <c r="K23" s="104">
        <f>(J23-I23)*20</f>
        <v>980</v>
      </c>
    </row>
    <row r="24" spans="1:11" x14ac:dyDescent="0.2">
      <c r="A24" s="105"/>
      <c r="B24" s="109" t="s">
        <v>120</v>
      </c>
      <c r="C24" s="119"/>
      <c r="D24" s="119"/>
      <c r="E24" s="119"/>
      <c r="F24" s="105"/>
      <c r="G24" s="105"/>
      <c r="H24" s="126" t="s">
        <v>18</v>
      </c>
      <c r="I24" s="127">
        <f>'Mall, Citadel, Rotana'!H2</f>
        <v>242585</v>
      </c>
      <c r="J24" s="127">
        <f>'Mall, Citadel, Rotana'!H33</f>
        <v>243671</v>
      </c>
      <c r="K24" s="104">
        <f>J24-I24</f>
        <v>1086</v>
      </c>
    </row>
    <row r="25" spans="1:11" ht="13.5" thickBot="1" x14ac:dyDescent="0.25">
      <c r="A25" s="105"/>
      <c r="B25" s="105"/>
      <c r="C25" s="116" t="s">
        <v>112</v>
      </c>
      <c r="D25" s="116" t="s">
        <v>121</v>
      </c>
      <c r="E25" s="116"/>
      <c r="F25" s="105"/>
      <c r="G25" s="105"/>
      <c r="H25" s="126" t="s">
        <v>122</v>
      </c>
      <c r="I25" s="127">
        <f>'Mall, Citadel, Rotana'!N2</f>
        <v>215544</v>
      </c>
      <c r="J25" s="127">
        <f>'Mall, Citadel, Rotana'!N33</f>
        <v>215589</v>
      </c>
      <c r="K25" s="104">
        <f>J25-I25</f>
        <v>45</v>
      </c>
    </row>
    <row r="26" spans="1:11" ht="13.5" thickBot="1" x14ac:dyDescent="0.25">
      <c r="A26" s="105"/>
      <c r="B26" s="111" t="s">
        <v>42</v>
      </c>
      <c r="C26" s="129">
        <f>K35</f>
        <v>-17373532</v>
      </c>
      <c r="D26" s="115">
        <f>C26*3.65</f>
        <v>-63413391.799999997</v>
      </c>
      <c r="E26" s="116"/>
      <c r="F26" s="105"/>
      <c r="G26" s="105"/>
      <c r="H26" s="126" t="s">
        <v>123</v>
      </c>
      <c r="I26" s="136">
        <f>ELECT.!C2</f>
        <v>18252</v>
      </c>
      <c r="J26" s="136">
        <f>ELECT.!C33</f>
        <v>0</v>
      </c>
      <c r="K26" s="104">
        <f>(J26-I26)*160</f>
        <v>-2920320</v>
      </c>
    </row>
    <row r="27" spans="1:11" ht="13.5" thickBot="1" x14ac:dyDescent="0.25">
      <c r="A27" s="105"/>
      <c r="B27" s="106" t="s">
        <v>124</v>
      </c>
      <c r="C27" s="129">
        <f>C26</f>
        <v>-17373532</v>
      </c>
      <c r="D27" s="115">
        <f>C27*3.65</f>
        <v>-63413391.799999997</v>
      </c>
      <c r="E27" s="116"/>
      <c r="F27" s="105"/>
      <c r="G27" s="105"/>
      <c r="H27" s="109"/>
      <c r="I27" s="130"/>
      <c r="J27" s="105"/>
      <c r="K27" s="105"/>
    </row>
    <row r="28" spans="1:11" x14ac:dyDescent="0.2">
      <c r="A28" s="105"/>
      <c r="B28" s="105"/>
      <c r="C28" s="105"/>
      <c r="D28" s="105"/>
      <c r="E28" s="105"/>
      <c r="F28" s="105"/>
      <c r="G28" s="105"/>
      <c r="H28" s="109" t="s">
        <v>111</v>
      </c>
      <c r="I28" s="130"/>
      <c r="J28" s="105"/>
      <c r="K28" s="105"/>
    </row>
    <row r="29" spans="1:11" x14ac:dyDescent="0.2">
      <c r="A29" s="105"/>
      <c r="B29" s="105"/>
      <c r="C29" s="105"/>
      <c r="D29" s="105"/>
      <c r="E29" s="105"/>
      <c r="F29" s="105"/>
      <c r="G29" s="105" t="s">
        <v>12</v>
      </c>
      <c r="H29" s="126" t="s">
        <v>24</v>
      </c>
      <c r="I29" s="127">
        <f>Water!B2</f>
        <v>412240</v>
      </c>
      <c r="J29" s="127">
        <f>Water!B33</f>
        <v>0</v>
      </c>
      <c r="K29" s="104">
        <f>(J29-I29)*10</f>
        <v>-4122400</v>
      </c>
    </row>
    <row r="30" spans="1:11" x14ac:dyDescent="0.2">
      <c r="A30" s="105"/>
      <c r="B30" s="105"/>
      <c r="C30" s="105"/>
      <c r="D30" s="105"/>
      <c r="E30" s="105"/>
      <c r="F30" s="105"/>
      <c r="G30" s="105"/>
      <c r="H30" s="126" t="s">
        <v>125</v>
      </c>
      <c r="I30" s="127">
        <f>Water!H2</f>
        <v>734422</v>
      </c>
      <c r="J30" s="127">
        <f>Water!H33</f>
        <v>0</v>
      </c>
      <c r="K30" s="104">
        <f>(J30-I30)*0.027</f>
        <v>-19829.394</v>
      </c>
    </row>
    <row r="31" spans="1:11" x14ac:dyDescent="0.2">
      <c r="A31" s="105"/>
      <c r="B31" s="105"/>
      <c r="C31" s="105"/>
      <c r="D31" s="105"/>
      <c r="E31" s="105"/>
      <c r="F31" s="105"/>
      <c r="G31" s="105"/>
      <c r="H31" s="126" t="s">
        <v>126</v>
      </c>
      <c r="I31" s="127">
        <f>Water!D2</f>
        <v>4377900</v>
      </c>
      <c r="J31" s="127">
        <f>Water!D33</f>
        <v>0</v>
      </c>
      <c r="K31" s="104">
        <f>(J31-I31)*0.027</f>
        <v>-118203.3</v>
      </c>
    </row>
    <row r="32" spans="1:11" x14ac:dyDescent="0.2">
      <c r="A32" s="105"/>
      <c r="B32" s="105"/>
      <c r="C32" s="105"/>
      <c r="D32" s="105"/>
      <c r="E32" s="105"/>
      <c r="F32" s="105"/>
      <c r="G32" s="105"/>
      <c r="H32" s="126" t="s">
        <v>127</v>
      </c>
      <c r="I32" s="127">
        <f>Water!F2</f>
        <v>3251800</v>
      </c>
      <c r="J32" s="127">
        <f>Water!F33</f>
        <v>0</v>
      </c>
      <c r="K32" s="104">
        <f>(J32-I32)*0.027</f>
        <v>-87798.6</v>
      </c>
    </row>
    <row r="33" spans="1:11" x14ac:dyDescent="0.2">
      <c r="A33" s="131"/>
      <c r="B33" s="131"/>
      <c r="C33" s="131"/>
      <c r="D33" s="131"/>
      <c r="E33" s="131"/>
      <c r="F33" s="131"/>
      <c r="G33" s="131"/>
      <c r="H33" s="131"/>
      <c r="I33" s="131"/>
      <c r="J33" s="131"/>
      <c r="K33" s="131"/>
    </row>
    <row r="34" spans="1:11" x14ac:dyDescent="0.2">
      <c r="A34" s="131"/>
      <c r="B34" s="131"/>
      <c r="C34" s="131"/>
      <c r="D34" s="131"/>
      <c r="E34" s="131"/>
      <c r="F34" s="131"/>
      <c r="G34" s="131"/>
      <c r="H34" s="131" t="s">
        <v>120</v>
      </c>
      <c r="I34" s="131"/>
      <c r="J34" s="131"/>
      <c r="K34" s="131"/>
    </row>
    <row r="35" spans="1:11" x14ac:dyDescent="0.2">
      <c r="A35" s="131"/>
      <c r="B35" s="131"/>
      <c r="C35" s="131"/>
      <c r="D35" s="131"/>
      <c r="E35" s="131"/>
      <c r="F35" s="131"/>
      <c r="G35" s="132"/>
      <c r="H35" s="133" t="s">
        <v>42</v>
      </c>
      <c r="I35" s="134">
        <f>Gas!B2</f>
        <v>17373532</v>
      </c>
      <c r="J35" s="158">
        <f>Gas!B33</f>
        <v>0</v>
      </c>
      <c r="K35" s="135">
        <f>J35-I35</f>
        <v>-17373532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zoomScaleNormal="100" workbookViewId="0">
      <selection activeCell="N18" sqref="N1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7"/>
      <c r="C1" s="68" t="s">
        <v>77</v>
      </c>
      <c r="D1" s="69" t="s">
        <v>78</v>
      </c>
      <c r="E1" s="69" t="s">
        <v>139</v>
      </c>
      <c r="F1" s="69" t="s">
        <v>140</v>
      </c>
      <c r="G1" s="69" t="s">
        <v>91</v>
      </c>
      <c r="H1" s="70" t="s">
        <v>79</v>
      </c>
      <c r="J1" s="68" t="s">
        <v>77</v>
      </c>
      <c r="K1" s="69" t="s">
        <v>78</v>
      </c>
      <c r="L1" s="69" t="s">
        <v>140</v>
      </c>
      <c r="M1" s="69" t="s">
        <v>142</v>
      </c>
      <c r="N1" s="69" t="s">
        <v>91</v>
      </c>
      <c r="O1" s="70" t="s">
        <v>79</v>
      </c>
    </row>
    <row r="2" spans="2:15" ht="15" x14ac:dyDescent="0.2">
      <c r="B2" s="67"/>
      <c r="C2" s="181">
        <v>6</v>
      </c>
      <c r="D2" s="71" t="s">
        <v>80</v>
      </c>
      <c r="E2" s="72">
        <v>277045</v>
      </c>
      <c r="F2" s="72">
        <v>278147</v>
      </c>
      <c r="G2" s="73">
        <f>F2-E2</f>
        <v>1102</v>
      </c>
      <c r="H2" s="74"/>
      <c r="J2" s="181">
        <v>6</v>
      </c>
      <c r="K2" s="71" t="s">
        <v>80</v>
      </c>
      <c r="L2" s="72">
        <v>278147</v>
      </c>
      <c r="M2" s="72">
        <v>278147</v>
      </c>
      <c r="N2" s="73">
        <f>M2-L2</f>
        <v>0</v>
      </c>
      <c r="O2" s="74"/>
    </row>
    <row r="3" spans="2:15" ht="15" x14ac:dyDescent="0.2">
      <c r="B3" s="67"/>
      <c r="C3" s="186"/>
      <c r="D3" s="71" t="s">
        <v>81</v>
      </c>
      <c r="E3" s="72">
        <v>240756</v>
      </c>
      <c r="F3" s="72">
        <v>241395</v>
      </c>
      <c r="G3" s="73">
        <f t="shared" ref="G3:G43" si="0">F3-E3</f>
        <v>639</v>
      </c>
      <c r="H3" s="74"/>
      <c r="J3" s="186"/>
      <c r="K3" s="71" t="s">
        <v>81</v>
      </c>
      <c r="L3" s="72">
        <v>241395</v>
      </c>
      <c r="M3" s="72">
        <v>241395</v>
      </c>
      <c r="N3" s="73">
        <f t="shared" ref="N3:N60" si="1">M3-L3</f>
        <v>0</v>
      </c>
      <c r="O3" s="74"/>
    </row>
    <row r="4" spans="2:15" ht="15" x14ac:dyDescent="0.2">
      <c r="B4" s="67"/>
      <c r="C4" s="182"/>
      <c r="D4" s="71" t="s">
        <v>82</v>
      </c>
      <c r="E4" s="72">
        <v>189319</v>
      </c>
      <c r="F4" s="72">
        <v>189597</v>
      </c>
      <c r="G4" s="73">
        <f t="shared" si="0"/>
        <v>278</v>
      </c>
      <c r="H4" s="74"/>
      <c r="J4" s="182"/>
      <c r="K4" s="71" t="s">
        <v>82</v>
      </c>
      <c r="L4" s="72">
        <v>189597</v>
      </c>
      <c r="M4" s="72">
        <v>189597</v>
      </c>
      <c r="N4" s="73">
        <f t="shared" si="1"/>
        <v>0</v>
      </c>
      <c r="O4" s="74"/>
    </row>
    <row r="5" spans="2:15" ht="15" x14ac:dyDescent="0.2">
      <c r="B5" s="67"/>
      <c r="C5" s="181">
        <v>7</v>
      </c>
      <c r="D5" s="71" t="s">
        <v>80</v>
      </c>
      <c r="E5" s="72">
        <v>238044</v>
      </c>
      <c r="F5" s="72">
        <v>239098</v>
      </c>
      <c r="G5" s="73">
        <f t="shared" si="0"/>
        <v>1054</v>
      </c>
      <c r="H5" s="74"/>
      <c r="J5" s="181">
        <v>7</v>
      </c>
      <c r="K5" s="71" t="s">
        <v>80</v>
      </c>
      <c r="L5" s="72">
        <v>239098</v>
      </c>
      <c r="M5" s="72">
        <v>239098</v>
      </c>
      <c r="N5" s="73">
        <f t="shared" si="1"/>
        <v>0</v>
      </c>
      <c r="O5" s="74"/>
    </row>
    <row r="6" spans="2:15" ht="15" x14ac:dyDescent="0.2">
      <c r="B6" s="67"/>
      <c r="C6" s="186"/>
      <c r="D6" s="71" t="s">
        <v>81</v>
      </c>
      <c r="E6" s="72">
        <v>153575</v>
      </c>
      <c r="F6" s="72">
        <v>153583</v>
      </c>
      <c r="G6" s="73">
        <f t="shared" si="0"/>
        <v>8</v>
      </c>
      <c r="H6" s="74"/>
      <c r="J6" s="186"/>
      <c r="K6" s="71" t="s">
        <v>81</v>
      </c>
      <c r="L6" s="72">
        <v>153583</v>
      </c>
      <c r="M6" s="72">
        <v>153583</v>
      </c>
      <c r="N6" s="73">
        <f t="shared" si="1"/>
        <v>0</v>
      </c>
      <c r="O6" s="74"/>
    </row>
    <row r="7" spans="2:15" ht="15" x14ac:dyDescent="0.2">
      <c r="B7" s="67"/>
      <c r="C7" s="182"/>
      <c r="D7" s="71" t="s">
        <v>82</v>
      </c>
      <c r="E7" s="72">
        <v>117538</v>
      </c>
      <c r="F7" s="72">
        <v>117854</v>
      </c>
      <c r="G7" s="73">
        <f t="shared" si="0"/>
        <v>316</v>
      </c>
      <c r="H7" s="74"/>
      <c r="J7" s="182"/>
      <c r="K7" s="71" t="s">
        <v>82</v>
      </c>
      <c r="L7" s="72">
        <v>117854</v>
      </c>
      <c r="M7" s="72">
        <v>117854</v>
      </c>
      <c r="N7" s="73">
        <f t="shared" si="1"/>
        <v>0</v>
      </c>
      <c r="O7" s="74"/>
    </row>
    <row r="8" spans="2:15" ht="15" x14ac:dyDescent="0.2">
      <c r="B8" s="67"/>
      <c r="C8" s="181">
        <v>8</v>
      </c>
      <c r="D8" s="71" t="s">
        <v>80</v>
      </c>
      <c r="E8" s="72">
        <v>72265</v>
      </c>
      <c r="F8" s="72">
        <v>72512</v>
      </c>
      <c r="G8" s="73">
        <f t="shared" si="0"/>
        <v>247</v>
      </c>
      <c r="H8" s="74"/>
      <c r="J8" s="181">
        <v>8</v>
      </c>
      <c r="K8" s="71" t="s">
        <v>80</v>
      </c>
      <c r="L8" s="72">
        <v>72512</v>
      </c>
      <c r="M8" s="72">
        <v>72512</v>
      </c>
      <c r="N8" s="73">
        <f t="shared" si="1"/>
        <v>0</v>
      </c>
      <c r="O8" s="74"/>
    </row>
    <row r="9" spans="2:15" ht="15" x14ac:dyDescent="0.2">
      <c r="B9" s="67"/>
      <c r="C9" s="186"/>
      <c r="D9" s="71" t="s">
        <v>81</v>
      </c>
      <c r="E9" s="72">
        <v>158</v>
      </c>
      <c r="F9" s="72">
        <v>158</v>
      </c>
      <c r="G9" s="73">
        <f t="shared" si="0"/>
        <v>0</v>
      </c>
      <c r="H9" s="75" t="s">
        <v>12</v>
      </c>
      <c r="J9" s="186"/>
      <c r="K9" s="71" t="s">
        <v>81</v>
      </c>
      <c r="L9" s="72">
        <v>158</v>
      </c>
      <c r="M9" s="72">
        <v>158</v>
      </c>
      <c r="N9" s="73">
        <f t="shared" si="1"/>
        <v>0</v>
      </c>
      <c r="O9" s="75" t="s">
        <v>12</v>
      </c>
    </row>
    <row r="10" spans="2:15" ht="15" x14ac:dyDescent="0.2">
      <c r="B10" s="67"/>
      <c r="C10" s="182"/>
      <c r="D10" s="71" t="s">
        <v>82</v>
      </c>
      <c r="E10" s="72">
        <v>95566</v>
      </c>
      <c r="F10" s="72">
        <v>96586</v>
      </c>
      <c r="G10" s="73">
        <f t="shared" si="0"/>
        <v>1020</v>
      </c>
      <c r="H10" s="74"/>
      <c r="J10" s="182"/>
      <c r="K10" s="71" t="s">
        <v>82</v>
      </c>
      <c r="L10" s="72">
        <v>96586</v>
      </c>
      <c r="M10" s="72">
        <v>96586</v>
      </c>
      <c r="N10" s="73">
        <f t="shared" si="1"/>
        <v>0</v>
      </c>
      <c r="O10" s="74"/>
    </row>
    <row r="11" spans="2:15" ht="15" x14ac:dyDescent="0.2">
      <c r="B11" s="67"/>
      <c r="C11" s="181">
        <v>9</v>
      </c>
      <c r="D11" s="71" t="s">
        <v>80</v>
      </c>
      <c r="E11" s="72">
        <v>39500</v>
      </c>
      <c r="F11" s="72">
        <v>43563</v>
      </c>
      <c r="G11" s="73">
        <f t="shared" si="0"/>
        <v>4063</v>
      </c>
      <c r="H11" s="74"/>
      <c r="J11" s="181">
        <v>9</v>
      </c>
      <c r="K11" s="71" t="s">
        <v>80</v>
      </c>
      <c r="L11" s="72">
        <v>43563</v>
      </c>
      <c r="M11" s="72">
        <v>43563</v>
      </c>
      <c r="N11" s="73">
        <f t="shared" si="1"/>
        <v>0</v>
      </c>
      <c r="O11" s="74"/>
    </row>
    <row r="12" spans="2:15" ht="15" x14ac:dyDescent="0.2">
      <c r="B12" s="67"/>
      <c r="C12" s="186"/>
      <c r="D12" s="71" t="s">
        <v>81</v>
      </c>
      <c r="E12" s="72">
        <v>0</v>
      </c>
      <c r="F12" s="72">
        <v>0</v>
      </c>
      <c r="G12" s="73">
        <f t="shared" si="0"/>
        <v>0</v>
      </c>
      <c r="H12" s="75" t="s">
        <v>12</v>
      </c>
      <c r="J12" s="186"/>
      <c r="K12" s="71" t="s">
        <v>81</v>
      </c>
      <c r="L12" s="72">
        <v>0</v>
      </c>
      <c r="M12" s="72">
        <v>0</v>
      </c>
      <c r="N12" s="73">
        <f t="shared" si="1"/>
        <v>0</v>
      </c>
      <c r="O12" s="75" t="s">
        <v>12</v>
      </c>
    </row>
    <row r="13" spans="2:15" ht="15" x14ac:dyDescent="0.2">
      <c r="B13" s="67"/>
      <c r="C13" s="182"/>
      <c r="D13" s="71" t="s">
        <v>82</v>
      </c>
      <c r="E13" s="72">
        <v>28397</v>
      </c>
      <c r="F13" s="72">
        <v>28469</v>
      </c>
      <c r="G13" s="73">
        <f t="shared" si="0"/>
        <v>72</v>
      </c>
      <c r="H13" s="74"/>
      <c r="I13" s="76"/>
      <c r="J13" s="182"/>
      <c r="K13" s="71" t="s">
        <v>82</v>
      </c>
      <c r="L13" s="72">
        <v>28469</v>
      </c>
      <c r="M13" s="72">
        <v>28469</v>
      </c>
      <c r="N13" s="73">
        <f t="shared" si="1"/>
        <v>0</v>
      </c>
      <c r="O13" s="74"/>
    </row>
    <row r="14" spans="2:15" ht="15" x14ac:dyDescent="0.2">
      <c r="B14" s="67"/>
      <c r="C14" s="181">
        <v>10</v>
      </c>
      <c r="D14" s="71" t="s">
        <v>80</v>
      </c>
      <c r="E14" s="72">
        <v>191472</v>
      </c>
      <c r="F14" s="72">
        <v>193243</v>
      </c>
      <c r="G14" s="73">
        <f t="shared" si="0"/>
        <v>1771</v>
      </c>
      <c r="H14" s="74"/>
      <c r="I14" s="77"/>
      <c r="J14" s="181">
        <v>10</v>
      </c>
      <c r="K14" s="71" t="s">
        <v>80</v>
      </c>
      <c r="L14" s="72">
        <v>193243</v>
      </c>
      <c r="M14" s="72">
        <v>193243</v>
      </c>
      <c r="N14" s="73">
        <f t="shared" si="1"/>
        <v>0</v>
      </c>
      <c r="O14" s="74"/>
    </row>
    <row r="15" spans="2:15" ht="15" x14ac:dyDescent="0.2">
      <c r="B15" s="67"/>
      <c r="C15" s="186"/>
      <c r="D15" s="71" t="s">
        <v>81</v>
      </c>
      <c r="E15" s="72">
        <v>7717</v>
      </c>
      <c r="F15" s="72">
        <v>7741</v>
      </c>
      <c r="G15" s="73">
        <f t="shared" si="0"/>
        <v>24</v>
      </c>
      <c r="H15" s="74"/>
      <c r="I15" s="77"/>
      <c r="J15" s="186"/>
      <c r="K15" s="71" t="s">
        <v>81</v>
      </c>
      <c r="L15" s="72">
        <v>7741</v>
      </c>
      <c r="M15" s="72">
        <v>7741</v>
      </c>
      <c r="N15" s="73">
        <f t="shared" si="1"/>
        <v>0</v>
      </c>
      <c r="O15" s="74"/>
    </row>
    <row r="16" spans="2:15" ht="15" x14ac:dyDescent="0.2">
      <c r="B16" s="67"/>
      <c r="C16" s="182"/>
      <c r="D16" s="71" t="s">
        <v>82</v>
      </c>
      <c r="E16" s="72">
        <v>183212</v>
      </c>
      <c r="F16" s="72">
        <v>184137</v>
      </c>
      <c r="G16" s="73">
        <f t="shared" si="0"/>
        <v>925</v>
      </c>
      <c r="H16" s="74"/>
      <c r="I16" s="77"/>
      <c r="J16" s="182"/>
      <c r="K16" s="71" t="s">
        <v>82</v>
      </c>
      <c r="L16" s="72">
        <v>184137</v>
      </c>
      <c r="M16" s="72">
        <v>184137</v>
      </c>
      <c r="N16" s="73">
        <f t="shared" si="1"/>
        <v>0</v>
      </c>
      <c r="O16" s="74"/>
    </row>
    <row r="17" spans="2:15" ht="15" x14ac:dyDescent="0.2">
      <c r="B17" s="67"/>
      <c r="C17" s="181">
        <v>11</v>
      </c>
      <c r="D17" s="71" t="s">
        <v>80</v>
      </c>
      <c r="E17" s="73">
        <v>63089</v>
      </c>
      <c r="F17" s="73">
        <v>63276</v>
      </c>
      <c r="G17" s="73">
        <f t="shared" si="0"/>
        <v>187</v>
      </c>
      <c r="H17" s="74"/>
      <c r="I17" s="77"/>
      <c r="J17" s="181">
        <v>11</v>
      </c>
      <c r="K17" s="71" t="s">
        <v>80</v>
      </c>
      <c r="L17" s="73">
        <v>63276</v>
      </c>
      <c r="M17" s="73">
        <v>63276</v>
      </c>
      <c r="N17" s="73">
        <f t="shared" si="1"/>
        <v>0</v>
      </c>
      <c r="O17" s="74"/>
    </row>
    <row r="18" spans="2:15" ht="15" x14ac:dyDescent="0.2">
      <c r="B18" s="67"/>
      <c r="C18" s="186"/>
      <c r="D18" s="71" t="s">
        <v>81</v>
      </c>
      <c r="E18" s="73">
        <v>210931</v>
      </c>
      <c r="F18" s="73">
        <v>211867</v>
      </c>
      <c r="G18" s="73">
        <f t="shared" si="0"/>
        <v>936</v>
      </c>
      <c r="H18" s="74"/>
      <c r="I18" s="77"/>
      <c r="J18" s="186"/>
      <c r="K18" s="71" t="s">
        <v>81</v>
      </c>
      <c r="L18" s="73">
        <v>211867</v>
      </c>
      <c r="M18" s="73">
        <v>211867</v>
      </c>
      <c r="N18" s="73">
        <f t="shared" si="1"/>
        <v>0</v>
      </c>
      <c r="O18" s="74"/>
    </row>
    <row r="19" spans="2:15" ht="15" x14ac:dyDescent="0.2">
      <c r="B19" s="67"/>
      <c r="C19" s="182"/>
      <c r="D19" s="71" t="s">
        <v>82</v>
      </c>
      <c r="E19" s="72">
        <v>30543</v>
      </c>
      <c r="F19" s="72">
        <v>30588</v>
      </c>
      <c r="G19" s="73">
        <f t="shared" si="0"/>
        <v>45</v>
      </c>
      <c r="H19" s="74"/>
      <c r="I19" s="77"/>
      <c r="J19" s="182"/>
      <c r="K19" s="71" t="s">
        <v>82</v>
      </c>
      <c r="L19" s="72">
        <v>30588</v>
      </c>
      <c r="M19" s="72">
        <v>30588</v>
      </c>
      <c r="N19" s="73">
        <f t="shared" si="1"/>
        <v>0</v>
      </c>
      <c r="O19" s="74"/>
    </row>
    <row r="20" spans="2:15" ht="15" x14ac:dyDescent="0.2">
      <c r="B20" s="67"/>
      <c r="C20" s="181">
        <v>12</v>
      </c>
      <c r="D20" s="71" t="s">
        <v>80</v>
      </c>
      <c r="E20" s="166">
        <v>145218</v>
      </c>
      <c r="F20" s="166">
        <v>145544</v>
      </c>
      <c r="G20" s="73">
        <f t="shared" si="0"/>
        <v>326</v>
      </c>
      <c r="H20" s="74"/>
      <c r="I20" s="77"/>
      <c r="J20" s="181">
        <v>12</v>
      </c>
      <c r="K20" s="71" t="s">
        <v>80</v>
      </c>
      <c r="L20" s="166">
        <v>145544</v>
      </c>
      <c r="M20" s="166">
        <v>145544</v>
      </c>
      <c r="N20" s="73">
        <f t="shared" si="1"/>
        <v>0</v>
      </c>
      <c r="O20" s="74"/>
    </row>
    <row r="21" spans="2:15" ht="15" x14ac:dyDescent="0.2">
      <c r="B21" s="67"/>
      <c r="C21" s="186"/>
      <c r="D21" s="71" t="s">
        <v>81</v>
      </c>
      <c r="E21" s="72">
        <v>22341</v>
      </c>
      <c r="F21" s="72">
        <v>22365</v>
      </c>
      <c r="G21" s="73">
        <f t="shared" si="0"/>
        <v>24</v>
      </c>
      <c r="H21" s="74"/>
      <c r="I21" s="78" t="s">
        <v>12</v>
      </c>
      <c r="J21" s="186"/>
      <c r="K21" s="71" t="s">
        <v>81</v>
      </c>
      <c r="L21" s="72">
        <v>22365</v>
      </c>
      <c r="M21" s="72">
        <v>22365</v>
      </c>
      <c r="N21" s="73">
        <f t="shared" si="1"/>
        <v>0</v>
      </c>
      <c r="O21" s="74"/>
    </row>
    <row r="22" spans="2:15" ht="15" x14ac:dyDescent="0.2">
      <c r="B22" s="67"/>
      <c r="C22" s="182"/>
      <c r="D22" s="71" t="s">
        <v>82</v>
      </c>
      <c r="E22" s="72">
        <v>239745</v>
      </c>
      <c r="F22" s="72">
        <v>241282</v>
      </c>
      <c r="G22" s="73">
        <f t="shared" si="0"/>
        <v>1537</v>
      </c>
      <c r="H22" s="74"/>
      <c r="I22" s="77"/>
      <c r="J22" s="182"/>
      <c r="K22" s="71" t="s">
        <v>82</v>
      </c>
      <c r="L22" s="72">
        <v>241282</v>
      </c>
      <c r="M22" s="72">
        <v>241282</v>
      </c>
      <c r="N22" s="73">
        <f t="shared" si="1"/>
        <v>0</v>
      </c>
      <c r="O22" s="74"/>
    </row>
    <row r="23" spans="2:15" ht="15" x14ac:dyDescent="0.2">
      <c r="B23" s="67"/>
      <c r="C23" s="181">
        <v>14</v>
      </c>
      <c r="D23" s="71" t="s">
        <v>80</v>
      </c>
      <c r="E23" s="72">
        <v>116427</v>
      </c>
      <c r="F23" s="72">
        <v>116596</v>
      </c>
      <c r="G23" s="73">
        <f t="shared" si="0"/>
        <v>169</v>
      </c>
      <c r="H23" s="74"/>
      <c r="I23" s="77"/>
      <c r="J23" s="181">
        <v>14</v>
      </c>
      <c r="K23" s="71" t="s">
        <v>80</v>
      </c>
      <c r="L23" s="72">
        <v>116596</v>
      </c>
      <c r="M23" s="72">
        <v>116596</v>
      </c>
      <c r="N23" s="73">
        <f t="shared" si="1"/>
        <v>0</v>
      </c>
      <c r="O23" s="74"/>
    </row>
    <row r="24" spans="2:15" ht="15" x14ac:dyDescent="0.2">
      <c r="B24" s="67"/>
      <c r="C24" s="186"/>
      <c r="D24" s="71" t="s">
        <v>81</v>
      </c>
      <c r="E24" s="79">
        <v>23763</v>
      </c>
      <c r="F24" s="79">
        <v>23763</v>
      </c>
      <c r="G24" s="73">
        <f t="shared" si="0"/>
        <v>0</v>
      </c>
      <c r="H24" s="74"/>
      <c r="I24" s="77"/>
      <c r="J24" s="186"/>
      <c r="K24" s="71" t="s">
        <v>81</v>
      </c>
      <c r="L24" s="79">
        <v>23763</v>
      </c>
      <c r="M24" s="79">
        <v>23763</v>
      </c>
      <c r="N24" s="73">
        <f t="shared" si="1"/>
        <v>0</v>
      </c>
      <c r="O24" s="74"/>
    </row>
    <row r="25" spans="2:15" ht="15" x14ac:dyDescent="0.2">
      <c r="B25" s="67"/>
      <c r="C25" s="182"/>
      <c r="D25" s="71" t="s">
        <v>82</v>
      </c>
      <c r="E25" s="72">
        <v>1966</v>
      </c>
      <c r="F25" s="72">
        <v>1999</v>
      </c>
      <c r="G25" s="73">
        <f t="shared" si="0"/>
        <v>33</v>
      </c>
      <c r="H25" s="74"/>
      <c r="I25" s="77"/>
      <c r="J25" s="182"/>
      <c r="K25" s="71" t="s">
        <v>82</v>
      </c>
      <c r="L25" s="72">
        <v>1999</v>
      </c>
      <c r="M25" s="72">
        <v>1999</v>
      </c>
      <c r="N25" s="73">
        <f t="shared" si="1"/>
        <v>0</v>
      </c>
      <c r="O25" s="74"/>
    </row>
    <row r="26" spans="2:15" ht="15" x14ac:dyDescent="0.2">
      <c r="B26" s="67"/>
      <c r="C26" s="181">
        <v>15</v>
      </c>
      <c r="D26" s="71" t="s">
        <v>80</v>
      </c>
      <c r="E26" s="166">
        <v>39380</v>
      </c>
      <c r="F26" s="166">
        <v>39380</v>
      </c>
      <c r="G26" s="73">
        <f t="shared" si="0"/>
        <v>0</v>
      </c>
      <c r="H26" s="74"/>
      <c r="I26" s="78" t="s">
        <v>12</v>
      </c>
      <c r="J26" s="181">
        <v>15</v>
      </c>
      <c r="K26" s="71" t="s">
        <v>80</v>
      </c>
      <c r="L26" s="166">
        <v>39380</v>
      </c>
      <c r="M26" s="166">
        <v>39380</v>
      </c>
      <c r="N26" s="73">
        <f t="shared" si="1"/>
        <v>0</v>
      </c>
      <c r="O26" s="74"/>
    </row>
    <row r="27" spans="2:15" ht="15" x14ac:dyDescent="0.2">
      <c r="B27" s="67"/>
      <c r="C27" s="186"/>
      <c r="D27" s="71" t="s">
        <v>81</v>
      </c>
      <c r="E27" s="72">
        <v>79108</v>
      </c>
      <c r="F27" s="72">
        <v>79294</v>
      </c>
      <c r="G27" s="73">
        <f t="shared" si="0"/>
        <v>186</v>
      </c>
      <c r="H27" s="74"/>
      <c r="I27" s="78" t="s">
        <v>12</v>
      </c>
      <c r="J27" s="186"/>
      <c r="K27" s="71" t="s">
        <v>81</v>
      </c>
      <c r="L27" s="72">
        <v>79294</v>
      </c>
      <c r="M27" s="72">
        <v>79294</v>
      </c>
      <c r="N27" s="73">
        <f t="shared" si="1"/>
        <v>0</v>
      </c>
      <c r="O27" s="74"/>
    </row>
    <row r="28" spans="2:15" ht="15" x14ac:dyDescent="0.2">
      <c r="B28" s="67"/>
      <c r="C28" s="182"/>
      <c r="D28" s="71" t="s">
        <v>82</v>
      </c>
      <c r="E28" s="72">
        <v>151061</v>
      </c>
      <c r="F28" s="72">
        <v>151963</v>
      </c>
      <c r="G28" s="73">
        <f t="shared" si="0"/>
        <v>902</v>
      </c>
      <c r="H28" s="74"/>
      <c r="I28" s="77"/>
      <c r="J28" s="182"/>
      <c r="K28" s="71" t="s">
        <v>82</v>
      </c>
      <c r="L28" s="72">
        <v>151963</v>
      </c>
      <c r="M28" s="72">
        <v>151963</v>
      </c>
      <c r="N28" s="73">
        <f t="shared" si="1"/>
        <v>0</v>
      </c>
      <c r="O28" s="74"/>
    </row>
    <row r="29" spans="2:15" ht="15" x14ac:dyDescent="0.2">
      <c r="B29" s="67"/>
      <c r="C29" s="181">
        <v>16</v>
      </c>
      <c r="D29" s="71" t="s">
        <v>80</v>
      </c>
      <c r="E29" s="166">
        <v>97965</v>
      </c>
      <c r="F29" s="166">
        <v>97965</v>
      </c>
      <c r="G29" s="73">
        <f t="shared" si="0"/>
        <v>0</v>
      </c>
      <c r="H29" s="75" t="s">
        <v>12</v>
      </c>
      <c r="I29" s="77"/>
      <c r="J29" s="181">
        <v>16</v>
      </c>
      <c r="K29" s="71" t="s">
        <v>80</v>
      </c>
      <c r="L29" s="166">
        <v>97965</v>
      </c>
      <c r="M29" s="166">
        <v>97965</v>
      </c>
      <c r="N29" s="73">
        <f t="shared" si="1"/>
        <v>0</v>
      </c>
      <c r="O29" s="75" t="s">
        <v>12</v>
      </c>
    </row>
    <row r="30" spans="2:15" ht="15" x14ac:dyDescent="0.2">
      <c r="B30" s="67"/>
      <c r="C30" s="186"/>
      <c r="D30" s="71" t="s">
        <v>81</v>
      </c>
      <c r="E30" s="166">
        <v>59194</v>
      </c>
      <c r="F30" s="166">
        <v>59399</v>
      </c>
      <c r="G30" s="73">
        <f t="shared" si="0"/>
        <v>205</v>
      </c>
      <c r="H30" s="74"/>
      <c r="I30" s="77"/>
      <c r="J30" s="186"/>
      <c r="K30" s="71" t="s">
        <v>81</v>
      </c>
      <c r="L30" s="166">
        <v>59399</v>
      </c>
      <c r="M30" s="166">
        <v>59399</v>
      </c>
      <c r="N30" s="73">
        <f t="shared" si="1"/>
        <v>0</v>
      </c>
      <c r="O30" s="74"/>
    </row>
    <row r="31" spans="2:15" ht="15" x14ac:dyDescent="0.2">
      <c r="B31" s="67"/>
      <c r="C31" s="182"/>
      <c r="D31" s="71" t="s">
        <v>82</v>
      </c>
      <c r="E31" s="72">
        <v>68462</v>
      </c>
      <c r="F31" s="72">
        <v>68462</v>
      </c>
      <c r="G31" s="73">
        <f t="shared" si="0"/>
        <v>0</v>
      </c>
      <c r="H31" s="80"/>
      <c r="I31" s="77"/>
      <c r="J31" s="182"/>
      <c r="K31" s="71" t="s">
        <v>82</v>
      </c>
      <c r="L31" s="72">
        <v>68462</v>
      </c>
      <c r="M31" s="72">
        <v>68462</v>
      </c>
      <c r="N31" s="73">
        <f t="shared" si="1"/>
        <v>0</v>
      </c>
      <c r="O31" s="80"/>
    </row>
    <row r="32" spans="2:15" ht="15" x14ac:dyDescent="0.2">
      <c r="B32" s="67"/>
      <c r="C32" s="181">
        <v>17</v>
      </c>
      <c r="D32" s="71" t="s">
        <v>80</v>
      </c>
      <c r="E32" s="72">
        <v>31833</v>
      </c>
      <c r="F32" s="72">
        <v>32018</v>
      </c>
      <c r="G32" s="73">
        <f t="shared" si="0"/>
        <v>185</v>
      </c>
      <c r="H32" s="74"/>
      <c r="I32" s="77"/>
      <c r="J32" s="181">
        <v>17</v>
      </c>
      <c r="K32" s="71" t="s">
        <v>80</v>
      </c>
      <c r="L32" s="72">
        <v>32018</v>
      </c>
      <c r="M32" s="72">
        <v>32018</v>
      </c>
      <c r="N32" s="73">
        <f t="shared" si="1"/>
        <v>0</v>
      </c>
      <c r="O32" s="74"/>
    </row>
    <row r="33" spans="2:15" ht="15" x14ac:dyDescent="0.2">
      <c r="B33" s="67"/>
      <c r="C33" s="186"/>
      <c r="D33" s="71" t="s">
        <v>81</v>
      </c>
      <c r="E33" s="72">
        <v>64144</v>
      </c>
      <c r="F33" s="72">
        <v>64144</v>
      </c>
      <c r="G33" s="73">
        <f t="shared" si="0"/>
        <v>0</v>
      </c>
      <c r="H33" s="74"/>
      <c r="I33" s="77"/>
      <c r="J33" s="186"/>
      <c r="K33" s="71" t="s">
        <v>81</v>
      </c>
      <c r="L33" s="72">
        <v>64144</v>
      </c>
      <c r="M33" s="72">
        <v>64144</v>
      </c>
      <c r="N33" s="73">
        <f t="shared" si="1"/>
        <v>0</v>
      </c>
      <c r="O33" s="74"/>
    </row>
    <row r="34" spans="2:15" ht="15" x14ac:dyDescent="0.2">
      <c r="B34" s="67"/>
      <c r="C34" s="182"/>
      <c r="D34" s="71" t="s">
        <v>82</v>
      </c>
      <c r="E34" s="72">
        <v>11392</v>
      </c>
      <c r="F34" s="72">
        <v>11410</v>
      </c>
      <c r="G34" s="73">
        <f t="shared" si="0"/>
        <v>18</v>
      </c>
      <c r="H34" s="80"/>
      <c r="I34" s="77"/>
      <c r="J34" s="182"/>
      <c r="K34" s="71" t="s">
        <v>82</v>
      </c>
      <c r="L34" s="72">
        <v>11410</v>
      </c>
      <c r="M34" s="72">
        <v>11410</v>
      </c>
      <c r="N34" s="73">
        <f t="shared" si="1"/>
        <v>0</v>
      </c>
      <c r="O34" s="80"/>
    </row>
    <row r="35" spans="2:15" ht="15" x14ac:dyDescent="0.2">
      <c r="B35" s="67"/>
      <c r="C35" s="181">
        <v>18</v>
      </c>
      <c r="D35" s="71" t="s">
        <v>80</v>
      </c>
      <c r="E35" s="72">
        <v>233969</v>
      </c>
      <c r="F35" s="72">
        <v>235612</v>
      </c>
      <c r="G35" s="73">
        <f t="shared" si="0"/>
        <v>1643</v>
      </c>
      <c r="H35" s="80"/>
      <c r="I35" s="77"/>
      <c r="J35" s="181">
        <v>18</v>
      </c>
      <c r="K35" s="71" t="s">
        <v>80</v>
      </c>
      <c r="L35" s="72">
        <v>235612</v>
      </c>
      <c r="M35" s="72">
        <v>235612</v>
      </c>
      <c r="N35" s="73">
        <f t="shared" si="1"/>
        <v>0</v>
      </c>
      <c r="O35" s="80"/>
    </row>
    <row r="36" spans="2:15" ht="15" x14ac:dyDescent="0.2">
      <c r="B36" s="67"/>
      <c r="C36" s="186"/>
      <c r="D36" s="71" t="s">
        <v>81</v>
      </c>
      <c r="E36" s="79">
        <v>16753</v>
      </c>
      <c r="F36" s="79">
        <v>16753</v>
      </c>
      <c r="G36" s="73">
        <f t="shared" si="0"/>
        <v>0</v>
      </c>
      <c r="H36" s="74"/>
      <c r="I36" s="77"/>
      <c r="J36" s="186"/>
      <c r="K36" s="71" t="s">
        <v>81</v>
      </c>
      <c r="L36" s="79">
        <v>16753</v>
      </c>
      <c r="M36" s="79">
        <v>16753</v>
      </c>
      <c r="N36" s="73">
        <f t="shared" si="1"/>
        <v>0</v>
      </c>
      <c r="O36" s="74"/>
    </row>
    <row r="37" spans="2:15" ht="15" x14ac:dyDescent="0.2">
      <c r="B37" s="67"/>
      <c r="C37" s="182"/>
      <c r="D37" s="71" t="s">
        <v>82</v>
      </c>
      <c r="E37" s="72">
        <v>75385</v>
      </c>
      <c r="F37" s="72">
        <v>76545</v>
      </c>
      <c r="G37" s="73">
        <f t="shared" si="0"/>
        <v>1160</v>
      </c>
      <c r="H37" s="74"/>
      <c r="I37" s="77"/>
      <c r="J37" s="182"/>
      <c r="K37" s="71" t="s">
        <v>82</v>
      </c>
      <c r="L37" s="72">
        <v>76545</v>
      </c>
      <c r="M37" s="72">
        <v>76545</v>
      </c>
      <c r="N37" s="73">
        <f t="shared" si="1"/>
        <v>0</v>
      </c>
      <c r="O37" s="74"/>
    </row>
    <row r="38" spans="2:15" ht="15" x14ac:dyDescent="0.2">
      <c r="B38" s="67"/>
      <c r="C38" s="181">
        <v>19</v>
      </c>
      <c r="D38" s="71" t="s">
        <v>80</v>
      </c>
      <c r="E38" s="72">
        <v>21075</v>
      </c>
      <c r="F38" s="72">
        <v>21241</v>
      </c>
      <c r="G38" s="73">
        <f t="shared" si="0"/>
        <v>166</v>
      </c>
      <c r="H38" s="74"/>
      <c r="I38" s="77"/>
      <c r="J38" s="181">
        <v>19</v>
      </c>
      <c r="K38" s="71" t="s">
        <v>80</v>
      </c>
      <c r="L38" s="72">
        <v>21241</v>
      </c>
      <c r="M38" s="72">
        <v>21241</v>
      </c>
      <c r="N38" s="73">
        <f t="shared" si="1"/>
        <v>0</v>
      </c>
      <c r="O38" s="74"/>
    </row>
    <row r="39" spans="2:15" ht="15" x14ac:dyDescent="0.2">
      <c r="B39" s="67"/>
      <c r="C39" s="186"/>
      <c r="D39" s="71" t="s">
        <v>81</v>
      </c>
      <c r="E39" s="166">
        <v>82385</v>
      </c>
      <c r="F39" s="166">
        <v>82607</v>
      </c>
      <c r="G39" s="73">
        <f t="shared" si="0"/>
        <v>222</v>
      </c>
      <c r="H39" s="80"/>
      <c r="I39" s="77"/>
      <c r="J39" s="186"/>
      <c r="K39" s="71" t="s">
        <v>81</v>
      </c>
      <c r="L39" s="166">
        <v>82607</v>
      </c>
      <c r="M39" s="166">
        <v>82607</v>
      </c>
      <c r="N39" s="73">
        <f t="shared" si="1"/>
        <v>0</v>
      </c>
      <c r="O39" s="80"/>
    </row>
    <row r="40" spans="2:15" ht="15" x14ac:dyDescent="0.2">
      <c r="B40" s="67"/>
      <c r="C40" s="182"/>
      <c r="D40" s="71" t="s">
        <v>82</v>
      </c>
      <c r="E40" s="72">
        <v>53053</v>
      </c>
      <c r="F40" s="72">
        <v>53053</v>
      </c>
      <c r="G40" s="73">
        <f t="shared" si="0"/>
        <v>0</v>
      </c>
      <c r="H40" s="74"/>
      <c r="I40" s="77"/>
      <c r="J40" s="182"/>
      <c r="K40" s="71" t="s">
        <v>82</v>
      </c>
      <c r="L40" s="72">
        <v>53053</v>
      </c>
      <c r="M40" s="72">
        <v>53053</v>
      </c>
      <c r="N40" s="73">
        <f t="shared" si="1"/>
        <v>0</v>
      </c>
      <c r="O40" s="74"/>
    </row>
    <row r="41" spans="2:15" ht="15" x14ac:dyDescent="0.2">
      <c r="B41" s="67"/>
      <c r="C41" s="181">
        <v>20</v>
      </c>
      <c r="D41" s="71" t="s">
        <v>80</v>
      </c>
      <c r="E41" s="72">
        <v>117949</v>
      </c>
      <c r="F41" s="72">
        <v>118234</v>
      </c>
      <c r="G41" s="73">
        <f t="shared" si="0"/>
        <v>285</v>
      </c>
      <c r="H41" s="74"/>
      <c r="I41" s="77"/>
      <c r="J41" s="181">
        <v>20</v>
      </c>
      <c r="K41" s="71" t="s">
        <v>80</v>
      </c>
      <c r="L41" s="72">
        <v>118234</v>
      </c>
      <c r="M41" s="72">
        <v>118234</v>
      </c>
      <c r="N41" s="73">
        <f t="shared" si="1"/>
        <v>0</v>
      </c>
      <c r="O41" s="74"/>
    </row>
    <row r="42" spans="2:15" ht="15" x14ac:dyDescent="0.2">
      <c r="B42" s="67"/>
      <c r="C42" s="186"/>
      <c r="D42" s="71" t="s">
        <v>81</v>
      </c>
      <c r="E42" s="166">
        <v>68638</v>
      </c>
      <c r="F42" s="166">
        <v>68785</v>
      </c>
      <c r="G42" s="73">
        <f t="shared" si="0"/>
        <v>147</v>
      </c>
      <c r="H42" s="74"/>
      <c r="J42" s="186"/>
      <c r="K42" s="71" t="s">
        <v>81</v>
      </c>
      <c r="L42" s="166">
        <v>68785</v>
      </c>
      <c r="M42" s="166">
        <v>68785</v>
      </c>
      <c r="N42" s="73">
        <f t="shared" si="1"/>
        <v>0</v>
      </c>
      <c r="O42" s="74"/>
    </row>
    <row r="43" spans="2:15" ht="15" x14ac:dyDescent="0.2">
      <c r="B43" s="67"/>
      <c r="C43" s="182"/>
      <c r="D43" s="71" t="s">
        <v>82</v>
      </c>
      <c r="E43" s="72">
        <v>3237</v>
      </c>
      <c r="F43" s="72">
        <v>3251</v>
      </c>
      <c r="G43" s="73">
        <f t="shared" si="0"/>
        <v>14</v>
      </c>
      <c r="H43" s="74"/>
      <c r="J43" s="182"/>
      <c r="K43" s="71" t="s">
        <v>82</v>
      </c>
      <c r="L43" s="72">
        <v>3251</v>
      </c>
      <c r="M43" s="72">
        <v>3251</v>
      </c>
      <c r="N43" s="73">
        <f t="shared" si="1"/>
        <v>0</v>
      </c>
      <c r="O43" s="74"/>
    </row>
    <row r="44" spans="2:15" ht="15" x14ac:dyDescent="0.2">
      <c r="B44" s="67"/>
      <c r="C44" s="81"/>
      <c r="D44" s="82"/>
      <c r="E44" s="82"/>
      <c r="F44" s="82"/>
      <c r="G44" s="82"/>
      <c r="H44" s="84"/>
      <c r="J44" s="81"/>
      <c r="K44" s="82"/>
      <c r="L44" s="82"/>
      <c r="M44" s="82"/>
      <c r="N44" s="82"/>
      <c r="O44" s="84"/>
    </row>
    <row r="45" spans="2:15" ht="15" x14ac:dyDescent="0.2">
      <c r="B45" s="67"/>
      <c r="C45" s="181">
        <v>21</v>
      </c>
      <c r="D45" s="85" t="s">
        <v>83</v>
      </c>
      <c r="E45" s="72">
        <v>3218</v>
      </c>
      <c r="F45" s="72">
        <v>3367</v>
      </c>
      <c r="G45" s="73">
        <f t="shared" ref="G45:G50" si="2">F45-E45</f>
        <v>149</v>
      </c>
      <c r="H45" s="75" t="s">
        <v>12</v>
      </c>
      <c r="J45" s="181">
        <v>21</v>
      </c>
      <c r="K45" s="85" t="s">
        <v>83</v>
      </c>
      <c r="L45" s="72">
        <v>3367</v>
      </c>
      <c r="M45" s="72">
        <v>3367</v>
      </c>
      <c r="N45" s="73">
        <f t="shared" si="1"/>
        <v>0</v>
      </c>
      <c r="O45" s="75" t="s">
        <v>12</v>
      </c>
    </row>
    <row r="46" spans="2:15" ht="15" x14ac:dyDescent="0.2">
      <c r="B46" s="67"/>
      <c r="C46" s="186"/>
      <c r="D46" s="85" t="s">
        <v>82</v>
      </c>
      <c r="E46" s="72">
        <v>38125</v>
      </c>
      <c r="F46" s="72">
        <v>38125</v>
      </c>
      <c r="G46" s="73">
        <f t="shared" si="2"/>
        <v>0</v>
      </c>
      <c r="H46" s="74"/>
      <c r="J46" s="186"/>
      <c r="K46" s="85" t="s">
        <v>82</v>
      </c>
      <c r="L46" s="72">
        <v>38125</v>
      </c>
      <c r="M46" s="72">
        <v>38125</v>
      </c>
      <c r="N46" s="73">
        <f t="shared" si="1"/>
        <v>0</v>
      </c>
      <c r="O46" s="74"/>
    </row>
    <row r="47" spans="2:15" ht="15" x14ac:dyDescent="0.2">
      <c r="B47" s="67"/>
      <c r="C47" s="181">
        <v>22</v>
      </c>
      <c r="D47" s="85" t="s">
        <v>83</v>
      </c>
      <c r="E47" s="86">
        <v>13917</v>
      </c>
      <c r="F47" s="86">
        <v>13941</v>
      </c>
      <c r="G47" s="73">
        <f t="shared" si="2"/>
        <v>24</v>
      </c>
      <c r="H47" s="74"/>
      <c r="I47" t="s">
        <v>12</v>
      </c>
      <c r="J47" s="181">
        <v>22</v>
      </c>
      <c r="K47" s="85" t="s">
        <v>83</v>
      </c>
      <c r="L47" s="86">
        <v>13941</v>
      </c>
      <c r="M47" s="86">
        <v>13941</v>
      </c>
      <c r="N47" s="73">
        <f t="shared" si="1"/>
        <v>0</v>
      </c>
      <c r="O47" s="74"/>
    </row>
    <row r="48" spans="2:15" ht="15" x14ac:dyDescent="0.2">
      <c r="B48" s="67"/>
      <c r="C48" s="186"/>
      <c r="D48" s="85" t="s">
        <v>82</v>
      </c>
      <c r="E48" s="86">
        <v>19003</v>
      </c>
      <c r="F48" s="86">
        <v>19468</v>
      </c>
      <c r="G48" s="73">
        <f t="shared" si="2"/>
        <v>465</v>
      </c>
      <c r="H48" s="74"/>
      <c r="J48" s="186"/>
      <c r="K48" s="85" t="s">
        <v>82</v>
      </c>
      <c r="L48" s="86">
        <v>19468</v>
      </c>
      <c r="M48" s="86">
        <v>19468</v>
      </c>
      <c r="N48" s="73">
        <f t="shared" si="1"/>
        <v>0</v>
      </c>
      <c r="O48" s="74"/>
    </row>
    <row r="49" spans="1:15" ht="15" x14ac:dyDescent="0.2">
      <c r="B49" s="67"/>
      <c r="C49" s="181">
        <v>23</v>
      </c>
      <c r="D49" s="71" t="s">
        <v>83</v>
      </c>
      <c r="E49" s="86"/>
      <c r="F49" s="86"/>
      <c r="G49" s="73">
        <f t="shared" si="2"/>
        <v>0</v>
      </c>
      <c r="H49" s="74"/>
      <c r="J49" s="181">
        <v>23</v>
      </c>
      <c r="K49" s="71" t="s">
        <v>83</v>
      </c>
      <c r="L49" s="86"/>
      <c r="M49" s="86"/>
      <c r="N49" s="73">
        <f t="shared" si="1"/>
        <v>0</v>
      </c>
      <c r="O49" s="74"/>
    </row>
    <row r="50" spans="1:15" ht="15" x14ac:dyDescent="0.2">
      <c r="B50" s="67"/>
      <c r="C50" s="186"/>
      <c r="D50" s="71" t="s">
        <v>82</v>
      </c>
      <c r="E50" s="86"/>
      <c r="F50" s="86"/>
      <c r="G50" s="73">
        <f t="shared" si="2"/>
        <v>0</v>
      </c>
      <c r="H50" s="74"/>
      <c r="J50" s="186"/>
      <c r="K50" s="71" t="s">
        <v>82</v>
      </c>
      <c r="L50" s="86"/>
      <c r="M50" s="86"/>
      <c r="N50" s="73">
        <f t="shared" si="1"/>
        <v>0</v>
      </c>
      <c r="O50" s="74"/>
    </row>
    <row r="51" spans="1:15" ht="15" x14ac:dyDescent="0.2">
      <c r="B51" s="67"/>
      <c r="C51" s="87"/>
      <c r="D51" s="82"/>
      <c r="E51" s="83"/>
      <c r="F51" s="83"/>
      <c r="G51" s="83"/>
      <c r="H51" s="84"/>
      <c r="J51" s="87"/>
      <c r="K51" s="82"/>
      <c r="L51" s="83"/>
      <c r="M51" s="83"/>
      <c r="N51" s="83"/>
      <c r="O51" s="84"/>
    </row>
    <row r="52" spans="1:15" ht="15" x14ac:dyDescent="0.2">
      <c r="B52" s="67"/>
      <c r="C52" s="187">
        <v>24</v>
      </c>
      <c r="D52" s="71" t="s">
        <v>84</v>
      </c>
      <c r="E52" s="166">
        <v>239731</v>
      </c>
      <c r="F52" s="166">
        <v>240464</v>
      </c>
      <c r="G52" s="73">
        <f t="shared" ref="G52:G60" si="3">F52-E52</f>
        <v>733</v>
      </c>
      <c r="H52" s="88"/>
      <c r="J52" s="187">
        <v>24</v>
      </c>
      <c r="K52" s="71" t="s">
        <v>84</v>
      </c>
      <c r="L52" s="166">
        <v>240464</v>
      </c>
      <c r="M52" s="166">
        <v>240464</v>
      </c>
      <c r="N52" s="73">
        <f t="shared" si="1"/>
        <v>0</v>
      </c>
      <c r="O52" s="88"/>
    </row>
    <row r="53" spans="1:15" ht="15" x14ac:dyDescent="0.2">
      <c r="B53" s="67"/>
      <c r="C53" s="188"/>
      <c r="D53" s="71" t="s">
        <v>85</v>
      </c>
      <c r="E53" s="166">
        <v>534805</v>
      </c>
      <c r="F53" s="166">
        <v>535259</v>
      </c>
      <c r="G53" s="73">
        <f t="shared" si="3"/>
        <v>454</v>
      </c>
      <c r="H53" s="80"/>
      <c r="J53" s="188"/>
      <c r="K53" s="71" t="s">
        <v>85</v>
      </c>
      <c r="L53" s="166">
        <v>535259</v>
      </c>
      <c r="M53" s="166">
        <v>535259</v>
      </c>
      <c r="N53" s="73">
        <f t="shared" si="1"/>
        <v>0</v>
      </c>
      <c r="O53" s="80"/>
    </row>
    <row r="54" spans="1:15" ht="15" x14ac:dyDescent="0.2">
      <c r="B54" s="67"/>
      <c r="C54" s="189"/>
      <c r="D54" s="71" t="s">
        <v>84</v>
      </c>
      <c r="E54" s="166">
        <v>34567</v>
      </c>
      <c r="F54" s="166">
        <v>34567</v>
      </c>
      <c r="G54" s="73">
        <f t="shared" si="3"/>
        <v>0</v>
      </c>
      <c r="H54" s="89" t="s">
        <v>12</v>
      </c>
      <c r="J54" s="189"/>
      <c r="K54" s="71" t="s">
        <v>84</v>
      </c>
      <c r="L54" s="166">
        <v>34567</v>
      </c>
      <c r="M54" s="166">
        <v>34567</v>
      </c>
      <c r="N54" s="73">
        <f t="shared" si="1"/>
        <v>0</v>
      </c>
      <c r="O54" s="89" t="s">
        <v>12</v>
      </c>
    </row>
    <row r="55" spans="1:15" ht="15" x14ac:dyDescent="0.2">
      <c r="B55" s="67"/>
      <c r="C55" s="181">
        <v>25</v>
      </c>
      <c r="D55" s="71" t="s">
        <v>84</v>
      </c>
      <c r="E55" s="86">
        <v>330</v>
      </c>
      <c r="F55" s="86">
        <v>330</v>
      </c>
      <c r="G55" s="73">
        <f t="shared" si="3"/>
        <v>0</v>
      </c>
      <c r="H55" s="74"/>
      <c r="J55" s="181">
        <v>25</v>
      </c>
      <c r="K55" s="71" t="s">
        <v>84</v>
      </c>
      <c r="L55" s="86">
        <v>330</v>
      </c>
      <c r="M55" s="86">
        <v>330</v>
      </c>
      <c r="N55" s="73">
        <f t="shared" si="1"/>
        <v>0</v>
      </c>
      <c r="O55" s="74"/>
    </row>
    <row r="56" spans="1:15" ht="15" x14ac:dyDescent="0.2">
      <c r="B56" s="67"/>
      <c r="C56" s="182"/>
      <c r="D56" s="71" t="s">
        <v>85</v>
      </c>
      <c r="E56" s="86">
        <v>3</v>
      </c>
      <c r="F56" s="86">
        <v>3</v>
      </c>
      <c r="G56" s="73">
        <f t="shared" si="3"/>
        <v>0</v>
      </c>
      <c r="H56" s="74"/>
      <c r="J56" s="182"/>
      <c r="K56" s="71" t="s">
        <v>85</v>
      </c>
      <c r="L56" s="86">
        <v>3</v>
      </c>
      <c r="M56" s="86">
        <v>3</v>
      </c>
      <c r="N56" s="73">
        <f t="shared" si="1"/>
        <v>0</v>
      </c>
      <c r="O56" s="74"/>
    </row>
    <row r="57" spans="1:15" ht="15" x14ac:dyDescent="0.2">
      <c r="B57" s="67"/>
      <c r="C57" s="181">
        <v>26</v>
      </c>
      <c r="D57" s="71" t="s">
        <v>84</v>
      </c>
      <c r="E57" s="72">
        <v>696546</v>
      </c>
      <c r="F57" s="72">
        <v>700352</v>
      </c>
      <c r="G57" s="73">
        <f t="shared" si="3"/>
        <v>3806</v>
      </c>
      <c r="H57" s="74"/>
      <c r="J57" s="181">
        <v>26</v>
      </c>
      <c r="K57" s="71" t="s">
        <v>84</v>
      </c>
      <c r="L57" s="72">
        <v>700352</v>
      </c>
      <c r="M57" s="72">
        <v>700352</v>
      </c>
      <c r="N57" s="73">
        <f t="shared" si="1"/>
        <v>0</v>
      </c>
      <c r="O57" s="74"/>
    </row>
    <row r="58" spans="1:15" ht="15" x14ac:dyDescent="0.2">
      <c r="A58" s="77"/>
      <c r="B58" s="67"/>
      <c r="C58" s="182"/>
      <c r="D58" s="71" t="s">
        <v>85</v>
      </c>
      <c r="E58" s="72">
        <v>763486</v>
      </c>
      <c r="F58" s="72">
        <v>767743</v>
      </c>
      <c r="G58" s="73">
        <f t="shared" si="3"/>
        <v>4257</v>
      </c>
      <c r="H58" s="80"/>
      <c r="I58" s="77"/>
      <c r="J58" s="182"/>
      <c r="K58" s="71" t="s">
        <v>85</v>
      </c>
      <c r="L58" s="72">
        <v>767743</v>
      </c>
      <c r="M58" s="72">
        <v>767743</v>
      </c>
      <c r="N58" s="73">
        <f t="shared" si="1"/>
        <v>0</v>
      </c>
      <c r="O58" s="80"/>
    </row>
    <row r="59" spans="1:15" ht="15" x14ac:dyDescent="0.2">
      <c r="A59" s="77"/>
      <c r="B59" s="67"/>
      <c r="C59" s="181">
        <v>27</v>
      </c>
      <c r="D59" s="71" t="s">
        <v>84</v>
      </c>
      <c r="E59" s="72">
        <v>236626</v>
      </c>
      <c r="F59" s="72">
        <v>237633</v>
      </c>
      <c r="G59" s="73">
        <f t="shared" si="3"/>
        <v>1007</v>
      </c>
      <c r="H59" s="74"/>
      <c r="I59" s="77"/>
      <c r="J59" s="181">
        <v>27</v>
      </c>
      <c r="K59" s="71" t="s">
        <v>84</v>
      </c>
      <c r="L59" s="72">
        <v>237633</v>
      </c>
      <c r="M59" s="72">
        <v>237633</v>
      </c>
      <c r="N59" s="73">
        <f t="shared" si="1"/>
        <v>0</v>
      </c>
      <c r="O59" s="74"/>
    </row>
    <row r="60" spans="1:15" ht="15" x14ac:dyDescent="0.2">
      <c r="A60" s="77"/>
      <c r="B60" s="67"/>
      <c r="C60" s="182"/>
      <c r="D60" s="71" t="s">
        <v>85</v>
      </c>
      <c r="E60" s="72">
        <v>96550</v>
      </c>
      <c r="F60" s="72">
        <v>97283</v>
      </c>
      <c r="G60" s="73">
        <f t="shared" si="3"/>
        <v>733</v>
      </c>
      <c r="H60" s="74"/>
      <c r="I60" s="77"/>
      <c r="J60" s="182"/>
      <c r="K60" s="71" t="s">
        <v>85</v>
      </c>
      <c r="L60" s="72">
        <v>97283</v>
      </c>
      <c r="M60" s="72">
        <v>97283</v>
      </c>
      <c r="N60" s="73">
        <f t="shared" si="1"/>
        <v>0</v>
      </c>
      <c r="O60" s="74"/>
    </row>
    <row r="61" spans="1:15" ht="15" x14ac:dyDescent="0.2">
      <c r="A61" s="77"/>
      <c r="B61" s="67"/>
      <c r="C61" s="81"/>
      <c r="D61" s="82"/>
      <c r="E61" s="72"/>
      <c r="F61" s="72"/>
      <c r="G61" s="90"/>
      <c r="H61" s="84"/>
      <c r="I61" s="77"/>
      <c r="J61" s="81"/>
      <c r="K61" s="82"/>
      <c r="L61" s="72"/>
      <c r="M61" s="72"/>
      <c r="N61" s="90"/>
      <c r="O61" s="84"/>
    </row>
    <row r="62" spans="1:15" ht="15" x14ac:dyDescent="0.2">
      <c r="A62" s="77"/>
      <c r="B62" s="67"/>
      <c r="C62" s="181">
        <v>28</v>
      </c>
      <c r="D62" s="176" t="s">
        <v>86</v>
      </c>
      <c r="E62" s="72"/>
      <c r="F62" s="72"/>
      <c r="G62" s="73"/>
      <c r="H62" s="178" t="s">
        <v>87</v>
      </c>
      <c r="I62" s="77"/>
      <c r="J62" s="181">
        <v>28</v>
      </c>
      <c r="K62" s="176" t="s">
        <v>86</v>
      </c>
      <c r="L62" s="72"/>
      <c r="M62" s="72"/>
      <c r="N62" s="73"/>
      <c r="O62" s="178" t="s">
        <v>87</v>
      </c>
    </row>
    <row r="63" spans="1:15" ht="15" x14ac:dyDescent="0.2">
      <c r="A63" s="77"/>
      <c r="B63" s="67"/>
      <c r="C63" s="182"/>
      <c r="D63" s="177"/>
      <c r="E63" s="72"/>
      <c r="F63" s="72"/>
      <c r="G63" s="73"/>
      <c r="H63" s="179"/>
      <c r="I63" s="77"/>
      <c r="J63" s="182"/>
      <c r="K63" s="177"/>
      <c r="L63" s="72"/>
      <c r="M63" s="72"/>
      <c r="N63" s="73"/>
      <c r="O63" s="179"/>
    </row>
    <row r="64" spans="1:15" x14ac:dyDescent="0.2">
      <c r="A64" s="77"/>
      <c r="B64" s="67"/>
      <c r="C64" s="180" t="s">
        <v>88</v>
      </c>
      <c r="D64" s="180"/>
      <c r="E64" s="180"/>
      <c r="F64" s="180"/>
      <c r="G64" s="91">
        <f>SUM(G2:G63)</f>
        <v>31537</v>
      </c>
      <c r="H64" s="92"/>
      <c r="I64" s="77"/>
      <c r="J64" s="180" t="s">
        <v>88</v>
      </c>
      <c r="K64" s="180"/>
      <c r="L64" s="180"/>
      <c r="M64" s="180"/>
      <c r="N64" s="91">
        <f>SUM(N2:N63)</f>
        <v>0</v>
      </c>
      <c r="O64" s="92"/>
    </row>
    <row r="68" spans="1:15" ht="13.5" thickBot="1" x14ac:dyDescent="0.25">
      <c r="A68" s="93"/>
      <c r="B68" s="93"/>
      <c r="C68" s="93"/>
      <c r="D68" s="94" t="s">
        <v>12</v>
      </c>
      <c r="E68" s="93"/>
      <c r="F68" s="93"/>
      <c r="G68" s="93"/>
      <c r="H68" s="93"/>
    </row>
    <row r="69" spans="1:15" ht="13.5" thickBot="1" x14ac:dyDescent="0.25">
      <c r="A69" s="95"/>
      <c r="B69" s="183">
        <v>44317</v>
      </c>
      <c r="C69" s="184"/>
      <c r="D69" s="184"/>
      <c r="E69" s="185"/>
      <c r="F69" s="95"/>
      <c r="G69" s="183">
        <v>44348</v>
      </c>
      <c r="H69" s="184"/>
      <c r="I69" s="184"/>
      <c r="J69" s="185"/>
      <c r="K69" s="95"/>
      <c r="L69" s="173" t="s">
        <v>25</v>
      </c>
      <c r="M69" s="174"/>
      <c r="N69" s="174"/>
      <c r="O69" s="175"/>
    </row>
    <row r="70" spans="1:15" ht="13.5" thickBot="1" x14ac:dyDescent="0.25">
      <c r="A70" s="93"/>
      <c r="B70" s="167" t="s">
        <v>77</v>
      </c>
      <c r="C70" s="167">
        <v>30</v>
      </c>
      <c r="D70" s="167" t="s">
        <v>89</v>
      </c>
      <c r="E70" s="167" t="s">
        <v>90</v>
      </c>
      <c r="F70" s="93"/>
      <c r="G70" s="167" t="s">
        <v>141</v>
      </c>
      <c r="H70" s="167">
        <v>30</v>
      </c>
      <c r="I70" s="167" t="s">
        <v>89</v>
      </c>
      <c r="J70" s="167" t="s">
        <v>90</v>
      </c>
      <c r="K70" s="93"/>
      <c r="L70" s="96" t="s">
        <v>77</v>
      </c>
      <c r="M70" s="96">
        <v>30</v>
      </c>
      <c r="N70" s="96" t="s">
        <v>89</v>
      </c>
      <c r="O70" s="96" t="s">
        <v>90</v>
      </c>
    </row>
    <row r="71" spans="1:15" ht="15.75" thickBot="1" x14ac:dyDescent="0.25">
      <c r="A71" s="93"/>
      <c r="B71" s="97">
        <v>6</v>
      </c>
      <c r="C71" s="98">
        <v>92374</v>
      </c>
      <c r="D71" s="99">
        <v>55047</v>
      </c>
      <c r="E71" s="100">
        <v>78552</v>
      </c>
      <c r="F71" s="93"/>
      <c r="G71" s="97">
        <v>6</v>
      </c>
      <c r="H71" s="98">
        <v>92374</v>
      </c>
      <c r="I71" s="99">
        <v>55047</v>
      </c>
      <c r="J71" s="100">
        <v>78552</v>
      </c>
      <c r="K71" s="93"/>
      <c r="L71" s="96">
        <v>6</v>
      </c>
      <c r="M71" s="101">
        <f>H71-C71</f>
        <v>0</v>
      </c>
      <c r="N71" s="101">
        <f>I71-D71</f>
        <v>0</v>
      </c>
      <c r="O71" s="101">
        <f>J71-E71</f>
        <v>0</v>
      </c>
    </row>
    <row r="72" spans="1:15" ht="15.75" thickBot="1" x14ac:dyDescent="0.25">
      <c r="A72" s="93"/>
      <c r="B72" s="97">
        <v>7</v>
      </c>
      <c r="C72" s="98">
        <v>95734</v>
      </c>
      <c r="D72" s="99">
        <v>103671</v>
      </c>
      <c r="E72" s="100">
        <v>63262</v>
      </c>
      <c r="F72" s="93"/>
      <c r="G72" s="97">
        <v>7</v>
      </c>
      <c r="H72" s="98">
        <v>95734</v>
      </c>
      <c r="I72" s="99">
        <v>103671</v>
      </c>
      <c r="J72" s="100">
        <v>63262</v>
      </c>
      <c r="K72" s="93"/>
      <c r="L72" s="96">
        <v>7</v>
      </c>
      <c r="M72" s="101">
        <f t="shared" ref="M72:O94" si="4">H72-C72</f>
        <v>0</v>
      </c>
      <c r="N72" s="101">
        <f t="shared" si="4"/>
        <v>0</v>
      </c>
      <c r="O72" s="101">
        <f t="shared" si="4"/>
        <v>0</v>
      </c>
    </row>
    <row r="73" spans="1:15" ht="15.75" thickBot="1" x14ac:dyDescent="0.25">
      <c r="A73" s="93"/>
      <c r="B73" s="97">
        <v>8</v>
      </c>
      <c r="C73" s="98">
        <v>112016</v>
      </c>
      <c r="D73" s="99">
        <v>245453</v>
      </c>
      <c r="E73" s="100">
        <v>105612</v>
      </c>
      <c r="F73" s="93"/>
      <c r="G73" s="97">
        <v>8</v>
      </c>
      <c r="H73" s="98">
        <v>112016</v>
      </c>
      <c r="I73" s="99">
        <v>245453</v>
      </c>
      <c r="J73" s="100">
        <v>105612</v>
      </c>
      <c r="K73" s="93"/>
      <c r="L73" s="96">
        <v>8</v>
      </c>
      <c r="M73" s="101">
        <f t="shared" si="4"/>
        <v>0</v>
      </c>
      <c r="N73" s="101">
        <f t="shared" si="4"/>
        <v>0</v>
      </c>
      <c r="O73" s="101">
        <f t="shared" si="4"/>
        <v>0</v>
      </c>
    </row>
    <row r="74" spans="1:15" ht="15.75" thickBot="1" x14ac:dyDescent="0.25">
      <c r="A74" s="93"/>
      <c r="B74" s="97">
        <v>9</v>
      </c>
      <c r="C74" s="98">
        <v>68228</v>
      </c>
      <c r="D74" s="99">
        <v>151338</v>
      </c>
      <c r="E74" s="100">
        <v>150678</v>
      </c>
      <c r="F74" s="93"/>
      <c r="G74" s="97">
        <v>9</v>
      </c>
      <c r="H74" s="98">
        <v>68228</v>
      </c>
      <c r="I74" s="99">
        <v>151338</v>
      </c>
      <c r="J74" s="100">
        <v>150678</v>
      </c>
      <c r="K74" s="93"/>
      <c r="L74" s="96">
        <v>9</v>
      </c>
      <c r="M74" s="101">
        <f t="shared" si="4"/>
        <v>0</v>
      </c>
      <c r="N74" s="101">
        <f t="shared" si="4"/>
        <v>0</v>
      </c>
      <c r="O74" s="101">
        <f t="shared" si="4"/>
        <v>0</v>
      </c>
    </row>
    <row r="75" spans="1:15" ht="15.75" thickBot="1" x14ac:dyDescent="0.25">
      <c r="A75" s="93"/>
      <c r="B75" s="97">
        <v>10</v>
      </c>
      <c r="C75" s="98">
        <v>70801</v>
      </c>
      <c r="D75" s="99">
        <v>111973</v>
      </c>
      <c r="E75" s="100">
        <v>143250</v>
      </c>
      <c r="F75" s="93"/>
      <c r="G75" s="97">
        <v>10</v>
      </c>
      <c r="H75" s="98">
        <v>70801</v>
      </c>
      <c r="I75" s="99">
        <v>111973</v>
      </c>
      <c r="J75" s="100">
        <v>143250</v>
      </c>
      <c r="K75" s="93"/>
      <c r="L75" s="96">
        <v>10</v>
      </c>
      <c r="M75" s="101">
        <f t="shared" si="4"/>
        <v>0</v>
      </c>
      <c r="N75" s="101">
        <f t="shared" si="4"/>
        <v>0</v>
      </c>
      <c r="O75" s="101">
        <f t="shared" si="4"/>
        <v>0</v>
      </c>
    </row>
    <row r="76" spans="1:15" ht="15.75" thickBot="1" x14ac:dyDescent="0.25">
      <c r="A76" s="93"/>
      <c r="B76" s="97">
        <v>11</v>
      </c>
      <c r="C76" s="98">
        <v>152635</v>
      </c>
      <c r="D76" s="99">
        <v>182054</v>
      </c>
      <c r="E76" s="100">
        <v>211520</v>
      </c>
      <c r="F76" s="93"/>
      <c r="G76" s="97">
        <v>11</v>
      </c>
      <c r="H76" s="98">
        <v>152635</v>
      </c>
      <c r="I76" s="99">
        <v>182054</v>
      </c>
      <c r="J76" s="100">
        <v>211520</v>
      </c>
      <c r="K76" s="93"/>
      <c r="L76" s="96">
        <v>11</v>
      </c>
      <c r="M76" s="101">
        <f t="shared" si="4"/>
        <v>0</v>
      </c>
      <c r="N76" s="101">
        <f t="shared" si="4"/>
        <v>0</v>
      </c>
      <c r="O76" s="101">
        <f t="shared" si="4"/>
        <v>0</v>
      </c>
    </row>
    <row r="77" spans="1:15" ht="15.75" thickBot="1" x14ac:dyDescent="0.25">
      <c r="A77" s="93"/>
      <c r="B77" s="97">
        <v>12</v>
      </c>
      <c r="C77" s="98">
        <v>148659</v>
      </c>
      <c r="D77" s="99">
        <v>96275</v>
      </c>
      <c r="E77" s="100">
        <v>100130</v>
      </c>
      <c r="F77" s="93"/>
      <c r="G77" s="97">
        <v>12</v>
      </c>
      <c r="H77" s="98">
        <v>148659</v>
      </c>
      <c r="I77" s="99">
        <v>96275</v>
      </c>
      <c r="J77" s="100">
        <v>100130</v>
      </c>
      <c r="K77" s="93"/>
      <c r="L77" s="96">
        <v>12</v>
      </c>
      <c r="M77" s="101">
        <f t="shared" si="4"/>
        <v>0</v>
      </c>
      <c r="N77" s="101">
        <f>I77-D77</f>
        <v>0</v>
      </c>
      <c r="O77" s="101">
        <f t="shared" si="4"/>
        <v>0</v>
      </c>
    </row>
    <row r="78" spans="1:15" ht="15.75" thickBot="1" x14ac:dyDescent="0.25">
      <c r="A78" s="93"/>
      <c r="B78" s="97">
        <v>14</v>
      </c>
      <c r="C78" s="98">
        <v>123669</v>
      </c>
      <c r="D78" s="99">
        <v>47927</v>
      </c>
      <c r="E78" s="100">
        <v>50895</v>
      </c>
      <c r="F78" s="93"/>
      <c r="G78" s="97">
        <v>14</v>
      </c>
      <c r="H78" s="98">
        <v>123669</v>
      </c>
      <c r="I78" s="99">
        <v>47927</v>
      </c>
      <c r="J78" s="100">
        <v>50895</v>
      </c>
      <c r="K78" s="93"/>
      <c r="L78" s="96">
        <v>14</v>
      </c>
      <c r="M78" s="101">
        <f t="shared" si="4"/>
        <v>0</v>
      </c>
      <c r="N78" s="101">
        <f t="shared" si="4"/>
        <v>0</v>
      </c>
      <c r="O78" s="101">
        <f t="shared" si="4"/>
        <v>0</v>
      </c>
    </row>
    <row r="79" spans="1:15" ht="15.75" thickBot="1" x14ac:dyDescent="0.25">
      <c r="A79" s="93"/>
      <c r="B79" s="97">
        <v>15</v>
      </c>
      <c r="C79" s="98">
        <v>166733</v>
      </c>
      <c r="D79" s="99">
        <v>145942</v>
      </c>
      <c r="E79" s="100">
        <v>157487</v>
      </c>
      <c r="F79" s="93"/>
      <c r="G79" s="97">
        <v>15</v>
      </c>
      <c r="H79" s="98">
        <v>166733</v>
      </c>
      <c r="I79" s="99">
        <v>145942</v>
      </c>
      <c r="J79" s="100">
        <v>157487</v>
      </c>
      <c r="K79" s="93"/>
      <c r="L79" s="96">
        <v>15</v>
      </c>
      <c r="M79" s="101">
        <f t="shared" si="4"/>
        <v>0</v>
      </c>
      <c r="N79" s="101">
        <f t="shared" si="4"/>
        <v>0</v>
      </c>
      <c r="O79" s="101">
        <f t="shared" si="4"/>
        <v>0</v>
      </c>
    </row>
    <row r="80" spans="1:15" ht="15.75" thickBot="1" x14ac:dyDescent="0.25">
      <c r="A80" s="93"/>
      <c r="B80" s="97">
        <v>16</v>
      </c>
      <c r="C80" s="98">
        <v>120829</v>
      </c>
      <c r="D80" s="99">
        <v>146144</v>
      </c>
      <c r="E80" s="100">
        <v>215163</v>
      </c>
      <c r="F80" s="93"/>
      <c r="G80" s="97">
        <v>16</v>
      </c>
      <c r="H80" s="98">
        <v>120829</v>
      </c>
      <c r="I80" s="99">
        <v>146144</v>
      </c>
      <c r="J80" s="100">
        <v>215163</v>
      </c>
      <c r="K80" s="93"/>
      <c r="L80" s="96">
        <v>16</v>
      </c>
      <c r="M80" s="101">
        <f t="shared" si="4"/>
        <v>0</v>
      </c>
      <c r="N80" s="101">
        <f t="shared" si="4"/>
        <v>0</v>
      </c>
      <c r="O80" s="101">
        <f t="shared" si="4"/>
        <v>0</v>
      </c>
    </row>
    <row r="81" spans="1:15" ht="15.75" thickBot="1" x14ac:dyDescent="0.25">
      <c r="A81" s="93"/>
      <c r="B81" s="97">
        <v>17</v>
      </c>
      <c r="C81" s="98">
        <v>38476</v>
      </c>
      <c r="D81" s="99">
        <v>85376</v>
      </c>
      <c r="E81" s="100">
        <v>201943</v>
      </c>
      <c r="F81" s="93"/>
      <c r="G81" s="97">
        <v>17</v>
      </c>
      <c r="H81" s="98">
        <v>38476</v>
      </c>
      <c r="I81" s="99">
        <v>85376</v>
      </c>
      <c r="J81" s="100">
        <v>201943</v>
      </c>
      <c r="K81" s="93"/>
      <c r="L81" s="96">
        <v>17</v>
      </c>
      <c r="M81" s="101">
        <f t="shared" si="4"/>
        <v>0</v>
      </c>
      <c r="N81" s="101">
        <f t="shared" si="4"/>
        <v>0</v>
      </c>
      <c r="O81" s="101">
        <f t="shared" si="4"/>
        <v>0</v>
      </c>
    </row>
    <row r="82" spans="1:15" ht="15.75" thickBot="1" x14ac:dyDescent="0.25">
      <c r="A82" s="93"/>
      <c r="B82" s="97">
        <v>18</v>
      </c>
      <c r="C82" s="98">
        <v>136235</v>
      </c>
      <c r="D82" s="99">
        <v>72184</v>
      </c>
      <c r="E82" s="100">
        <v>162768</v>
      </c>
      <c r="F82" s="93"/>
      <c r="G82" s="97">
        <v>18</v>
      </c>
      <c r="H82" s="98">
        <v>136235</v>
      </c>
      <c r="I82" s="99">
        <v>72184</v>
      </c>
      <c r="J82" s="100">
        <v>162768</v>
      </c>
      <c r="K82" s="93"/>
      <c r="L82" s="96">
        <v>18</v>
      </c>
      <c r="M82" s="101">
        <f t="shared" si="4"/>
        <v>0</v>
      </c>
      <c r="N82" s="101">
        <f t="shared" si="4"/>
        <v>0</v>
      </c>
      <c r="O82" s="101">
        <f t="shared" si="4"/>
        <v>0</v>
      </c>
    </row>
    <row r="83" spans="1:15" ht="15.75" thickBot="1" x14ac:dyDescent="0.25">
      <c r="A83" s="93"/>
      <c r="B83" s="97">
        <v>19</v>
      </c>
      <c r="C83" s="98">
        <v>75441</v>
      </c>
      <c r="D83" s="99">
        <v>170074</v>
      </c>
      <c r="E83" s="100">
        <v>121678</v>
      </c>
      <c r="F83" s="93"/>
      <c r="G83" s="97">
        <v>19</v>
      </c>
      <c r="H83" s="98">
        <v>75441</v>
      </c>
      <c r="I83" s="99">
        <v>170074</v>
      </c>
      <c r="J83" s="100">
        <v>121678</v>
      </c>
      <c r="K83" s="93"/>
      <c r="L83" s="96">
        <v>19</v>
      </c>
      <c r="M83" s="101">
        <f t="shared" si="4"/>
        <v>0</v>
      </c>
      <c r="N83" s="101">
        <f t="shared" si="4"/>
        <v>0</v>
      </c>
      <c r="O83" s="101">
        <f t="shared" si="4"/>
        <v>0</v>
      </c>
    </row>
    <row r="84" spans="1:15" ht="15.75" thickBot="1" x14ac:dyDescent="0.25">
      <c r="A84" s="93"/>
      <c r="B84" s="97">
        <v>20</v>
      </c>
      <c r="C84" s="98">
        <v>142668</v>
      </c>
      <c r="D84" s="99">
        <v>171627</v>
      </c>
      <c r="E84" s="100">
        <v>87434</v>
      </c>
      <c r="F84" s="93"/>
      <c r="G84" s="97">
        <v>20</v>
      </c>
      <c r="H84" s="98">
        <v>142668</v>
      </c>
      <c r="I84" s="99">
        <v>171627</v>
      </c>
      <c r="J84" s="100">
        <v>87434</v>
      </c>
      <c r="K84" s="93"/>
      <c r="L84" s="96">
        <v>20</v>
      </c>
      <c r="M84" s="101">
        <f>H84-C84</f>
        <v>0</v>
      </c>
      <c r="N84" s="101">
        <f t="shared" si="4"/>
        <v>0</v>
      </c>
      <c r="O84" s="101">
        <f t="shared" si="4"/>
        <v>0</v>
      </c>
    </row>
    <row r="85" spans="1:15" ht="15.75" thickBot="1" x14ac:dyDescent="0.25">
      <c r="A85" s="93"/>
      <c r="B85" s="97">
        <v>21</v>
      </c>
      <c r="C85" s="98">
        <v>191118</v>
      </c>
      <c r="D85" s="99">
        <v>88339</v>
      </c>
      <c r="E85" s="100">
        <v>111017</v>
      </c>
      <c r="F85" s="93"/>
      <c r="G85" s="97">
        <v>21</v>
      </c>
      <c r="H85" s="98">
        <v>191118</v>
      </c>
      <c r="I85" s="99">
        <v>88339</v>
      </c>
      <c r="J85" s="100">
        <v>111017</v>
      </c>
      <c r="K85" s="93"/>
      <c r="L85" s="96">
        <v>21</v>
      </c>
      <c r="M85" s="101">
        <f t="shared" si="4"/>
        <v>0</v>
      </c>
      <c r="N85" s="101">
        <f t="shared" si="4"/>
        <v>0</v>
      </c>
      <c r="O85" s="101">
        <f t="shared" si="4"/>
        <v>0</v>
      </c>
    </row>
    <row r="86" spans="1:15" ht="15.75" thickBot="1" x14ac:dyDescent="0.25">
      <c r="A86" s="93"/>
      <c r="B86" s="97">
        <v>22</v>
      </c>
      <c r="C86" s="98">
        <v>132813</v>
      </c>
      <c r="D86" s="99">
        <v>91010</v>
      </c>
      <c r="E86" s="100">
        <v>116927</v>
      </c>
      <c r="F86" s="93"/>
      <c r="G86" s="97">
        <v>22</v>
      </c>
      <c r="H86" s="98">
        <v>132813</v>
      </c>
      <c r="I86" s="99">
        <v>91010</v>
      </c>
      <c r="J86" s="100">
        <v>116927</v>
      </c>
      <c r="K86" s="93"/>
      <c r="L86" s="96">
        <v>22</v>
      </c>
      <c r="M86" s="101">
        <f t="shared" si="4"/>
        <v>0</v>
      </c>
      <c r="N86" s="101">
        <f t="shared" si="4"/>
        <v>0</v>
      </c>
      <c r="O86" s="101">
        <f t="shared" si="4"/>
        <v>0</v>
      </c>
    </row>
    <row r="87" spans="1:15" ht="15.75" thickBot="1" x14ac:dyDescent="0.25">
      <c r="A87" s="93"/>
      <c r="B87" s="97">
        <v>23</v>
      </c>
      <c r="C87" s="98">
        <v>126911</v>
      </c>
      <c r="D87" s="99">
        <v>154743</v>
      </c>
      <c r="E87" s="100">
        <v>287877</v>
      </c>
      <c r="F87" s="93"/>
      <c r="G87" s="97">
        <v>23</v>
      </c>
      <c r="H87" s="98">
        <v>126911</v>
      </c>
      <c r="I87" s="99">
        <v>154743</v>
      </c>
      <c r="J87" s="100">
        <v>287877</v>
      </c>
      <c r="K87" s="93"/>
      <c r="L87" s="96">
        <v>23</v>
      </c>
      <c r="M87" s="101">
        <f t="shared" si="4"/>
        <v>0</v>
      </c>
      <c r="N87" s="101">
        <f t="shared" si="4"/>
        <v>0</v>
      </c>
      <c r="O87" s="101">
        <f t="shared" si="4"/>
        <v>0</v>
      </c>
    </row>
    <row r="88" spans="1:15" ht="15.75" thickBot="1" x14ac:dyDescent="0.25">
      <c r="A88" s="93"/>
      <c r="B88" s="97">
        <v>24</v>
      </c>
      <c r="C88" s="98">
        <v>78398</v>
      </c>
      <c r="D88" s="99">
        <v>149678</v>
      </c>
      <c r="E88" s="100">
        <v>101315</v>
      </c>
      <c r="F88" s="93"/>
      <c r="G88" s="97">
        <v>24</v>
      </c>
      <c r="H88" s="98">
        <v>78398</v>
      </c>
      <c r="I88" s="99">
        <v>149678</v>
      </c>
      <c r="J88" s="100">
        <v>101315</v>
      </c>
      <c r="K88" s="93"/>
      <c r="L88" s="96">
        <v>24</v>
      </c>
      <c r="M88" s="101">
        <f t="shared" si="4"/>
        <v>0</v>
      </c>
      <c r="N88" s="101">
        <f t="shared" si="4"/>
        <v>0</v>
      </c>
      <c r="O88" s="101">
        <f>J88-E88</f>
        <v>0</v>
      </c>
    </row>
    <row r="89" spans="1:15" ht="15.75" thickBot="1" x14ac:dyDescent="0.25">
      <c r="A89" s="93"/>
      <c r="B89" s="97">
        <v>25</v>
      </c>
      <c r="C89" s="98">
        <v>120617</v>
      </c>
      <c r="D89" s="99">
        <v>179190</v>
      </c>
      <c r="E89" s="100">
        <v>159256</v>
      </c>
      <c r="F89" s="93"/>
      <c r="G89" s="97">
        <v>25</v>
      </c>
      <c r="H89" s="98">
        <v>120617</v>
      </c>
      <c r="I89" s="99">
        <v>179190</v>
      </c>
      <c r="J89" s="100">
        <v>159256</v>
      </c>
      <c r="K89" s="93"/>
      <c r="L89" s="96">
        <v>25</v>
      </c>
      <c r="M89" s="101">
        <f t="shared" si="4"/>
        <v>0</v>
      </c>
      <c r="N89" s="101">
        <f t="shared" si="4"/>
        <v>0</v>
      </c>
      <c r="O89" s="101">
        <f>J89-E89</f>
        <v>0</v>
      </c>
    </row>
    <row r="90" spans="1:15" ht="15.75" thickBot="1" x14ac:dyDescent="0.25">
      <c r="A90" s="93"/>
      <c r="B90" s="97">
        <v>26</v>
      </c>
      <c r="C90" s="98">
        <v>113322</v>
      </c>
      <c r="D90" s="99">
        <v>50933</v>
      </c>
      <c r="E90" s="100">
        <v>53964</v>
      </c>
      <c r="F90" s="93"/>
      <c r="G90" s="97">
        <v>26</v>
      </c>
      <c r="H90" s="98">
        <v>113322</v>
      </c>
      <c r="I90" s="99">
        <v>50933</v>
      </c>
      <c r="J90" s="100">
        <v>53964</v>
      </c>
      <c r="K90" s="93"/>
      <c r="L90" s="96">
        <v>26</v>
      </c>
      <c r="M90" s="101">
        <f t="shared" si="4"/>
        <v>0</v>
      </c>
      <c r="N90" s="101">
        <f t="shared" si="4"/>
        <v>0</v>
      </c>
      <c r="O90" s="101">
        <f t="shared" si="4"/>
        <v>0</v>
      </c>
    </row>
    <row r="91" spans="1:15" ht="15.75" thickBot="1" x14ac:dyDescent="0.25">
      <c r="A91" s="93"/>
      <c r="B91" s="97">
        <v>27</v>
      </c>
      <c r="C91" s="98">
        <v>101450</v>
      </c>
      <c r="D91" s="99">
        <v>108029</v>
      </c>
      <c r="E91" s="100">
        <v>120021</v>
      </c>
      <c r="F91" s="93"/>
      <c r="G91" s="97">
        <v>27</v>
      </c>
      <c r="H91" s="98">
        <v>101450</v>
      </c>
      <c r="I91" s="99">
        <v>108029</v>
      </c>
      <c r="J91" s="100">
        <v>120021</v>
      </c>
      <c r="K91" s="93"/>
      <c r="L91" s="96">
        <v>27</v>
      </c>
      <c r="M91" s="101">
        <f t="shared" si="4"/>
        <v>0</v>
      </c>
      <c r="N91" s="101">
        <f t="shared" si="4"/>
        <v>0</v>
      </c>
      <c r="O91" s="101">
        <f t="shared" si="4"/>
        <v>0</v>
      </c>
    </row>
    <row r="92" spans="1:15" ht="15.75" thickBot="1" x14ac:dyDescent="0.25">
      <c r="A92" s="93"/>
      <c r="B92" s="97">
        <v>28</v>
      </c>
      <c r="C92" s="98">
        <v>194074</v>
      </c>
      <c r="D92" s="99">
        <v>102133</v>
      </c>
      <c r="E92" s="100">
        <v>110195</v>
      </c>
      <c r="F92" s="93"/>
      <c r="G92" s="97">
        <v>28</v>
      </c>
      <c r="H92" s="98">
        <v>194074</v>
      </c>
      <c r="I92" s="99">
        <v>102133</v>
      </c>
      <c r="J92" s="100">
        <v>110195</v>
      </c>
      <c r="K92" s="93"/>
      <c r="L92" s="96">
        <v>28</v>
      </c>
      <c r="M92" s="101">
        <f t="shared" si="4"/>
        <v>0</v>
      </c>
      <c r="N92" s="101">
        <f t="shared" si="4"/>
        <v>0</v>
      </c>
      <c r="O92" s="101">
        <f t="shared" si="4"/>
        <v>0</v>
      </c>
    </row>
    <row r="93" spans="1:15" ht="15.75" thickBot="1" x14ac:dyDescent="0.25">
      <c r="A93" s="93"/>
      <c r="B93" s="97">
        <v>29</v>
      </c>
      <c r="C93" s="98"/>
      <c r="D93" s="99">
        <v>81315</v>
      </c>
      <c r="E93" s="100"/>
      <c r="F93" s="93"/>
      <c r="G93" s="97">
        <v>29</v>
      </c>
      <c r="H93" s="98"/>
      <c r="I93" s="99">
        <v>81315</v>
      </c>
      <c r="J93" s="100"/>
      <c r="K93" s="93"/>
      <c r="L93" s="96">
        <v>29</v>
      </c>
      <c r="M93" s="101">
        <f t="shared" si="4"/>
        <v>0</v>
      </c>
      <c r="N93" s="101">
        <f t="shared" si="4"/>
        <v>0</v>
      </c>
      <c r="O93" s="101"/>
    </row>
    <row r="94" spans="1:15" ht="15.75" thickBot="1" x14ac:dyDescent="0.25">
      <c r="A94" s="93"/>
      <c r="B94" s="97">
        <v>30</v>
      </c>
      <c r="C94" s="98"/>
      <c r="D94" s="99">
        <v>14818</v>
      </c>
      <c r="E94" s="100"/>
      <c r="F94" s="93"/>
      <c r="G94" s="97">
        <v>30</v>
      </c>
      <c r="H94" s="98"/>
      <c r="I94" s="99">
        <v>14818</v>
      </c>
      <c r="J94" s="100"/>
      <c r="K94" s="93"/>
      <c r="L94" s="96">
        <v>30</v>
      </c>
      <c r="M94" s="101">
        <f t="shared" si="4"/>
        <v>0</v>
      </c>
      <c r="N94" s="101">
        <f>I94-D94</f>
        <v>0</v>
      </c>
      <c r="O94" s="9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Water</vt:lpstr>
      <vt:lpstr>ELECT.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2021-04-30T22:39:54Z</cp:lastPrinted>
  <dcterms:created xsi:type="dcterms:W3CDTF">2017-07-31T14:40:49Z</dcterms:created>
  <dcterms:modified xsi:type="dcterms:W3CDTF">2021-06-15T01:11:13Z</dcterms:modified>
</cp:coreProperties>
</file>