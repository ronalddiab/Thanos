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57" documentId="13_ncr:1_{76C55D63-F869-4AF5-AAA3-3D809A91432B}" xr6:coauthVersionLast="47" xr6:coauthVersionMax="47" xr10:uidLastSave="{53198E5C-35FB-47B2-B6DA-EA254C0B720B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27" l="1"/>
  <c r="J9" i="27"/>
  <c r="J8" i="27"/>
  <c r="J7" i="27"/>
  <c r="J6" i="27"/>
  <c r="J5" i="27"/>
  <c r="L36" i="27"/>
  <c r="L35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<sst xmlns="http://schemas.openxmlformats.org/spreadsheetml/2006/main" count="71" uniqueCount="33">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</sst>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7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0</v>
      </c>
      <c r="F6" s="83">
        <v>9.3200000000000005E-2</v>
      </c>
      <c r="G6" s="11">
        <f>IF('Water, Gas, Diesel'!K10&lt;0,0,'Water, Gas, Diesel'!K10)</f>
        <v>11310</v>
      </c>
      <c r="H6" s="83">
        <v>0.7</v>
      </c>
      <c r="I6" s="11">
        <f>IF('Water, Gas, Diesel'!C10&lt;0,0,'Water, Gas, Diesel'!C10)</f>
        <v>0</v>
      </c>
      <c r="J6" s="83">
        <v>0.21186441</v>
      </c>
      <c r="K6" s="11">
        <f>IF('Water, Gas, Diesel'!F10&lt;0,0,'Water, Gas, Diesel'!F10)</f>
        <v>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J13" sqref="J13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5">
        <f t="shared" ref="F7:F38" si="2">C7+E7</f>
        <v>22664.999999997235</v>
      </c>
      <c r="G7" s="67">
        <f>F7*0.0932</f>
        <v>2112.3779999997423</v>
      </c>
      <c r="H7" s="137">
        <v>88</v>
      </c>
    </row>
    <row r="8" spans="1:8" ht="30.95" customHeight="1">
      <c r="A8" s="100">
        <v>1</v>
      </c>
      <c r="B8" s="94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101">
        <v>94</v>
      </c>
    </row>
    <row r="9" spans="1:8" ht="30.95" customHeight="1">
      <c r="A9" s="102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3">
        <v>67</v>
      </c>
    </row>
    <row r="10" spans="1:8" ht="30.95" customHeight="1">
      <c r="A10" s="100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3">
        <v>81</v>
      </c>
    </row>
    <row r="11" spans="1:8" ht="30.95" customHeight="1">
      <c r="A11" s="102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3">
        <v>97</v>
      </c>
    </row>
    <row r="12" spans="1:8" ht="30.95" customHeight="1">
      <c r="A12" s="100">
        <v>5</v>
      </c>
      <c r="B12" s="77">
        <v>15736.186</v>
      </c>
      <c r="C12" s="70">
        <f t="shared" si="0"/>
        <v>-39340465</v>
      </c>
      <c r="D12" s="74">
        <v>16068.183999999999</v>
      </c>
      <c r="E12" s="70">
        <f t="shared" si="1"/>
        <v>-40170460</v>
      </c>
      <c r="F12" s="51">
        <f t="shared" si="2"/>
        <v>-79510925</v>
      </c>
      <c r="G12" s="67">
        <f t="shared" si="3"/>
        <v>-7410418.21</v>
      </c>
      <c r="H12" s="103">
        <v>144</v>
      </c>
    </row>
    <row r="13" spans="1:8" ht="30.95" customHeight="1">
      <c r="A13" s="102">
        <v>6</v>
      </c>
      <c r="B13" s="75"/>
      <c r="C13" s="39">
        <f t="shared" si="0"/>
        <v>0</v>
      </c>
      <c r="D13" s="76"/>
      <c r="E13" s="39">
        <f t="shared" si="1"/>
        <v>0</v>
      </c>
      <c r="F13" s="47">
        <f t="shared" si="2"/>
        <v>0</v>
      </c>
      <c r="G13" s="67">
        <f t="shared" si="3"/>
        <v>0</v>
      </c>
      <c r="H13" s="103"/>
    </row>
    <row r="14" spans="1:8" ht="30.95" customHeight="1">
      <c r="A14" s="100">
        <v>7</v>
      </c>
      <c r="B14" s="77"/>
      <c r="C14" s="70">
        <f t="shared" si="0"/>
        <v>0</v>
      </c>
      <c r="D14" s="104"/>
      <c r="E14" s="70">
        <f t="shared" si="1"/>
        <v>0</v>
      </c>
      <c r="F14" s="51">
        <f t="shared" si="2"/>
        <v>0</v>
      </c>
      <c r="G14" s="67">
        <f t="shared" si="3"/>
        <v>0</v>
      </c>
      <c r="H14" s="103"/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16">
        <v>30</v>
      </c>
      <c r="B37" s="117"/>
      <c r="C37" s="118">
        <f>(B38-B37)*2500</f>
        <v>0</v>
      </c>
      <c r="D37" s="119"/>
      <c r="E37" s="118">
        <f>(D38-D37)*2500</f>
        <v>0</v>
      </c>
      <c r="F37" s="120">
        <f t="shared" si="2"/>
        <v>0</v>
      </c>
      <c r="G37" s="136">
        <f t="shared" si="3"/>
        <v>0</v>
      </c>
      <c r="H37" s="121"/>
    </row>
    <row r="38" spans="1:8" ht="30.95" customHeight="1">
      <c r="A38" s="108">
        <v>1</v>
      </c>
      <c r="B38" s="109"/>
      <c r="C38" s="111">
        <f t="shared" si="4"/>
        <v>0</v>
      </c>
      <c r="D38" s="112"/>
      <c r="E38" s="111">
        <f t="shared" si="5"/>
        <v>0</v>
      </c>
      <c r="F38" s="113">
        <f t="shared" si="2"/>
        <v>0</v>
      </c>
      <c r="G38" s="114">
        <f t="shared" si="3"/>
        <v>0</v>
      </c>
      <c r="H38" s="115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7" activePane="bottomLeft" state="frozen"/>
      <selection pane="bottomLeft" activeCell="J10" sqref="J10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7007139</v>
      </c>
      <c r="C5" s="105">
        <f>B6-B5</f>
        <v>1119</v>
      </c>
      <c r="D5" s="34">
        <f>C5*0.21186441</f>
        <v>237.07627479000001</v>
      </c>
      <c r="E5" s="35">
        <v>556695</v>
      </c>
      <c r="F5" s="106">
        <f>E6-E5</f>
        <v>221</v>
      </c>
      <c r="G5" s="36">
        <f>F5*0.84746</f>
        <v>187.28865999999999</v>
      </c>
      <c r="H5" s="36">
        <f>F5*0.84746</f>
        <v>187.28865999999999</v>
      </c>
      <c r="I5" s="92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91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-7013553</v>
      </c>
      <c r="D10" s="46">
        <f t="shared" si="7"/>
        <v>-1485922.2683487299</v>
      </c>
      <c r="E10" s="47">
        <v>557927</v>
      </c>
      <c r="F10" s="54">
        <f t="shared" si="1"/>
        <v>-557927</v>
      </c>
      <c r="G10" s="43">
        <f t="shared" si="4"/>
        <v>-472820.81542</v>
      </c>
      <c r="H10" s="43">
        <f t="shared" si="5"/>
        <v>-472820.81542</v>
      </c>
      <c r="I10" s="49">
        <f t="shared" si="2"/>
        <v>-945641.63084</v>
      </c>
      <c r="J10" s="37">
        <f>4960+6350</f>
        <v>11310</v>
      </c>
      <c r="K10" s="38">
        <f t="shared" si="3"/>
        <v>11310</v>
      </c>
      <c r="L10" s="39">
        <f t="shared" si="6"/>
        <v>7916.9999999999991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8">
        <v>30</v>
      </c>
      <c r="B35" s="129"/>
      <c r="C35" s="130">
        <f t="shared" si="8"/>
        <v>0</v>
      </c>
      <c r="D35" s="131">
        <f t="shared" si="7"/>
        <v>0</v>
      </c>
      <c r="E35" s="120"/>
      <c r="F35" s="130">
        <f t="shared" si="9"/>
        <v>0</v>
      </c>
      <c r="G35" s="132">
        <f t="shared" si="4"/>
        <v>0</v>
      </c>
      <c r="H35" s="132">
        <f t="shared" si="5"/>
        <v>0</v>
      </c>
      <c r="I35" s="133">
        <f t="shared" si="2"/>
        <v>0</v>
      </c>
      <c r="J35" s="134"/>
      <c r="K35" s="135">
        <f t="shared" si="3"/>
        <v>0</v>
      </c>
      <c r="L35" s="118">
        <f>K35*0.7</f>
        <v>0</v>
      </c>
    </row>
    <row r="36" spans="1:12" ht="32.450000000000003" customHeight="1">
      <c r="A36" s="108">
        <v>1</v>
      </c>
      <c r="B36" s="109"/>
      <c r="C36" s="122">
        <f t="shared" ref="C36" si="10">B37-B36</f>
        <v>0</v>
      </c>
      <c r="D36" s="123">
        <f t="shared" si="7"/>
        <v>0</v>
      </c>
      <c r="E36" s="113"/>
      <c r="F36" s="122">
        <f t="shared" ref="F36" si="11">E37-E36</f>
        <v>0</v>
      </c>
      <c r="G36" s="124">
        <f t="shared" ref="G36" si="12">F36*0.84746</f>
        <v>0</v>
      </c>
      <c r="H36" s="124">
        <f t="shared" ref="H36" si="13">F36*0.84746</f>
        <v>0</v>
      </c>
      <c r="I36" s="110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4" ma:contentTypeDescription="Create a new document." ma:contentTypeScope="" ma:versionID="ae55bb530d133ebc1a59cc1f863a964a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043ae22e8d0c7db31891b7ff3c664aa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A95821-BE09-4CF4-AFB9-6209A7E26C67}"/>
</file>

<file path=customXml/itemProps2.xml><?xml version="1.0" encoding="utf-8"?>
<ds:datastoreItem xmlns:ds="http://schemas.openxmlformats.org/officeDocument/2006/customXml" ds:itemID="{09876524-0E37-4B22-A94F-EBE4BC283939}"/>
</file>

<file path=customXml/itemProps3.xml><?xml version="1.0" encoding="utf-8"?>
<ds:datastoreItem xmlns:ds="http://schemas.openxmlformats.org/officeDocument/2006/customXml" ds:itemID="{07703B8F-045D-481B-A6A4-53C697FBD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2022-09-06T04:25:50Z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</Properties>
</file>