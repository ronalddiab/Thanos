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12"/>
  <workbookPr showInkAnnotation="0" codeName="ThisWorkbook" defaultThemeVersion="124226"/>
  <xr:revisionPtr revIDLastSave="0" documentId="8_{C7BC40C8-80D8-4EDF-815E-C9DA8C9682AC}" xr6:coauthVersionLast="46" xr6:coauthVersionMax="46" xr10:uidLastSave="{00000000-0000-0000-0000-000000000000}"/>
  <bookViews>
    <workbookView xWindow="4695" yWindow="7425" windowWidth="24105" windowHeight="1185" tabRatio="604" xr2:uid="{00000000-000D-0000-FFFF-FFFF00000000}"/>
  </bookViews>
  <sheets>
    <sheet name="TOTAL" sheetId="13" r:id="rId1"/>
    <sheet name="Consommation du 01.04 au 30.04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01.04 au 30.04'!$A$1:$AE$49</definedName>
    <definedName name="_xlnm.Print_Area" localSheetId="3">'Suivi EAU-ELEC'!$A$1:$I$47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6" l="1"/>
  <c r="E34" i="6"/>
  <c r="C34" i="6"/>
  <c r="G29" i="4"/>
  <c r="E29" i="4"/>
  <c r="C29" i="4"/>
  <c r="G33" i="6"/>
  <c r="E33" i="6"/>
  <c r="C33" i="6"/>
  <c r="G28" i="4"/>
  <c r="E28" i="4"/>
  <c r="C28" i="4"/>
  <c r="G32" i="6"/>
  <c r="E32" i="6"/>
  <c r="C32" i="6"/>
  <c r="G31" i="6"/>
  <c r="E31" i="6"/>
  <c r="C31" i="6"/>
  <c r="G30" i="6"/>
  <c r="E30" i="6"/>
  <c r="C30" i="6"/>
  <c r="M27" i="4"/>
  <c r="J27" i="4"/>
  <c r="K27" i="4" s="1"/>
  <c r="M26" i="4"/>
  <c r="J26" i="4"/>
  <c r="K26" i="4" s="1"/>
  <c r="M25" i="4"/>
  <c r="J25" i="4"/>
  <c r="K25" i="4" s="1"/>
  <c r="G29" i="6"/>
  <c r="E29" i="6"/>
  <c r="C29" i="6"/>
  <c r="G28" i="6"/>
  <c r="E28" i="6"/>
  <c r="C28" i="6"/>
  <c r="G24" i="4"/>
  <c r="E24" i="4"/>
  <c r="C24" i="4"/>
  <c r="G23" i="4"/>
  <c r="E23" i="4"/>
  <c r="C23" i="4"/>
  <c r="G27" i="6"/>
  <c r="E27" i="6"/>
  <c r="C27" i="6"/>
  <c r="G22" i="4"/>
  <c r="E22" i="4"/>
  <c r="C22" i="4"/>
  <c r="W11" i="10"/>
  <c r="W12" i="10"/>
  <c r="W13" i="10"/>
  <c r="W14" i="10"/>
  <c r="W15" i="10"/>
  <c r="W16" i="10"/>
  <c r="W17" i="10"/>
  <c r="W18" i="10"/>
  <c r="W19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10" i="10"/>
  <c r="L20" i="4"/>
  <c r="M19" i="4"/>
  <c r="I20" i="4"/>
  <c r="I21" i="4"/>
  <c r="G20" i="4"/>
  <c r="G21" i="4"/>
  <c r="E20" i="4"/>
  <c r="E21" i="4"/>
  <c r="C20" i="4"/>
  <c r="C21" i="4"/>
  <c r="G26" i="6"/>
  <c r="E26" i="6"/>
  <c r="C26" i="6"/>
  <c r="P12" i="4"/>
  <c r="P13" i="4"/>
  <c r="P14" i="4"/>
  <c r="P15" i="4"/>
  <c r="P16" i="4"/>
  <c r="P18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11" i="4"/>
  <c r="M20" i="4"/>
  <c r="N20" i="4" s="1"/>
  <c r="O20" i="4" s="1"/>
  <c r="P20" i="4" s="1"/>
  <c r="J20" i="4"/>
  <c r="K20" i="4" s="1"/>
  <c r="J19" i="4"/>
  <c r="K19" i="4" s="1"/>
  <c r="M18" i="4"/>
  <c r="J18" i="4"/>
  <c r="K18" i="4" s="1"/>
  <c r="M17" i="4"/>
  <c r="J17" i="4"/>
  <c r="K17" i="4" s="1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16" i="4"/>
  <c r="E16" i="4"/>
  <c r="C16" i="4"/>
  <c r="G20" i="6"/>
  <c r="E20" i="6"/>
  <c r="C20" i="6"/>
  <c r="G15" i="4"/>
  <c r="E15" i="4"/>
  <c r="C15" i="4"/>
  <c r="U11" i="10"/>
  <c r="U12" i="10"/>
  <c r="U19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10" i="10"/>
  <c r="D10" i="10"/>
  <c r="F10" i="10"/>
  <c r="J10" i="10"/>
  <c r="K10" i="10"/>
  <c r="L10" i="10"/>
  <c r="M10" i="10"/>
  <c r="O10" i="10"/>
  <c r="Y10" i="10"/>
  <c r="Z10" i="10"/>
  <c r="B11" i="10"/>
  <c r="D11" i="10"/>
  <c r="F11" i="10"/>
  <c r="J11" i="10"/>
  <c r="K11" i="10"/>
  <c r="L11" i="10"/>
  <c r="M11" i="10"/>
  <c r="O11" i="10"/>
  <c r="Y11" i="10"/>
  <c r="Z11" i="10"/>
  <c r="B12" i="10"/>
  <c r="D12" i="10"/>
  <c r="F12" i="10"/>
  <c r="J12" i="10"/>
  <c r="K12" i="10"/>
  <c r="L12" i="10"/>
  <c r="M12" i="10"/>
  <c r="O12" i="10"/>
  <c r="Y12" i="10"/>
  <c r="Z12" i="10"/>
  <c r="B13" i="10"/>
  <c r="Y13" i="10"/>
  <c r="Z13" i="10"/>
  <c r="B14" i="10"/>
  <c r="D14" i="10"/>
  <c r="F14" i="10"/>
  <c r="J14" i="10"/>
  <c r="K14" i="10"/>
  <c r="Y14" i="10"/>
  <c r="Z14" i="10"/>
  <c r="B15" i="10"/>
  <c r="D15" i="10"/>
  <c r="F15" i="10"/>
  <c r="J15" i="10"/>
  <c r="K15" i="10"/>
  <c r="Y15" i="10"/>
  <c r="Z15" i="10"/>
  <c r="B16" i="10"/>
  <c r="D16" i="10"/>
  <c r="F16" i="10"/>
  <c r="J16" i="10"/>
  <c r="K16" i="10"/>
  <c r="Y16" i="10"/>
  <c r="Z16" i="10"/>
  <c r="B17" i="10"/>
  <c r="D17" i="10"/>
  <c r="F17" i="10"/>
  <c r="J17" i="10"/>
  <c r="K17" i="10"/>
  <c r="Y17" i="10"/>
  <c r="Z17" i="10"/>
  <c r="B18" i="10"/>
  <c r="D18" i="10"/>
  <c r="F18" i="10"/>
  <c r="J18" i="10"/>
  <c r="K18" i="10"/>
  <c r="Y18" i="10"/>
  <c r="Z18" i="10"/>
  <c r="B19" i="10"/>
  <c r="D19" i="10"/>
  <c r="F19" i="10"/>
  <c r="J19" i="10"/>
  <c r="K19" i="10"/>
  <c r="Y19" i="10"/>
  <c r="Z19" i="10"/>
  <c r="B20" i="10"/>
  <c r="D20" i="10"/>
  <c r="F20" i="10"/>
  <c r="J20" i="10"/>
  <c r="K20" i="10"/>
  <c r="Y20" i="10"/>
  <c r="Z20" i="10"/>
  <c r="B21" i="10"/>
  <c r="D21" i="10"/>
  <c r="F21" i="10"/>
  <c r="J21" i="10"/>
  <c r="K21" i="10"/>
  <c r="Y21" i="10"/>
  <c r="Z21" i="10"/>
  <c r="B22" i="10"/>
  <c r="D22" i="10"/>
  <c r="F22" i="10"/>
  <c r="J22" i="10"/>
  <c r="K22" i="10"/>
  <c r="Y22" i="10"/>
  <c r="Z22" i="10"/>
  <c r="B23" i="10"/>
  <c r="D23" i="10"/>
  <c r="F23" i="10"/>
  <c r="J23" i="10"/>
  <c r="K23" i="10"/>
  <c r="Y23" i="10"/>
  <c r="Z23" i="10"/>
  <c r="B24" i="10"/>
  <c r="D24" i="10"/>
  <c r="F24" i="10"/>
  <c r="J24" i="10"/>
  <c r="K24" i="10"/>
  <c r="Y24" i="10"/>
  <c r="Z24" i="10"/>
  <c r="B25" i="10"/>
  <c r="D25" i="10"/>
  <c r="F25" i="10"/>
  <c r="J25" i="10"/>
  <c r="K25" i="10"/>
  <c r="Y25" i="10"/>
  <c r="Z25" i="10"/>
  <c r="B26" i="10"/>
  <c r="D26" i="10"/>
  <c r="F26" i="10"/>
  <c r="J26" i="10"/>
  <c r="K26" i="10"/>
  <c r="Y26" i="10"/>
  <c r="Z26" i="10"/>
  <c r="B27" i="10"/>
  <c r="D27" i="10"/>
  <c r="F27" i="10"/>
  <c r="J27" i="10"/>
  <c r="K27" i="10"/>
  <c r="Y27" i="10"/>
  <c r="Z27" i="10"/>
  <c r="B28" i="10"/>
  <c r="D28" i="10"/>
  <c r="F28" i="10"/>
  <c r="J28" i="10"/>
  <c r="K28" i="10"/>
  <c r="Y28" i="10"/>
  <c r="Z28" i="10"/>
  <c r="B29" i="10"/>
  <c r="D29" i="10"/>
  <c r="F29" i="10"/>
  <c r="J29" i="10"/>
  <c r="K29" i="10"/>
  <c r="L29" i="10"/>
  <c r="M29" i="10"/>
  <c r="O29" i="10"/>
  <c r="Y29" i="10"/>
  <c r="Z29" i="10"/>
  <c r="B30" i="10"/>
  <c r="D30" i="10"/>
  <c r="F30" i="10"/>
  <c r="J30" i="10"/>
  <c r="K30" i="10"/>
  <c r="L30" i="10"/>
  <c r="M30" i="10"/>
  <c r="O30" i="10"/>
  <c r="Y30" i="10"/>
  <c r="Z30" i="10"/>
  <c r="B31" i="10"/>
  <c r="D31" i="10"/>
  <c r="F31" i="10"/>
  <c r="J31" i="10"/>
  <c r="K31" i="10"/>
  <c r="L31" i="10"/>
  <c r="M31" i="10"/>
  <c r="O31" i="10"/>
  <c r="Y31" i="10"/>
  <c r="Z31" i="10"/>
  <c r="B32" i="10"/>
  <c r="D32" i="10"/>
  <c r="F32" i="10"/>
  <c r="J32" i="10"/>
  <c r="K32" i="10"/>
  <c r="L32" i="10"/>
  <c r="M32" i="10"/>
  <c r="O32" i="10"/>
  <c r="Y32" i="10"/>
  <c r="Z32" i="10"/>
  <c r="B33" i="10"/>
  <c r="D33" i="10"/>
  <c r="F33" i="10"/>
  <c r="J33" i="10"/>
  <c r="K33" i="10"/>
  <c r="L33" i="10"/>
  <c r="M33" i="10"/>
  <c r="O33" i="10"/>
  <c r="Y33" i="10"/>
  <c r="Z33" i="10"/>
  <c r="B34" i="10"/>
  <c r="D34" i="10"/>
  <c r="F34" i="10"/>
  <c r="J34" i="10"/>
  <c r="K34" i="10"/>
  <c r="L34" i="10"/>
  <c r="M34" i="10"/>
  <c r="O34" i="10"/>
  <c r="Y34" i="10"/>
  <c r="Z34" i="10"/>
  <c r="B35" i="10"/>
  <c r="D35" i="10"/>
  <c r="F35" i="10"/>
  <c r="J35" i="10"/>
  <c r="K35" i="10"/>
  <c r="L35" i="10"/>
  <c r="M35" i="10"/>
  <c r="O35" i="10"/>
  <c r="Y35" i="10"/>
  <c r="Z35" i="10"/>
  <c r="B36" i="10"/>
  <c r="D36" i="10"/>
  <c r="F36" i="10"/>
  <c r="J36" i="10"/>
  <c r="K36" i="10"/>
  <c r="L36" i="10"/>
  <c r="M36" i="10"/>
  <c r="O36" i="10"/>
  <c r="Y36" i="10"/>
  <c r="Z36" i="10"/>
  <c r="B37" i="10"/>
  <c r="D37" i="10"/>
  <c r="F37" i="10"/>
  <c r="J37" i="10"/>
  <c r="K37" i="10"/>
  <c r="L37" i="10"/>
  <c r="M37" i="10"/>
  <c r="O37" i="10"/>
  <c r="Y37" i="10"/>
  <c r="Z37" i="10"/>
  <c r="B38" i="10"/>
  <c r="D38" i="10"/>
  <c r="F38" i="10"/>
  <c r="J38" i="10"/>
  <c r="K38" i="10"/>
  <c r="L38" i="10"/>
  <c r="M38" i="10"/>
  <c r="O38" i="10"/>
  <c r="Y38" i="10"/>
  <c r="Z38" i="10"/>
  <c r="B39" i="10"/>
  <c r="D39" i="10"/>
  <c r="F39" i="10"/>
  <c r="J39" i="10"/>
  <c r="K39" i="10"/>
  <c r="L39" i="10"/>
  <c r="M39" i="10"/>
  <c r="O39" i="10"/>
  <c r="Y39" i="10"/>
  <c r="Z39" i="10"/>
  <c r="B40" i="10"/>
  <c r="D40" i="10"/>
  <c r="F40" i="10"/>
  <c r="J40" i="10"/>
  <c r="K40" i="10"/>
  <c r="L40" i="10"/>
  <c r="M40" i="10"/>
  <c r="O40" i="10"/>
  <c r="Y40" i="10"/>
  <c r="Z40" i="10"/>
  <c r="Q41" i="10"/>
  <c r="S41" i="10"/>
  <c r="Z43" i="4"/>
  <c r="W43" i="4"/>
  <c r="T43" i="4"/>
  <c r="Q43" i="4"/>
  <c r="G19" i="6"/>
  <c r="E19" i="6"/>
  <c r="C19" i="6"/>
  <c r="G18" i="6"/>
  <c r="E18" i="6"/>
  <c r="C18" i="6"/>
  <c r="G17" i="6"/>
  <c r="E17" i="6"/>
  <c r="C17" i="6"/>
  <c r="G16" i="6"/>
  <c r="E16" i="6"/>
  <c r="C16" i="6"/>
  <c r="G14" i="4"/>
  <c r="E14" i="4"/>
  <c r="C14" i="4"/>
  <c r="G13" i="4"/>
  <c r="E13" i="4"/>
  <c r="C13" i="4"/>
  <c r="G12" i="4"/>
  <c r="E12" i="4"/>
  <c r="C12" i="4"/>
  <c r="G11" i="4"/>
  <c r="E11" i="4"/>
  <c r="C11" i="4"/>
  <c r="C30" i="4"/>
  <c r="E30" i="4"/>
  <c r="G30" i="4"/>
  <c r="C31" i="4"/>
  <c r="E31" i="4"/>
  <c r="G31" i="4"/>
  <c r="C32" i="4"/>
  <c r="E32" i="4"/>
  <c r="G32" i="4"/>
  <c r="C33" i="4"/>
  <c r="E33" i="4"/>
  <c r="G33" i="4"/>
  <c r="C34" i="4"/>
  <c r="E34" i="4"/>
  <c r="G34" i="4"/>
  <c r="C35" i="4"/>
  <c r="E35" i="4"/>
  <c r="G35" i="4"/>
  <c r="C36" i="4"/>
  <c r="E36" i="4"/>
  <c r="G36" i="4"/>
  <c r="C37" i="4"/>
  <c r="E37" i="4"/>
  <c r="G37" i="4"/>
  <c r="C40" i="4"/>
  <c r="E40" i="4"/>
  <c r="G40" i="4"/>
  <c r="C41" i="4"/>
  <c r="E41" i="4"/>
  <c r="G41" i="4"/>
  <c r="C42" i="4"/>
  <c r="E42" i="4"/>
  <c r="G42" i="4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M39" i="4"/>
  <c r="J39" i="4"/>
  <c r="K39" i="4" s="1"/>
  <c r="M38" i="4"/>
  <c r="J38" i="4"/>
  <c r="K38" i="4" s="1"/>
  <c r="G46" i="6"/>
  <c r="G47" i="6"/>
  <c r="E46" i="6"/>
  <c r="E47" i="6"/>
  <c r="C46" i="6"/>
  <c r="C47" i="6"/>
  <c r="M15" i="4"/>
  <c r="J15" i="4"/>
  <c r="K15" i="4" s="1"/>
  <c r="M14" i="4"/>
  <c r="J14" i="4"/>
  <c r="K14" i="4" s="1"/>
  <c r="M13" i="4"/>
  <c r="J13" i="4"/>
  <c r="K13" i="4" s="1"/>
  <c r="Z41" i="10" l="1"/>
  <c r="Y41" i="10"/>
  <c r="D13" i="10"/>
  <c r="C48" i="6"/>
  <c r="J13" i="10"/>
  <c r="E48" i="6"/>
  <c r="K13" i="10"/>
  <c r="K41" i="10" s="1"/>
  <c r="G44" i="10" s="1"/>
  <c r="J44" i="10" s="1"/>
  <c r="G48" i="6"/>
  <c r="M31" i="13"/>
  <c r="M30" i="13"/>
  <c r="K30" i="13"/>
  <c r="K31" i="13"/>
  <c r="J16" i="4"/>
  <c r="K16" i="4" s="1"/>
  <c r="M16" i="4"/>
  <c r="J21" i="4"/>
  <c r="K21" i="4"/>
  <c r="M21" i="4"/>
  <c r="J22" i="4"/>
  <c r="K22" i="4" s="1"/>
  <c r="M22" i="4"/>
  <c r="J23" i="4"/>
  <c r="K23" i="4"/>
  <c r="M23" i="4"/>
  <c r="J24" i="4"/>
  <c r="K24" i="4"/>
  <c r="M24" i="4"/>
  <c r="J28" i="4"/>
  <c r="K28" i="4" s="1"/>
  <c r="M28" i="4"/>
  <c r="J29" i="4"/>
  <c r="K29" i="4"/>
  <c r="M29" i="4"/>
  <c r="J30" i="4"/>
  <c r="K30" i="4"/>
  <c r="M30" i="4"/>
  <c r="J31" i="4"/>
  <c r="K31" i="4"/>
  <c r="M31" i="4"/>
  <c r="J32" i="4"/>
  <c r="K32" i="4"/>
  <c r="M32" i="4"/>
  <c r="J33" i="4"/>
  <c r="K33" i="4"/>
  <c r="M33" i="4"/>
  <c r="J34" i="4"/>
  <c r="K34" i="4" s="1"/>
  <c r="M34" i="4"/>
  <c r="J35" i="4"/>
  <c r="K35" i="4"/>
  <c r="M35" i="4"/>
  <c r="J36" i="4"/>
  <c r="K36" i="4"/>
  <c r="M36" i="4"/>
  <c r="J37" i="4"/>
  <c r="K37" i="4"/>
  <c r="M37" i="4"/>
  <c r="J40" i="4"/>
  <c r="K40" i="4" s="1"/>
  <c r="M40" i="4"/>
  <c r="J41" i="4"/>
  <c r="K41" i="4"/>
  <c r="M41" i="4"/>
  <c r="J42" i="4"/>
  <c r="K42" i="4"/>
  <c r="M42" i="4"/>
  <c r="J41" i="10" l="1"/>
  <c r="G43" i="10" s="1"/>
  <c r="J43" i="10" s="1"/>
  <c r="F13" i="10"/>
  <c r="D41" i="10"/>
  <c r="G46" i="10" s="1"/>
  <c r="J46" i="10" s="1"/>
  <c r="L46" i="10" s="1"/>
  <c r="F41" i="10"/>
  <c r="AE13" i="4"/>
  <c r="AD13" i="4"/>
  <c r="AC13" i="4"/>
  <c r="L13" i="4" s="1"/>
  <c r="N13" i="4" s="1"/>
  <c r="O13" i="4" s="1"/>
  <c r="AE19" i="4"/>
  <c r="AD19" i="4"/>
  <c r="AC19" i="4"/>
  <c r="L19" i="4" l="1"/>
  <c r="N19" i="4" s="1"/>
  <c r="O19" i="4" s="1"/>
  <c r="P19" i="4" s="1"/>
  <c r="I19" i="4"/>
  <c r="G19" i="4"/>
  <c r="E19" i="4"/>
  <c r="C19" i="4"/>
  <c r="I20" i="6"/>
  <c r="L14" i="10" s="1"/>
  <c r="U18" i="10" l="1"/>
  <c r="M14" i="10"/>
  <c r="O14" i="10"/>
  <c r="I30" i="13"/>
  <c r="I31" i="13"/>
  <c r="AC5" i="4" l="1"/>
  <c r="AC6" i="4"/>
  <c r="AC7" i="4"/>
  <c r="AC8" i="4"/>
  <c r="AC9" i="4"/>
  <c r="AC10" i="4"/>
  <c r="AC11" i="4"/>
  <c r="AC12" i="4"/>
  <c r="AC14" i="4"/>
  <c r="AC15" i="4"/>
  <c r="L15" i="4" s="1"/>
  <c r="N15" i="4" s="1"/>
  <c r="O15" i="4" s="1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L27" i="4" l="1"/>
  <c r="N27" i="4" s="1"/>
  <c r="O27" i="4" s="1"/>
  <c r="I27" i="4"/>
  <c r="G27" i="4"/>
  <c r="E27" i="4"/>
  <c r="C27" i="4"/>
  <c r="I26" i="4"/>
  <c r="G26" i="4"/>
  <c r="E26" i="4"/>
  <c r="C26" i="4"/>
  <c r="L25" i="4"/>
  <c r="N25" i="4" s="1"/>
  <c r="O25" i="4" s="1"/>
  <c r="I25" i="4"/>
  <c r="G25" i="4"/>
  <c r="E25" i="4"/>
  <c r="C25" i="4"/>
  <c r="L18" i="4"/>
  <c r="N18" i="4" s="1"/>
  <c r="O18" i="4" s="1"/>
  <c r="I18" i="4"/>
  <c r="G18" i="4"/>
  <c r="E18" i="4"/>
  <c r="C18" i="4"/>
  <c r="I17" i="4"/>
  <c r="G17" i="4"/>
  <c r="G43" i="4" s="1"/>
  <c r="E17" i="4"/>
  <c r="E43" i="4" s="1"/>
  <c r="C17" i="4"/>
  <c r="C43" i="4" s="1"/>
  <c r="AC43" i="4"/>
  <c r="U14" i="10"/>
  <c r="C39" i="4"/>
  <c r="E39" i="4"/>
  <c r="G39" i="4"/>
  <c r="C38" i="4"/>
  <c r="E38" i="4"/>
  <c r="G38" i="4"/>
  <c r="L12" i="4"/>
  <c r="N12" i="4" s="1"/>
  <c r="O12" i="4" s="1"/>
  <c r="I12" i="4"/>
  <c r="G10" i="4"/>
  <c r="E10" i="4"/>
  <c r="C10" i="4"/>
  <c r="L9" i="4"/>
  <c r="N9" i="4" s="1"/>
  <c r="O9" i="4" s="1"/>
  <c r="I9" i="4"/>
  <c r="G9" i="4"/>
  <c r="E9" i="4"/>
  <c r="C9" i="4"/>
  <c r="L8" i="4"/>
  <c r="N8" i="4" s="1"/>
  <c r="O8" i="4" s="1"/>
  <c r="I8" i="4"/>
  <c r="G8" i="4"/>
  <c r="E8" i="4"/>
  <c r="C8" i="4"/>
  <c r="L7" i="4"/>
  <c r="N7" i="4" s="1"/>
  <c r="O7" i="4" s="1"/>
  <c r="P7" i="4" s="1"/>
  <c r="I7" i="4"/>
  <c r="G7" i="4"/>
  <c r="E7" i="4"/>
  <c r="C7" i="4"/>
  <c r="L6" i="4"/>
  <c r="N6" i="4" s="1"/>
  <c r="O6" i="4" s="1"/>
  <c r="P6" i="4" s="1"/>
  <c r="I6" i="4"/>
  <c r="G6" i="4"/>
  <c r="E6" i="4"/>
  <c r="C6" i="4"/>
  <c r="L5" i="4"/>
  <c r="N5" i="4" s="1"/>
  <c r="O5" i="4" s="1"/>
  <c r="P5" i="4" s="1"/>
  <c r="I5" i="4"/>
  <c r="G5" i="4"/>
  <c r="E5" i="4"/>
  <c r="C5" i="4"/>
  <c r="L14" i="4"/>
  <c r="N14" i="4" s="1"/>
  <c r="I14" i="4"/>
  <c r="I42" i="4"/>
  <c r="L42" i="4"/>
  <c r="N42" i="4" s="1"/>
  <c r="O42" i="4" s="1"/>
  <c r="I41" i="4"/>
  <c r="L41" i="4"/>
  <c r="N41" i="4" s="1"/>
  <c r="O41" i="4" s="1"/>
  <c r="I40" i="4"/>
  <c r="L40" i="4"/>
  <c r="N40" i="4" s="1"/>
  <c r="O40" i="4" s="1"/>
  <c r="I37" i="4"/>
  <c r="L37" i="4"/>
  <c r="N37" i="4" s="1"/>
  <c r="O37" i="4" s="1"/>
  <c r="I36" i="4"/>
  <c r="L36" i="4"/>
  <c r="N36" i="4" s="1"/>
  <c r="O36" i="4" s="1"/>
  <c r="I35" i="4"/>
  <c r="L35" i="4"/>
  <c r="N35" i="4" s="1"/>
  <c r="O35" i="4" s="1"/>
  <c r="I34" i="4"/>
  <c r="L34" i="4"/>
  <c r="N34" i="4" s="1"/>
  <c r="O34" i="4" s="1"/>
  <c r="I32" i="4"/>
  <c r="L32" i="4"/>
  <c r="N32" i="4" s="1"/>
  <c r="O32" i="4" s="1"/>
  <c r="I31" i="4"/>
  <c r="L31" i="4"/>
  <c r="N31" i="4" s="1"/>
  <c r="O31" i="4" s="1"/>
  <c r="I30" i="4"/>
  <c r="L30" i="4"/>
  <c r="N30" i="4" s="1"/>
  <c r="O30" i="4" s="1"/>
  <c r="I29" i="4"/>
  <c r="L29" i="4"/>
  <c r="N29" i="4" s="1"/>
  <c r="O29" i="4" s="1"/>
  <c r="I28" i="4"/>
  <c r="L28" i="4"/>
  <c r="N28" i="4" s="1"/>
  <c r="O28" i="4" s="1"/>
  <c r="I24" i="4"/>
  <c r="L24" i="4"/>
  <c r="N24" i="4" s="1"/>
  <c r="O24" i="4" s="1"/>
  <c r="I23" i="4"/>
  <c r="L23" i="4"/>
  <c r="N23" i="4" s="1"/>
  <c r="O23" i="4" s="1"/>
  <c r="I22" i="4"/>
  <c r="L22" i="4"/>
  <c r="N22" i="4" s="1"/>
  <c r="O22" i="4" s="1"/>
  <c r="L21" i="4"/>
  <c r="N21" i="4" s="1"/>
  <c r="O21" i="4" s="1"/>
  <c r="I16" i="4"/>
  <c r="L16" i="4"/>
  <c r="N16" i="4" s="1"/>
  <c r="O16" i="4" s="1"/>
  <c r="I33" i="4"/>
  <c r="L33" i="4"/>
  <c r="N33" i="4" s="1"/>
  <c r="O33" i="4" s="1"/>
  <c r="P29" i="4" l="1"/>
  <c r="U28" i="10"/>
  <c r="W28" i="10" s="1"/>
  <c r="P28" i="4"/>
  <c r="U27" i="10"/>
  <c r="W27" i="10" s="1"/>
  <c r="P25" i="4"/>
  <c r="U24" i="10"/>
  <c r="W24" i="10" s="1"/>
  <c r="P27" i="4"/>
  <c r="U26" i="10"/>
  <c r="W26" i="10" s="1"/>
  <c r="P23" i="4"/>
  <c r="U22" i="10"/>
  <c r="W22" i="10" s="1"/>
  <c r="P24" i="4"/>
  <c r="U23" i="10"/>
  <c r="W23" i="10" s="1"/>
  <c r="P22" i="4"/>
  <c r="U21" i="10"/>
  <c r="W21" i="10" s="1"/>
  <c r="P21" i="4"/>
  <c r="U20" i="10"/>
  <c r="U17" i="10"/>
  <c r="U15" i="10"/>
  <c r="I43" i="4"/>
  <c r="O14" i="4"/>
  <c r="U13" i="10" s="1"/>
  <c r="P8" i="4"/>
  <c r="P9" i="4"/>
  <c r="W20" i="10" l="1"/>
  <c r="G30" i="13"/>
  <c r="I23" i="6"/>
  <c r="L17" i="10" s="1"/>
  <c r="I24" i="6"/>
  <c r="L18" i="10" s="1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L15" i="10" s="1"/>
  <c r="I22" i="6"/>
  <c r="L16" i="10" s="1"/>
  <c r="M28" i="10" l="1"/>
  <c r="O28" i="10"/>
  <c r="M27" i="10"/>
  <c r="O27" i="10"/>
  <c r="M26" i="10"/>
  <c r="O26" i="10"/>
  <c r="M25" i="10"/>
  <c r="O25" i="10"/>
  <c r="M24" i="10"/>
  <c r="O24" i="10"/>
  <c r="M23" i="10"/>
  <c r="O23" i="10"/>
  <c r="M22" i="10"/>
  <c r="O22" i="10"/>
  <c r="M21" i="10"/>
  <c r="O21" i="10"/>
  <c r="M20" i="10"/>
  <c r="O20" i="10"/>
  <c r="O41" i="10" s="1"/>
  <c r="M16" i="10"/>
  <c r="O16" i="10"/>
  <c r="M19" i="10"/>
  <c r="O19" i="10"/>
  <c r="M18" i="10"/>
  <c r="O18" i="10"/>
  <c r="M17" i="10"/>
  <c r="O17" i="10"/>
  <c r="M15" i="10"/>
  <c r="O15" i="10"/>
  <c r="I17" i="6"/>
  <c r="I18" i="6"/>
  <c r="I19" i="6"/>
  <c r="L13" i="10" l="1"/>
  <c r="I48" i="6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M13" i="10" l="1"/>
  <c r="M41" i="10" s="1"/>
  <c r="L41" i="10"/>
  <c r="G45" i="10" s="1"/>
  <c r="J45" i="10" s="1"/>
  <c r="L43" i="10" s="1"/>
  <c r="O13" i="10"/>
  <c r="I6" i="13"/>
  <c r="I8" i="13"/>
  <c r="I9" i="13"/>
  <c r="I10" i="13"/>
  <c r="I11" i="13"/>
  <c r="I12" i="13"/>
  <c r="I13" i="13"/>
  <c r="I14" i="13"/>
  <c r="I16" i="13"/>
  <c r="I18" i="13"/>
  <c r="I19" i="13"/>
  <c r="I21" i="13"/>
  <c r="I23" i="13"/>
  <c r="I24" i="13"/>
  <c r="I26" i="13"/>
  <c r="I27" i="13"/>
  <c r="I28" i="13"/>
  <c r="I29" i="13"/>
  <c r="K3" i="13"/>
  <c r="K6" i="13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AD15" i="4"/>
  <c r="AE15" i="4"/>
  <c r="AD16" i="4"/>
  <c r="AE16" i="4"/>
  <c r="AD17" i="4"/>
  <c r="AE17" i="4"/>
  <c r="AD18" i="4"/>
  <c r="AE18" i="4"/>
  <c r="AD20" i="4"/>
  <c r="AE20" i="4"/>
  <c r="AD21" i="4"/>
  <c r="AE21" i="4"/>
  <c r="AD22" i="4"/>
  <c r="AE22" i="4"/>
  <c r="AD23" i="4"/>
  <c r="AE23" i="4"/>
  <c r="AD24" i="4"/>
  <c r="AE24" i="4"/>
  <c r="AD25" i="4"/>
  <c r="AE25" i="4"/>
  <c r="AD26" i="4"/>
  <c r="AE26" i="4"/>
  <c r="AD27" i="4"/>
  <c r="AE27" i="4"/>
  <c r="AD28" i="4"/>
  <c r="AE28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AD35" i="4"/>
  <c r="AE35" i="4"/>
  <c r="AD36" i="4"/>
  <c r="AE36" i="4"/>
  <c r="AD37" i="4"/>
  <c r="AE37" i="4"/>
  <c r="AD38" i="4"/>
  <c r="AE38" i="4"/>
  <c r="AD39" i="4"/>
  <c r="AE39" i="4"/>
  <c r="AD40" i="4"/>
  <c r="AE40" i="4"/>
  <c r="AD41" i="4"/>
  <c r="AE41" i="4"/>
  <c r="AD42" i="4"/>
  <c r="AE42" i="4"/>
  <c r="Q44" i="4"/>
  <c r="I4" i="13"/>
  <c r="I5" i="13"/>
  <c r="K2" i="13"/>
  <c r="K7" i="13"/>
  <c r="K14" i="13"/>
  <c r="K16" i="13"/>
  <c r="L26" i="4" l="1"/>
  <c r="N26" i="4" s="1"/>
  <c r="O26" i="4" s="1"/>
  <c r="L17" i="4"/>
  <c r="N17" i="4" s="1"/>
  <c r="L11" i="4"/>
  <c r="N11" i="4" s="1"/>
  <c r="O11" i="4" s="1"/>
  <c r="L10" i="4"/>
  <c r="N10" i="4" s="1"/>
  <c r="O10" i="4" s="1"/>
  <c r="L4" i="4"/>
  <c r="N4" i="4" s="1"/>
  <c r="O4" i="4" s="1"/>
  <c r="P4" i="4" s="1"/>
  <c r="I4" i="4"/>
  <c r="G4" i="4"/>
  <c r="E4" i="4"/>
  <c r="C4" i="4"/>
  <c r="L39" i="4"/>
  <c r="N39" i="4" s="1"/>
  <c r="O39" i="4" s="1"/>
  <c r="L38" i="4"/>
  <c r="N38" i="4" s="1"/>
  <c r="O38" i="4" s="1"/>
  <c r="I2" i="13"/>
  <c r="I3" i="13"/>
  <c r="K48" i="4"/>
  <c r="L48" i="4" s="1"/>
  <c r="M48" i="4" s="1"/>
  <c r="E17" i="13"/>
  <c r="E15" i="13"/>
  <c r="I7" i="13"/>
  <c r="E8" i="13"/>
  <c r="E6" i="13"/>
  <c r="E13" i="13"/>
  <c r="E12" i="13"/>
  <c r="E9" i="13"/>
  <c r="E22" i="13"/>
  <c r="E11" i="13"/>
  <c r="I15" i="13"/>
  <c r="E16" i="13"/>
  <c r="K9" i="13"/>
  <c r="K13" i="13"/>
  <c r="K5" i="13"/>
  <c r="K12" i="13"/>
  <c r="E5" i="13"/>
  <c r="K11" i="13"/>
  <c r="K8" i="13"/>
  <c r="K10" i="13"/>
  <c r="K4" i="13"/>
  <c r="I25" i="13"/>
  <c r="I20" i="13"/>
  <c r="I17" i="13"/>
  <c r="I22" i="13"/>
  <c r="AC44" i="4"/>
  <c r="E20" i="13"/>
  <c r="D5" i="6"/>
  <c r="E24" i="13"/>
  <c r="E23" i="13"/>
  <c r="E18" i="13"/>
  <c r="E26" i="13"/>
  <c r="E19" i="13"/>
  <c r="E14" i="13"/>
  <c r="E28" i="13"/>
  <c r="P26" i="4" l="1"/>
  <c r="U25" i="10"/>
  <c r="O17" i="4"/>
  <c r="P17" i="4" s="1"/>
  <c r="P43" i="4" s="1"/>
  <c r="N43" i="4"/>
  <c r="P10" i="4"/>
  <c r="E2" i="13"/>
  <c r="E3" i="13"/>
  <c r="AJ20" i="10"/>
  <c r="AK20" i="10" s="1"/>
  <c r="AJ28" i="10"/>
  <c r="AK28" i="10" s="1"/>
  <c r="AJ38" i="10"/>
  <c r="AK38" i="10" s="1"/>
  <c r="AJ35" i="10"/>
  <c r="AK35" i="10" s="1"/>
  <c r="AJ30" i="10"/>
  <c r="AK30" i="10" s="1"/>
  <c r="AJ31" i="10"/>
  <c r="AK31" i="10" s="1"/>
  <c r="G24" i="13"/>
  <c r="O24" i="13" s="1"/>
  <c r="E29" i="13"/>
  <c r="E25" i="13"/>
  <c r="E30" i="13"/>
  <c r="O30" i="13" s="1"/>
  <c r="E27" i="13"/>
  <c r="E31" i="13"/>
  <c r="E21" i="13"/>
  <c r="E10" i="13"/>
  <c r="K15" i="13"/>
  <c r="E7" i="13"/>
  <c r="W25" i="10" l="1"/>
  <c r="W41" i="10" s="1"/>
  <c r="U41" i="10"/>
  <c r="U16" i="10"/>
  <c r="E4" i="13"/>
  <c r="G31" i="13"/>
  <c r="O31" i="13" s="1"/>
  <c r="AJ24" i="10"/>
  <c r="AK24" i="10" s="1"/>
  <c r="AJ22" i="10"/>
  <c r="AK22" i="10" s="1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K47" i="4"/>
  <c r="O43" i="4"/>
  <c r="G47" i="10" l="1"/>
  <c r="J47" i="10" s="1"/>
  <c r="L47" i="10" s="1"/>
  <c r="G8" i="13"/>
  <c r="O8" i="13" s="1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AJ16" i="10" l="1"/>
  <c r="AK16" i="10" s="1"/>
  <c r="AK10" i="10"/>
  <c r="AK41" i="10" s="1"/>
  <c r="AJ41" i="10"/>
</calcChain>
</file>

<file path=xl/sharedStrings.xml><?xml version="1.0" encoding="utf-8"?>
<sst xmlns="http://schemas.openxmlformats.org/spreadsheetml/2006/main" count="126" uniqueCount="85">
  <si>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</si>
  <si>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</si>
  <si>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</si>
  <si>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</si>
  <si>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</si>
  <si>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</si>
  <si>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</si>
  <si>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</si>
  <si>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</si>
  <si>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</si>
  <si>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</si>
  <si>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</si>
  <si>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</si>
  <si>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</si>
  <si>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</si>
  <si>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</si>
  <si>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 xml:space="preserve"> </t>
  </si>
  <si>
    <t>Date</t>
  </si>
  <si>
    <t>Cons Eau/Hotel</t>
  </si>
  <si>
    <t>Consommation du jour en DH</t>
  </si>
  <si>
    <t>total</t>
  </si>
  <si>
    <t>Cons Elec/Villa</t>
  </si>
  <si>
    <t>Cons Elec/RIAD</t>
  </si>
  <si>
    <t>GAZ en Kg</t>
  </si>
  <si>
    <t>Compteur AVEO         Mwh</t>
  </si>
  <si>
    <t>consommation  eau choud en            Mwh</t>
  </si>
  <si>
    <t>consommation du jour  en DH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</si>
  <si>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</si>
  <si>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Total Occupation</t>
  </si>
  <si>
    <t>% Occupation</t>
  </si>
  <si>
    <t>Température Piscine Adulte à  7h00 °C</t>
  </si>
  <si>
    <t>Température Piscine Adulte  à  15h00 °C</t>
  </si>
  <si>
    <t>Température Piscine famille  à  07h00 ° C</t>
  </si>
  <si>
    <t>Température Piscine famille  à  15h00 ° C</t>
  </si>
  <si>
    <t>creuse 81</t>
  </si>
  <si>
    <t>pleine 82</t>
  </si>
  <si>
    <t>pointe 83</t>
  </si>
  <si>
    <t>Consommation totale du jour</t>
  </si>
  <si>
    <t>Consommation/Chambre</t>
  </si>
  <si>
    <t>ELECTRICITE /        Kw/h</t>
  </si>
  <si>
    <t xml:space="preserve">                    </t>
  </si>
  <si>
    <t>EAU HOTEL M3</t>
  </si>
  <si>
    <t xml:space="preserve">                           </t>
  </si>
  <si>
    <t>GAZ  Kg</t>
  </si>
  <si>
    <t xml:space="preserve">suivi Gaz 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</si>
  <si>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</si>
  <si>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</si>
  <si>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</si>
  <si>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</si>
  <si>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</si>
  <si>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</si>
  <si>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</si>
  <si>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</si>
  <si>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</si>
  <si>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</si>
  <si>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</si>
  <si>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</si>
  <si>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</si>
  <si>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</si>
  <si>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</si>
  <si>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</si>
  <si>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</si>
  <si>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</si>
  <si>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</si>
  <si>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</si>
  <si>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</si>
  <si>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</si>
  <si>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</si>
  <si>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</si>
  <si>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</si>
  <si>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</si>
  <si>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</si>
  <si>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</si>
  <si>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</si>
  <si>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Suivi  Compteur  d'Eau- électricité RADEEMA -  </t>
  </si>
  <si>
    <t>Eau m3</t>
  </si>
  <si>
    <t>Electricité Kw/h</t>
  </si>
  <si>
    <t>Compteur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</si>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</sst>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35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6"/>
      <name val="Times New Roman"/>
      <charset val="1"/>
    </font>
    <font>
      <b/>
      <sz val="12"/>
      <color rgb="FF000000"/>
      <name val="Comic Sans MS"/>
      <charset val="1"/>
    </font>
    <font>
      <b/>
      <sz val="15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27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32" fillId="19" borderId="53" xfId="0" applyFont="1" applyFill="1" applyBorder="1" applyAlignment="1">
      <alignment horizontal="center" vertical="center" wrapText="1"/>
    </xf>
    <xf numFmtId="10" fontId="32" fillId="25" borderId="53" xfId="0" applyNumberFormat="1" applyFont="1" applyFill="1" applyBorder="1" applyAlignment="1">
      <alignment horizontal="center" vertical="center" wrapText="1"/>
    </xf>
    <xf numFmtId="0" fontId="32" fillId="26" borderId="53" xfId="0" applyFont="1" applyFill="1" applyBorder="1" applyAlignment="1">
      <alignment horizontal="center" vertical="center" wrapText="1"/>
    </xf>
    <xf numFmtId="0" fontId="32" fillId="27" borderId="53" xfId="0" applyFont="1" applyFill="1" applyBorder="1" applyAlignment="1">
      <alignment horizontal="center" vertical="center" wrapText="1"/>
    </xf>
    <xf numFmtId="0" fontId="32" fillId="27" borderId="54" xfId="0" applyFont="1" applyFill="1" applyBorder="1" applyAlignment="1">
      <alignment horizontal="center" vertical="center" wrapText="1"/>
    </xf>
    <xf numFmtId="0" fontId="33" fillId="28" borderId="53" xfId="0" applyFont="1" applyFill="1" applyBorder="1" applyAlignment="1">
      <alignment horizontal="center" vertical="center" wrapText="1"/>
    </xf>
    <xf numFmtId="0" fontId="34" fillId="29" borderId="55" xfId="0" applyFont="1" applyFill="1" applyBorder="1" applyAlignment="1">
      <alignment horizontal="center" vertical="center" wrapText="1"/>
    </xf>
    <xf numFmtId="0" fontId="34" fillId="30" borderId="55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4" fillId="11" borderId="56" xfId="0" applyFont="1" applyFill="1" applyBorder="1" applyAlignment="1">
      <alignment horizontal="center" vertical="center"/>
    </xf>
    <xf numFmtId="10" fontId="4" fillId="12" borderId="36" xfId="0" applyNumberFormat="1" applyFont="1" applyFill="1" applyBorder="1" applyAlignment="1">
      <alignment horizontal="center" vertical="center"/>
    </xf>
    <xf numFmtId="0" fontId="4" fillId="21" borderId="31" xfId="0" applyFont="1" applyFill="1" applyBorder="1" applyAlignment="1">
      <alignment horizontal="center" vertical="center"/>
    </xf>
    <xf numFmtId="0" fontId="4" fillId="21" borderId="57" xfId="0" applyFont="1" applyFill="1" applyBorder="1" applyAlignment="1">
      <alignment horizontal="center" vertical="center"/>
    </xf>
    <xf numFmtId="0" fontId="4" fillId="20" borderId="36" xfId="0" applyFont="1" applyFill="1" applyBorder="1" applyAlignment="1">
      <alignment horizontal="center" vertical="center"/>
    </xf>
    <xf numFmtId="0" fontId="4" fillId="20" borderId="5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8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342</c:v>
                </c:pt>
                <c:pt idx="1">
                  <c:v>507</c:v>
                </c:pt>
                <c:pt idx="2">
                  <c:v>506</c:v>
                </c:pt>
                <c:pt idx="3">
                  <c:v>528</c:v>
                </c:pt>
                <c:pt idx="4">
                  <c:v>385</c:v>
                </c:pt>
                <c:pt idx="5">
                  <c:v>324</c:v>
                </c:pt>
                <c:pt idx="6">
                  <c:v>361</c:v>
                </c:pt>
                <c:pt idx="7">
                  <c:v>312</c:v>
                </c:pt>
                <c:pt idx="8">
                  <c:v>334</c:v>
                </c:pt>
                <c:pt idx="9">
                  <c:v>425</c:v>
                </c:pt>
                <c:pt idx="10">
                  <c:v>425</c:v>
                </c:pt>
                <c:pt idx="11">
                  <c:v>482</c:v>
                </c:pt>
                <c:pt idx="12">
                  <c:v>268</c:v>
                </c:pt>
                <c:pt idx="13">
                  <c:v>469</c:v>
                </c:pt>
                <c:pt idx="14">
                  <c:v>250</c:v>
                </c:pt>
                <c:pt idx="15">
                  <c:v>216</c:v>
                </c:pt>
                <c:pt idx="16">
                  <c:v>282</c:v>
                </c:pt>
                <c:pt idx="17">
                  <c:v>249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84288"/>
        <c:axId val="192164608"/>
      </c:lineChart>
      <c:dateAx>
        <c:axId val="19188428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64608"/>
        <c:crosses val="autoZero"/>
        <c:auto val="1"/>
        <c:lblOffset val="100"/>
        <c:baseTimeUnit val="days"/>
      </c:dateAx>
      <c:valAx>
        <c:axId val="19216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84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3753</c:v>
                </c:pt>
                <c:pt idx="1">
                  <c:v>3377</c:v>
                </c:pt>
                <c:pt idx="2">
                  <c:v>3827</c:v>
                </c:pt>
                <c:pt idx="3">
                  <c:v>4272</c:v>
                </c:pt>
                <c:pt idx="4">
                  <c:v>4074</c:v>
                </c:pt>
                <c:pt idx="5">
                  <c:v>3211</c:v>
                </c:pt>
                <c:pt idx="6">
                  <c:v>2958</c:v>
                </c:pt>
                <c:pt idx="7">
                  <c:v>2872</c:v>
                </c:pt>
                <c:pt idx="8">
                  <c:v>3589</c:v>
                </c:pt>
                <c:pt idx="9">
                  <c:v>3186</c:v>
                </c:pt>
                <c:pt idx="10">
                  <c:v>3853</c:v>
                </c:pt>
                <c:pt idx="11">
                  <c:v>3036</c:v>
                </c:pt>
                <c:pt idx="12">
                  <c:v>2884</c:v>
                </c:pt>
                <c:pt idx="13">
                  <c:v>3083</c:v>
                </c:pt>
                <c:pt idx="14">
                  <c:v>2807</c:v>
                </c:pt>
                <c:pt idx="15">
                  <c:v>2272</c:v>
                </c:pt>
                <c:pt idx="16">
                  <c:v>2297</c:v>
                </c:pt>
                <c:pt idx="17">
                  <c:v>2285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7026</c:v>
                </c:pt>
                <c:pt idx="1">
                  <c:v>8299</c:v>
                </c:pt>
                <c:pt idx="2">
                  <c:v>8493</c:v>
                </c:pt>
                <c:pt idx="3">
                  <c:v>7406</c:v>
                </c:pt>
                <c:pt idx="4">
                  <c:v>7007</c:v>
                </c:pt>
                <c:pt idx="5">
                  <c:v>5668</c:v>
                </c:pt>
                <c:pt idx="6">
                  <c:v>5360</c:v>
                </c:pt>
                <c:pt idx="7">
                  <c:v>5340</c:v>
                </c:pt>
                <c:pt idx="8">
                  <c:v>6259</c:v>
                </c:pt>
                <c:pt idx="9">
                  <c:v>5731</c:v>
                </c:pt>
                <c:pt idx="10">
                  <c:v>5780</c:v>
                </c:pt>
                <c:pt idx="11">
                  <c:v>5262</c:v>
                </c:pt>
                <c:pt idx="12">
                  <c:v>5115</c:v>
                </c:pt>
                <c:pt idx="13">
                  <c:v>4597</c:v>
                </c:pt>
                <c:pt idx="14">
                  <c:v>6277</c:v>
                </c:pt>
                <c:pt idx="15">
                  <c:v>4682</c:v>
                </c:pt>
                <c:pt idx="16">
                  <c:v>4398</c:v>
                </c:pt>
                <c:pt idx="17">
                  <c:v>4582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3187</c:v>
                </c:pt>
                <c:pt idx="1">
                  <c:v>3378</c:v>
                </c:pt>
                <c:pt idx="2">
                  <c:v>4000</c:v>
                </c:pt>
                <c:pt idx="3">
                  <c:v>3632</c:v>
                </c:pt>
                <c:pt idx="4">
                  <c:v>3686</c:v>
                </c:pt>
                <c:pt idx="5">
                  <c:v>2019</c:v>
                </c:pt>
                <c:pt idx="6">
                  <c:v>1998</c:v>
                </c:pt>
                <c:pt idx="7">
                  <c:v>2363</c:v>
                </c:pt>
                <c:pt idx="8">
                  <c:v>3138</c:v>
                </c:pt>
                <c:pt idx="9">
                  <c:v>2242</c:v>
                </c:pt>
                <c:pt idx="10">
                  <c:v>2421</c:v>
                </c:pt>
                <c:pt idx="11">
                  <c:v>2193</c:v>
                </c:pt>
                <c:pt idx="12">
                  <c:v>2075</c:v>
                </c:pt>
                <c:pt idx="13">
                  <c:v>2683</c:v>
                </c:pt>
                <c:pt idx="14">
                  <c:v>2866</c:v>
                </c:pt>
                <c:pt idx="15">
                  <c:v>1822</c:v>
                </c:pt>
                <c:pt idx="16">
                  <c:v>2633</c:v>
                </c:pt>
                <c:pt idx="17">
                  <c:v>1810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99680"/>
        <c:axId val="192205568"/>
      </c:lineChart>
      <c:dateAx>
        <c:axId val="19219968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05568"/>
        <c:crosses val="autoZero"/>
        <c:auto val="1"/>
        <c:lblOffset val="100"/>
        <c:baseTimeUnit val="days"/>
      </c:dateAx>
      <c:valAx>
        <c:axId val="1922055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996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44286</c:v>
                </c:pt>
                <c:pt idx="1">
                  <c:v>44287</c:v>
                </c:pt>
                <c:pt idx="2">
                  <c:v>44288</c:v>
                </c:pt>
                <c:pt idx="3">
                  <c:v>44289</c:v>
                </c:pt>
                <c:pt idx="4">
                  <c:v>44290</c:v>
                </c:pt>
                <c:pt idx="5">
                  <c:v>44291</c:v>
                </c:pt>
                <c:pt idx="6">
                  <c:v>44292</c:v>
                </c:pt>
                <c:pt idx="7">
                  <c:v>44293</c:v>
                </c:pt>
                <c:pt idx="8">
                  <c:v>44294</c:v>
                </c:pt>
                <c:pt idx="9">
                  <c:v>44295</c:v>
                </c:pt>
                <c:pt idx="10">
                  <c:v>44296</c:v>
                </c:pt>
                <c:pt idx="11">
                  <c:v>44297</c:v>
                </c:pt>
                <c:pt idx="12">
                  <c:v>44298</c:v>
                </c:pt>
                <c:pt idx="13">
                  <c:v>44299</c:v>
                </c:pt>
                <c:pt idx="14">
                  <c:v>44300</c:v>
                </c:pt>
                <c:pt idx="15">
                  <c:v>44301</c:v>
                </c:pt>
                <c:pt idx="16">
                  <c:v>44302</c:v>
                </c:pt>
                <c:pt idx="17">
                  <c:v>44303</c:v>
                </c:pt>
                <c:pt idx="18">
                  <c:v>44304</c:v>
                </c:pt>
                <c:pt idx="19">
                  <c:v>44305</c:v>
                </c:pt>
                <c:pt idx="20">
                  <c:v>44306</c:v>
                </c:pt>
                <c:pt idx="21">
                  <c:v>44307</c:v>
                </c:pt>
                <c:pt idx="22">
                  <c:v>44308</c:v>
                </c:pt>
                <c:pt idx="23">
                  <c:v>44309</c:v>
                </c:pt>
                <c:pt idx="24">
                  <c:v>44310</c:v>
                </c:pt>
                <c:pt idx="25">
                  <c:v>44311</c:v>
                </c:pt>
                <c:pt idx="26">
                  <c:v>44312</c:v>
                </c:pt>
                <c:pt idx="27">
                  <c:v>44313</c:v>
                </c:pt>
                <c:pt idx="28">
                  <c:v>44314</c:v>
                </c:pt>
                <c:pt idx="29">
                  <c:v>44315</c:v>
                </c:pt>
                <c:pt idx="30">
                  <c:v>44316</c:v>
                </c:pt>
                <c:pt idx="31">
                  <c:v>44317</c:v>
                </c:pt>
                <c:pt idx="32">
                  <c:v>44318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259.7</c:v>
                </c:pt>
                <c:pt idx="2">
                  <c:v>148.4</c:v>
                </c:pt>
                <c:pt idx="3">
                  <c:v>148.4</c:v>
                </c:pt>
                <c:pt idx="4">
                  <c:v>148.4</c:v>
                </c:pt>
                <c:pt idx="5">
                  <c:v>333.90000000000003</c:v>
                </c:pt>
                <c:pt idx="6">
                  <c:v>296.8</c:v>
                </c:pt>
                <c:pt idx="7">
                  <c:v>333.90000000000003</c:v>
                </c:pt>
                <c:pt idx="8">
                  <c:v>185.5</c:v>
                </c:pt>
                <c:pt idx="9">
                  <c:v>593.6</c:v>
                </c:pt>
                <c:pt idx="10">
                  <c:v>482.3</c:v>
                </c:pt>
                <c:pt idx="11">
                  <c:v>445.20000000000005</c:v>
                </c:pt>
                <c:pt idx="12">
                  <c:v>296.8</c:v>
                </c:pt>
                <c:pt idx="13">
                  <c:v>148.4</c:v>
                </c:pt>
                <c:pt idx="14">
                  <c:v>259.7</c:v>
                </c:pt>
                <c:pt idx="15">
                  <c:v>148.4</c:v>
                </c:pt>
                <c:pt idx="16">
                  <c:v>296.8</c:v>
                </c:pt>
                <c:pt idx="17">
                  <c:v>148.4</c:v>
                </c:pt>
                <c:pt idx="18">
                  <c:v>148.4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16448"/>
        <c:axId val="191915136"/>
      </c:lineChart>
      <c:dateAx>
        <c:axId val="19221644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15136"/>
        <c:crosses val="autoZero"/>
        <c:auto val="1"/>
        <c:lblOffset val="100"/>
        <c:baseTimeUnit val="days"/>
      </c:dateAx>
      <c:valAx>
        <c:axId val="191915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1644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>
          <a:extLst>
            <a:ext uri="{FF2B5EF4-FFF2-40B4-BE49-F238E27FC236}">
              <a16:creationId xmlns:a16="http://schemas.microsoft.com/office/drawing/2014/main" id="{00000000-0008-0000-0100-0000CD658003}"/>
            </a:ext>
          </a:extLst>
        </xdr:cNvPr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>
          <a:extLst>
            <a:ext uri="{FF2B5EF4-FFF2-40B4-BE49-F238E27FC236}">
              <a16:creationId xmlns:a16="http://schemas.microsoft.com/office/drawing/2014/main" id="{00000000-0008-0000-0100-0000CF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>
          <a:extLst>
            <a:ext uri="{FF2B5EF4-FFF2-40B4-BE49-F238E27FC236}">
              <a16:creationId xmlns:a16="http://schemas.microsoft.com/office/drawing/2014/main" id="{00000000-0008-0000-0100-0000D0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>
          <a:extLst>
            <a:ext uri="{FF2B5EF4-FFF2-40B4-BE49-F238E27FC236}">
              <a16:creationId xmlns:a16="http://schemas.microsoft.com/office/drawing/2014/main" id="{00000000-0008-0000-0200-0000E6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>
          <a:extLst>
            <a:ext uri="{FF2B5EF4-FFF2-40B4-BE49-F238E27FC236}">
              <a16:creationId xmlns:a16="http://schemas.microsoft.com/office/drawing/2014/main" id="{00000000-0008-0000-0200-0000E7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>
          <a:extLst>
            <a:ext uri="{FF2B5EF4-FFF2-40B4-BE49-F238E27FC236}">
              <a16:creationId xmlns:a16="http://schemas.microsoft.com/office/drawing/2014/main" id="{00000000-0008-0000-0300-000042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>
          <a:extLst>
            <a:ext uri="{FF2B5EF4-FFF2-40B4-BE49-F238E27FC236}">
              <a16:creationId xmlns:a16="http://schemas.microsoft.com/office/drawing/2014/main" id="{00000000-0008-0000-0300-000043788803}"/>
            </a:ext>
            <a:ext uri="{147F2762-F138-4A5C-976F-8EAC2B608ADB}">
              <a16:predDERef xmlns:a16="http://schemas.microsoft.com/office/drawing/2014/main" pred="{00000000-0008-0000-0300-000042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>
          <a:extLst>
            <a:ext uri="{FF2B5EF4-FFF2-40B4-BE49-F238E27FC236}">
              <a16:creationId xmlns:a16="http://schemas.microsoft.com/office/drawing/2014/main" id="{00000000-0008-0000-0300-000044788803}"/>
            </a:ext>
            <a:ext uri="{147F2762-F138-4A5C-976F-8EAC2B608ADB}">
              <a16:predDERef xmlns:a16="http://schemas.microsoft.com/office/drawing/2014/main" pred="{00000000-0008-0000-0300-000043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>
          <a:extLst>
            <a:ext uri="{FF2B5EF4-FFF2-40B4-BE49-F238E27FC236}">
              <a16:creationId xmlns:a16="http://schemas.microsoft.com/office/drawing/2014/main" id="{00000000-0008-0000-0300-000045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>
          <a:extLst>
            <a:ext uri="{FF2B5EF4-FFF2-40B4-BE49-F238E27FC236}">
              <a16:creationId xmlns:a16="http://schemas.microsoft.com/office/drawing/2014/main" id="{00000000-0008-0000-0300-000046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N20" sqref="N20"/>
    </sheetView>
  </sheetViews>
  <sheetFormatPr defaultRowHeight="12.75"/>
  <cols>
    <col min="1" max="1" width="23" style="143" customWidth="1"/>
    <col min="2" max="2" width="11.5703125" style="143" customWidth="1"/>
    <col min="3" max="3" width="11.5703125" style="143"/>
    <col min="4" max="4" width="13.42578125" style="143" customWidth="1"/>
    <col min="5" max="6" width="12.5703125" style="143" customWidth="1"/>
    <col min="7" max="13" width="11.5703125" style="143"/>
    <col min="14" max="15" width="11.5703125" style="143" customWidth="1"/>
  </cols>
  <sheetData>
    <row r="1" spans="1:15" ht="60.75" thickBot="1">
      <c r="A1" s="139" t="s">
        <v>0</v>
      </c>
      <c r="B1" s="139" t="s">
        <v>1</v>
      </c>
      <c r="C1" s="139" t="s">
        <v>2</v>
      </c>
      <c r="D1" s="139" t="s">
        <v>3</v>
      </c>
      <c r="E1" s="140" t="s">
        <v>4</v>
      </c>
      <c r="F1" s="140" t="s">
        <v>5</v>
      </c>
      <c r="G1" s="140" t="s">
        <v>6</v>
      </c>
      <c r="H1" s="140" t="s">
        <v>7</v>
      </c>
      <c r="I1" s="141" t="s">
        <v>8</v>
      </c>
      <c r="J1" s="141" t="s">
        <v>9</v>
      </c>
      <c r="K1" s="140" t="s">
        <v>10</v>
      </c>
      <c r="L1" s="140" t="s">
        <v>11</v>
      </c>
      <c r="M1" s="140" t="s">
        <v>12</v>
      </c>
      <c r="N1" s="140" t="s">
        <v>13</v>
      </c>
      <c r="O1" s="140" t="s">
        <v>14</v>
      </c>
    </row>
    <row r="2" spans="1:15">
      <c r="A2" s="142" t="s">
        <v>15</v>
      </c>
      <c r="B2" s="143">
        <v>1</v>
      </c>
      <c r="C2" s="143">
        <v>4</v>
      </c>
      <c r="D2" s="144">
        <v>2021</v>
      </c>
      <c r="E2" s="145">
        <f>'Consommation du 01.04 au 30.04'!M10</f>
        <v>13966</v>
      </c>
      <c r="F2" s="145">
        <v>1.002</v>
      </c>
      <c r="G2" s="145">
        <f>'Consommation du 01.04 au 30.04'!U10</f>
        <v>259.7</v>
      </c>
      <c r="H2" s="145">
        <v>9.3229500000000005</v>
      </c>
      <c r="I2" s="145">
        <f>'Consommation du 01.04 au 30.04'!Y10*1000</f>
        <v>12970.000000001164</v>
      </c>
      <c r="J2" s="145">
        <v>0.53</v>
      </c>
      <c r="K2" s="145">
        <f>'Consommation du 01.04 au 30.04'!D10</f>
        <v>342</v>
      </c>
      <c r="L2" s="145">
        <v>12.67</v>
      </c>
      <c r="M2" s="144">
        <f>'Consommation du 01.04 au 30.04'!AC10</f>
        <v>40</v>
      </c>
      <c r="N2" s="144">
        <v>40</v>
      </c>
      <c r="O2" s="145">
        <f>E2*F2+G2*H2+I2*J2+K2*L2</f>
        <v>27622.342115000618</v>
      </c>
    </row>
    <row r="3" spans="1:15">
      <c r="A3" s="142" t="s">
        <v>15</v>
      </c>
      <c r="B3" s="143">
        <f>B2+1</f>
        <v>2</v>
      </c>
      <c r="C3" s="143">
        <v>4</v>
      </c>
      <c r="D3" s="144">
        <v>2021</v>
      </c>
      <c r="E3" s="145">
        <f>'Consommation du 01.04 au 30.04'!M11</f>
        <v>15054</v>
      </c>
      <c r="F3" s="145">
        <v>1.002</v>
      </c>
      <c r="G3" s="145">
        <f>'Consommation du 01.04 au 30.04'!U11</f>
        <v>148.4</v>
      </c>
      <c r="H3" s="145">
        <v>9.3229500000000005</v>
      </c>
      <c r="I3" s="145">
        <f>'Consommation du 01.04 au 30.04'!Y11*1000</f>
        <v>16409.999999999854</v>
      </c>
      <c r="J3" s="145">
        <v>0.53</v>
      </c>
      <c r="K3" s="145">
        <f>'Consommation du 01.04 au 30.04'!D11</f>
        <v>507</v>
      </c>
      <c r="L3" s="145">
        <v>12.67</v>
      </c>
      <c r="M3" s="144">
        <f>'Consommation du 01.04 au 30.04'!AC11</f>
        <v>82</v>
      </c>
      <c r="N3" s="144">
        <v>82</v>
      </c>
      <c r="O3" s="145">
        <f t="shared" ref="O3:O29" si="0">E3*F3+G3*H3+I3*J3+K3*L3</f>
        <v>31588.623779999922</v>
      </c>
    </row>
    <row r="4" spans="1:15">
      <c r="A4" s="142" t="s">
        <v>15</v>
      </c>
      <c r="B4" s="143">
        <f t="shared" ref="B4:B31" si="1">B3+1</f>
        <v>3</v>
      </c>
      <c r="C4" s="143">
        <v>4</v>
      </c>
      <c r="D4" s="144">
        <v>2021</v>
      </c>
      <c r="E4" s="145">
        <f>'Consommation du 01.04 au 30.04'!M12</f>
        <v>16320</v>
      </c>
      <c r="F4" s="145">
        <v>1.002</v>
      </c>
      <c r="G4" s="145">
        <f>'Consommation du 01.04 au 30.04'!U12</f>
        <v>148.4</v>
      </c>
      <c r="H4" s="145">
        <v>9.3229500000000005</v>
      </c>
      <c r="I4" s="145">
        <f>'Consommation du 01.04 au 30.04'!Y12*1000</f>
        <v>18349.999999998545</v>
      </c>
      <c r="J4" s="145">
        <v>0.53</v>
      </c>
      <c r="K4" s="145">
        <f>'Consommation du 01.04 au 30.04'!D12</f>
        <v>506</v>
      </c>
      <c r="L4" s="145">
        <v>12.67</v>
      </c>
      <c r="M4" s="144">
        <f>'Consommation du 01.04 au 30.04'!AC12</f>
        <v>116</v>
      </c>
      <c r="N4" s="144">
        <v>116</v>
      </c>
      <c r="O4" s="145">
        <f t="shared" si="0"/>
        <v>33872.685779999229</v>
      </c>
    </row>
    <row r="5" spans="1:15">
      <c r="A5" s="142" t="s">
        <v>15</v>
      </c>
      <c r="B5" s="143">
        <f t="shared" si="1"/>
        <v>4</v>
      </c>
      <c r="C5" s="143">
        <v>4</v>
      </c>
      <c r="D5" s="144">
        <v>2021</v>
      </c>
      <c r="E5" s="145">
        <f>'Consommation du 01.04 au 30.04'!M13</f>
        <v>15310</v>
      </c>
      <c r="F5" s="145">
        <v>1.002</v>
      </c>
      <c r="G5" s="145">
        <f>'Consommation du 01.04 au 30.04'!U13</f>
        <v>148.4</v>
      </c>
      <c r="H5" s="145">
        <v>9.3229500000000005</v>
      </c>
      <c r="I5" s="145">
        <f>'Consommation du 01.04 au 30.04'!Y13*1000</f>
        <v>17380.000000001019</v>
      </c>
      <c r="J5" s="145">
        <v>0.53</v>
      </c>
      <c r="K5" s="145">
        <f>'Consommation du 01.04 au 30.04'!D13</f>
        <v>528</v>
      </c>
      <c r="L5" s="145">
        <v>12.67</v>
      </c>
      <c r="M5" s="144">
        <f>'Consommation du 01.04 au 30.04'!AC13</f>
        <v>53</v>
      </c>
      <c r="N5" s="144">
        <v>53</v>
      </c>
      <c r="O5" s="145">
        <f t="shared" si="0"/>
        <v>32625.305780000541</v>
      </c>
    </row>
    <row r="6" spans="1:15">
      <c r="A6" s="142" t="s">
        <v>15</v>
      </c>
      <c r="B6" s="143">
        <f t="shared" si="1"/>
        <v>5</v>
      </c>
      <c r="C6" s="143">
        <v>4</v>
      </c>
      <c r="D6" s="144">
        <v>2021</v>
      </c>
      <c r="E6" s="145">
        <f>'Consommation du 01.04 au 30.04'!M14</f>
        <v>14767</v>
      </c>
      <c r="F6" s="145">
        <v>1.002</v>
      </c>
      <c r="G6" s="145">
        <f>'Consommation du 01.04 au 30.04'!U14</f>
        <v>333.90000000000003</v>
      </c>
      <c r="H6" s="145">
        <v>9.3229500000000005</v>
      </c>
      <c r="I6" s="145">
        <f>'Consommation du 01.04 au 30.04'!Y14*1000</f>
        <v>9029.9999999988358</v>
      </c>
      <c r="J6" s="145">
        <v>0.53</v>
      </c>
      <c r="K6" s="145">
        <f>'Consommation du 01.04 au 30.04'!D14</f>
        <v>385</v>
      </c>
      <c r="L6" s="145">
        <v>12.67</v>
      </c>
      <c r="M6" s="144">
        <f>'Consommation du 01.04 au 30.04'!AC14</f>
        <v>29</v>
      </c>
      <c r="N6" s="144">
        <v>29</v>
      </c>
      <c r="O6" s="145">
        <f t="shared" si="0"/>
        <v>27573.317004999382</v>
      </c>
    </row>
    <row r="7" spans="1:15">
      <c r="A7" s="142" t="s">
        <v>15</v>
      </c>
      <c r="B7" s="143">
        <f t="shared" si="1"/>
        <v>6</v>
      </c>
      <c r="C7" s="143">
        <v>4</v>
      </c>
      <c r="D7" s="144">
        <v>2021</v>
      </c>
      <c r="E7" s="145">
        <f>'Consommation du 01.04 au 30.04'!M15</f>
        <v>10898</v>
      </c>
      <c r="F7" s="145">
        <v>1.002</v>
      </c>
      <c r="G7" s="145">
        <f>'Consommation du 01.04 au 30.04'!U15</f>
        <v>296.8</v>
      </c>
      <c r="H7" s="145">
        <v>9.3229500000000005</v>
      </c>
      <c r="I7" s="145">
        <f>'Consommation du 01.04 au 30.04'!Y15*1000</f>
        <v>14319.999999999709</v>
      </c>
      <c r="J7" s="145">
        <v>0.53</v>
      </c>
      <c r="K7" s="145">
        <f>'Consommation du 01.04 au 30.04'!D15</f>
        <v>324</v>
      </c>
      <c r="L7" s="145">
        <v>12.67</v>
      </c>
      <c r="M7" s="144">
        <f>'Consommation du 01.04 au 30.04'!AC15</f>
        <v>38</v>
      </c>
      <c r="N7" s="144">
        <v>38</v>
      </c>
      <c r="O7" s="145">
        <f t="shared" si="0"/>
        <v>25381.527559999849</v>
      </c>
    </row>
    <row r="8" spans="1:15">
      <c r="A8" s="142" t="s">
        <v>15</v>
      </c>
      <c r="B8" s="143">
        <f t="shared" si="1"/>
        <v>7</v>
      </c>
      <c r="C8" s="143">
        <v>4</v>
      </c>
      <c r="D8" s="144">
        <v>2021</v>
      </c>
      <c r="E8" s="145">
        <f>'Consommation du 01.04 au 30.04'!M16</f>
        <v>10316</v>
      </c>
      <c r="F8" s="145">
        <v>1.002</v>
      </c>
      <c r="G8" s="145">
        <f>'Consommation du 01.04 au 30.04'!U16</f>
        <v>333.90000000000003</v>
      </c>
      <c r="H8" s="145">
        <v>9.3229500000000005</v>
      </c>
      <c r="I8" s="145">
        <f>'Consommation du 01.04 au 30.04'!Y16*1000</f>
        <v>13549.999999999272</v>
      </c>
      <c r="J8" s="145">
        <v>0.53</v>
      </c>
      <c r="K8" s="145">
        <f>'Consommation du 01.04 au 30.04'!D16</f>
        <v>361</v>
      </c>
      <c r="L8" s="145">
        <v>12.67</v>
      </c>
      <c r="M8" s="144">
        <f>'Consommation du 01.04 au 30.04'!AC16</f>
        <v>16</v>
      </c>
      <c r="N8" s="144">
        <v>16</v>
      </c>
      <c r="O8" s="145">
        <f t="shared" si="0"/>
        <v>25204.935004999614</v>
      </c>
    </row>
    <row r="9" spans="1:15">
      <c r="A9" s="142" t="s">
        <v>15</v>
      </c>
      <c r="B9" s="143">
        <f t="shared" si="1"/>
        <v>8</v>
      </c>
      <c r="C9" s="143">
        <v>4</v>
      </c>
      <c r="D9" s="144">
        <v>2021</v>
      </c>
      <c r="E9" s="145">
        <f>'Consommation du 01.04 au 30.04'!M17</f>
        <v>10575</v>
      </c>
      <c r="F9" s="145">
        <v>1.002</v>
      </c>
      <c r="G9" s="145">
        <f>'Consommation du 01.04 au 30.04'!U17</f>
        <v>185.5</v>
      </c>
      <c r="H9" s="145">
        <v>9.3229500000000005</v>
      </c>
      <c r="I9" s="145">
        <f>'Consommation du 01.04 au 30.04'!Y17*1000</f>
        <v>14770.000000000437</v>
      </c>
      <c r="J9" s="145">
        <v>0.53</v>
      </c>
      <c r="K9" s="145">
        <f>'Consommation du 01.04 au 30.04'!D17</f>
        <v>312</v>
      </c>
      <c r="L9" s="145">
        <v>12.67</v>
      </c>
      <c r="M9" s="144">
        <f>'Consommation du 01.04 au 30.04'!AC17</f>
        <v>28</v>
      </c>
      <c r="N9" s="144">
        <v>28</v>
      </c>
      <c r="O9" s="145">
        <f t="shared" si="0"/>
        <v>24106.697225000233</v>
      </c>
    </row>
    <row r="10" spans="1:15">
      <c r="A10" s="142" t="s">
        <v>15</v>
      </c>
      <c r="B10" s="143">
        <f t="shared" si="1"/>
        <v>9</v>
      </c>
      <c r="C10" s="143">
        <v>4</v>
      </c>
      <c r="D10" s="144">
        <v>2021</v>
      </c>
      <c r="E10" s="145">
        <f>'Consommation du 01.04 au 30.04'!M18</f>
        <v>12986</v>
      </c>
      <c r="F10" s="145">
        <v>1.002</v>
      </c>
      <c r="G10" s="145">
        <f>'Consommation du 01.04 au 30.04'!U18</f>
        <v>593.6</v>
      </c>
      <c r="H10" s="145">
        <v>9.3229500000000005</v>
      </c>
      <c r="I10" s="145">
        <f>'Consommation du 01.04 au 30.04'!Y18*1000</f>
        <v>13390.000000003056</v>
      </c>
      <c r="J10" s="145">
        <v>0.53</v>
      </c>
      <c r="K10" s="145">
        <f>'Consommation du 01.04 au 30.04'!D18</f>
        <v>334</v>
      </c>
      <c r="L10" s="145">
        <v>12.67</v>
      </c>
      <c r="M10" s="144">
        <f>'Consommation du 01.04 au 30.04'!AC18</f>
        <v>63</v>
      </c>
      <c r="N10" s="144">
        <v>63</v>
      </c>
      <c r="O10" s="145">
        <f t="shared" si="0"/>
        <v>29874.55512000162</v>
      </c>
    </row>
    <row r="11" spans="1:15">
      <c r="A11" s="142" t="s">
        <v>15</v>
      </c>
      <c r="B11" s="143">
        <f t="shared" si="1"/>
        <v>10</v>
      </c>
      <c r="C11" s="143">
        <v>4</v>
      </c>
      <c r="D11" s="144">
        <v>2021</v>
      </c>
      <c r="E11" s="145">
        <f>'Consommation du 01.04 au 30.04'!M19</f>
        <v>11159</v>
      </c>
      <c r="F11" s="145">
        <v>1.002</v>
      </c>
      <c r="G11" s="145">
        <f>'Consommation du 01.04 au 30.04'!U19</f>
        <v>482.3</v>
      </c>
      <c r="H11" s="145">
        <v>9.3229500000000005</v>
      </c>
      <c r="I11" s="145">
        <f>'Consommation du 01.04 au 30.04'!Y19*1000</f>
        <v>15489.999999997963</v>
      </c>
      <c r="J11" s="145">
        <v>0.53</v>
      </c>
      <c r="K11" s="145">
        <f>'Consommation du 01.04 au 30.04'!D19</f>
        <v>425</v>
      </c>
      <c r="L11" s="145">
        <v>12.67</v>
      </c>
      <c r="M11" s="144">
        <f>'Consommation du 01.04 au 30.04'!AC19</f>
        <v>81</v>
      </c>
      <c r="N11" s="144">
        <v>81</v>
      </c>
      <c r="O11" s="145">
        <f t="shared" si="0"/>
        <v>29272.226784998922</v>
      </c>
    </row>
    <row r="12" spans="1:15">
      <c r="A12" s="142" t="s">
        <v>15</v>
      </c>
      <c r="B12" s="143">
        <f t="shared" si="1"/>
        <v>11</v>
      </c>
      <c r="C12" s="143">
        <v>4</v>
      </c>
      <c r="D12" s="144">
        <v>2021</v>
      </c>
      <c r="E12" s="145">
        <f>'Consommation du 01.04 au 30.04'!M20</f>
        <v>12054</v>
      </c>
      <c r="F12" s="145">
        <v>1.002</v>
      </c>
      <c r="G12" s="145">
        <f>'Consommation du 01.04 au 30.04'!U20</f>
        <v>445.20000000000005</v>
      </c>
      <c r="H12" s="145">
        <v>9.3229500000000005</v>
      </c>
      <c r="I12" s="145">
        <f>'Consommation du 01.04 au 30.04'!Y20*1000</f>
        <v>18630.000000001019</v>
      </c>
      <c r="J12" s="145">
        <v>0.53</v>
      </c>
      <c r="K12" s="145">
        <f>'Consommation du 01.04 au 30.04'!D20</f>
        <v>425</v>
      </c>
      <c r="L12" s="145">
        <v>12.67</v>
      </c>
      <c r="M12" s="144">
        <f>'Consommation du 01.04 au 30.04'!AC20</f>
        <v>18</v>
      </c>
      <c r="N12" s="144">
        <v>18</v>
      </c>
      <c r="O12" s="145">
        <f t="shared" si="0"/>
        <v>31487.33534000054</v>
      </c>
    </row>
    <row r="13" spans="1:15">
      <c r="A13" s="142" t="s">
        <v>15</v>
      </c>
      <c r="B13" s="143">
        <f t="shared" si="1"/>
        <v>12</v>
      </c>
      <c r="C13" s="143">
        <v>4</v>
      </c>
      <c r="D13" s="144">
        <v>2021</v>
      </c>
      <c r="E13" s="145">
        <f>'Consommation du 01.04 au 30.04'!M21</f>
        <v>10491</v>
      </c>
      <c r="F13" s="145">
        <v>1.002</v>
      </c>
      <c r="G13" s="145">
        <f>'Consommation du 01.04 au 30.04'!U21</f>
        <v>296.8</v>
      </c>
      <c r="H13" s="145">
        <v>9.3229500000000005</v>
      </c>
      <c r="I13" s="145">
        <f>'Consommation du 01.04 au 30.04'!Y21*1000</f>
        <v>11849.999999998545</v>
      </c>
      <c r="J13" s="145">
        <v>0.53</v>
      </c>
      <c r="K13" s="145">
        <f>'Consommation du 01.04 au 30.04'!D21</f>
        <v>482</v>
      </c>
      <c r="L13" s="145">
        <v>12.67</v>
      </c>
      <c r="M13" s="144">
        <f>'Consommation du 01.04 au 30.04'!AC21</f>
        <v>7</v>
      </c>
      <c r="N13" s="144">
        <v>7</v>
      </c>
      <c r="O13" s="145">
        <f t="shared" si="0"/>
        <v>25666.473559999227</v>
      </c>
    </row>
    <row r="14" spans="1:15">
      <c r="A14" s="142" t="s">
        <v>15</v>
      </c>
      <c r="B14" s="143">
        <f t="shared" si="1"/>
        <v>13</v>
      </c>
      <c r="C14" s="143">
        <v>4</v>
      </c>
      <c r="D14" s="144">
        <v>2021</v>
      </c>
      <c r="E14" s="145">
        <f>'Consommation du 01.04 au 30.04'!M22</f>
        <v>10074</v>
      </c>
      <c r="F14" s="145">
        <v>1.002</v>
      </c>
      <c r="G14" s="145">
        <f>'Consommation du 01.04 au 30.04'!U22</f>
        <v>148.4</v>
      </c>
      <c r="H14" s="145">
        <v>9.3229500000000005</v>
      </c>
      <c r="I14" s="145">
        <f>'Consommation du 01.04 au 30.04'!Y22*1000</f>
        <v>9119.9999999989814</v>
      </c>
      <c r="J14" s="145">
        <v>0.53</v>
      </c>
      <c r="K14" s="145">
        <f>'Consommation du 01.04 au 30.04'!D22</f>
        <v>268</v>
      </c>
      <c r="L14" s="145">
        <v>12.67</v>
      </c>
      <c r="M14" s="144">
        <f>'Consommation du 01.04 au 30.04'!AC22</f>
        <v>5</v>
      </c>
      <c r="N14" s="144">
        <v>5</v>
      </c>
      <c r="O14" s="145">
        <f t="shared" si="0"/>
        <v>19706.833779999459</v>
      </c>
    </row>
    <row r="15" spans="1:15">
      <c r="A15" s="142" t="s">
        <v>15</v>
      </c>
      <c r="B15" s="143">
        <f t="shared" si="1"/>
        <v>14</v>
      </c>
      <c r="C15" s="143">
        <v>4</v>
      </c>
      <c r="D15" s="144">
        <v>2021</v>
      </c>
      <c r="E15" s="145">
        <f>'Consommation du 01.04 au 30.04'!M23</f>
        <v>10363</v>
      </c>
      <c r="F15" s="145">
        <v>1.002</v>
      </c>
      <c r="G15" s="145">
        <f>'Consommation du 01.04 au 30.04'!U23</f>
        <v>259.7</v>
      </c>
      <c r="H15" s="145">
        <v>9.3229500000000005</v>
      </c>
      <c r="I15" s="145">
        <f>'Consommation du 01.04 au 30.04'!Y23*1000</f>
        <v>6630.0000000010186</v>
      </c>
      <c r="J15" s="145">
        <v>0.53</v>
      </c>
      <c r="K15" s="145">
        <f>'Consommation du 01.04 au 30.04'!D23</f>
        <v>469</v>
      </c>
      <c r="L15" s="145">
        <v>12.67</v>
      </c>
      <c r="M15" s="144">
        <f>'Consommation du 01.04 au 30.04'!AC23</f>
        <v>6</v>
      </c>
      <c r="N15" s="144">
        <v>6</v>
      </c>
      <c r="O15" s="145">
        <f t="shared" si="0"/>
        <v>22261.026115000539</v>
      </c>
    </row>
    <row r="16" spans="1:15">
      <c r="A16" s="142" t="s">
        <v>15</v>
      </c>
      <c r="B16" s="143">
        <f t="shared" si="1"/>
        <v>15</v>
      </c>
      <c r="C16" s="143">
        <v>4</v>
      </c>
      <c r="D16" s="144">
        <v>2021</v>
      </c>
      <c r="E16" s="145">
        <f>'Consommation du 01.04 au 30.04'!M24</f>
        <v>11950</v>
      </c>
      <c r="F16" s="145">
        <v>1.002</v>
      </c>
      <c r="G16" s="145">
        <f>'Consommation du 01.04 au 30.04'!U24</f>
        <v>148.4</v>
      </c>
      <c r="H16" s="145">
        <v>9.3229500000000005</v>
      </c>
      <c r="I16" s="145">
        <f>'Consommation du 01.04 au 30.04'!Y24*1000</f>
        <v>8959.9999999991269</v>
      </c>
      <c r="J16" s="145">
        <v>0.53</v>
      </c>
      <c r="K16" s="145">
        <f>'Consommation du 01.04 au 30.04'!D24</f>
        <v>250</v>
      </c>
      <c r="L16" s="145">
        <v>12.67</v>
      </c>
      <c r="M16" s="144">
        <f>'Consommation du 01.04 au 30.04'!AC24</f>
        <v>3</v>
      </c>
      <c r="N16" s="144">
        <v>3</v>
      </c>
      <c r="O16" s="145">
        <f t="shared" si="0"/>
        <v>21273.725779999535</v>
      </c>
    </row>
    <row r="17" spans="1:15">
      <c r="A17" s="142" t="s">
        <v>15</v>
      </c>
      <c r="B17" s="143">
        <f t="shared" si="1"/>
        <v>16</v>
      </c>
      <c r="C17" s="143">
        <v>4</v>
      </c>
      <c r="D17" s="144">
        <v>2021</v>
      </c>
      <c r="E17" s="145">
        <f>'Consommation du 01.04 au 30.04'!M25</f>
        <v>8776</v>
      </c>
      <c r="F17" s="145">
        <v>1.002</v>
      </c>
      <c r="G17" s="145">
        <f>'Consommation du 01.04 au 30.04'!U25</f>
        <v>296.8</v>
      </c>
      <c r="H17" s="145">
        <v>9.3229500000000005</v>
      </c>
      <c r="I17" s="145">
        <f>'Consommation du 01.04 au 30.04'!Y25*1000</f>
        <v>11060.00000000131</v>
      </c>
      <c r="J17" s="145">
        <v>0.53</v>
      </c>
      <c r="K17" s="145">
        <f>'Consommation du 01.04 au 30.04'!D25</f>
        <v>216</v>
      </c>
      <c r="L17" s="145">
        <v>12.67</v>
      </c>
      <c r="M17" s="144">
        <f>'Consommation du 01.04 au 30.04'!AC25</f>
        <v>4</v>
      </c>
      <c r="N17" s="144">
        <v>4</v>
      </c>
      <c r="O17" s="145">
        <f t="shared" si="0"/>
        <v>20159.123560000695</v>
      </c>
    </row>
    <row r="18" spans="1:15">
      <c r="A18" s="142" t="s">
        <v>15</v>
      </c>
      <c r="B18" s="143">
        <f t="shared" si="1"/>
        <v>17</v>
      </c>
      <c r="C18" s="143">
        <v>4</v>
      </c>
      <c r="D18" s="144">
        <v>2021</v>
      </c>
      <c r="E18" s="145">
        <f>'Consommation du 01.04 au 30.04'!M26</f>
        <v>9328</v>
      </c>
      <c r="F18" s="145">
        <v>1.002</v>
      </c>
      <c r="G18" s="145">
        <f>'Consommation du 01.04 au 30.04'!U26</f>
        <v>148.4</v>
      </c>
      <c r="H18" s="145">
        <v>9.3229500000000005</v>
      </c>
      <c r="I18" s="145">
        <f>'Consommation du 01.04 au 30.04'!Y26*1000</f>
        <v>9770.0000000004366</v>
      </c>
      <c r="J18" s="145">
        <v>0.53</v>
      </c>
      <c r="K18" s="145">
        <f>'Consommation du 01.04 au 30.04'!D26</f>
        <v>282</v>
      </c>
      <c r="L18" s="145">
        <v>12.67</v>
      </c>
      <c r="M18" s="144">
        <f>'Consommation du 01.04 au 30.04'!AC26</f>
        <v>7</v>
      </c>
      <c r="N18" s="144">
        <v>7</v>
      </c>
      <c r="O18" s="145">
        <f t="shared" si="0"/>
        <v>19481.221780000233</v>
      </c>
    </row>
    <row r="19" spans="1:15">
      <c r="A19" s="142" t="s">
        <v>15</v>
      </c>
      <c r="B19" s="143">
        <f t="shared" si="1"/>
        <v>18</v>
      </c>
      <c r="C19" s="143">
        <v>4</v>
      </c>
      <c r="D19" s="144">
        <v>2021</v>
      </c>
      <c r="E19" s="145">
        <f>'Consommation du 01.04 au 30.04'!M27</f>
        <v>8677</v>
      </c>
      <c r="F19" s="145">
        <v>1.002</v>
      </c>
      <c r="G19" s="145">
        <f>'Consommation du 01.04 au 30.04'!U27</f>
        <v>148.4</v>
      </c>
      <c r="H19" s="145">
        <v>9.3229500000000005</v>
      </c>
      <c r="I19" s="145">
        <f>'Consommation du 01.04 au 30.04'!Y27*1000</f>
        <v>9479.9999999995634</v>
      </c>
      <c r="J19" s="145">
        <v>0.53</v>
      </c>
      <c r="K19" s="145">
        <f>'Consommation du 01.04 au 30.04'!D27</f>
        <v>249</v>
      </c>
      <c r="L19" s="145">
        <v>12.67</v>
      </c>
      <c r="M19" s="144">
        <f>'Consommation du 01.04 au 30.04'!AC27</f>
        <v>12</v>
      </c>
      <c r="N19" s="144">
        <v>12</v>
      </c>
      <c r="O19" s="145">
        <f t="shared" si="0"/>
        <v>18257.109779999766</v>
      </c>
    </row>
    <row r="20" spans="1:15">
      <c r="A20" s="142" t="s">
        <v>15</v>
      </c>
      <c r="B20" s="143">
        <f t="shared" si="1"/>
        <v>19</v>
      </c>
      <c r="C20" s="143">
        <v>4</v>
      </c>
      <c r="D20" s="144">
        <v>2021</v>
      </c>
      <c r="E20" s="145">
        <f>'Consommation du 01.04 au 30.04'!M28</f>
        <v>0</v>
      </c>
      <c r="F20" s="145">
        <v>1.002</v>
      </c>
      <c r="G20" s="145">
        <f>'Consommation du 01.04 au 30.04'!U28</f>
        <v>0</v>
      </c>
      <c r="H20" s="145">
        <v>9.3229500000000005</v>
      </c>
      <c r="I20" s="145">
        <f>'Consommation du 01.04 au 30.04'!Y28*1000</f>
        <v>0</v>
      </c>
      <c r="J20" s="145">
        <v>0.53</v>
      </c>
      <c r="K20" s="145">
        <f>'Consommation du 01.04 au 30.04'!D28</f>
        <v>0</v>
      </c>
      <c r="L20" s="145">
        <v>12.67</v>
      </c>
      <c r="M20" s="144">
        <f>'Consommation du 01.04 au 30.04'!AC28</f>
        <v>0</v>
      </c>
      <c r="N20" s="144"/>
      <c r="O20" s="145">
        <f t="shared" si="0"/>
        <v>0</v>
      </c>
    </row>
    <row r="21" spans="1:15">
      <c r="A21" s="142" t="s">
        <v>15</v>
      </c>
      <c r="B21" s="143">
        <f t="shared" si="1"/>
        <v>20</v>
      </c>
      <c r="C21" s="143">
        <v>4</v>
      </c>
      <c r="D21" s="144">
        <v>2021</v>
      </c>
      <c r="E21" s="145">
        <f>'Consommation du 01.04 au 30.04'!M29</f>
        <v>0</v>
      </c>
      <c r="F21" s="145">
        <v>1.002</v>
      </c>
      <c r="G21" s="145">
        <f>'Consommation du 01.04 au 30.04'!U29</f>
        <v>0</v>
      </c>
      <c r="H21" s="145">
        <v>9.3229500000000005</v>
      </c>
      <c r="I21" s="145">
        <f>'Consommation du 01.04 au 30.04'!Y29*1000</f>
        <v>0</v>
      </c>
      <c r="J21" s="145">
        <v>0.53</v>
      </c>
      <c r="K21" s="145">
        <f>'Consommation du 01.04 au 30.04'!D29</f>
        <v>0</v>
      </c>
      <c r="L21" s="145">
        <v>12.67</v>
      </c>
      <c r="M21" s="144">
        <f>'Consommation du 01.04 au 30.04'!AC29</f>
        <v>0</v>
      </c>
      <c r="N21" s="144"/>
      <c r="O21" s="145">
        <f t="shared" si="0"/>
        <v>0</v>
      </c>
    </row>
    <row r="22" spans="1:15">
      <c r="A22" s="142" t="s">
        <v>15</v>
      </c>
      <c r="B22" s="143">
        <f t="shared" si="1"/>
        <v>21</v>
      </c>
      <c r="C22" s="143">
        <v>4</v>
      </c>
      <c r="D22" s="144">
        <v>2021</v>
      </c>
      <c r="E22" s="145">
        <f>'Consommation du 01.04 au 30.04'!M30</f>
        <v>0</v>
      </c>
      <c r="F22" s="145">
        <v>1.002</v>
      </c>
      <c r="G22" s="145">
        <f>'Consommation du 01.04 au 30.04'!U30</f>
        <v>0</v>
      </c>
      <c r="H22" s="145">
        <v>9.3229500000000005</v>
      </c>
      <c r="I22" s="145">
        <f>'Consommation du 01.04 au 30.04'!Y30*1000</f>
        <v>0</v>
      </c>
      <c r="J22" s="145">
        <v>0.53</v>
      </c>
      <c r="K22" s="145">
        <f>'Consommation du 01.04 au 30.04'!D30</f>
        <v>0</v>
      </c>
      <c r="L22" s="145">
        <v>12.67</v>
      </c>
      <c r="M22" s="144">
        <f>'Consommation du 01.04 au 30.04'!AC30</f>
        <v>0</v>
      </c>
      <c r="N22" s="144"/>
      <c r="O22" s="145">
        <f t="shared" si="0"/>
        <v>0</v>
      </c>
    </row>
    <row r="23" spans="1:15">
      <c r="A23" s="142" t="s">
        <v>15</v>
      </c>
      <c r="B23" s="143">
        <f t="shared" si="1"/>
        <v>22</v>
      </c>
      <c r="C23" s="143">
        <v>4</v>
      </c>
      <c r="D23" s="144">
        <v>2021</v>
      </c>
      <c r="E23" s="145">
        <f>'Consommation du 01.04 au 30.04'!M31</f>
        <v>0</v>
      </c>
      <c r="F23" s="145">
        <v>1.002</v>
      </c>
      <c r="G23" s="145">
        <f>'Consommation du 01.04 au 30.04'!U31</f>
        <v>0</v>
      </c>
      <c r="H23" s="145">
        <v>9.3229500000000005</v>
      </c>
      <c r="I23" s="145">
        <f>'Consommation du 01.04 au 30.04'!Y31*1000</f>
        <v>0</v>
      </c>
      <c r="J23" s="145">
        <v>0.53</v>
      </c>
      <c r="K23" s="145">
        <f>'Consommation du 01.04 au 30.04'!D31</f>
        <v>0</v>
      </c>
      <c r="L23" s="145">
        <v>12.67</v>
      </c>
      <c r="M23" s="144">
        <f>'Consommation du 01.04 au 30.04'!AC31</f>
        <v>0</v>
      </c>
      <c r="N23" s="144"/>
      <c r="O23" s="145">
        <f t="shared" si="0"/>
        <v>0</v>
      </c>
    </row>
    <row r="24" spans="1:15">
      <c r="A24" s="142" t="s">
        <v>15</v>
      </c>
      <c r="B24" s="143">
        <f t="shared" si="1"/>
        <v>23</v>
      </c>
      <c r="C24" s="143">
        <v>4</v>
      </c>
      <c r="D24" s="144">
        <v>2021</v>
      </c>
      <c r="E24" s="145">
        <f>'Consommation du 01.04 au 30.04'!M32</f>
        <v>0</v>
      </c>
      <c r="F24" s="145">
        <v>1.002</v>
      </c>
      <c r="G24" s="145">
        <f>'Consommation du 01.04 au 30.04'!U32</f>
        <v>0</v>
      </c>
      <c r="H24" s="145">
        <v>9.3229500000000005</v>
      </c>
      <c r="I24" s="145">
        <f>'Consommation du 01.04 au 30.04'!Y32*1000</f>
        <v>0</v>
      </c>
      <c r="J24" s="145">
        <v>0.53</v>
      </c>
      <c r="K24" s="145">
        <f>'Consommation du 01.04 au 30.04'!D32</f>
        <v>0</v>
      </c>
      <c r="L24" s="145">
        <v>12.67</v>
      </c>
      <c r="M24" s="144">
        <f>'Consommation du 01.04 au 30.04'!AC32</f>
        <v>0</v>
      </c>
      <c r="N24" s="144"/>
      <c r="O24" s="145">
        <f t="shared" si="0"/>
        <v>0</v>
      </c>
    </row>
    <row r="25" spans="1:15">
      <c r="A25" s="142" t="s">
        <v>15</v>
      </c>
      <c r="B25" s="143">
        <f t="shared" si="1"/>
        <v>24</v>
      </c>
      <c r="C25" s="143">
        <v>4</v>
      </c>
      <c r="D25" s="144">
        <v>2021</v>
      </c>
      <c r="E25" s="145">
        <f>'Consommation du 01.04 au 30.04'!M33</f>
        <v>0</v>
      </c>
      <c r="F25" s="145">
        <v>1.002</v>
      </c>
      <c r="G25" s="145">
        <f>'Consommation du 01.04 au 30.04'!U33</f>
        <v>0</v>
      </c>
      <c r="H25" s="145">
        <v>9.3229500000000005</v>
      </c>
      <c r="I25" s="145">
        <f>'Consommation du 01.04 au 30.04'!Y33*1000</f>
        <v>0</v>
      </c>
      <c r="J25" s="145">
        <v>0.53</v>
      </c>
      <c r="K25" s="145">
        <f>'Consommation du 01.04 au 30.04'!D33</f>
        <v>0</v>
      </c>
      <c r="L25" s="145">
        <v>12.67</v>
      </c>
      <c r="M25" s="144">
        <f>'Consommation du 01.04 au 30.04'!AC33</f>
        <v>0</v>
      </c>
      <c r="N25" s="144"/>
      <c r="O25" s="145">
        <f t="shared" si="0"/>
        <v>0</v>
      </c>
    </row>
    <row r="26" spans="1:15">
      <c r="A26" s="142" t="s">
        <v>15</v>
      </c>
      <c r="B26" s="143">
        <f>B25+1</f>
        <v>25</v>
      </c>
      <c r="C26" s="143">
        <v>4</v>
      </c>
      <c r="D26" s="144">
        <v>2021</v>
      </c>
      <c r="E26" s="145">
        <f>'Consommation du 01.04 au 30.04'!M34</f>
        <v>0</v>
      </c>
      <c r="F26" s="145">
        <v>1.002</v>
      </c>
      <c r="G26" s="145">
        <f>'Consommation du 01.04 au 30.04'!U34</f>
        <v>0</v>
      </c>
      <c r="H26" s="145">
        <v>9.3229500000000005</v>
      </c>
      <c r="I26" s="145">
        <f>'Consommation du 01.04 au 30.04'!Y34*1000</f>
        <v>0</v>
      </c>
      <c r="J26" s="145">
        <v>0.53</v>
      </c>
      <c r="K26" s="145">
        <f>'Consommation du 01.04 au 30.04'!D34</f>
        <v>0</v>
      </c>
      <c r="L26" s="145">
        <v>12.67</v>
      </c>
      <c r="M26" s="144">
        <f>'Consommation du 01.04 au 30.04'!AC34</f>
        <v>0</v>
      </c>
      <c r="N26" s="144"/>
      <c r="O26" s="145">
        <f t="shared" si="0"/>
        <v>0</v>
      </c>
    </row>
    <row r="27" spans="1:15">
      <c r="A27" s="142" t="s">
        <v>15</v>
      </c>
      <c r="B27" s="143">
        <f t="shared" si="1"/>
        <v>26</v>
      </c>
      <c r="C27" s="143">
        <v>4</v>
      </c>
      <c r="D27" s="144">
        <v>2021</v>
      </c>
      <c r="E27" s="145">
        <f>'Consommation du 01.04 au 30.04'!M35</f>
        <v>0</v>
      </c>
      <c r="F27" s="145">
        <v>1.002</v>
      </c>
      <c r="G27" s="145">
        <f>'Consommation du 01.04 au 30.04'!U35</f>
        <v>0</v>
      </c>
      <c r="H27" s="145">
        <v>9.3229500000000005</v>
      </c>
      <c r="I27" s="145">
        <f>'Consommation du 01.04 au 30.04'!Y35*1000</f>
        <v>0</v>
      </c>
      <c r="J27" s="145">
        <v>0.53</v>
      </c>
      <c r="K27" s="145">
        <f>'Consommation du 01.04 au 30.04'!D35</f>
        <v>0</v>
      </c>
      <c r="L27" s="145">
        <v>12.67</v>
      </c>
      <c r="M27" s="144">
        <f>'Consommation du 01.04 au 30.04'!AC35</f>
        <v>0</v>
      </c>
      <c r="N27" s="144"/>
      <c r="O27" s="145">
        <f t="shared" si="0"/>
        <v>0</v>
      </c>
    </row>
    <row r="28" spans="1:15">
      <c r="A28" s="142" t="s">
        <v>15</v>
      </c>
      <c r="B28" s="143">
        <f t="shared" si="1"/>
        <v>27</v>
      </c>
      <c r="C28" s="143">
        <v>4</v>
      </c>
      <c r="D28" s="144">
        <v>2021</v>
      </c>
      <c r="E28" s="145">
        <f>'Consommation du 01.04 au 30.04'!M36</f>
        <v>0</v>
      </c>
      <c r="F28" s="145">
        <v>1.002</v>
      </c>
      <c r="G28" s="145">
        <f>'Consommation du 01.04 au 30.04'!U36</f>
        <v>0</v>
      </c>
      <c r="H28" s="145">
        <v>9.3229500000000005</v>
      </c>
      <c r="I28" s="145">
        <f>'Consommation du 01.04 au 30.04'!Y36*1000</f>
        <v>0</v>
      </c>
      <c r="J28" s="145">
        <v>0.53</v>
      </c>
      <c r="K28" s="145">
        <f>'Consommation du 01.04 au 30.04'!D36</f>
        <v>0</v>
      </c>
      <c r="L28" s="145">
        <v>12.67</v>
      </c>
      <c r="M28" s="144">
        <f>'Consommation du 01.04 au 30.04'!AC36</f>
        <v>0</v>
      </c>
      <c r="N28" s="144"/>
      <c r="O28" s="145">
        <f t="shared" si="0"/>
        <v>0</v>
      </c>
    </row>
    <row r="29" spans="1:15">
      <c r="A29" s="142" t="s">
        <v>15</v>
      </c>
      <c r="B29" s="143">
        <f t="shared" si="1"/>
        <v>28</v>
      </c>
      <c r="C29" s="143">
        <v>4</v>
      </c>
      <c r="D29" s="144">
        <v>2021</v>
      </c>
      <c r="E29" s="145">
        <f>'Consommation du 01.04 au 30.04'!M37</f>
        <v>0</v>
      </c>
      <c r="F29" s="145">
        <v>1.002</v>
      </c>
      <c r="G29" s="145">
        <f>'Consommation du 01.04 au 30.04'!U37</f>
        <v>0</v>
      </c>
      <c r="H29" s="145">
        <v>9.3229500000000005</v>
      </c>
      <c r="I29" s="145">
        <f>'Consommation du 01.04 au 30.04'!Y37*1000</f>
        <v>0</v>
      </c>
      <c r="J29" s="145">
        <v>0.53</v>
      </c>
      <c r="K29" s="145">
        <f>'Consommation du 01.04 au 30.04'!D37</f>
        <v>0</v>
      </c>
      <c r="L29" s="145">
        <v>12.67</v>
      </c>
      <c r="M29" s="144">
        <f>'Consommation du 01.04 au 30.04'!AC37</f>
        <v>0</v>
      </c>
      <c r="N29" s="144"/>
      <c r="O29" s="145">
        <f t="shared" si="0"/>
        <v>0</v>
      </c>
    </row>
    <row r="30" spans="1:15">
      <c r="A30" s="142" t="s">
        <v>15</v>
      </c>
      <c r="B30" s="143">
        <f t="shared" si="1"/>
        <v>29</v>
      </c>
      <c r="C30" s="143">
        <v>4</v>
      </c>
      <c r="D30" s="144">
        <v>2021</v>
      </c>
      <c r="E30" s="145">
        <f>'Consommation du 01.04 au 30.04'!M38</f>
        <v>0</v>
      </c>
      <c r="F30" s="145">
        <v>1.002</v>
      </c>
      <c r="G30" s="145">
        <f>'Consommation du 01.04 au 30.04'!U38</f>
        <v>0</v>
      </c>
      <c r="H30" s="145">
        <v>9.3229500000000005</v>
      </c>
      <c r="I30" s="145">
        <f>'Consommation du 01.04 au 30.04'!Y38*1000</f>
        <v>0</v>
      </c>
      <c r="J30" s="145">
        <v>0.53</v>
      </c>
      <c r="K30" s="145">
        <f>'Consommation du 01.04 au 30.04'!D38</f>
        <v>0</v>
      </c>
      <c r="L30" s="145">
        <v>12.67</v>
      </c>
      <c r="M30" s="144">
        <f>'Consommation du 01.04 au 30.04'!AC38</f>
        <v>0</v>
      </c>
      <c r="N30" s="144"/>
      <c r="O30" s="145">
        <f t="shared" ref="O30:O31" si="2">E30*F30+G30*H30+I30*J30+K30*L30</f>
        <v>0</v>
      </c>
    </row>
    <row r="31" spans="1:15">
      <c r="A31" s="142" t="s">
        <v>15</v>
      </c>
      <c r="B31" s="143">
        <f t="shared" si="1"/>
        <v>30</v>
      </c>
      <c r="C31" s="143">
        <v>4</v>
      </c>
      <c r="D31" s="144">
        <v>2021</v>
      </c>
      <c r="E31" s="145">
        <f>'Consommation du 01.04 au 30.04'!M39</f>
        <v>0</v>
      </c>
      <c r="F31" s="145">
        <v>1.002</v>
      </c>
      <c r="G31" s="145">
        <f>'Consommation du 01.04 au 30.04'!U39</f>
        <v>0</v>
      </c>
      <c r="H31" s="145">
        <v>9.3229500000000005</v>
      </c>
      <c r="I31" s="145">
        <f>'Consommation du 01.04 au 30.04'!Y39*1000</f>
        <v>0</v>
      </c>
      <c r="J31" s="145">
        <v>0.53</v>
      </c>
      <c r="K31" s="145">
        <f>'Consommation du 01.04 au 30.04'!D39</f>
        <v>0</v>
      </c>
      <c r="L31" s="145">
        <v>12.67</v>
      </c>
      <c r="M31" s="144">
        <f>'Consommation du 01.04 au 30.04'!AC39</f>
        <v>0</v>
      </c>
      <c r="N31" s="144"/>
      <c r="O31" s="145">
        <f t="shared" si="2"/>
        <v>0</v>
      </c>
    </row>
    <row r="32" spans="1:15"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</row>
    <row r="33" spans="4:14"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</row>
    <row r="34" spans="4:14"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</row>
    <row r="35" spans="4:14"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</row>
    <row r="36" spans="4:14"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</row>
    <row r="37" spans="4:14"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</row>
    <row r="38" spans="4:14"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29"/>
  </sheetPr>
  <dimension ref="A1:IV112"/>
  <sheetViews>
    <sheetView view="pageBreakPreview" topLeftCell="L13" zoomScale="60" zoomScaleNormal="60" workbookViewId="0">
      <selection activeCell="X28" sqref="X28"/>
    </sheetView>
  </sheetViews>
  <sheetFormatPr defaultColWidth="11.42578125" defaultRowHeight="18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6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</row>
    <row r="2" spans="1:40" ht="129" customHeight="1" thickBot="1">
      <c r="A2" s="176"/>
      <c r="B2" s="177"/>
      <c r="C2" s="177"/>
      <c r="D2" s="177"/>
      <c r="E2" s="177"/>
      <c r="F2" s="178"/>
      <c r="G2" s="179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76"/>
      <c r="AE2" s="178"/>
      <c r="AF2" s="64"/>
      <c r="AG2" s="164"/>
      <c r="AH2" s="55"/>
      <c r="AI2" s="164"/>
      <c r="AJ2" s="63"/>
      <c r="AK2" s="164"/>
      <c r="AL2" s="164"/>
      <c r="AM2" s="164"/>
      <c r="AN2" s="164"/>
    </row>
    <row r="3" spans="1:40" ht="1.5" customHeigh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</row>
    <row r="4" spans="1:40" ht="39" hidden="1" customHeight="1">
      <c r="A4" s="181"/>
      <c r="B4" s="181"/>
      <c r="C4" s="181"/>
      <c r="D4" s="3"/>
      <c r="E4" s="3"/>
      <c r="F4" s="3"/>
      <c r="G4" s="3"/>
      <c r="H4" s="3"/>
      <c r="I4" s="3"/>
      <c r="J4" s="3"/>
      <c r="K4" s="2" t="s">
        <v>16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</row>
    <row r="5" spans="1:40" ht="37.5" hidden="1" customHeight="1">
      <c r="A5" s="181"/>
      <c r="B5" s="181"/>
      <c r="C5" s="181"/>
      <c r="D5" s="3"/>
      <c r="E5" s="3"/>
      <c r="F5" s="3"/>
      <c r="G5" s="3"/>
      <c r="H5" s="3"/>
      <c r="I5" s="3"/>
      <c r="J5" s="3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70"/>
      <c r="AC5" s="170"/>
      <c r="AD5" s="164"/>
      <c r="AE5" s="62"/>
      <c r="AF5" s="164"/>
      <c r="AG5" s="164"/>
      <c r="AH5" s="164"/>
      <c r="AI5" s="164"/>
      <c r="AJ5" s="164"/>
      <c r="AK5" s="164"/>
      <c r="AL5" s="164"/>
      <c r="AM5" s="164"/>
      <c r="AN5" s="164"/>
    </row>
    <row r="6" spans="1:40" s="6" customFormat="1" ht="51" customHeight="1">
      <c r="A6" s="1"/>
      <c r="B6" s="1"/>
      <c r="C6" s="1"/>
      <c r="D6" s="3"/>
      <c r="E6" s="3"/>
      <c r="F6" s="3"/>
      <c r="G6" s="3"/>
      <c r="H6" s="3"/>
      <c r="I6" s="3"/>
      <c r="J6" s="3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70"/>
      <c r="AC6" s="170"/>
      <c r="AI6" s="3"/>
      <c r="AJ6" s="3"/>
      <c r="AK6" s="3"/>
    </row>
    <row r="7" spans="1:40" s="6" customFormat="1" ht="3.75" hidden="1" customHeight="1" thickBot="1">
      <c r="A7" s="170"/>
      <c r="B7" s="170"/>
      <c r="C7" s="170"/>
      <c r="D7" s="183"/>
      <c r="E7" s="183"/>
      <c r="F7" s="183"/>
      <c r="G7" s="183"/>
      <c r="H7" s="183"/>
      <c r="I7" s="183"/>
      <c r="J7" s="183"/>
      <c r="K7" s="183"/>
      <c r="L7" s="183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71"/>
      <c r="AC7" s="171"/>
      <c r="AI7" s="3"/>
      <c r="AJ7" s="65"/>
      <c r="AK7" s="65"/>
      <c r="AL7" s="68"/>
    </row>
    <row r="8" spans="1:40" ht="2.25" customHeight="1">
      <c r="A8" s="185"/>
      <c r="B8" s="186" t="s">
        <v>17</v>
      </c>
      <c r="C8" s="69"/>
      <c r="D8" s="187" t="s">
        <v>18</v>
      </c>
      <c r="E8" s="66"/>
      <c r="F8" s="189" t="s">
        <v>19</v>
      </c>
      <c r="G8" s="190"/>
      <c r="H8" s="191"/>
      <c r="I8" s="66"/>
      <c r="J8" s="80"/>
      <c r="K8" s="80"/>
      <c r="L8" s="80"/>
      <c r="M8" s="195" t="s">
        <v>20</v>
      </c>
      <c r="N8" s="66"/>
      <c r="O8" s="203" t="s">
        <v>19</v>
      </c>
      <c r="P8" s="66"/>
      <c r="Q8" s="203" t="s">
        <v>21</v>
      </c>
      <c r="R8" s="66"/>
      <c r="S8" s="203" t="s">
        <v>22</v>
      </c>
      <c r="T8" s="66"/>
      <c r="U8" s="207" t="s">
        <v>23</v>
      </c>
      <c r="V8" s="66"/>
      <c r="W8" s="203" t="s">
        <v>19</v>
      </c>
      <c r="X8" s="209" t="s">
        <v>24</v>
      </c>
      <c r="Y8" s="211" t="s">
        <v>25</v>
      </c>
      <c r="Z8" s="213" t="s">
        <v>26</v>
      </c>
      <c r="AA8" s="215"/>
      <c r="AB8" s="216" t="s">
        <v>27</v>
      </c>
      <c r="AC8" s="203" t="s">
        <v>28</v>
      </c>
      <c r="AD8" s="205" t="s">
        <v>29</v>
      </c>
      <c r="AE8" s="196" t="s">
        <v>30</v>
      </c>
      <c r="AF8" s="196" t="s">
        <v>31</v>
      </c>
      <c r="AG8" s="198" t="s">
        <v>32</v>
      </c>
      <c r="AH8" s="198" t="s">
        <v>33</v>
      </c>
      <c r="AI8" s="55"/>
      <c r="AJ8" s="112"/>
      <c r="AK8" s="112"/>
      <c r="AL8" s="67"/>
      <c r="AM8" s="164"/>
      <c r="AN8" s="164"/>
    </row>
    <row r="9" spans="1:40" ht="77.25" customHeight="1">
      <c r="A9" s="185"/>
      <c r="B9" s="186"/>
      <c r="C9" s="69"/>
      <c r="D9" s="188"/>
      <c r="E9" s="66"/>
      <c r="F9" s="192"/>
      <c r="G9" s="193"/>
      <c r="H9" s="194"/>
      <c r="I9" s="137"/>
      <c r="J9" s="81" t="s">
        <v>34</v>
      </c>
      <c r="K9" s="81" t="s">
        <v>35</v>
      </c>
      <c r="L9" s="81" t="s">
        <v>36</v>
      </c>
      <c r="M9" s="195"/>
      <c r="N9" s="66"/>
      <c r="O9" s="204"/>
      <c r="P9" s="66"/>
      <c r="Q9" s="204"/>
      <c r="R9" s="66"/>
      <c r="S9" s="204"/>
      <c r="T9" s="66"/>
      <c r="U9" s="208"/>
      <c r="V9" s="66"/>
      <c r="W9" s="204"/>
      <c r="X9" s="210"/>
      <c r="Y9" s="212"/>
      <c r="Z9" s="214"/>
      <c r="AA9" s="215"/>
      <c r="AB9" s="217"/>
      <c r="AC9" s="218"/>
      <c r="AD9" s="206"/>
      <c r="AE9" s="197"/>
      <c r="AF9" s="197"/>
      <c r="AG9" s="199"/>
      <c r="AH9" s="199"/>
      <c r="AI9" s="38"/>
      <c r="AJ9" s="113" t="s">
        <v>37</v>
      </c>
      <c r="AK9" s="61" t="s">
        <v>38</v>
      </c>
      <c r="AL9" s="68"/>
      <c r="AM9" s="6"/>
      <c r="AN9" s="6"/>
    </row>
    <row r="10" spans="1:40" ht="32.25" customHeight="1">
      <c r="A10" s="169"/>
      <c r="B10" s="82">
        <v>44287</v>
      </c>
      <c r="C10" s="83"/>
      <c r="D10" s="132">
        <f>'Suivi EAU-ELEC'!C16</f>
        <v>342</v>
      </c>
      <c r="E10" s="136"/>
      <c r="F10" s="200">
        <f t="shared" ref="F10:F40" si="0">D10*12.67</f>
        <v>4333.1400000000003</v>
      </c>
      <c r="G10" s="201"/>
      <c r="H10" s="202"/>
      <c r="I10" s="127"/>
      <c r="J10" s="84">
        <f>'Suivi EAU-ELEC'!E16</f>
        <v>3753</v>
      </c>
      <c r="K10" s="84">
        <f>'Suivi EAU-ELEC'!G16</f>
        <v>7026</v>
      </c>
      <c r="L10" s="84">
        <f>'Suivi EAU-ELEC'!I16</f>
        <v>3187</v>
      </c>
      <c r="M10" s="74">
        <f>L10+K10+J10</f>
        <v>13966</v>
      </c>
      <c r="N10" s="52"/>
      <c r="O10" s="53">
        <f>J10*0.99+K10*0.99+L10*0.99</f>
        <v>13826.34</v>
      </c>
      <c r="P10" s="51"/>
      <c r="Q10" s="49"/>
      <c r="R10" s="50"/>
      <c r="S10" s="49"/>
      <c r="T10" s="85"/>
      <c r="U10" s="54">
        <f>'Suivi Gaz'!O11</f>
        <v>259.7</v>
      </c>
      <c r="V10" s="52"/>
      <c r="W10" s="53">
        <f>U10*9.32295</f>
        <v>2421.1701149999999</v>
      </c>
      <c r="X10" s="58">
        <v>19563.66</v>
      </c>
      <c r="Y10" s="138">
        <f t="shared" ref="Y10:Y40" si="1">IF(X11&lt;X10,0,X11-X10)</f>
        <v>12.970000000001164</v>
      </c>
      <c r="Z10" s="57">
        <f>Y10*0.53*1000</f>
        <v>6874.1000000006179</v>
      </c>
      <c r="AA10" s="52"/>
      <c r="AB10" s="157">
        <v>23</v>
      </c>
      <c r="AC10" s="70">
        <v>40</v>
      </c>
      <c r="AD10" s="71">
        <v>0.31009999999999999</v>
      </c>
      <c r="AE10" s="75">
        <v>27</v>
      </c>
      <c r="AF10" s="75">
        <v>28</v>
      </c>
      <c r="AG10" s="72">
        <v>26</v>
      </c>
      <c r="AH10" s="73">
        <v>27</v>
      </c>
      <c r="AI10" s="130"/>
      <c r="AJ10" s="114">
        <f t="shared" ref="AJ10:AJ40" si="2">(F10+O10+W10+Z10)</f>
        <v>27454.750115000617</v>
      </c>
      <c r="AK10" s="115">
        <f t="shared" ref="AK10:AK40" si="3">AJ10/AC10</f>
        <v>686.36875287501539</v>
      </c>
      <c r="AL10" s="68"/>
      <c r="AM10" s="6"/>
      <c r="AN10" s="6"/>
    </row>
    <row r="11" spans="1:40" ht="32.25" customHeight="1">
      <c r="A11" s="169"/>
      <c r="B11" s="82">
        <f>(B10+1)</f>
        <v>44288</v>
      </c>
      <c r="C11" s="83"/>
      <c r="D11" s="132">
        <f>'Suivi EAU-ELEC'!C17</f>
        <v>507</v>
      </c>
      <c r="E11" s="85"/>
      <c r="F11" s="200">
        <f t="shared" si="0"/>
        <v>6423.69</v>
      </c>
      <c r="G11" s="201"/>
      <c r="H11" s="202"/>
      <c r="I11" s="127"/>
      <c r="J11" s="84">
        <f>'Suivi EAU-ELEC'!E17</f>
        <v>3377</v>
      </c>
      <c r="K11" s="84">
        <f>'Suivi EAU-ELEC'!G17</f>
        <v>8299</v>
      </c>
      <c r="L11" s="84">
        <f>'Suivi EAU-ELEC'!I17</f>
        <v>3378</v>
      </c>
      <c r="M11" s="74">
        <f t="shared" ref="M11:M40" si="4">L11+K11+J11</f>
        <v>15054</v>
      </c>
      <c r="N11" s="52"/>
      <c r="O11" s="53">
        <f t="shared" ref="O11:O40" si="5">J11*0.99+K11*0.99+L11*0.99</f>
        <v>14903.46</v>
      </c>
      <c r="P11" s="51"/>
      <c r="Q11" s="49"/>
      <c r="R11" s="50"/>
      <c r="S11" s="49"/>
      <c r="T11" s="85"/>
      <c r="U11" s="54">
        <f>'Suivi Gaz'!O12</f>
        <v>148.4</v>
      </c>
      <c r="V11" s="52"/>
      <c r="W11" s="53">
        <f t="shared" ref="W11:W40" si="6">U11*9.32295</f>
        <v>1383.5257800000002</v>
      </c>
      <c r="X11" s="58">
        <v>19576.63</v>
      </c>
      <c r="Y11" s="133">
        <f t="shared" si="1"/>
        <v>16.409999999999854</v>
      </c>
      <c r="Z11" s="57">
        <f t="shared" ref="Z11:Z40" si="7">Y11*0.53*1000</f>
        <v>8697.2999999999247</v>
      </c>
      <c r="AA11" s="52"/>
      <c r="AB11" s="157">
        <v>25</v>
      </c>
      <c r="AC11" s="70">
        <v>82</v>
      </c>
      <c r="AD11" s="71">
        <v>0.73209999999999997</v>
      </c>
      <c r="AE11" s="151">
        <v>27</v>
      </c>
      <c r="AF11" s="151">
        <v>28</v>
      </c>
      <c r="AG11" s="152">
        <v>26</v>
      </c>
      <c r="AH11" s="153">
        <v>27</v>
      </c>
      <c r="AI11" s="130"/>
      <c r="AJ11" s="116">
        <f t="shared" si="2"/>
        <v>31407.975779999921</v>
      </c>
      <c r="AK11" s="115">
        <f t="shared" si="3"/>
        <v>383.02409487804783</v>
      </c>
      <c r="AL11" s="68"/>
      <c r="AM11" s="6"/>
      <c r="AN11" s="6"/>
    </row>
    <row r="12" spans="1:40" s="6" customFormat="1" ht="32.25" customHeight="1">
      <c r="A12" s="66"/>
      <c r="B12" s="82">
        <f t="shared" ref="B12:B40" si="8">(B11+1)</f>
        <v>44289</v>
      </c>
      <c r="C12" s="83"/>
      <c r="D12" s="132">
        <f>'Suivi EAU-ELEC'!C18</f>
        <v>506</v>
      </c>
      <c r="E12" s="85"/>
      <c r="F12" s="200">
        <f t="shared" si="0"/>
        <v>6411.0199999999995</v>
      </c>
      <c r="G12" s="201"/>
      <c r="H12" s="202"/>
      <c r="I12" s="127"/>
      <c r="J12" s="84">
        <f>'Suivi EAU-ELEC'!E18</f>
        <v>3827</v>
      </c>
      <c r="K12" s="84">
        <f>'Suivi EAU-ELEC'!G18</f>
        <v>8493</v>
      </c>
      <c r="L12" s="84">
        <f>'Suivi EAU-ELEC'!I18</f>
        <v>4000</v>
      </c>
      <c r="M12" s="74">
        <f t="shared" si="4"/>
        <v>16320</v>
      </c>
      <c r="N12" s="52"/>
      <c r="O12" s="53">
        <f t="shared" si="5"/>
        <v>16156.8</v>
      </c>
      <c r="P12" s="51"/>
      <c r="Q12" s="49"/>
      <c r="R12" s="50"/>
      <c r="S12" s="49"/>
      <c r="T12" s="85"/>
      <c r="U12" s="54">
        <f>'Suivi Gaz'!O13</f>
        <v>148.4</v>
      </c>
      <c r="V12" s="52"/>
      <c r="W12" s="53">
        <f t="shared" si="6"/>
        <v>1383.5257800000002</v>
      </c>
      <c r="X12" s="58">
        <v>19593.04</v>
      </c>
      <c r="Y12" s="133">
        <f t="shared" si="1"/>
        <v>18.349999999998545</v>
      </c>
      <c r="Z12" s="57">
        <f t="shared" si="7"/>
        <v>9725.4999999992287</v>
      </c>
      <c r="AA12" s="52"/>
      <c r="AB12" s="157">
        <v>23</v>
      </c>
      <c r="AC12" s="70">
        <v>116</v>
      </c>
      <c r="AD12" s="71">
        <v>0.9748</v>
      </c>
      <c r="AE12" s="151">
        <v>27.5</v>
      </c>
      <c r="AF12" s="75">
        <v>28.5</v>
      </c>
      <c r="AG12" s="152">
        <v>27</v>
      </c>
      <c r="AH12" s="153">
        <v>28.5</v>
      </c>
      <c r="AI12" s="38"/>
      <c r="AJ12" s="116">
        <f t="shared" si="2"/>
        <v>33676.845779999232</v>
      </c>
      <c r="AK12" s="115">
        <f t="shared" si="3"/>
        <v>290.31763603447615</v>
      </c>
      <c r="AL12" s="68"/>
    </row>
    <row r="13" spans="1:40" ht="32.25" customHeight="1">
      <c r="A13" s="66"/>
      <c r="B13" s="82">
        <f t="shared" si="8"/>
        <v>44290</v>
      </c>
      <c r="C13" s="83"/>
      <c r="D13" s="132">
        <f>'Suivi EAU-ELEC'!C19</f>
        <v>528</v>
      </c>
      <c r="E13" s="85"/>
      <c r="F13" s="219">
        <f t="shared" si="0"/>
        <v>6689.76</v>
      </c>
      <c r="G13" s="220"/>
      <c r="H13" s="221"/>
      <c r="I13" s="127"/>
      <c r="J13" s="84">
        <f>'Suivi EAU-ELEC'!E19</f>
        <v>4272</v>
      </c>
      <c r="K13" s="84">
        <f>'Suivi EAU-ELEC'!G19</f>
        <v>7406</v>
      </c>
      <c r="L13" s="84">
        <f>'Suivi EAU-ELEC'!I19</f>
        <v>3632</v>
      </c>
      <c r="M13" s="74">
        <f t="shared" si="4"/>
        <v>15310</v>
      </c>
      <c r="N13" s="52"/>
      <c r="O13" s="53">
        <f t="shared" si="5"/>
        <v>15156.9</v>
      </c>
      <c r="P13" s="51"/>
      <c r="Q13" s="49"/>
      <c r="R13" s="50"/>
      <c r="S13" s="49"/>
      <c r="T13" s="85"/>
      <c r="U13" s="54">
        <f>'Suivi Gaz'!O14</f>
        <v>148.4</v>
      </c>
      <c r="V13" s="52"/>
      <c r="W13" s="53">
        <f t="shared" si="6"/>
        <v>1383.5257800000002</v>
      </c>
      <c r="X13" s="58">
        <v>19611.39</v>
      </c>
      <c r="Y13" s="133">
        <f t="shared" si="1"/>
        <v>17.380000000001019</v>
      </c>
      <c r="Z13" s="57">
        <f t="shared" si="7"/>
        <v>9211.4000000005417</v>
      </c>
      <c r="AA13" s="52"/>
      <c r="AB13" s="157">
        <v>21</v>
      </c>
      <c r="AC13" s="70">
        <v>53</v>
      </c>
      <c r="AD13" s="71">
        <v>0.73609999999999998</v>
      </c>
      <c r="AE13" s="75">
        <v>28.5</v>
      </c>
      <c r="AF13" s="75">
        <v>29</v>
      </c>
      <c r="AG13" s="72">
        <v>28</v>
      </c>
      <c r="AH13" s="73">
        <v>28.5</v>
      </c>
      <c r="AI13" s="38"/>
      <c r="AJ13" s="116">
        <f t="shared" si="2"/>
        <v>32441.58578000054</v>
      </c>
      <c r="AK13" s="115">
        <f t="shared" si="3"/>
        <v>612.10539207548186</v>
      </c>
      <c r="AL13" s="67"/>
      <c r="AM13" s="164"/>
      <c r="AN13" s="164"/>
    </row>
    <row r="14" spans="1:40" ht="32.25" customHeight="1">
      <c r="A14" s="66"/>
      <c r="B14" s="82">
        <f t="shared" si="8"/>
        <v>44291</v>
      </c>
      <c r="C14" s="83"/>
      <c r="D14" s="132">
        <f>'Suivi EAU-ELEC'!C20</f>
        <v>385</v>
      </c>
      <c r="E14" s="85"/>
      <c r="F14" s="200">
        <f t="shared" si="0"/>
        <v>4877.95</v>
      </c>
      <c r="G14" s="201"/>
      <c r="H14" s="202"/>
      <c r="I14" s="127"/>
      <c r="J14" s="84">
        <f>'Suivi EAU-ELEC'!E20</f>
        <v>4074</v>
      </c>
      <c r="K14" s="84">
        <f>'Suivi EAU-ELEC'!G20</f>
        <v>7007</v>
      </c>
      <c r="L14" s="84">
        <f>'Suivi EAU-ELEC'!I20</f>
        <v>3686</v>
      </c>
      <c r="M14" s="74">
        <f t="shared" si="4"/>
        <v>14767</v>
      </c>
      <c r="N14" s="52"/>
      <c r="O14" s="53">
        <f t="shared" si="5"/>
        <v>14619.33</v>
      </c>
      <c r="P14" s="51"/>
      <c r="Q14" s="49"/>
      <c r="R14" s="50"/>
      <c r="S14" s="49"/>
      <c r="T14" s="85"/>
      <c r="U14" s="54">
        <f>'Suivi Gaz'!O15</f>
        <v>333.90000000000003</v>
      </c>
      <c r="V14" s="52"/>
      <c r="W14" s="53">
        <f t="shared" si="6"/>
        <v>3112.9330050000003</v>
      </c>
      <c r="X14" s="58">
        <v>19628.77</v>
      </c>
      <c r="Y14" s="133">
        <f t="shared" si="1"/>
        <v>9.0299999999988358</v>
      </c>
      <c r="Z14" s="57">
        <f t="shared" si="7"/>
        <v>4785.899999999383</v>
      </c>
      <c r="AA14" s="52"/>
      <c r="AB14" s="157">
        <v>23</v>
      </c>
      <c r="AC14" s="149">
        <v>29</v>
      </c>
      <c r="AD14" s="150">
        <v>0.29289999999999999</v>
      </c>
      <c r="AE14" s="151">
        <v>27.5</v>
      </c>
      <c r="AF14" s="151">
        <v>28</v>
      </c>
      <c r="AG14" s="152">
        <v>27</v>
      </c>
      <c r="AH14" s="153">
        <v>26</v>
      </c>
      <c r="AI14" s="38"/>
      <c r="AJ14" s="116">
        <f t="shared" si="2"/>
        <v>27396.113004999381</v>
      </c>
      <c r="AK14" s="115">
        <f t="shared" si="3"/>
        <v>944.69355189653038</v>
      </c>
      <c r="AL14" s="67"/>
      <c r="AM14" s="164"/>
      <c r="AN14" s="164"/>
    </row>
    <row r="15" spans="1:40" ht="32.25" customHeight="1">
      <c r="A15" s="66"/>
      <c r="B15" s="82">
        <f t="shared" si="8"/>
        <v>44292</v>
      </c>
      <c r="C15" s="83"/>
      <c r="D15" s="132">
        <f>'Suivi EAU-ELEC'!C21</f>
        <v>324</v>
      </c>
      <c r="E15" s="85"/>
      <c r="F15" s="222">
        <f t="shared" si="0"/>
        <v>4105.08</v>
      </c>
      <c r="G15" s="223"/>
      <c r="H15" s="224"/>
      <c r="I15" s="129"/>
      <c r="J15" s="84">
        <f>'Suivi EAU-ELEC'!E21</f>
        <v>3211</v>
      </c>
      <c r="K15" s="84">
        <f>'Suivi EAU-ELEC'!G21</f>
        <v>5668</v>
      </c>
      <c r="L15" s="84">
        <f>'Suivi EAU-ELEC'!I21</f>
        <v>2019</v>
      </c>
      <c r="M15" s="74">
        <f t="shared" si="4"/>
        <v>10898</v>
      </c>
      <c r="N15" s="52"/>
      <c r="O15" s="53">
        <f t="shared" si="5"/>
        <v>10789.019999999999</v>
      </c>
      <c r="P15" s="51"/>
      <c r="Q15" s="49"/>
      <c r="R15" s="50"/>
      <c r="S15" s="49"/>
      <c r="T15" s="85"/>
      <c r="U15" s="54">
        <f>'Suivi Gaz'!O16</f>
        <v>296.8</v>
      </c>
      <c r="V15" s="52"/>
      <c r="W15" s="53">
        <f t="shared" si="6"/>
        <v>2767.0515600000003</v>
      </c>
      <c r="X15" s="58">
        <v>19637.8</v>
      </c>
      <c r="Y15" s="133">
        <f t="shared" si="1"/>
        <v>14.319999999999709</v>
      </c>
      <c r="Z15" s="57">
        <f t="shared" si="7"/>
        <v>7589.5999999998467</v>
      </c>
      <c r="AA15" s="52"/>
      <c r="AB15" s="157">
        <v>24</v>
      </c>
      <c r="AC15" s="149">
        <v>38</v>
      </c>
      <c r="AD15" s="150">
        <v>0.31929999999999997</v>
      </c>
      <c r="AE15" s="151">
        <v>27</v>
      </c>
      <c r="AF15" s="151">
        <v>28</v>
      </c>
      <c r="AG15" s="152">
        <v>22</v>
      </c>
      <c r="AH15" s="153">
        <v>24</v>
      </c>
      <c r="AI15" s="38"/>
      <c r="AJ15" s="116">
        <f t="shared" si="2"/>
        <v>25250.751559999844</v>
      </c>
      <c r="AK15" s="115">
        <f t="shared" si="3"/>
        <v>664.49346210525903</v>
      </c>
      <c r="AL15" s="67"/>
      <c r="AM15" s="164"/>
      <c r="AN15" s="164"/>
    </row>
    <row r="16" spans="1:40" ht="32.25" customHeight="1">
      <c r="A16" s="66"/>
      <c r="B16" s="82">
        <f t="shared" si="8"/>
        <v>44293</v>
      </c>
      <c r="C16" s="83"/>
      <c r="D16" s="132">
        <f>'Suivi EAU-ELEC'!C22</f>
        <v>361</v>
      </c>
      <c r="E16" s="85"/>
      <c r="F16" s="219">
        <f t="shared" si="0"/>
        <v>4573.87</v>
      </c>
      <c r="G16" s="220"/>
      <c r="H16" s="221"/>
      <c r="I16" s="126"/>
      <c r="J16" s="84">
        <f>'Suivi EAU-ELEC'!E22</f>
        <v>2958</v>
      </c>
      <c r="K16" s="84">
        <f>'Suivi EAU-ELEC'!G22</f>
        <v>5360</v>
      </c>
      <c r="L16" s="84">
        <f>'Suivi EAU-ELEC'!I22</f>
        <v>1998</v>
      </c>
      <c r="M16" s="74">
        <f t="shared" si="4"/>
        <v>10316</v>
      </c>
      <c r="N16" s="52"/>
      <c r="O16" s="53">
        <f t="shared" si="5"/>
        <v>10212.84</v>
      </c>
      <c r="P16" s="51"/>
      <c r="Q16" s="49"/>
      <c r="R16" s="50"/>
      <c r="S16" s="49"/>
      <c r="T16" s="85"/>
      <c r="U16" s="54">
        <f>'Suivi Gaz'!O17</f>
        <v>333.90000000000003</v>
      </c>
      <c r="V16" s="52"/>
      <c r="W16" s="53">
        <f t="shared" si="6"/>
        <v>3112.9330050000003</v>
      </c>
      <c r="X16" s="58">
        <v>19652.12</v>
      </c>
      <c r="Y16" s="133">
        <f t="shared" si="1"/>
        <v>13.549999999999272</v>
      </c>
      <c r="Z16" s="57">
        <f t="shared" si="7"/>
        <v>7181.4999999996144</v>
      </c>
      <c r="AA16" s="52"/>
      <c r="AB16" s="157">
        <v>22</v>
      </c>
      <c r="AC16" s="149">
        <v>16</v>
      </c>
      <c r="AD16" s="150">
        <v>0.13450000000000001</v>
      </c>
      <c r="AE16" s="151">
        <v>27</v>
      </c>
      <c r="AF16" s="151">
        <v>28</v>
      </c>
      <c r="AG16" s="152">
        <v>20</v>
      </c>
      <c r="AH16" s="153">
        <v>20</v>
      </c>
      <c r="AI16" s="38"/>
      <c r="AJ16" s="116">
        <f t="shared" si="2"/>
        <v>25081.143004999612</v>
      </c>
      <c r="AK16" s="115">
        <f t="shared" si="3"/>
        <v>1567.5714378124758</v>
      </c>
      <c r="AL16" s="67"/>
      <c r="AM16" s="164"/>
      <c r="AN16" s="164"/>
    </row>
    <row r="17" spans="1:256" ht="32.25" customHeight="1">
      <c r="A17" s="66"/>
      <c r="B17" s="82">
        <f t="shared" si="8"/>
        <v>44294</v>
      </c>
      <c r="C17" s="83"/>
      <c r="D17" s="132">
        <f>'Suivi EAU-ELEC'!C23</f>
        <v>312</v>
      </c>
      <c r="E17" s="85"/>
      <c r="F17" s="200">
        <f t="shared" si="0"/>
        <v>3953.04</v>
      </c>
      <c r="G17" s="201"/>
      <c r="H17" s="202"/>
      <c r="I17" s="127"/>
      <c r="J17" s="84">
        <f>'Suivi EAU-ELEC'!E23</f>
        <v>2872</v>
      </c>
      <c r="K17" s="84">
        <f>'Suivi EAU-ELEC'!G23</f>
        <v>5340</v>
      </c>
      <c r="L17" s="84">
        <f>'Suivi EAU-ELEC'!I23</f>
        <v>2363</v>
      </c>
      <c r="M17" s="74">
        <f t="shared" si="4"/>
        <v>10575</v>
      </c>
      <c r="N17" s="52"/>
      <c r="O17" s="53">
        <f t="shared" si="5"/>
        <v>10469.25</v>
      </c>
      <c r="P17" s="51"/>
      <c r="Q17" s="49"/>
      <c r="R17" s="50"/>
      <c r="S17" s="49"/>
      <c r="T17" s="85"/>
      <c r="U17" s="54">
        <f>'Suivi Gaz'!O18</f>
        <v>185.5</v>
      </c>
      <c r="V17" s="52"/>
      <c r="W17" s="53">
        <f t="shared" si="6"/>
        <v>1729.4072250000002</v>
      </c>
      <c r="X17" s="58">
        <v>19665.669999999998</v>
      </c>
      <c r="Y17" s="133">
        <f t="shared" si="1"/>
        <v>14.770000000000437</v>
      </c>
      <c r="Z17" s="57">
        <f t="shared" si="7"/>
        <v>7828.1000000002323</v>
      </c>
      <c r="AA17" s="60"/>
      <c r="AB17" s="157">
        <v>21</v>
      </c>
      <c r="AC17" s="149">
        <v>28</v>
      </c>
      <c r="AD17" s="150">
        <v>0.23530000000000001</v>
      </c>
      <c r="AE17" s="151">
        <v>26.5</v>
      </c>
      <c r="AF17" s="151">
        <v>27.5</v>
      </c>
      <c r="AG17" s="152">
        <v>23</v>
      </c>
      <c r="AH17" s="153">
        <v>25</v>
      </c>
      <c r="AI17" s="38"/>
      <c r="AJ17" s="116">
        <f t="shared" si="2"/>
        <v>23979.797225000235</v>
      </c>
      <c r="AK17" s="115">
        <f t="shared" si="3"/>
        <v>856.4213294642941</v>
      </c>
      <c r="AL17" s="67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4"/>
      <c r="CB17" s="164"/>
      <c r="CC17" s="164"/>
      <c r="CD17" s="164"/>
      <c r="CE17" s="164"/>
      <c r="CF17" s="164"/>
      <c r="CG17" s="164"/>
      <c r="CH17" s="164"/>
      <c r="CI17" s="164"/>
      <c r="CJ17" s="164"/>
      <c r="CK17" s="164"/>
      <c r="CL17" s="164"/>
      <c r="CM17" s="164"/>
      <c r="CN17" s="164"/>
      <c r="CO17" s="164"/>
      <c r="CP17" s="164"/>
      <c r="CQ17" s="164"/>
      <c r="CR17" s="164"/>
      <c r="CS17" s="164"/>
      <c r="CT17" s="164"/>
      <c r="CU17" s="164"/>
      <c r="CV17" s="164"/>
      <c r="CW17" s="164"/>
      <c r="CX17" s="164"/>
      <c r="CY17" s="164"/>
      <c r="CZ17" s="164"/>
      <c r="DA17" s="164"/>
      <c r="DB17" s="164"/>
      <c r="DC17" s="164"/>
      <c r="DD17" s="164"/>
      <c r="DE17" s="164"/>
      <c r="DF17" s="164"/>
      <c r="DG17" s="164"/>
      <c r="DH17" s="164"/>
      <c r="DI17" s="164"/>
      <c r="DJ17" s="164"/>
      <c r="DK17" s="164"/>
      <c r="DL17" s="164"/>
      <c r="DM17" s="164"/>
      <c r="DN17" s="164"/>
      <c r="DO17" s="164"/>
      <c r="DP17" s="164"/>
      <c r="DQ17" s="164"/>
      <c r="DR17" s="164"/>
      <c r="DS17" s="164"/>
      <c r="DT17" s="164"/>
      <c r="DU17" s="164"/>
      <c r="DV17" s="164"/>
      <c r="DW17" s="164"/>
      <c r="DX17" s="164"/>
      <c r="DY17" s="164"/>
      <c r="DZ17" s="164"/>
      <c r="EA17" s="164"/>
      <c r="EB17" s="164"/>
      <c r="EC17" s="164"/>
      <c r="ED17" s="164"/>
      <c r="EE17" s="164"/>
      <c r="EF17" s="164"/>
      <c r="EG17" s="164"/>
      <c r="EH17" s="164"/>
      <c r="EI17" s="164"/>
      <c r="EJ17" s="164"/>
      <c r="EK17" s="164"/>
      <c r="EL17" s="164"/>
      <c r="EM17" s="164"/>
      <c r="EN17" s="164"/>
      <c r="EO17" s="164"/>
      <c r="EP17" s="164"/>
      <c r="EQ17" s="164"/>
      <c r="ER17" s="164"/>
      <c r="ES17" s="164"/>
      <c r="ET17" s="164"/>
      <c r="EU17" s="164"/>
      <c r="EV17" s="164"/>
      <c r="EW17" s="164"/>
      <c r="EX17" s="164"/>
      <c r="EY17" s="164"/>
      <c r="EZ17" s="164"/>
      <c r="FA17" s="164"/>
      <c r="FB17" s="164"/>
      <c r="FC17" s="164"/>
      <c r="FD17" s="164"/>
      <c r="FE17" s="164"/>
      <c r="FF17" s="164"/>
      <c r="FG17" s="164"/>
      <c r="FH17" s="164"/>
      <c r="FI17" s="164"/>
      <c r="FJ17" s="164"/>
      <c r="FK17" s="164"/>
      <c r="FL17" s="164"/>
      <c r="FM17" s="164"/>
      <c r="FN17" s="164"/>
      <c r="FO17" s="164"/>
      <c r="FP17" s="164"/>
      <c r="FQ17" s="164"/>
      <c r="FR17" s="164"/>
      <c r="FS17" s="164"/>
      <c r="FT17" s="164"/>
      <c r="FU17" s="164"/>
      <c r="FV17" s="164"/>
      <c r="FW17" s="164"/>
      <c r="FX17" s="164"/>
      <c r="FY17" s="164"/>
      <c r="FZ17" s="164"/>
      <c r="GA17" s="164"/>
      <c r="GB17" s="164"/>
      <c r="GC17" s="164"/>
      <c r="GD17" s="164"/>
      <c r="GE17" s="164"/>
      <c r="GF17" s="164"/>
      <c r="GG17" s="164"/>
      <c r="GH17" s="164"/>
      <c r="GI17" s="164"/>
      <c r="GJ17" s="164"/>
      <c r="GK17" s="164"/>
      <c r="GL17" s="164"/>
      <c r="GM17" s="164"/>
      <c r="GN17" s="164"/>
      <c r="GO17" s="164"/>
      <c r="GP17" s="164"/>
      <c r="GQ17" s="164"/>
      <c r="GR17" s="164"/>
      <c r="GS17" s="164"/>
      <c r="GT17" s="164"/>
      <c r="GU17" s="164"/>
      <c r="GV17" s="164"/>
      <c r="GW17" s="164"/>
      <c r="GX17" s="164"/>
      <c r="GY17" s="164"/>
      <c r="GZ17" s="164"/>
      <c r="HA17" s="164"/>
      <c r="HB17" s="164"/>
      <c r="HC17" s="164"/>
      <c r="HD17" s="164"/>
      <c r="HE17" s="164"/>
      <c r="HF17" s="164"/>
      <c r="HG17" s="164"/>
      <c r="HH17" s="164"/>
      <c r="HI17" s="164"/>
      <c r="HJ17" s="164"/>
      <c r="HK17" s="164"/>
      <c r="HL17" s="164"/>
      <c r="HM17" s="164"/>
      <c r="HN17" s="164"/>
      <c r="HO17" s="164"/>
      <c r="HP17" s="164"/>
      <c r="HQ17" s="164"/>
      <c r="HR17" s="164"/>
      <c r="HS17" s="164"/>
      <c r="HT17" s="164"/>
      <c r="HU17" s="164"/>
      <c r="HV17" s="164"/>
      <c r="HW17" s="164"/>
      <c r="HX17" s="164"/>
      <c r="HY17" s="164"/>
      <c r="HZ17" s="164"/>
      <c r="IA17" s="164"/>
      <c r="IB17" s="164"/>
      <c r="IC17" s="164"/>
      <c r="ID17" s="164"/>
      <c r="IE17" s="164"/>
      <c r="IF17" s="164"/>
      <c r="IG17" s="164"/>
      <c r="IH17" s="164"/>
      <c r="II17" s="164"/>
      <c r="IJ17" s="164"/>
      <c r="IK17" s="164"/>
      <c r="IL17" s="164"/>
      <c r="IM17" s="164"/>
      <c r="IN17" s="164"/>
      <c r="IO17" s="164"/>
      <c r="IP17" s="164"/>
      <c r="IQ17" s="164"/>
      <c r="IR17" s="164"/>
      <c r="IS17" s="164"/>
      <c r="IT17" s="164"/>
      <c r="IU17" s="164"/>
      <c r="IV17" s="164"/>
    </row>
    <row r="18" spans="1:256" ht="32.25" customHeight="1">
      <c r="A18" s="66"/>
      <c r="B18" s="82">
        <f t="shared" si="8"/>
        <v>44295</v>
      </c>
      <c r="C18" s="83"/>
      <c r="D18" s="132">
        <f>'Suivi EAU-ELEC'!C24</f>
        <v>334</v>
      </c>
      <c r="E18" s="85"/>
      <c r="F18" s="222">
        <f t="shared" si="0"/>
        <v>4231.78</v>
      </c>
      <c r="G18" s="223"/>
      <c r="H18" s="224"/>
      <c r="I18" s="127"/>
      <c r="J18" s="84">
        <f>'Suivi EAU-ELEC'!E24</f>
        <v>3589</v>
      </c>
      <c r="K18" s="84">
        <f>'Suivi EAU-ELEC'!G24</f>
        <v>6259</v>
      </c>
      <c r="L18" s="84">
        <f>'Suivi EAU-ELEC'!I24</f>
        <v>3138</v>
      </c>
      <c r="M18" s="74">
        <f t="shared" si="4"/>
        <v>12986</v>
      </c>
      <c r="N18" s="52"/>
      <c r="O18" s="53">
        <f t="shared" si="5"/>
        <v>12856.14</v>
      </c>
      <c r="P18" s="51"/>
      <c r="Q18" s="49"/>
      <c r="R18" s="50"/>
      <c r="S18" s="49"/>
      <c r="T18" s="85"/>
      <c r="U18" s="54">
        <f>'Suivi Gaz'!O19</f>
        <v>593.6</v>
      </c>
      <c r="V18" s="52"/>
      <c r="W18" s="53">
        <f t="shared" si="6"/>
        <v>5534.1031200000007</v>
      </c>
      <c r="X18" s="58">
        <v>19680.439999999999</v>
      </c>
      <c r="Y18" s="133">
        <f t="shared" si="1"/>
        <v>13.390000000003056</v>
      </c>
      <c r="Z18" s="57">
        <f t="shared" si="7"/>
        <v>7096.7000000016205</v>
      </c>
      <c r="AA18" s="60"/>
      <c r="AB18" s="157">
        <v>21</v>
      </c>
      <c r="AC18" s="70">
        <v>63</v>
      </c>
      <c r="AD18" s="71">
        <v>0.52939999999999998</v>
      </c>
      <c r="AE18" s="75">
        <v>26.5</v>
      </c>
      <c r="AF18" s="75">
        <v>27.5</v>
      </c>
      <c r="AG18" s="72">
        <v>23</v>
      </c>
      <c r="AH18" s="73">
        <v>25</v>
      </c>
      <c r="AI18" s="38"/>
      <c r="AJ18" s="116">
        <f t="shared" si="2"/>
        <v>29718.723120001618</v>
      </c>
      <c r="AK18" s="115">
        <f t="shared" si="3"/>
        <v>471.72576380954951</v>
      </c>
      <c r="AL18" s="67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4"/>
      <c r="BQ18" s="164"/>
      <c r="BR18" s="164"/>
      <c r="BS18" s="164"/>
      <c r="BT18" s="164"/>
      <c r="BU18" s="164"/>
      <c r="BV18" s="164"/>
      <c r="BW18" s="164"/>
      <c r="BX18" s="164"/>
      <c r="BY18" s="164"/>
      <c r="BZ18" s="164"/>
      <c r="CA18" s="164"/>
      <c r="CB18" s="164"/>
      <c r="CC18" s="164"/>
      <c r="CD18" s="164"/>
      <c r="CE18" s="164"/>
      <c r="CF18" s="164"/>
      <c r="CG18" s="164"/>
      <c r="CH18" s="164"/>
      <c r="CI18" s="164"/>
      <c r="CJ18" s="164"/>
      <c r="CK18" s="164"/>
      <c r="CL18" s="164"/>
      <c r="CM18" s="164"/>
      <c r="CN18" s="164"/>
      <c r="CO18" s="164"/>
      <c r="CP18" s="164"/>
      <c r="CQ18" s="164"/>
      <c r="CR18" s="164"/>
      <c r="CS18" s="164"/>
      <c r="CT18" s="164"/>
      <c r="CU18" s="164"/>
      <c r="CV18" s="164"/>
      <c r="CW18" s="164"/>
      <c r="CX18" s="164"/>
      <c r="CY18" s="164"/>
      <c r="CZ18" s="164"/>
      <c r="DA18" s="164"/>
      <c r="DB18" s="164"/>
      <c r="DC18" s="164"/>
      <c r="DD18" s="164"/>
      <c r="DE18" s="164"/>
      <c r="DF18" s="164"/>
      <c r="DG18" s="164"/>
      <c r="DH18" s="164"/>
      <c r="DI18" s="164"/>
      <c r="DJ18" s="164"/>
      <c r="DK18" s="164"/>
      <c r="DL18" s="164"/>
      <c r="DM18" s="164"/>
      <c r="DN18" s="164"/>
      <c r="DO18" s="164"/>
      <c r="DP18" s="164"/>
      <c r="DQ18" s="164"/>
      <c r="DR18" s="164"/>
      <c r="DS18" s="164"/>
      <c r="DT18" s="164"/>
      <c r="DU18" s="164"/>
      <c r="DV18" s="164"/>
      <c r="DW18" s="164"/>
      <c r="DX18" s="164"/>
      <c r="DY18" s="164"/>
      <c r="DZ18" s="164"/>
      <c r="EA18" s="164"/>
      <c r="EB18" s="164"/>
      <c r="EC18" s="164"/>
      <c r="ED18" s="164"/>
      <c r="EE18" s="164"/>
      <c r="EF18" s="164"/>
      <c r="EG18" s="164"/>
      <c r="EH18" s="164"/>
      <c r="EI18" s="164"/>
      <c r="EJ18" s="164"/>
      <c r="EK18" s="164"/>
      <c r="EL18" s="164"/>
      <c r="EM18" s="164"/>
      <c r="EN18" s="164"/>
      <c r="EO18" s="164"/>
      <c r="EP18" s="164"/>
      <c r="EQ18" s="164"/>
      <c r="ER18" s="164"/>
      <c r="ES18" s="164"/>
      <c r="ET18" s="164"/>
      <c r="EU18" s="164"/>
      <c r="EV18" s="164"/>
      <c r="EW18" s="164"/>
      <c r="EX18" s="164"/>
      <c r="EY18" s="164"/>
      <c r="EZ18" s="164"/>
      <c r="FA18" s="164"/>
      <c r="FB18" s="164"/>
      <c r="FC18" s="164"/>
      <c r="FD18" s="164"/>
      <c r="FE18" s="164"/>
      <c r="FF18" s="164"/>
      <c r="FG18" s="164"/>
      <c r="FH18" s="164"/>
      <c r="FI18" s="164"/>
      <c r="FJ18" s="164"/>
      <c r="FK18" s="164"/>
      <c r="FL18" s="164"/>
      <c r="FM18" s="164"/>
      <c r="FN18" s="164"/>
      <c r="FO18" s="164"/>
      <c r="FP18" s="164"/>
      <c r="FQ18" s="164"/>
      <c r="FR18" s="164"/>
      <c r="FS18" s="164"/>
      <c r="FT18" s="164"/>
      <c r="FU18" s="164"/>
      <c r="FV18" s="164"/>
      <c r="FW18" s="164"/>
      <c r="FX18" s="164"/>
      <c r="FY18" s="164"/>
      <c r="FZ18" s="164"/>
      <c r="GA18" s="164"/>
      <c r="GB18" s="164"/>
      <c r="GC18" s="164"/>
      <c r="GD18" s="164"/>
      <c r="GE18" s="164"/>
      <c r="GF18" s="164"/>
      <c r="GG18" s="164"/>
      <c r="GH18" s="164"/>
      <c r="GI18" s="164"/>
      <c r="GJ18" s="164"/>
      <c r="GK18" s="164"/>
      <c r="GL18" s="164"/>
      <c r="GM18" s="164"/>
      <c r="GN18" s="164"/>
      <c r="GO18" s="164"/>
      <c r="GP18" s="164"/>
      <c r="GQ18" s="164"/>
      <c r="GR18" s="164"/>
      <c r="GS18" s="164"/>
      <c r="GT18" s="164"/>
      <c r="GU18" s="164"/>
      <c r="GV18" s="164"/>
      <c r="GW18" s="164"/>
      <c r="GX18" s="164"/>
      <c r="GY18" s="164"/>
      <c r="GZ18" s="164"/>
      <c r="HA18" s="164"/>
      <c r="HB18" s="164"/>
      <c r="HC18" s="164"/>
      <c r="HD18" s="164"/>
      <c r="HE18" s="164"/>
      <c r="HF18" s="164"/>
      <c r="HG18" s="164"/>
      <c r="HH18" s="164"/>
      <c r="HI18" s="164"/>
      <c r="HJ18" s="164"/>
      <c r="HK18" s="164"/>
      <c r="HL18" s="164"/>
      <c r="HM18" s="164"/>
      <c r="HN18" s="164"/>
      <c r="HO18" s="164"/>
      <c r="HP18" s="164"/>
      <c r="HQ18" s="164"/>
      <c r="HR18" s="164"/>
      <c r="HS18" s="164"/>
      <c r="HT18" s="164"/>
      <c r="HU18" s="164"/>
      <c r="HV18" s="164"/>
      <c r="HW18" s="164"/>
      <c r="HX18" s="164"/>
      <c r="HY18" s="164"/>
      <c r="HZ18" s="164"/>
      <c r="IA18" s="164"/>
      <c r="IB18" s="164"/>
      <c r="IC18" s="164"/>
      <c r="ID18" s="164"/>
      <c r="IE18" s="164"/>
      <c r="IF18" s="164"/>
      <c r="IG18" s="164"/>
      <c r="IH18" s="164"/>
      <c r="II18" s="164"/>
      <c r="IJ18" s="164"/>
      <c r="IK18" s="164"/>
      <c r="IL18" s="164"/>
      <c r="IM18" s="164"/>
      <c r="IN18" s="164"/>
      <c r="IO18" s="164"/>
      <c r="IP18" s="164"/>
      <c r="IQ18" s="164"/>
      <c r="IR18" s="164"/>
      <c r="IS18" s="164"/>
      <c r="IT18" s="164"/>
      <c r="IU18" s="164"/>
      <c r="IV18" s="164"/>
    </row>
    <row r="19" spans="1:256" ht="32.25" customHeight="1">
      <c r="A19" s="66"/>
      <c r="B19" s="82">
        <f t="shared" si="8"/>
        <v>44296</v>
      </c>
      <c r="C19" s="83"/>
      <c r="D19" s="132">
        <f>'Suivi EAU-ELEC'!C25</f>
        <v>425</v>
      </c>
      <c r="E19" s="85"/>
      <c r="F19" s="200">
        <f t="shared" si="0"/>
        <v>5384.75</v>
      </c>
      <c r="G19" s="201"/>
      <c r="H19" s="202"/>
      <c r="I19" s="127"/>
      <c r="J19" s="84">
        <f>'Suivi EAU-ELEC'!E25</f>
        <v>3186</v>
      </c>
      <c r="K19" s="84">
        <f>'Suivi EAU-ELEC'!G25</f>
        <v>5731</v>
      </c>
      <c r="L19" s="84">
        <f>'Suivi EAU-ELEC'!I25</f>
        <v>2242</v>
      </c>
      <c r="M19" s="74">
        <f t="shared" si="4"/>
        <v>11159</v>
      </c>
      <c r="N19" s="52"/>
      <c r="O19" s="53">
        <f t="shared" si="5"/>
        <v>11047.41</v>
      </c>
      <c r="P19" s="51"/>
      <c r="Q19" s="49"/>
      <c r="R19" s="50"/>
      <c r="S19" s="49"/>
      <c r="T19" s="85"/>
      <c r="U19" s="54">
        <f>'Suivi Gaz'!O20</f>
        <v>482.3</v>
      </c>
      <c r="V19" s="52"/>
      <c r="W19" s="53">
        <f t="shared" si="6"/>
        <v>4496.4587850000007</v>
      </c>
      <c r="X19" s="58">
        <v>19693.830000000002</v>
      </c>
      <c r="Y19" s="133">
        <f t="shared" si="1"/>
        <v>15.489999999997963</v>
      </c>
      <c r="Z19" s="57">
        <f t="shared" si="7"/>
        <v>8209.6999999989221</v>
      </c>
      <c r="AA19" s="60"/>
      <c r="AB19" s="157">
        <v>22</v>
      </c>
      <c r="AC19" s="70">
        <v>81</v>
      </c>
      <c r="AD19" s="71">
        <v>0.68640000000000001</v>
      </c>
      <c r="AE19" s="75">
        <v>28</v>
      </c>
      <c r="AF19" s="75">
        <v>29</v>
      </c>
      <c r="AG19" s="72">
        <v>27.5</v>
      </c>
      <c r="AH19" s="73">
        <v>28</v>
      </c>
      <c r="AI19" s="38"/>
      <c r="AJ19" s="116">
        <f t="shared" si="2"/>
        <v>29138.318784998919</v>
      </c>
      <c r="AK19" s="115">
        <f t="shared" si="3"/>
        <v>359.73233067899901</v>
      </c>
      <c r="AL19" s="67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4"/>
      <c r="BQ19" s="164"/>
      <c r="BR19" s="164"/>
      <c r="BS19" s="164"/>
      <c r="BT19" s="164"/>
      <c r="BU19" s="164"/>
      <c r="BV19" s="164"/>
      <c r="BW19" s="164"/>
      <c r="BX19" s="164"/>
      <c r="BY19" s="164"/>
      <c r="BZ19" s="164"/>
      <c r="CA19" s="164"/>
      <c r="CB19" s="164"/>
      <c r="CC19" s="164"/>
      <c r="CD19" s="164"/>
      <c r="CE19" s="164"/>
      <c r="CF19" s="164"/>
      <c r="CG19" s="164"/>
      <c r="CH19" s="164"/>
      <c r="CI19" s="164"/>
      <c r="CJ19" s="164"/>
      <c r="CK19" s="164"/>
      <c r="CL19" s="164"/>
      <c r="CM19" s="164"/>
      <c r="CN19" s="164"/>
      <c r="CO19" s="164"/>
      <c r="CP19" s="164"/>
      <c r="CQ19" s="164"/>
      <c r="CR19" s="164"/>
      <c r="CS19" s="164"/>
      <c r="CT19" s="164"/>
      <c r="CU19" s="164"/>
      <c r="CV19" s="164"/>
      <c r="CW19" s="164"/>
      <c r="CX19" s="164"/>
      <c r="CY19" s="164"/>
      <c r="CZ19" s="164"/>
      <c r="DA19" s="164"/>
      <c r="DB19" s="164"/>
      <c r="DC19" s="164"/>
      <c r="DD19" s="164"/>
      <c r="DE19" s="164"/>
      <c r="DF19" s="164"/>
      <c r="DG19" s="164"/>
      <c r="DH19" s="164"/>
      <c r="DI19" s="164"/>
      <c r="DJ19" s="164"/>
      <c r="DK19" s="164"/>
      <c r="DL19" s="164"/>
      <c r="DM19" s="164"/>
      <c r="DN19" s="164"/>
      <c r="DO19" s="164"/>
      <c r="DP19" s="164"/>
      <c r="DQ19" s="164"/>
      <c r="DR19" s="164"/>
      <c r="DS19" s="164"/>
      <c r="DT19" s="164"/>
      <c r="DU19" s="164"/>
      <c r="DV19" s="164"/>
      <c r="DW19" s="164"/>
      <c r="DX19" s="164"/>
      <c r="DY19" s="164"/>
      <c r="DZ19" s="164"/>
      <c r="EA19" s="164"/>
      <c r="EB19" s="164"/>
      <c r="EC19" s="164"/>
      <c r="ED19" s="164"/>
      <c r="EE19" s="164"/>
      <c r="EF19" s="164"/>
      <c r="EG19" s="164"/>
      <c r="EH19" s="164"/>
      <c r="EI19" s="164"/>
      <c r="EJ19" s="164"/>
      <c r="EK19" s="164"/>
      <c r="EL19" s="164"/>
      <c r="EM19" s="164"/>
      <c r="EN19" s="164"/>
      <c r="EO19" s="164"/>
      <c r="EP19" s="164"/>
      <c r="EQ19" s="164"/>
      <c r="ER19" s="164"/>
      <c r="ES19" s="164"/>
      <c r="ET19" s="164"/>
      <c r="EU19" s="164"/>
      <c r="EV19" s="164"/>
      <c r="EW19" s="164"/>
      <c r="EX19" s="164"/>
      <c r="EY19" s="164"/>
      <c r="EZ19" s="164"/>
      <c r="FA19" s="164"/>
      <c r="FB19" s="164"/>
      <c r="FC19" s="164"/>
      <c r="FD19" s="164"/>
      <c r="FE19" s="164"/>
      <c r="FF19" s="164"/>
      <c r="FG19" s="164"/>
      <c r="FH19" s="164"/>
      <c r="FI19" s="164"/>
      <c r="FJ19" s="164"/>
      <c r="FK19" s="164"/>
      <c r="FL19" s="164"/>
      <c r="FM19" s="164"/>
      <c r="FN19" s="164"/>
      <c r="FO19" s="164"/>
      <c r="FP19" s="164"/>
      <c r="FQ19" s="164"/>
      <c r="FR19" s="164"/>
      <c r="FS19" s="164"/>
      <c r="FT19" s="164"/>
      <c r="FU19" s="164"/>
      <c r="FV19" s="164"/>
      <c r="FW19" s="164"/>
      <c r="FX19" s="164"/>
      <c r="FY19" s="164"/>
      <c r="FZ19" s="164"/>
      <c r="GA19" s="164"/>
      <c r="GB19" s="164"/>
      <c r="GC19" s="164"/>
      <c r="GD19" s="164"/>
      <c r="GE19" s="164"/>
      <c r="GF19" s="164"/>
      <c r="GG19" s="164"/>
      <c r="GH19" s="164"/>
      <c r="GI19" s="164"/>
      <c r="GJ19" s="164"/>
      <c r="GK19" s="164"/>
      <c r="GL19" s="164"/>
      <c r="GM19" s="164"/>
      <c r="GN19" s="164"/>
      <c r="GO19" s="164"/>
      <c r="GP19" s="164"/>
      <c r="GQ19" s="164"/>
      <c r="GR19" s="164"/>
      <c r="GS19" s="164"/>
      <c r="GT19" s="164"/>
      <c r="GU19" s="164"/>
      <c r="GV19" s="164"/>
      <c r="GW19" s="164"/>
      <c r="GX19" s="164"/>
      <c r="GY19" s="164"/>
      <c r="GZ19" s="164"/>
      <c r="HA19" s="164"/>
      <c r="HB19" s="164"/>
      <c r="HC19" s="164"/>
      <c r="HD19" s="164"/>
      <c r="HE19" s="164"/>
      <c r="HF19" s="164"/>
      <c r="HG19" s="164"/>
      <c r="HH19" s="164"/>
      <c r="HI19" s="164"/>
      <c r="HJ19" s="164"/>
      <c r="HK19" s="164"/>
      <c r="HL19" s="164"/>
      <c r="HM19" s="164"/>
      <c r="HN19" s="164"/>
      <c r="HO19" s="164"/>
      <c r="HP19" s="164"/>
      <c r="HQ19" s="164"/>
      <c r="HR19" s="164"/>
      <c r="HS19" s="164"/>
      <c r="HT19" s="164"/>
      <c r="HU19" s="164"/>
      <c r="HV19" s="164"/>
      <c r="HW19" s="164"/>
      <c r="HX19" s="164"/>
      <c r="HY19" s="164"/>
      <c r="HZ19" s="164"/>
      <c r="IA19" s="164"/>
      <c r="IB19" s="164"/>
      <c r="IC19" s="164"/>
      <c r="ID19" s="164"/>
      <c r="IE19" s="164"/>
      <c r="IF19" s="164"/>
      <c r="IG19" s="164"/>
      <c r="IH19" s="164"/>
      <c r="II19" s="164"/>
      <c r="IJ19" s="164"/>
      <c r="IK19" s="164"/>
      <c r="IL19" s="164"/>
      <c r="IM19" s="164"/>
      <c r="IN19" s="164"/>
      <c r="IO19" s="164"/>
      <c r="IP19" s="164"/>
      <c r="IQ19" s="164"/>
      <c r="IR19" s="164"/>
      <c r="IS19" s="164"/>
      <c r="IT19" s="164"/>
      <c r="IU19" s="164"/>
      <c r="IV19" s="164"/>
    </row>
    <row r="20" spans="1:256" ht="32.25" customHeight="1">
      <c r="A20" s="66"/>
      <c r="B20" s="82">
        <f t="shared" si="8"/>
        <v>44297</v>
      </c>
      <c r="C20" s="83"/>
      <c r="D20" s="132">
        <f>'Suivi EAU-ELEC'!C26</f>
        <v>425</v>
      </c>
      <c r="E20" s="85"/>
      <c r="F20" s="219">
        <f t="shared" si="0"/>
        <v>5384.75</v>
      </c>
      <c r="G20" s="220"/>
      <c r="H20" s="221"/>
      <c r="I20" s="127"/>
      <c r="J20" s="84">
        <f>'Suivi EAU-ELEC'!E26</f>
        <v>3853</v>
      </c>
      <c r="K20" s="84">
        <f>'Suivi EAU-ELEC'!G26</f>
        <v>5780</v>
      </c>
      <c r="L20" s="84">
        <f>'Suivi EAU-ELEC'!I26</f>
        <v>2421</v>
      </c>
      <c r="M20" s="74">
        <f t="shared" si="4"/>
        <v>12054</v>
      </c>
      <c r="N20" s="52"/>
      <c r="O20" s="53">
        <f t="shared" si="5"/>
        <v>11933.46</v>
      </c>
      <c r="P20" s="51"/>
      <c r="Q20" s="49"/>
      <c r="R20" s="50"/>
      <c r="S20" s="49"/>
      <c r="T20" s="85"/>
      <c r="U20" s="54">
        <f>'Suivi Gaz'!O21</f>
        <v>445.20000000000005</v>
      </c>
      <c r="V20" s="52"/>
      <c r="W20" s="53">
        <f t="shared" si="6"/>
        <v>4150.5773400000007</v>
      </c>
      <c r="X20" s="58">
        <v>19709.32</v>
      </c>
      <c r="Y20" s="133">
        <f t="shared" si="1"/>
        <v>18.630000000001019</v>
      </c>
      <c r="Z20" s="57">
        <f t="shared" si="7"/>
        <v>9873.9000000005417</v>
      </c>
      <c r="AA20" s="60">
        <v>14</v>
      </c>
      <c r="AB20" s="157">
        <v>22</v>
      </c>
      <c r="AC20" s="70">
        <v>18</v>
      </c>
      <c r="AD20" s="71">
        <v>0.19350000000000001</v>
      </c>
      <c r="AE20" s="75">
        <v>28</v>
      </c>
      <c r="AF20" s="75">
        <v>29</v>
      </c>
      <c r="AG20" s="72">
        <v>28</v>
      </c>
      <c r="AH20" s="73">
        <v>29</v>
      </c>
      <c r="AI20" s="38"/>
      <c r="AJ20" s="116">
        <f t="shared" si="2"/>
        <v>31342.687340000542</v>
      </c>
      <c r="AK20" s="115">
        <f t="shared" si="3"/>
        <v>1741.2604077778078</v>
      </c>
      <c r="AL20" s="67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4"/>
      <c r="CB20" s="164"/>
      <c r="CC20" s="164"/>
      <c r="CD20" s="164"/>
      <c r="CE20" s="164"/>
      <c r="CF20" s="164"/>
      <c r="CG20" s="164"/>
      <c r="CH20" s="164"/>
      <c r="CI20" s="164"/>
      <c r="CJ20" s="164"/>
      <c r="CK20" s="164"/>
      <c r="CL20" s="164"/>
      <c r="CM20" s="164"/>
      <c r="CN20" s="164"/>
      <c r="CO20" s="164"/>
      <c r="CP20" s="164"/>
      <c r="CQ20" s="164"/>
      <c r="CR20" s="164"/>
      <c r="CS20" s="164"/>
      <c r="CT20" s="164"/>
      <c r="CU20" s="164"/>
      <c r="CV20" s="164"/>
      <c r="CW20" s="164"/>
      <c r="CX20" s="164"/>
      <c r="CY20" s="164"/>
      <c r="CZ20" s="164"/>
      <c r="DA20" s="164"/>
      <c r="DB20" s="164"/>
      <c r="DC20" s="164"/>
      <c r="DD20" s="164"/>
      <c r="DE20" s="164"/>
      <c r="DF20" s="164"/>
      <c r="DG20" s="164"/>
      <c r="DH20" s="164"/>
      <c r="DI20" s="164"/>
      <c r="DJ20" s="164"/>
      <c r="DK20" s="164"/>
      <c r="DL20" s="164"/>
      <c r="DM20" s="164"/>
      <c r="DN20" s="164"/>
      <c r="DO20" s="164"/>
      <c r="DP20" s="164"/>
      <c r="DQ20" s="164"/>
      <c r="DR20" s="164"/>
      <c r="DS20" s="164"/>
      <c r="DT20" s="164"/>
      <c r="DU20" s="164"/>
      <c r="DV20" s="164"/>
      <c r="DW20" s="164"/>
      <c r="DX20" s="164"/>
      <c r="DY20" s="164"/>
      <c r="DZ20" s="164"/>
      <c r="EA20" s="164"/>
      <c r="EB20" s="164"/>
      <c r="EC20" s="164"/>
      <c r="ED20" s="164"/>
      <c r="EE20" s="164"/>
      <c r="EF20" s="164"/>
      <c r="EG20" s="164"/>
      <c r="EH20" s="164"/>
      <c r="EI20" s="164"/>
      <c r="EJ20" s="164"/>
      <c r="EK20" s="164"/>
      <c r="EL20" s="164"/>
      <c r="EM20" s="164"/>
      <c r="EN20" s="164"/>
      <c r="EO20" s="164"/>
      <c r="EP20" s="164"/>
      <c r="EQ20" s="164"/>
      <c r="ER20" s="164"/>
      <c r="ES20" s="164"/>
      <c r="ET20" s="164"/>
      <c r="EU20" s="164"/>
      <c r="EV20" s="164"/>
      <c r="EW20" s="164"/>
      <c r="EX20" s="164"/>
      <c r="EY20" s="164"/>
      <c r="EZ20" s="164"/>
      <c r="FA20" s="164"/>
      <c r="FB20" s="164"/>
      <c r="FC20" s="164"/>
      <c r="FD20" s="164"/>
      <c r="FE20" s="164"/>
      <c r="FF20" s="164"/>
      <c r="FG20" s="164"/>
      <c r="FH20" s="164"/>
      <c r="FI20" s="164"/>
      <c r="FJ20" s="164"/>
      <c r="FK20" s="164"/>
      <c r="FL20" s="164"/>
      <c r="FM20" s="164"/>
      <c r="FN20" s="164"/>
      <c r="FO20" s="164"/>
      <c r="FP20" s="164"/>
      <c r="FQ20" s="164"/>
      <c r="FR20" s="164"/>
      <c r="FS20" s="164"/>
      <c r="FT20" s="164"/>
      <c r="FU20" s="164"/>
      <c r="FV20" s="164"/>
      <c r="FW20" s="164"/>
      <c r="FX20" s="164"/>
      <c r="FY20" s="164"/>
      <c r="FZ20" s="164"/>
      <c r="GA20" s="164"/>
      <c r="GB20" s="164"/>
      <c r="GC20" s="164"/>
      <c r="GD20" s="164"/>
      <c r="GE20" s="164"/>
      <c r="GF20" s="164"/>
      <c r="GG20" s="164"/>
      <c r="GH20" s="164"/>
      <c r="GI20" s="164"/>
      <c r="GJ20" s="164"/>
      <c r="GK20" s="164"/>
      <c r="GL20" s="164"/>
      <c r="GM20" s="164"/>
      <c r="GN20" s="164"/>
      <c r="GO20" s="164"/>
      <c r="GP20" s="164"/>
      <c r="GQ20" s="164"/>
      <c r="GR20" s="164"/>
      <c r="GS20" s="164"/>
      <c r="GT20" s="164"/>
      <c r="GU20" s="164"/>
      <c r="GV20" s="164"/>
      <c r="GW20" s="164"/>
      <c r="GX20" s="164"/>
      <c r="GY20" s="164"/>
      <c r="GZ20" s="164"/>
      <c r="HA20" s="164"/>
      <c r="HB20" s="164"/>
      <c r="HC20" s="164"/>
      <c r="HD20" s="164"/>
      <c r="HE20" s="164"/>
      <c r="HF20" s="164"/>
      <c r="HG20" s="164"/>
      <c r="HH20" s="164"/>
      <c r="HI20" s="164"/>
      <c r="HJ20" s="164"/>
      <c r="HK20" s="164"/>
      <c r="HL20" s="164"/>
      <c r="HM20" s="164"/>
      <c r="HN20" s="164"/>
      <c r="HO20" s="164"/>
      <c r="HP20" s="164"/>
      <c r="HQ20" s="164"/>
      <c r="HR20" s="164"/>
      <c r="HS20" s="164"/>
      <c r="HT20" s="164"/>
      <c r="HU20" s="164"/>
      <c r="HV20" s="164"/>
      <c r="HW20" s="164"/>
      <c r="HX20" s="164"/>
      <c r="HY20" s="164"/>
      <c r="HZ20" s="164"/>
      <c r="IA20" s="164"/>
      <c r="IB20" s="164"/>
      <c r="IC20" s="164"/>
      <c r="ID20" s="164"/>
      <c r="IE20" s="164"/>
      <c r="IF20" s="164"/>
      <c r="IG20" s="164"/>
      <c r="IH20" s="164"/>
      <c r="II20" s="164"/>
      <c r="IJ20" s="164"/>
      <c r="IK20" s="164"/>
      <c r="IL20" s="164"/>
      <c r="IM20" s="164"/>
      <c r="IN20" s="164"/>
      <c r="IO20" s="164"/>
      <c r="IP20" s="164"/>
      <c r="IQ20" s="164"/>
      <c r="IR20" s="164"/>
      <c r="IS20" s="164"/>
      <c r="IT20" s="164"/>
      <c r="IU20" s="164"/>
      <c r="IV20" s="164"/>
    </row>
    <row r="21" spans="1:256" ht="32.25" customHeight="1">
      <c r="A21" s="66"/>
      <c r="B21" s="82">
        <f t="shared" si="8"/>
        <v>44298</v>
      </c>
      <c r="C21" s="83"/>
      <c r="D21" s="132">
        <f>'Suivi EAU-ELEC'!C27</f>
        <v>482</v>
      </c>
      <c r="E21" s="85"/>
      <c r="F21" s="200">
        <f t="shared" si="0"/>
        <v>6106.94</v>
      </c>
      <c r="G21" s="201"/>
      <c r="H21" s="202"/>
      <c r="I21" s="127"/>
      <c r="J21" s="84">
        <f>'Suivi EAU-ELEC'!E27</f>
        <v>3036</v>
      </c>
      <c r="K21" s="84">
        <f>'Suivi EAU-ELEC'!G27</f>
        <v>5262</v>
      </c>
      <c r="L21" s="84">
        <f>'Suivi EAU-ELEC'!I27</f>
        <v>2193</v>
      </c>
      <c r="M21" s="74">
        <f t="shared" si="4"/>
        <v>10491</v>
      </c>
      <c r="N21" s="52"/>
      <c r="O21" s="53">
        <f t="shared" si="5"/>
        <v>10386.09</v>
      </c>
      <c r="P21" s="51"/>
      <c r="Q21" s="49"/>
      <c r="R21" s="50"/>
      <c r="S21" s="49"/>
      <c r="T21" s="85"/>
      <c r="U21" s="54">
        <f>'Suivi Gaz'!O22</f>
        <v>296.8</v>
      </c>
      <c r="V21" s="52"/>
      <c r="W21" s="53">
        <f t="shared" si="6"/>
        <v>2767.0515600000003</v>
      </c>
      <c r="X21" s="58">
        <v>19727.95</v>
      </c>
      <c r="Y21" s="133">
        <f t="shared" si="1"/>
        <v>11.849999999998545</v>
      </c>
      <c r="Z21" s="57">
        <f t="shared" si="7"/>
        <v>6280.4999999992287</v>
      </c>
      <c r="AA21" s="60">
        <v>14</v>
      </c>
      <c r="AB21" s="157">
        <v>25</v>
      </c>
      <c r="AC21" s="70">
        <v>7</v>
      </c>
      <c r="AD21" s="71">
        <v>6.8000000000000005E-2</v>
      </c>
      <c r="AE21" s="75">
        <v>28</v>
      </c>
      <c r="AF21" s="148">
        <v>29</v>
      </c>
      <c r="AG21" s="72">
        <v>22</v>
      </c>
      <c r="AH21" s="73">
        <v>24</v>
      </c>
      <c r="AI21" s="38"/>
      <c r="AJ21" s="116">
        <f t="shared" si="2"/>
        <v>25540.581559999227</v>
      </c>
      <c r="AK21" s="115">
        <f>AJ21/AC21</f>
        <v>3648.6545085713183</v>
      </c>
      <c r="AL21" s="67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4"/>
      <c r="CA21" s="164"/>
      <c r="CB21" s="164"/>
      <c r="CC21" s="164"/>
      <c r="CD21" s="164"/>
      <c r="CE21" s="164"/>
      <c r="CF21" s="164"/>
      <c r="CG21" s="164"/>
      <c r="CH21" s="164"/>
      <c r="CI21" s="164"/>
      <c r="CJ21" s="164"/>
      <c r="CK21" s="164"/>
      <c r="CL21" s="164"/>
      <c r="CM21" s="164"/>
      <c r="CN21" s="164"/>
      <c r="CO21" s="164"/>
      <c r="CP21" s="164"/>
      <c r="CQ21" s="164"/>
      <c r="CR21" s="164"/>
      <c r="CS21" s="164"/>
      <c r="CT21" s="164"/>
      <c r="CU21" s="164"/>
      <c r="CV21" s="164"/>
      <c r="CW21" s="164"/>
      <c r="CX21" s="164"/>
      <c r="CY21" s="164"/>
      <c r="CZ21" s="164"/>
      <c r="DA21" s="164"/>
      <c r="DB21" s="164"/>
      <c r="DC21" s="164"/>
      <c r="DD21" s="164"/>
      <c r="DE21" s="164"/>
      <c r="DF21" s="164"/>
      <c r="DG21" s="164"/>
      <c r="DH21" s="164"/>
      <c r="DI21" s="164"/>
      <c r="DJ21" s="164"/>
      <c r="DK21" s="164"/>
      <c r="DL21" s="164"/>
      <c r="DM21" s="164"/>
      <c r="DN21" s="164"/>
      <c r="DO21" s="164"/>
      <c r="DP21" s="164"/>
      <c r="DQ21" s="164"/>
      <c r="DR21" s="164"/>
      <c r="DS21" s="164"/>
      <c r="DT21" s="164"/>
      <c r="DU21" s="164"/>
      <c r="DV21" s="164"/>
      <c r="DW21" s="164"/>
      <c r="DX21" s="164"/>
      <c r="DY21" s="164"/>
      <c r="DZ21" s="164"/>
      <c r="EA21" s="164"/>
      <c r="EB21" s="164"/>
      <c r="EC21" s="164"/>
      <c r="ED21" s="164"/>
      <c r="EE21" s="164"/>
      <c r="EF21" s="164"/>
      <c r="EG21" s="164"/>
      <c r="EH21" s="164"/>
      <c r="EI21" s="164"/>
      <c r="EJ21" s="164"/>
      <c r="EK21" s="164"/>
      <c r="EL21" s="164"/>
      <c r="EM21" s="164"/>
      <c r="EN21" s="164"/>
      <c r="EO21" s="164"/>
      <c r="EP21" s="164"/>
      <c r="EQ21" s="164"/>
      <c r="ER21" s="164"/>
      <c r="ES21" s="164"/>
      <c r="ET21" s="164"/>
      <c r="EU21" s="164"/>
      <c r="EV21" s="164"/>
      <c r="EW21" s="164"/>
      <c r="EX21" s="164"/>
      <c r="EY21" s="164"/>
      <c r="EZ21" s="164"/>
      <c r="FA21" s="164"/>
      <c r="FB21" s="164"/>
      <c r="FC21" s="164"/>
      <c r="FD21" s="164"/>
      <c r="FE21" s="164"/>
      <c r="FF21" s="164"/>
      <c r="FG21" s="164"/>
      <c r="FH21" s="164"/>
      <c r="FI21" s="164"/>
      <c r="FJ21" s="164"/>
      <c r="FK21" s="164"/>
      <c r="FL21" s="164"/>
      <c r="FM21" s="164"/>
      <c r="FN21" s="164"/>
      <c r="FO21" s="164"/>
      <c r="FP21" s="164"/>
      <c r="FQ21" s="164"/>
      <c r="FR21" s="164"/>
      <c r="FS21" s="164"/>
      <c r="FT21" s="164"/>
      <c r="FU21" s="164"/>
      <c r="FV21" s="164"/>
      <c r="FW21" s="164"/>
      <c r="FX21" s="164"/>
      <c r="FY21" s="164"/>
      <c r="FZ21" s="164"/>
      <c r="GA21" s="164"/>
      <c r="GB21" s="164"/>
      <c r="GC21" s="164"/>
      <c r="GD21" s="164"/>
      <c r="GE21" s="164"/>
      <c r="GF21" s="164"/>
      <c r="GG21" s="164"/>
      <c r="GH21" s="164"/>
      <c r="GI21" s="164"/>
      <c r="GJ21" s="164"/>
      <c r="GK21" s="164"/>
      <c r="GL21" s="164"/>
      <c r="GM21" s="164"/>
      <c r="GN21" s="164"/>
      <c r="GO21" s="164"/>
      <c r="GP21" s="164"/>
      <c r="GQ21" s="164"/>
      <c r="GR21" s="164"/>
      <c r="GS21" s="164"/>
      <c r="GT21" s="164"/>
      <c r="GU21" s="164"/>
      <c r="GV21" s="164"/>
      <c r="GW21" s="164"/>
      <c r="GX21" s="164"/>
      <c r="GY21" s="164"/>
      <c r="GZ21" s="164"/>
      <c r="HA21" s="164"/>
      <c r="HB21" s="164"/>
      <c r="HC21" s="164"/>
      <c r="HD21" s="164"/>
      <c r="HE21" s="164"/>
      <c r="HF21" s="164"/>
      <c r="HG21" s="164"/>
      <c r="HH21" s="164"/>
      <c r="HI21" s="164"/>
      <c r="HJ21" s="164"/>
      <c r="HK21" s="164"/>
      <c r="HL21" s="164"/>
      <c r="HM21" s="164"/>
      <c r="HN21" s="164"/>
      <c r="HO21" s="164"/>
      <c r="HP21" s="164"/>
      <c r="HQ21" s="164"/>
      <c r="HR21" s="164"/>
      <c r="HS21" s="164"/>
      <c r="HT21" s="164"/>
      <c r="HU21" s="164"/>
      <c r="HV21" s="164"/>
      <c r="HW21" s="164"/>
      <c r="HX21" s="164"/>
      <c r="HY21" s="164"/>
      <c r="HZ21" s="164"/>
      <c r="IA21" s="164"/>
      <c r="IB21" s="164"/>
      <c r="IC21" s="164"/>
      <c r="ID21" s="164"/>
      <c r="IE21" s="164"/>
      <c r="IF21" s="164"/>
      <c r="IG21" s="164"/>
      <c r="IH21" s="164"/>
      <c r="II21" s="164"/>
      <c r="IJ21" s="164"/>
      <c r="IK21" s="164"/>
      <c r="IL21" s="164"/>
      <c r="IM21" s="164"/>
      <c r="IN21" s="164"/>
      <c r="IO21" s="164"/>
      <c r="IP21" s="164"/>
      <c r="IQ21" s="164"/>
      <c r="IR21" s="164"/>
      <c r="IS21" s="164"/>
      <c r="IT21" s="164"/>
      <c r="IU21" s="164"/>
      <c r="IV21" s="164"/>
    </row>
    <row r="22" spans="1:256" ht="32.25" customHeight="1">
      <c r="A22" s="66"/>
      <c r="B22" s="82">
        <f t="shared" si="8"/>
        <v>44299</v>
      </c>
      <c r="C22" s="83"/>
      <c r="D22" s="132">
        <f>'Suivi EAU-ELEC'!C28</f>
        <v>268</v>
      </c>
      <c r="E22" s="85"/>
      <c r="F22" s="222">
        <f t="shared" si="0"/>
        <v>3395.56</v>
      </c>
      <c r="G22" s="223"/>
      <c r="H22" s="224"/>
      <c r="I22" s="127"/>
      <c r="J22" s="84">
        <f>'Suivi EAU-ELEC'!E28</f>
        <v>2884</v>
      </c>
      <c r="K22" s="84">
        <f>'Suivi EAU-ELEC'!G28</f>
        <v>5115</v>
      </c>
      <c r="L22" s="84">
        <f>'Suivi EAU-ELEC'!I28</f>
        <v>2075</v>
      </c>
      <c r="M22" s="74">
        <f t="shared" si="4"/>
        <v>10074</v>
      </c>
      <c r="N22" s="52"/>
      <c r="O22" s="53">
        <f t="shared" si="5"/>
        <v>9973.26</v>
      </c>
      <c r="P22" s="51"/>
      <c r="Q22" s="49"/>
      <c r="R22" s="50"/>
      <c r="S22" s="49"/>
      <c r="T22" s="85"/>
      <c r="U22" s="54">
        <f>'Suivi Gaz'!O23</f>
        <v>148.4</v>
      </c>
      <c r="V22" s="52"/>
      <c r="W22" s="53">
        <f t="shared" si="6"/>
        <v>1383.5257800000002</v>
      </c>
      <c r="X22" s="58">
        <v>19739.8</v>
      </c>
      <c r="Y22" s="133">
        <f t="shared" si="1"/>
        <v>9.1199999999989814</v>
      </c>
      <c r="Z22" s="57">
        <f t="shared" si="7"/>
        <v>4833.5999999994601</v>
      </c>
      <c r="AA22" s="52"/>
      <c r="AB22" s="157">
        <v>25</v>
      </c>
      <c r="AC22" s="70">
        <v>5</v>
      </c>
      <c r="AD22" s="71">
        <v>4.3499999999999997E-2</v>
      </c>
      <c r="AE22" s="75">
        <v>27</v>
      </c>
      <c r="AF22" s="75">
        <v>28</v>
      </c>
      <c r="AG22" s="72">
        <v>20</v>
      </c>
      <c r="AH22" s="73">
        <v>24</v>
      </c>
      <c r="AI22" s="38"/>
      <c r="AJ22" s="116">
        <f t="shared" si="2"/>
        <v>19585.94577999946</v>
      </c>
      <c r="AK22" s="115">
        <f t="shared" si="3"/>
        <v>3917.1891559998921</v>
      </c>
      <c r="AL22" s="67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4"/>
      <c r="CD22" s="164"/>
      <c r="CE22" s="164"/>
      <c r="CF22" s="164"/>
      <c r="CG22" s="164"/>
      <c r="CH22" s="164"/>
      <c r="CI22" s="164"/>
      <c r="CJ22" s="164"/>
      <c r="CK22" s="164"/>
      <c r="CL22" s="164"/>
      <c r="CM22" s="164"/>
      <c r="CN22" s="164"/>
      <c r="CO22" s="164"/>
      <c r="CP22" s="164"/>
      <c r="CQ22" s="164"/>
      <c r="CR22" s="164"/>
      <c r="CS22" s="164"/>
      <c r="CT22" s="164"/>
      <c r="CU22" s="164"/>
      <c r="CV22" s="164"/>
      <c r="CW22" s="164"/>
      <c r="CX22" s="164"/>
      <c r="CY22" s="164"/>
      <c r="CZ22" s="164"/>
      <c r="DA22" s="164"/>
      <c r="DB22" s="164"/>
      <c r="DC22" s="164"/>
      <c r="DD22" s="164"/>
      <c r="DE22" s="164"/>
      <c r="DF22" s="164"/>
      <c r="DG22" s="164"/>
      <c r="DH22" s="164"/>
      <c r="DI22" s="164"/>
      <c r="DJ22" s="164"/>
      <c r="DK22" s="164"/>
      <c r="DL22" s="164"/>
      <c r="DM22" s="164"/>
      <c r="DN22" s="164"/>
      <c r="DO22" s="164"/>
      <c r="DP22" s="164"/>
      <c r="DQ22" s="164"/>
      <c r="DR22" s="164"/>
      <c r="DS22" s="164"/>
      <c r="DT22" s="164"/>
      <c r="DU22" s="164"/>
      <c r="DV22" s="164"/>
      <c r="DW22" s="164"/>
      <c r="DX22" s="164"/>
      <c r="DY22" s="164"/>
      <c r="DZ22" s="164"/>
      <c r="EA22" s="164"/>
      <c r="EB22" s="164"/>
      <c r="EC22" s="164"/>
      <c r="ED22" s="164"/>
      <c r="EE22" s="164"/>
      <c r="EF22" s="164"/>
      <c r="EG22" s="164"/>
      <c r="EH22" s="164"/>
      <c r="EI22" s="164"/>
      <c r="EJ22" s="164"/>
      <c r="EK22" s="164"/>
      <c r="EL22" s="164"/>
      <c r="EM22" s="164"/>
      <c r="EN22" s="164"/>
      <c r="EO22" s="164"/>
      <c r="EP22" s="164"/>
      <c r="EQ22" s="164"/>
      <c r="ER22" s="164"/>
      <c r="ES22" s="164"/>
      <c r="ET22" s="164"/>
      <c r="EU22" s="164"/>
      <c r="EV22" s="164"/>
      <c r="EW22" s="164"/>
      <c r="EX22" s="164"/>
      <c r="EY22" s="164"/>
      <c r="EZ22" s="164"/>
      <c r="FA22" s="164"/>
      <c r="FB22" s="164"/>
      <c r="FC22" s="164"/>
      <c r="FD22" s="164"/>
      <c r="FE22" s="164"/>
      <c r="FF22" s="164"/>
      <c r="FG22" s="164"/>
      <c r="FH22" s="164"/>
      <c r="FI22" s="164"/>
      <c r="FJ22" s="164"/>
      <c r="FK22" s="164"/>
      <c r="FL22" s="164"/>
      <c r="FM22" s="164"/>
      <c r="FN22" s="164"/>
      <c r="FO22" s="164"/>
      <c r="FP22" s="164"/>
      <c r="FQ22" s="164"/>
      <c r="FR22" s="164"/>
      <c r="FS22" s="164"/>
      <c r="FT22" s="164"/>
      <c r="FU22" s="164"/>
      <c r="FV22" s="164"/>
      <c r="FW22" s="164"/>
      <c r="FX22" s="164"/>
      <c r="FY22" s="164"/>
      <c r="FZ22" s="164"/>
      <c r="GA22" s="164"/>
      <c r="GB22" s="164"/>
      <c r="GC22" s="164"/>
      <c r="GD22" s="164"/>
      <c r="GE22" s="164"/>
      <c r="GF22" s="164"/>
      <c r="GG22" s="164"/>
      <c r="GH22" s="164"/>
      <c r="GI22" s="164"/>
      <c r="GJ22" s="164"/>
      <c r="GK22" s="164"/>
      <c r="GL22" s="164"/>
      <c r="GM22" s="164"/>
      <c r="GN22" s="164"/>
      <c r="GO22" s="164"/>
      <c r="GP22" s="164"/>
      <c r="GQ22" s="164"/>
      <c r="GR22" s="164"/>
      <c r="GS22" s="164"/>
      <c r="GT22" s="164"/>
      <c r="GU22" s="164"/>
      <c r="GV22" s="164"/>
      <c r="GW22" s="164"/>
      <c r="GX22" s="164"/>
      <c r="GY22" s="164"/>
      <c r="GZ22" s="164"/>
      <c r="HA22" s="164"/>
      <c r="HB22" s="164"/>
      <c r="HC22" s="164"/>
      <c r="HD22" s="164"/>
      <c r="HE22" s="164"/>
      <c r="HF22" s="164"/>
      <c r="HG22" s="164"/>
      <c r="HH22" s="164"/>
      <c r="HI22" s="164"/>
      <c r="HJ22" s="164"/>
      <c r="HK22" s="164"/>
      <c r="HL22" s="164"/>
      <c r="HM22" s="164"/>
      <c r="HN22" s="164"/>
      <c r="HO22" s="164"/>
      <c r="HP22" s="164"/>
      <c r="HQ22" s="164"/>
      <c r="HR22" s="164"/>
      <c r="HS22" s="164"/>
      <c r="HT22" s="164"/>
      <c r="HU22" s="164"/>
      <c r="HV22" s="164"/>
      <c r="HW22" s="164"/>
      <c r="HX22" s="164"/>
      <c r="HY22" s="164"/>
      <c r="HZ22" s="164"/>
      <c r="IA22" s="164"/>
      <c r="IB22" s="164"/>
      <c r="IC22" s="164"/>
      <c r="ID22" s="164"/>
      <c r="IE22" s="164"/>
      <c r="IF22" s="164"/>
      <c r="IG22" s="164"/>
      <c r="IH22" s="164"/>
      <c r="II22" s="164"/>
      <c r="IJ22" s="164"/>
      <c r="IK22" s="164"/>
      <c r="IL22" s="164"/>
      <c r="IM22" s="164"/>
      <c r="IN22" s="164"/>
      <c r="IO22" s="164"/>
      <c r="IP22" s="164"/>
      <c r="IQ22" s="164"/>
      <c r="IR22" s="164"/>
      <c r="IS22" s="164"/>
      <c r="IT22" s="164"/>
      <c r="IU22" s="164"/>
      <c r="IV22" s="164"/>
    </row>
    <row r="23" spans="1:256" ht="32.25" customHeight="1">
      <c r="A23" s="66"/>
      <c r="B23" s="82">
        <f t="shared" si="8"/>
        <v>44300</v>
      </c>
      <c r="C23" s="83"/>
      <c r="D23" s="132">
        <f>'Suivi EAU-ELEC'!C29</f>
        <v>469</v>
      </c>
      <c r="E23" s="85"/>
      <c r="F23" s="200">
        <f t="shared" si="0"/>
        <v>5942.23</v>
      </c>
      <c r="G23" s="201"/>
      <c r="H23" s="202"/>
      <c r="I23" s="127"/>
      <c r="J23" s="84">
        <f>'Suivi EAU-ELEC'!E29</f>
        <v>3083</v>
      </c>
      <c r="K23" s="84">
        <f>'Suivi EAU-ELEC'!G29</f>
        <v>4597</v>
      </c>
      <c r="L23" s="84">
        <f>'Suivi EAU-ELEC'!I29</f>
        <v>2683</v>
      </c>
      <c r="M23" s="74">
        <f t="shared" si="4"/>
        <v>10363</v>
      </c>
      <c r="N23" s="52"/>
      <c r="O23" s="53">
        <f t="shared" si="5"/>
        <v>10259.369999999999</v>
      </c>
      <c r="P23" s="51"/>
      <c r="Q23" s="49"/>
      <c r="R23" s="50"/>
      <c r="S23" s="49"/>
      <c r="T23" s="85"/>
      <c r="U23" s="54">
        <f>'Suivi Gaz'!O24</f>
        <v>259.7</v>
      </c>
      <c r="V23" s="52"/>
      <c r="W23" s="53">
        <f t="shared" si="6"/>
        <v>2421.1701149999999</v>
      </c>
      <c r="X23" s="58">
        <v>19748.919999999998</v>
      </c>
      <c r="Y23" s="133">
        <f t="shared" si="1"/>
        <v>6.6300000000010186</v>
      </c>
      <c r="Z23" s="57">
        <f t="shared" si="7"/>
        <v>3513.9000000005399</v>
      </c>
      <c r="AA23" s="52"/>
      <c r="AB23" s="157">
        <v>23</v>
      </c>
      <c r="AC23" s="70">
        <v>6</v>
      </c>
      <c r="AD23" s="71">
        <v>5.1700000000000003E-2</v>
      </c>
      <c r="AE23" s="75">
        <v>27</v>
      </c>
      <c r="AF23" s="75">
        <v>27.5</v>
      </c>
      <c r="AG23" s="72">
        <v>20</v>
      </c>
      <c r="AH23" s="73">
        <v>20</v>
      </c>
      <c r="AI23" s="38"/>
      <c r="AJ23" s="116">
        <f t="shared" si="2"/>
        <v>22136.670115000539</v>
      </c>
      <c r="AK23" s="115">
        <f t="shared" si="3"/>
        <v>3689.4450191667565</v>
      </c>
      <c r="AL23" s="67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4"/>
      <c r="BQ23" s="164"/>
      <c r="BR23" s="164"/>
      <c r="BS23" s="164"/>
      <c r="BT23" s="164"/>
      <c r="BU23" s="164"/>
      <c r="BV23" s="164"/>
      <c r="BW23" s="164"/>
      <c r="BX23" s="164"/>
      <c r="BY23" s="164"/>
      <c r="BZ23" s="164"/>
      <c r="CA23" s="164"/>
      <c r="CB23" s="164"/>
      <c r="CC23" s="164"/>
      <c r="CD23" s="164"/>
      <c r="CE23" s="164"/>
      <c r="CF23" s="164"/>
      <c r="CG23" s="164"/>
      <c r="CH23" s="164"/>
      <c r="CI23" s="164"/>
      <c r="CJ23" s="164"/>
      <c r="CK23" s="164"/>
      <c r="CL23" s="164"/>
      <c r="CM23" s="164"/>
      <c r="CN23" s="164"/>
      <c r="CO23" s="164"/>
      <c r="CP23" s="164"/>
      <c r="CQ23" s="164"/>
      <c r="CR23" s="164"/>
      <c r="CS23" s="164"/>
      <c r="CT23" s="164"/>
      <c r="CU23" s="164"/>
      <c r="CV23" s="164"/>
      <c r="CW23" s="164"/>
      <c r="CX23" s="164"/>
      <c r="CY23" s="164"/>
      <c r="CZ23" s="164"/>
      <c r="DA23" s="164"/>
      <c r="DB23" s="164"/>
      <c r="DC23" s="164"/>
      <c r="DD23" s="164"/>
      <c r="DE23" s="164"/>
      <c r="DF23" s="164"/>
      <c r="DG23" s="164"/>
      <c r="DH23" s="164"/>
      <c r="DI23" s="164"/>
      <c r="DJ23" s="164"/>
      <c r="DK23" s="164"/>
      <c r="DL23" s="164"/>
      <c r="DM23" s="164"/>
      <c r="DN23" s="164"/>
      <c r="DO23" s="164"/>
      <c r="DP23" s="164"/>
      <c r="DQ23" s="164"/>
      <c r="DR23" s="164"/>
      <c r="DS23" s="164"/>
      <c r="DT23" s="164"/>
      <c r="DU23" s="164"/>
      <c r="DV23" s="164"/>
      <c r="DW23" s="164"/>
      <c r="DX23" s="164"/>
      <c r="DY23" s="164"/>
      <c r="DZ23" s="164"/>
      <c r="EA23" s="164"/>
      <c r="EB23" s="164"/>
      <c r="EC23" s="164"/>
      <c r="ED23" s="164"/>
      <c r="EE23" s="164"/>
      <c r="EF23" s="164"/>
      <c r="EG23" s="164"/>
      <c r="EH23" s="164"/>
      <c r="EI23" s="164"/>
      <c r="EJ23" s="164"/>
      <c r="EK23" s="164"/>
      <c r="EL23" s="164"/>
      <c r="EM23" s="164"/>
      <c r="EN23" s="164"/>
      <c r="EO23" s="164"/>
      <c r="EP23" s="164"/>
      <c r="EQ23" s="164"/>
      <c r="ER23" s="164"/>
      <c r="ES23" s="164"/>
      <c r="ET23" s="164"/>
      <c r="EU23" s="164"/>
      <c r="EV23" s="164"/>
      <c r="EW23" s="164"/>
      <c r="EX23" s="164"/>
      <c r="EY23" s="164"/>
      <c r="EZ23" s="164"/>
      <c r="FA23" s="164"/>
      <c r="FB23" s="164"/>
      <c r="FC23" s="164"/>
      <c r="FD23" s="164"/>
      <c r="FE23" s="164"/>
      <c r="FF23" s="164"/>
      <c r="FG23" s="164"/>
      <c r="FH23" s="164"/>
      <c r="FI23" s="164"/>
      <c r="FJ23" s="164"/>
      <c r="FK23" s="164"/>
      <c r="FL23" s="164"/>
      <c r="FM23" s="164"/>
      <c r="FN23" s="164"/>
      <c r="FO23" s="164"/>
      <c r="FP23" s="164"/>
      <c r="FQ23" s="164"/>
      <c r="FR23" s="164"/>
      <c r="FS23" s="164"/>
      <c r="FT23" s="164"/>
      <c r="FU23" s="164"/>
      <c r="FV23" s="164"/>
      <c r="FW23" s="164"/>
      <c r="FX23" s="164"/>
      <c r="FY23" s="164"/>
      <c r="FZ23" s="164"/>
      <c r="GA23" s="164"/>
      <c r="GB23" s="164"/>
      <c r="GC23" s="164"/>
      <c r="GD23" s="164"/>
      <c r="GE23" s="164"/>
      <c r="GF23" s="164"/>
      <c r="GG23" s="164"/>
      <c r="GH23" s="164"/>
      <c r="GI23" s="164"/>
      <c r="GJ23" s="164"/>
      <c r="GK23" s="164"/>
      <c r="GL23" s="164"/>
      <c r="GM23" s="164"/>
      <c r="GN23" s="164"/>
      <c r="GO23" s="164"/>
      <c r="GP23" s="164"/>
      <c r="GQ23" s="164"/>
      <c r="GR23" s="164"/>
      <c r="GS23" s="164"/>
      <c r="GT23" s="164"/>
      <c r="GU23" s="164"/>
      <c r="GV23" s="164"/>
      <c r="GW23" s="164"/>
      <c r="GX23" s="164"/>
      <c r="GY23" s="164"/>
      <c r="GZ23" s="164"/>
      <c r="HA23" s="164"/>
      <c r="HB23" s="164"/>
      <c r="HC23" s="164"/>
      <c r="HD23" s="164"/>
      <c r="HE23" s="164"/>
      <c r="HF23" s="164"/>
      <c r="HG23" s="164"/>
      <c r="HH23" s="164"/>
      <c r="HI23" s="164"/>
      <c r="HJ23" s="164"/>
      <c r="HK23" s="164"/>
      <c r="HL23" s="164"/>
      <c r="HM23" s="164"/>
      <c r="HN23" s="164"/>
      <c r="HO23" s="164"/>
      <c r="HP23" s="164"/>
      <c r="HQ23" s="164"/>
      <c r="HR23" s="164"/>
      <c r="HS23" s="164"/>
      <c r="HT23" s="164"/>
      <c r="HU23" s="164"/>
      <c r="HV23" s="164"/>
      <c r="HW23" s="164"/>
      <c r="HX23" s="164"/>
      <c r="HY23" s="164"/>
      <c r="HZ23" s="164"/>
      <c r="IA23" s="164"/>
      <c r="IB23" s="164"/>
      <c r="IC23" s="164"/>
      <c r="ID23" s="164"/>
      <c r="IE23" s="164"/>
      <c r="IF23" s="164"/>
      <c r="IG23" s="164"/>
      <c r="IH23" s="164"/>
      <c r="II23" s="164"/>
      <c r="IJ23" s="164"/>
      <c r="IK23" s="164"/>
      <c r="IL23" s="164"/>
      <c r="IM23" s="164"/>
      <c r="IN23" s="164"/>
      <c r="IO23" s="164"/>
      <c r="IP23" s="164"/>
      <c r="IQ23" s="164"/>
      <c r="IR23" s="164"/>
      <c r="IS23" s="164"/>
      <c r="IT23" s="164"/>
      <c r="IU23" s="164"/>
      <c r="IV23" s="164"/>
    </row>
    <row r="24" spans="1:256" ht="32.25" customHeight="1">
      <c r="A24" s="66"/>
      <c r="B24" s="82">
        <f t="shared" si="8"/>
        <v>44301</v>
      </c>
      <c r="C24" s="83"/>
      <c r="D24" s="132">
        <f>'Suivi EAU-ELEC'!C30</f>
        <v>250</v>
      </c>
      <c r="E24" s="85"/>
      <c r="F24" s="200">
        <f t="shared" si="0"/>
        <v>3167.5</v>
      </c>
      <c r="G24" s="201"/>
      <c r="H24" s="202"/>
      <c r="I24" s="127"/>
      <c r="J24" s="84">
        <f>'Suivi EAU-ELEC'!E30</f>
        <v>2807</v>
      </c>
      <c r="K24" s="84">
        <f>'Suivi EAU-ELEC'!G30</f>
        <v>6277</v>
      </c>
      <c r="L24" s="84">
        <f>'Suivi EAU-ELEC'!I30</f>
        <v>2866</v>
      </c>
      <c r="M24" s="74">
        <f t="shared" si="4"/>
        <v>11950</v>
      </c>
      <c r="N24" s="52"/>
      <c r="O24" s="53">
        <f t="shared" si="5"/>
        <v>11830.5</v>
      </c>
      <c r="P24" s="51"/>
      <c r="Q24" s="49"/>
      <c r="R24" s="50"/>
      <c r="S24" s="49"/>
      <c r="T24" s="85"/>
      <c r="U24" s="54">
        <f>'Suivi Gaz'!O25</f>
        <v>148.4</v>
      </c>
      <c r="V24" s="52"/>
      <c r="W24" s="53">
        <f t="shared" si="6"/>
        <v>1383.5257800000002</v>
      </c>
      <c r="X24" s="58">
        <v>19755.55</v>
      </c>
      <c r="Y24" s="133">
        <f t="shared" si="1"/>
        <v>8.9599999999991269</v>
      </c>
      <c r="Z24" s="57">
        <f t="shared" si="7"/>
        <v>4748.7999999995372</v>
      </c>
      <c r="AA24" s="52"/>
      <c r="AB24" s="157">
        <v>22</v>
      </c>
      <c r="AC24" s="70">
        <v>3</v>
      </c>
      <c r="AD24" s="71">
        <v>2.6100000000000002E-2</v>
      </c>
      <c r="AE24" s="75">
        <v>26</v>
      </c>
      <c r="AF24" s="75">
        <v>26</v>
      </c>
      <c r="AG24" s="72">
        <v>20</v>
      </c>
      <c r="AH24" s="73">
        <v>20</v>
      </c>
      <c r="AI24" s="164"/>
      <c r="AJ24" s="116">
        <f>(F24+O24+W24+Z24)</f>
        <v>21130.325779999537</v>
      </c>
      <c r="AK24" s="115">
        <f t="shared" si="3"/>
        <v>7043.4419266665127</v>
      </c>
      <c r="AL24" s="67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4"/>
      <c r="BN24" s="164"/>
      <c r="BO24" s="164"/>
      <c r="BP24" s="164"/>
      <c r="BQ24" s="164"/>
      <c r="BR24" s="164"/>
      <c r="BS24" s="164"/>
      <c r="BT24" s="164"/>
      <c r="BU24" s="164"/>
      <c r="BV24" s="164"/>
      <c r="BW24" s="164"/>
      <c r="BX24" s="164"/>
      <c r="BY24" s="164"/>
      <c r="BZ24" s="164"/>
      <c r="CA24" s="164"/>
      <c r="CB24" s="164"/>
      <c r="CC24" s="164"/>
      <c r="CD24" s="164"/>
      <c r="CE24" s="164"/>
      <c r="CF24" s="164"/>
      <c r="CG24" s="164"/>
      <c r="CH24" s="164"/>
      <c r="CI24" s="164"/>
      <c r="CJ24" s="164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  <c r="DO24" s="164"/>
      <c r="DP24" s="164"/>
      <c r="DQ24" s="164"/>
      <c r="DR24" s="164"/>
      <c r="DS24" s="164"/>
      <c r="DT24" s="164"/>
      <c r="DU24" s="164"/>
      <c r="DV24" s="164"/>
      <c r="DW24" s="164"/>
      <c r="DX24" s="164"/>
      <c r="DY24" s="164"/>
      <c r="DZ24" s="164"/>
      <c r="EA24" s="164"/>
      <c r="EB24" s="164"/>
      <c r="EC24" s="164"/>
      <c r="ED24" s="164"/>
      <c r="EE24" s="164"/>
      <c r="EF24" s="164"/>
      <c r="EG24" s="164"/>
      <c r="EH24" s="164"/>
      <c r="EI24" s="164"/>
      <c r="EJ24" s="164"/>
      <c r="EK24" s="164"/>
      <c r="EL24" s="164"/>
      <c r="EM24" s="164"/>
      <c r="EN24" s="164"/>
      <c r="EO24" s="164"/>
      <c r="EP24" s="164"/>
      <c r="EQ24" s="164"/>
      <c r="ER24" s="164"/>
      <c r="ES24" s="164"/>
      <c r="ET24" s="164"/>
      <c r="EU24" s="164"/>
      <c r="EV24" s="164"/>
      <c r="EW24" s="164"/>
      <c r="EX24" s="164"/>
      <c r="EY24" s="164"/>
      <c r="EZ24" s="164"/>
      <c r="FA24" s="164"/>
      <c r="FB24" s="164"/>
      <c r="FC24" s="164"/>
      <c r="FD24" s="164"/>
      <c r="FE24" s="164"/>
      <c r="FF24" s="164"/>
      <c r="FG24" s="164"/>
      <c r="FH24" s="164"/>
      <c r="FI24" s="164"/>
      <c r="FJ24" s="164"/>
      <c r="FK24" s="164"/>
      <c r="FL24" s="164"/>
      <c r="FM24" s="164"/>
      <c r="FN24" s="164"/>
      <c r="FO24" s="164"/>
      <c r="FP24" s="164"/>
      <c r="FQ24" s="164"/>
      <c r="FR24" s="164"/>
      <c r="FS24" s="164"/>
      <c r="FT24" s="164"/>
      <c r="FU24" s="164"/>
      <c r="FV24" s="164"/>
      <c r="FW24" s="164"/>
      <c r="FX24" s="164"/>
      <c r="FY24" s="164"/>
      <c r="FZ24" s="164"/>
      <c r="GA24" s="164"/>
      <c r="GB24" s="164"/>
      <c r="GC24" s="164"/>
      <c r="GD24" s="164"/>
      <c r="GE24" s="164"/>
      <c r="GF24" s="164"/>
      <c r="GG24" s="164"/>
      <c r="GH24" s="164"/>
      <c r="GI24" s="164"/>
      <c r="GJ24" s="164"/>
      <c r="GK24" s="164"/>
      <c r="GL24" s="164"/>
      <c r="GM24" s="164"/>
      <c r="GN24" s="164"/>
      <c r="GO24" s="164"/>
      <c r="GP24" s="164"/>
      <c r="GQ24" s="164"/>
      <c r="GR24" s="164"/>
      <c r="GS24" s="164"/>
      <c r="GT24" s="164"/>
      <c r="GU24" s="164"/>
      <c r="GV24" s="164"/>
      <c r="GW24" s="164"/>
      <c r="GX24" s="164"/>
      <c r="GY24" s="164"/>
      <c r="GZ24" s="164"/>
      <c r="HA24" s="164"/>
      <c r="HB24" s="164"/>
      <c r="HC24" s="164"/>
      <c r="HD24" s="164"/>
      <c r="HE24" s="164"/>
      <c r="HF24" s="164"/>
      <c r="HG24" s="164"/>
      <c r="HH24" s="164"/>
      <c r="HI24" s="164"/>
      <c r="HJ24" s="164"/>
      <c r="HK24" s="164"/>
      <c r="HL24" s="164"/>
      <c r="HM24" s="164"/>
      <c r="HN24" s="164"/>
      <c r="HO24" s="164"/>
      <c r="HP24" s="164"/>
      <c r="HQ24" s="164"/>
      <c r="HR24" s="164"/>
      <c r="HS24" s="164"/>
      <c r="HT24" s="164"/>
      <c r="HU24" s="164"/>
      <c r="HV24" s="164"/>
      <c r="HW24" s="164"/>
      <c r="HX24" s="164"/>
      <c r="HY24" s="164"/>
      <c r="HZ24" s="164"/>
      <c r="IA24" s="164"/>
      <c r="IB24" s="164"/>
      <c r="IC24" s="164"/>
      <c r="ID24" s="164"/>
      <c r="IE24" s="164"/>
      <c r="IF24" s="164"/>
      <c r="IG24" s="164"/>
      <c r="IH24" s="164"/>
      <c r="II24" s="164"/>
      <c r="IJ24" s="164"/>
      <c r="IK24" s="164"/>
      <c r="IL24" s="164"/>
      <c r="IM24" s="164"/>
      <c r="IN24" s="164"/>
      <c r="IO24" s="164"/>
      <c r="IP24" s="164"/>
      <c r="IQ24" s="164"/>
      <c r="IR24" s="164"/>
      <c r="IS24" s="164"/>
      <c r="IT24" s="164"/>
      <c r="IU24" s="164"/>
      <c r="IV24" s="164"/>
    </row>
    <row r="25" spans="1:256" ht="32.25" customHeight="1">
      <c r="A25" s="66"/>
      <c r="B25" s="82">
        <f t="shared" si="8"/>
        <v>44302</v>
      </c>
      <c r="C25" s="83"/>
      <c r="D25" s="132">
        <f>'Suivi EAU-ELEC'!C31</f>
        <v>216</v>
      </c>
      <c r="E25" s="85"/>
      <c r="F25" s="200">
        <f t="shared" si="0"/>
        <v>2736.72</v>
      </c>
      <c r="G25" s="201"/>
      <c r="H25" s="202"/>
      <c r="I25" s="127"/>
      <c r="J25" s="84">
        <f>'Suivi EAU-ELEC'!E31</f>
        <v>2272</v>
      </c>
      <c r="K25" s="84">
        <f>'Suivi EAU-ELEC'!G31</f>
        <v>4682</v>
      </c>
      <c r="L25" s="84">
        <f>'Suivi EAU-ELEC'!I31</f>
        <v>1822</v>
      </c>
      <c r="M25" s="74">
        <f t="shared" si="4"/>
        <v>8776</v>
      </c>
      <c r="N25" s="52"/>
      <c r="O25" s="53">
        <f t="shared" si="5"/>
        <v>8688.2400000000016</v>
      </c>
      <c r="P25" s="51"/>
      <c r="Q25" s="49"/>
      <c r="R25" s="50"/>
      <c r="S25" s="49"/>
      <c r="T25" s="85"/>
      <c r="U25" s="54">
        <f>'Suivi Gaz'!O26</f>
        <v>296.8</v>
      </c>
      <c r="V25" s="52"/>
      <c r="W25" s="53">
        <f t="shared" si="6"/>
        <v>2767.0515600000003</v>
      </c>
      <c r="X25" s="58">
        <v>19764.509999999998</v>
      </c>
      <c r="Y25" s="133">
        <f t="shared" si="1"/>
        <v>11.06000000000131</v>
      </c>
      <c r="Z25" s="57">
        <f t="shared" si="7"/>
        <v>5861.8000000006941</v>
      </c>
      <c r="AA25" s="52"/>
      <c r="AB25" s="157">
        <v>21</v>
      </c>
      <c r="AC25" s="70">
        <v>4</v>
      </c>
      <c r="AD25" s="71">
        <v>3.4500000000000003E-2</v>
      </c>
      <c r="AE25" s="75">
        <v>25</v>
      </c>
      <c r="AF25" s="75">
        <v>27.5</v>
      </c>
      <c r="AG25" s="72">
        <v>20</v>
      </c>
      <c r="AH25" s="73">
        <v>21</v>
      </c>
      <c r="AI25" s="38"/>
      <c r="AJ25" s="116">
        <f>(F25+O25+W25+Z25)</f>
        <v>20053.811560000693</v>
      </c>
      <c r="AK25" s="115">
        <f t="shared" si="3"/>
        <v>5013.4528900001733</v>
      </c>
      <c r="AL25" s="67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4"/>
      <c r="BQ25" s="164"/>
      <c r="BR25" s="164"/>
      <c r="BS25" s="164"/>
      <c r="BT25" s="164"/>
      <c r="BU25" s="164"/>
      <c r="BV25" s="164"/>
      <c r="BW25" s="164"/>
      <c r="BX25" s="164"/>
      <c r="BY25" s="164"/>
      <c r="BZ25" s="164"/>
      <c r="CA25" s="164"/>
      <c r="CB25" s="164"/>
      <c r="CC25" s="164"/>
      <c r="CD25" s="164"/>
      <c r="CE25" s="164"/>
      <c r="CF25" s="164"/>
      <c r="CG25" s="164"/>
      <c r="CH25" s="164"/>
      <c r="CI25" s="164"/>
      <c r="CJ25" s="164"/>
      <c r="CK25" s="164"/>
      <c r="CL25" s="164"/>
      <c r="CM25" s="164"/>
      <c r="CN25" s="164"/>
      <c r="CO25" s="164"/>
      <c r="CP25" s="164"/>
      <c r="CQ25" s="164"/>
      <c r="CR25" s="164"/>
      <c r="CS25" s="164"/>
      <c r="CT25" s="164"/>
      <c r="CU25" s="164"/>
      <c r="CV25" s="164"/>
      <c r="CW25" s="164"/>
      <c r="CX25" s="164"/>
      <c r="CY25" s="164"/>
      <c r="CZ25" s="164"/>
      <c r="DA25" s="164"/>
      <c r="DB25" s="164"/>
      <c r="DC25" s="164"/>
      <c r="DD25" s="164"/>
      <c r="DE25" s="164"/>
      <c r="DF25" s="164"/>
      <c r="DG25" s="164"/>
      <c r="DH25" s="164"/>
      <c r="DI25" s="164"/>
      <c r="DJ25" s="164"/>
      <c r="DK25" s="164"/>
      <c r="DL25" s="164"/>
      <c r="DM25" s="164"/>
      <c r="DN25" s="164"/>
      <c r="DO25" s="164"/>
      <c r="DP25" s="164"/>
      <c r="DQ25" s="164"/>
      <c r="DR25" s="164"/>
      <c r="DS25" s="164"/>
      <c r="DT25" s="164"/>
      <c r="DU25" s="164"/>
      <c r="DV25" s="164"/>
      <c r="DW25" s="164"/>
      <c r="DX25" s="164"/>
      <c r="DY25" s="164"/>
      <c r="DZ25" s="164"/>
      <c r="EA25" s="164"/>
      <c r="EB25" s="164"/>
      <c r="EC25" s="164"/>
      <c r="ED25" s="164"/>
      <c r="EE25" s="164"/>
      <c r="EF25" s="164"/>
      <c r="EG25" s="164"/>
      <c r="EH25" s="164"/>
      <c r="EI25" s="164"/>
      <c r="EJ25" s="164"/>
      <c r="EK25" s="164"/>
      <c r="EL25" s="164"/>
      <c r="EM25" s="164"/>
      <c r="EN25" s="164"/>
      <c r="EO25" s="164"/>
      <c r="EP25" s="164"/>
      <c r="EQ25" s="164"/>
      <c r="ER25" s="164"/>
      <c r="ES25" s="164"/>
      <c r="ET25" s="164"/>
      <c r="EU25" s="164"/>
      <c r="EV25" s="164"/>
      <c r="EW25" s="164"/>
      <c r="EX25" s="164"/>
      <c r="EY25" s="164"/>
      <c r="EZ25" s="164"/>
      <c r="FA25" s="164"/>
      <c r="FB25" s="164"/>
      <c r="FC25" s="164"/>
      <c r="FD25" s="164"/>
      <c r="FE25" s="164"/>
      <c r="FF25" s="164"/>
      <c r="FG25" s="164"/>
      <c r="FH25" s="164"/>
      <c r="FI25" s="164"/>
      <c r="FJ25" s="164"/>
      <c r="FK25" s="164"/>
      <c r="FL25" s="164"/>
      <c r="FM25" s="164"/>
      <c r="FN25" s="164"/>
      <c r="FO25" s="164"/>
      <c r="FP25" s="164"/>
      <c r="FQ25" s="164"/>
      <c r="FR25" s="164"/>
      <c r="FS25" s="164"/>
      <c r="FT25" s="164"/>
      <c r="FU25" s="164"/>
      <c r="FV25" s="164"/>
      <c r="FW25" s="164"/>
      <c r="FX25" s="164"/>
      <c r="FY25" s="164"/>
      <c r="FZ25" s="164"/>
      <c r="GA25" s="164"/>
      <c r="GB25" s="164"/>
      <c r="GC25" s="164"/>
      <c r="GD25" s="164"/>
      <c r="GE25" s="164"/>
      <c r="GF25" s="164"/>
      <c r="GG25" s="164"/>
      <c r="GH25" s="164"/>
      <c r="GI25" s="164"/>
      <c r="GJ25" s="164"/>
      <c r="GK25" s="164"/>
      <c r="GL25" s="164"/>
      <c r="GM25" s="164"/>
      <c r="GN25" s="164"/>
      <c r="GO25" s="164"/>
      <c r="GP25" s="164"/>
      <c r="GQ25" s="164"/>
      <c r="GR25" s="164"/>
      <c r="GS25" s="164"/>
      <c r="GT25" s="164"/>
      <c r="GU25" s="164"/>
      <c r="GV25" s="164"/>
      <c r="GW25" s="164"/>
      <c r="GX25" s="164"/>
      <c r="GY25" s="164"/>
      <c r="GZ25" s="164"/>
      <c r="HA25" s="164"/>
      <c r="HB25" s="164"/>
      <c r="HC25" s="164"/>
      <c r="HD25" s="164"/>
      <c r="HE25" s="164"/>
      <c r="HF25" s="164"/>
      <c r="HG25" s="164"/>
      <c r="HH25" s="164"/>
      <c r="HI25" s="164"/>
      <c r="HJ25" s="164"/>
      <c r="HK25" s="164"/>
      <c r="HL25" s="164"/>
      <c r="HM25" s="164"/>
      <c r="HN25" s="164"/>
      <c r="HO25" s="164"/>
      <c r="HP25" s="164"/>
      <c r="HQ25" s="164"/>
      <c r="HR25" s="164"/>
      <c r="HS25" s="164"/>
      <c r="HT25" s="164"/>
      <c r="HU25" s="164"/>
      <c r="HV25" s="164"/>
      <c r="HW25" s="164"/>
      <c r="HX25" s="164"/>
      <c r="HY25" s="164"/>
      <c r="HZ25" s="164"/>
      <c r="IA25" s="164"/>
      <c r="IB25" s="164"/>
      <c r="IC25" s="164"/>
      <c r="ID25" s="164"/>
      <c r="IE25" s="164"/>
      <c r="IF25" s="164"/>
      <c r="IG25" s="164"/>
      <c r="IH25" s="164"/>
      <c r="II25" s="164"/>
      <c r="IJ25" s="164"/>
      <c r="IK25" s="164"/>
      <c r="IL25" s="164"/>
      <c r="IM25" s="164"/>
      <c r="IN25" s="164"/>
      <c r="IO25" s="164"/>
      <c r="IP25" s="164"/>
      <c r="IQ25" s="164"/>
      <c r="IR25" s="164"/>
      <c r="IS25" s="164"/>
      <c r="IT25" s="164"/>
      <c r="IU25" s="164"/>
      <c r="IV25" s="164"/>
    </row>
    <row r="26" spans="1:256" ht="32.25" customHeight="1">
      <c r="A26" s="66"/>
      <c r="B26" s="82">
        <f t="shared" si="8"/>
        <v>44303</v>
      </c>
      <c r="C26" s="83"/>
      <c r="D26" s="132">
        <f>'Suivi EAU-ELEC'!C32</f>
        <v>282</v>
      </c>
      <c r="E26" s="135"/>
      <c r="F26" s="200">
        <f t="shared" si="0"/>
        <v>3572.94</v>
      </c>
      <c r="G26" s="201"/>
      <c r="H26" s="202"/>
      <c r="I26" s="127"/>
      <c r="J26" s="84">
        <f>'Suivi EAU-ELEC'!E32</f>
        <v>2297</v>
      </c>
      <c r="K26" s="84">
        <f>'Suivi EAU-ELEC'!G32</f>
        <v>4398</v>
      </c>
      <c r="L26" s="84">
        <f>'Suivi EAU-ELEC'!I32</f>
        <v>2633</v>
      </c>
      <c r="M26" s="74">
        <f t="shared" si="4"/>
        <v>9328</v>
      </c>
      <c r="N26" s="52"/>
      <c r="O26" s="53">
        <f t="shared" si="5"/>
        <v>9234.7199999999993</v>
      </c>
      <c r="P26" s="51"/>
      <c r="Q26" s="49"/>
      <c r="R26" s="50"/>
      <c r="S26" s="49"/>
      <c r="T26" s="85"/>
      <c r="U26" s="54">
        <f>'Suivi Gaz'!O27</f>
        <v>148.4</v>
      </c>
      <c r="V26" s="76"/>
      <c r="W26" s="53">
        <f t="shared" si="6"/>
        <v>1383.5257800000002</v>
      </c>
      <c r="X26" s="58">
        <v>19775.57</v>
      </c>
      <c r="Y26" s="133">
        <f t="shared" si="1"/>
        <v>9.7700000000004366</v>
      </c>
      <c r="Z26" s="57">
        <f t="shared" si="7"/>
        <v>5178.1000000002314</v>
      </c>
      <c r="AA26" s="76"/>
      <c r="AB26" s="157">
        <v>22</v>
      </c>
      <c r="AC26" s="70">
        <v>7</v>
      </c>
      <c r="AD26" s="71">
        <v>5.9299999999999999E-2</v>
      </c>
      <c r="AE26" s="75">
        <v>26</v>
      </c>
      <c r="AF26" s="75">
        <v>27.5</v>
      </c>
      <c r="AG26" s="72">
        <v>20</v>
      </c>
      <c r="AH26" s="73">
        <v>22</v>
      </c>
      <c r="AI26" s="38"/>
      <c r="AJ26" s="116">
        <f>(F26+O26+W26+Z26)</f>
        <v>19369.285780000231</v>
      </c>
      <c r="AK26" s="115">
        <f t="shared" si="3"/>
        <v>2767.0408257143185</v>
      </c>
      <c r="AL26" s="67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4"/>
      <c r="BQ26" s="164"/>
      <c r="BR26" s="164"/>
      <c r="BS26" s="164"/>
      <c r="BT26" s="164"/>
      <c r="BU26" s="164"/>
      <c r="BV26" s="164"/>
      <c r="BW26" s="164"/>
      <c r="BX26" s="164"/>
      <c r="BY26" s="164"/>
      <c r="BZ26" s="164"/>
      <c r="CA26" s="164"/>
      <c r="CB26" s="164"/>
      <c r="CC26" s="164"/>
      <c r="CD26" s="164"/>
      <c r="CE26" s="164"/>
      <c r="CF26" s="164"/>
      <c r="CG26" s="164"/>
      <c r="CH26" s="164"/>
      <c r="CI26" s="164"/>
      <c r="CJ26" s="164"/>
      <c r="CK26" s="164"/>
      <c r="CL26" s="164"/>
      <c r="CM26" s="164"/>
      <c r="CN26" s="164"/>
      <c r="CO26" s="164"/>
      <c r="CP26" s="164"/>
      <c r="CQ26" s="164"/>
      <c r="CR26" s="164"/>
      <c r="CS26" s="164"/>
      <c r="CT26" s="164"/>
      <c r="CU26" s="164"/>
      <c r="CV26" s="164"/>
      <c r="CW26" s="164"/>
      <c r="CX26" s="164"/>
      <c r="CY26" s="164"/>
      <c r="CZ26" s="164"/>
      <c r="DA26" s="164"/>
      <c r="DB26" s="164"/>
      <c r="DC26" s="164"/>
      <c r="DD26" s="164"/>
      <c r="DE26" s="164"/>
      <c r="DF26" s="164"/>
      <c r="DG26" s="164"/>
      <c r="DH26" s="164"/>
      <c r="DI26" s="164"/>
      <c r="DJ26" s="164"/>
      <c r="DK26" s="164"/>
      <c r="DL26" s="164"/>
      <c r="DM26" s="164"/>
      <c r="DN26" s="164"/>
      <c r="DO26" s="164"/>
      <c r="DP26" s="164"/>
      <c r="DQ26" s="164"/>
      <c r="DR26" s="164"/>
      <c r="DS26" s="164"/>
      <c r="DT26" s="164"/>
      <c r="DU26" s="164"/>
      <c r="DV26" s="164"/>
      <c r="DW26" s="164"/>
      <c r="DX26" s="164"/>
      <c r="DY26" s="164"/>
      <c r="DZ26" s="164"/>
      <c r="EA26" s="164"/>
      <c r="EB26" s="164"/>
      <c r="EC26" s="164"/>
      <c r="ED26" s="164"/>
      <c r="EE26" s="164"/>
      <c r="EF26" s="164"/>
      <c r="EG26" s="164"/>
      <c r="EH26" s="164"/>
      <c r="EI26" s="164"/>
      <c r="EJ26" s="164"/>
      <c r="EK26" s="164"/>
      <c r="EL26" s="164"/>
      <c r="EM26" s="164"/>
      <c r="EN26" s="164"/>
      <c r="EO26" s="164"/>
      <c r="EP26" s="164"/>
      <c r="EQ26" s="164"/>
      <c r="ER26" s="164"/>
      <c r="ES26" s="164"/>
      <c r="ET26" s="164"/>
      <c r="EU26" s="164"/>
      <c r="EV26" s="164"/>
      <c r="EW26" s="164"/>
      <c r="EX26" s="164"/>
      <c r="EY26" s="164"/>
      <c r="EZ26" s="164"/>
      <c r="FA26" s="164"/>
      <c r="FB26" s="164"/>
      <c r="FC26" s="164"/>
      <c r="FD26" s="164"/>
      <c r="FE26" s="164"/>
      <c r="FF26" s="164"/>
      <c r="FG26" s="164"/>
      <c r="FH26" s="164"/>
      <c r="FI26" s="164"/>
      <c r="FJ26" s="164"/>
      <c r="FK26" s="164"/>
      <c r="FL26" s="164"/>
      <c r="FM26" s="164"/>
      <c r="FN26" s="164"/>
      <c r="FO26" s="164"/>
      <c r="FP26" s="164"/>
      <c r="FQ26" s="164"/>
      <c r="FR26" s="164"/>
      <c r="FS26" s="164"/>
      <c r="FT26" s="164"/>
      <c r="FU26" s="164"/>
      <c r="FV26" s="164"/>
      <c r="FW26" s="164"/>
      <c r="FX26" s="164"/>
      <c r="FY26" s="164"/>
      <c r="FZ26" s="164"/>
      <c r="GA26" s="164"/>
      <c r="GB26" s="164"/>
      <c r="GC26" s="164"/>
      <c r="GD26" s="164"/>
      <c r="GE26" s="164"/>
      <c r="GF26" s="164"/>
      <c r="GG26" s="164"/>
      <c r="GH26" s="164"/>
      <c r="GI26" s="164"/>
      <c r="GJ26" s="164"/>
      <c r="GK26" s="164"/>
      <c r="GL26" s="164"/>
      <c r="GM26" s="164"/>
      <c r="GN26" s="164"/>
      <c r="GO26" s="164"/>
      <c r="GP26" s="164"/>
      <c r="GQ26" s="164"/>
      <c r="GR26" s="164"/>
      <c r="GS26" s="164"/>
      <c r="GT26" s="164"/>
      <c r="GU26" s="164"/>
      <c r="GV26" s="164"/>
      <c r="GW26" s="164"/>
      <c r="GX26" s="164"/>
      <c r="GY26" s="164"/>
      <c r="GZ26" s="164"/>
      <c r="HA26" s="164"/>
      <c r="HB26" s="164"/>
      <c r="HC26" s="164"/>
      <c r="HD26" s="164"/>
      <c r="HE26" s="164"/>
      <c r="HF26" s="164"/>
      <c r="HG26" s="164"/>
      <c r="HH26" s="164"/>
      <c r="HI26" s="164"/>
      <c r="HJ26" s="164"/>
      <c r="HK26" s="164"/>
      <c r="HL26" s="164"/>
      <c r="HM26" s="164"/>
      <c r="HN26" s="164"/>
      <c r="HO26" s="164"/>
      <c r="HP26" s="164"/>
      <c r="HQ26" s="164"/>
      <c r="HR26" s="164"/>
      <c r="HS26" s="164"/>
      <c r="HT26" s="164"/>
      <c r="HU26" s="164"/>
      <c r="HV26" s="164"/>
      <c r="HW26" s="164"/>
      <c r="HX26" s="164"/>
      <c r="HY26" s="164"/>
      <c r="HZ26" s="164"/>
      <c r="IA26" s="164"/>
      <c r="IB26" s="164"/>
      <c r="IC26" s="164"/>
      <c r="ID26" s="164"/>
      <c r="IE26" s="164"/>
      <c r="IF26" s="164"/>
      <c r="IG26" s="164"/>
      <c r="IH26" s="164"/>
      <c r="II26" s="164"/>
      <c r="IJ26" s="164"/>
      <c r="IK26" s="164"/>
      <c r="IL26" s="164"/>
      <c r="IM26" s="164"/>
      <c r="IN26" s="164"/>
      <c r="IO26" s="164"/>
      <c r="IP26" s="164"/>
      <c r="IQ26" s="164"/>
      <c r="IR26" s="164"/>
      <c r="IS26" s="164"/>
      <c r="IT26" s="164"/>
      <c r="IU26" s="164"/>
      <c r="IV26" s="164"/>
    </row>
    <row r="27" spans="1:256" ht="32.25" customHeight="1">
      <c r="A27" s="66"/>
      <c r="B27" s="82">
        <f t="shared" si="8"/>
        <v>44304</v>
      </c>
      <c r="C27" s="83"/>
      <c r="D27" s="132">
        <f>'Suivi EAU-ELEC'!C33</f>
        <v>249</v>
      </c>
      <c r="E27" s="135"/>
      <c r="F27" s="200">
        <f t="shared" si="0"/>
        <v>3154.83</v>
      </c>
      <c r="G27" s="201"/>
      <c r="H27" s="202"/>
      <c r="I27" s="127"/>
      <c r="J27" s="84">
        <f>'Suivi EAU-ELEC'!E33</f>
        <v>2285</v>
      </c>
      <c r="K27" s="84">
        <f>'Suivi EAU-ELEC'!G33</f>
        <v>4582</v>
      </c>
      <c r="L27" s="84">
        <f>'Suivi EAU-ELEC'!I33</f>
        <v>1810</v>
      </c>
      <c r="M27" s="74">
        <f t="shared" si="4"/>
        <v>8677</v>
      </c>
      <c r="N27" s="52"/>
      <c r="O27" s="53">
        <f t="shared" si="5"/>
        <v>8590.23</v>
      </c>
      <c r="P27" s="51"/>
      <c r="Q27" s="49"/>
      <c r="R27" s="50"/>
      <c r="S27" s="49"/>
      <c r="T27" s="85"/>
      <c r="U27" s="54">
        <f>'Suivi Gaz'!O28</f>
        <v>148.4</v>
      </c>
      <c r="V27" s="76"/>
      <c r="W27" s="53">
        <f t="shared" si="6"/>
        <v>1383.5257800000002</v>
      </c>
      <c r="X27" s="58">
        <v>19785.34</v>
      </c>
      <c r="Y27" s="133">
        <f t="shared" si="1"/>
        <v>9.4799999999995634</v>
      </c>
      <c r="Z27" s="57">
        <f t="shared" si="7"/>
        <v>5024.3999999997686</v>
      </c>
      <c r="AA27" s="76"/>
      <c r="AB27" s="157">
        <v>24</v>
      </c>
      <c r="AC27" s="70">
        <v>12</v>
      </c>
      <c r="AD27" s="71">
        <v>0.1017</v>
      </c>
      <c r="AE27" s="75">
        <v>27</v>
      </c>
      <c r="AF27" s="75">
        <v>28</v>
      </c>
      <c r="AG27" s="72">
        <v>20</v>
      </c>
      <c r="AH27" s="73">
        <v>20</v>
      </c>
      <c r="AI27" s="38"/>
      <c r="AJ27" s="116">
        <f t="shared" si="2"/>
        <v>18152.98577999977</v>
      </c>
      <c r="AK27" s="115">
        <f t="shared" si="3"/>
        <v>1512.7488149999808</v>
      </c>
      <c r="AL27" s="67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64"/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164"/>
      <c r="DB27" s="164"/>
      <c r="DC27" s="164"/>
      <c r="DD27" s="164"/>
      <c r="DE27" s="164"/>
      <c r="DF27" s="164"/>
      <c r="DG27" s="164"/>
      <c r="DH27" s="164"/>
      <c r="DI27" s="164"/>
      <c r="DJ27" s="164"/>
      <c r="DK27" s="164"/>
      <c r="DL27" s="164"/>
      <c r="DM27" s="164"/>
      <c r="DN27" s="164"/>
      <c r="DO27" s="164"/>
      <c r="DP27" s="164"/>
      <c r="DQ27" s="164"/>
      <c r="DR27" s="164"/>
      <c r="DS27" s="164"/>
      <c r="DT27" s="164"/>
      <c r="DU27" s="164"/>
      <c r="DV27" s="164"/>
      <c r="DW27" s="164"/>
      <c r="DX27" s="164"/>
      <c r="DY27" s="164"/>
      <c r="DZ27" s="164"/>
      <c r="EA27" s="164"/>
      <c r="EB27" s="164"/>
      <c r="EC27" s="164"/>
      <c r="ED27" s="164"/>
      <c r="EE27" s="164"/>
      <c r="EF27" s="164"/>
      <c r="EG27" s="164"/>
      <c r="EH27" s="164"/>
      <c r="EI27" s="164"/>
      <c r="EJ27" s="164"/>
      <c r="EK27" s="164"/>
      <c r="EL27" s="164"/>
      <c r="EM27" s="164"/>
      <c r="EN27" s="164"/>
      <c r="EO27" s="164"/>
      <c r="EP27" s="164"/>
      <c r="EQ27" s="164"/>
      <c r="ER27" s="164"/>
      <c r="ES27" s="164"/>
      <c r="ET27" s="164"/>
      <c r="EU27" s="164"/>
      <c r="EV27" s="164"/>
      <c r="EW27" s="164"/>
      <c r="EX27" s="164"/>
      <c r="EY27" s="164"/>
      <c r="EZ27" s="164"/>
      <c r="FA27" s="164"/>
      <c r="FB27" s="164"/>
      <c r="FC27" s="164"/>
      <c r="FD27" s="164"/>
      <c r="FE27" s="164"/>
      <c r="FF27" s="164"/>
      <c r="FG27" s="164"/>
      <c r="FH27" s="164"/>
      <c r="FI27" s="164"/>
      <c r="FJ27" s="164"/>
      <c r="FK27" s="164"/>
      <c r="FL27" s="164"/>
      <c r="FM27" s="164"/>
      <c r="FN27" s="164"/>
      <c r="FO27" s="164"/>
      <c r="FP27" s="164"/>
      <c r="FQ27" s="164"/>
      <c r="FR27" s="164"/>
      <c r="FS27" s="164"/>
      <c r="FT27" s="164"/>
      <c r="FU27" s="164"/>
      <c r="FV27" s="164"/>
      <c r="FW27" s="164"/>
      <c r="FX27" s="164"/>
      <c r="FY27" s="164"/>
      <c r="FZ27" s="164"/>
      <c r="GA27" s="164"/>
      <c r="GB27" s="164"/>
      <c r="GC27" s="164"/>
      <c r="GD27" s="164"/>
      <c r="GE27" s="164"/>
      <c r="GF27" s="164"/>
      <c r="GG27" s="164"/>
      <c r="GH27" s="164"/>
      <c r="GI27" s="164"/>
      <c r="GJ27" s="164"/>
      <c r="GK27" s="164"/>
      <c r="GL27" s="164"/>
      <c r="GM27" s="164"/>
      <c r="GN27" s="164"/>
      <c r="GO27" s="164"/>
      <c r="GP27" s="164"/>
      <c r="GQ27" s="164"/>
      <c r="GR27" s="164"/>
      <c r="GS27" s="164"/>
      <c r="GT27" s="164"/>
      <c r="GU27" s="164"/>
      <c r="GV27" s="164"/>
      <c r="GW27" s="164"/>
      <c r="GX27" s="164"/>
      <c r="GY27" s="164"/>
      <c r="GZ27" s="164"/>
      <c r="HA27" s="164"/>
      <c r="HB27" s="164"/>
      <c r="HC27" s="164"/>
      <c r="HD27" s="164"/>
      <c r="HE27" s="164"/>
      <c r="HF27" s="164"/>
      <c r="HG27" s="164"/>
      <c r="HH27" s="164"/>
      <c r="HI27" s="164"/>
      <c r="HJ27" s="164"/>
      <c r="HK27" s="164"/>
      <c r="HL27" s="164"/>
      <c r="HM27" s="164"/>
      <c r="HN27" s="164"/>
      <c r="HO27" s="164"/>
      <c r="HP27" s="164"/>
      <c r="HQ27" s="164"/>
      <c r="HR27" s="164"/>
      <c r="HS27" s="164"/>
      <c r="HT27" s="164"/>
      <c r="HU27" s="164"/>
      <c r="HV27" s="164"/>
      <c r="HW27" s="164"/>
      <c r="HX27" s="164"/>
      <c r="HY27" s="164"/>
      <c r="HZ27" s="164"/>
      <c r="IA27" s="164"/>
      <c r="IB27" s="164"/>
      <c r="IC27" s="164"/>
      <c r="ID27" s="164"/>
      <c r="IE27" s="164"/>
      <c r="IF27" s="164"/>
      <c r="IG27" s="164"/>
      <c r="IH27" s="164"/>
      <c r="II27" s="164"/>
      <c r="IJ27" s="164"/>
      <c r="IK27" s="164"/>
      <c r="IL27" s="164"/>
      <c r="IM27" s="164"/>
      <c r="IN27" s="164"/>
      <c r="IO27" s="164"/>
      <c r="IP27" s="164"/>
      <c r="IQ27" s="164"/>
      <c r="IR27" s="164"/>
      <c r="IS27" s="164"/>
      <c r="IT27" s="164"/>
      <c r="IU27" s="164"/>
      <c r="IV27" s="164"/>
    </row>
    <row r="28" spans="1:256" ht="32.25" customHeight="1">
      <c r="A28" s="66"/>
      <c r="B28" s="82">
        <f t="shared" si="8"/>
        <v>44305</v>
      </c>
      <c r="C28" s="83"/>
      <c r="D28" s="132">
        <f>'Suivi EAU-ELEC'!C34</f>
        <v>0</v>
      </c>
      <c r="E28" s="135"/>
      <c r="F28" s="219">
        <f t="shared" si="0"/>
        <v>0</v>
      </c>
      <c r="G28" s="220"/>
      <c r="H28" s="221"/>
      <c r="I28" s="128"/>
      <c r="J28" s="84">
        <f>'Suivi EAU-ELEC'!E34</f>
        <v>0</v>
      </c>
      <c r="K28" s="84">
        <f>'Suivi EAU-ELEC'!G34</f>
        <v>0</v>
      </c>
      <c r="L28" s="84">
        <f>'Suivi EAU-ELEC'!I34</f>
        <v>0</v>
      </c>
      <c r="M28" s="74">
        <f t="shared" si="4"/>
        <v>0</v>
      </c>
      <c r="N28" s="52"/>
      <c r="O28" s="53">
        <f t="shared" si="5"/>
        <v>0</v>
      </c>
      <c r="P28" s="51"/>
      <c r="Q28" s="49"/>
      <c r="R28" s="50"/>
      <c r="S28" s="49"/>
      <c r="T28" s="85"/>
      <c r="U28" s="54">
        <f>'Suivi Gaz'!O29</f>
        <v>0</v>
      </c>
      <c r="V28" s="76"/>
      <c r="W28" s="53">
        <f t="shared" si="6"/>
        <v>0</v>
      </c>
      <c r="X28" s="58">
        <v>19794.82</v>
      </c>
      <c r="Y28" s="133">
        <f t="shared" si="1"/>
        <v>0</v>
      </c>
      <c r="Z28" s="57">
        <f t="shared" si="7"/>
        <v>0</v>
      </c>
      <c r="AA28" s="76"/>
      <c r="AB28" s="157"/>
      <c r="AC28" s="70"/>
      <c r="AD28" s="71"/>
      <c r="AE28" s="75"/>
      <c r="AF28" s="75"/>
      <c r="AG28" s="72"/>
      <c r="AH28" s="73"/>
      <c r="AI28" s="38"/>
      <c r="AJ28" s="116">
        <f>(F28+O28+W28+Z28)</f>
        <v>0</v>
      </c>
      <c r="AK28" s="115" t="e">
        <f t="shared" si="3"/>
        <v>#DIV/0!</v>
      </c>
      <c r="AL28" s="67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64"/>
      <c r="DF28" s="164"/>
      <c r="DG28" s="164"/>
      <c r="DH28" s="164"/>
      <c r="DI28" s="164"/>
      <c r="DJ28" s="164"/>
      <c r="DK28" s="164"/>
      <c r="DL28" s="164"/>
      <c r="DM28" s="164"/>
      <c r="DN28" s="164"/>
      <c r="DO28" s="164"/>
      <c r="DP28" s="164"/>
      <c r="DQ28" s="164"/>
      <c r="DR28" s="164"/>
      <c r="DS28" s="164"/>
      <c r="DT28" s="164"/>
      <c r="DU28" s="164"/>
      <c r="DV28" s="164"/>
      <c r="DW28" s="164"/>
      <c r="DX28" s="164"/>
      <c r="DY28" s="164"/>
      <c r="DZ28" s="164"/>
      <c r="EA28" s="164"/>
      <c r="EB28" s="164"/>
      <c r="EC28" s="164"/>
      <c r="ED28" s="164"/>
      <c r="EE28" s="164"/>
      <c r="EF28" s="164"/>
      <c r="EG28" s="164"/>
      <c r="EH28" s="164"/>
      <c r="EI28" s="164"/>
      <c r="EJ28" s="164"/>
      <c r="EK28" s="164"/>
      <c r="EL28" s="164"/>
      <c r="EM28" s="164"/>
      <c r="EN28" s="164"/>
      <c r="EO28" s="164"/>
      <c r="EP28" s="164"/>
      <c r="EQ28" s="164"/>
      <c r="ER28" s="164"/>
      <c r="ES28" s="164"/>
      <c r="ET28" s="164"/>
      <c r="EU28" s="164"/>
      <c r="EV28" s="164"/>
      <c r="EW28" s="164"/>
      <c r="EX28" s="164"/>
      <c r="EY28" s="164"/>
      <c r="EZ28" s="164"/>
      <c r="FA28" s="164"/>
      <c r="FB28" s="164"/>
      <c r="FC28" s="164"/>
      <c r="FD28" s="164"/>
      <c r="FE28" s="164"/>
      <c r="FF28" s="164"/>
      <c r="FG28" s="164"/>
      <c r="FH28" s="164"/>
      <c r="FI28" s="164"/>
      <c r="FJ28" s="164"/>
      <c r="FK28" s="164"/>
      <c r="FL28" s="164"/>
      <c r="FM28" s="164"/>
      <c r="FN28" s="164"/>
      <c r="FO28" s="164"/>
      <c r="FP28" s="164"/>
      <c r="FQ28" s="164"/>
      <c r="FR28" s="164"/>
      <c r="FS28" s="164"/>
      <c r="FT28" s="164"/>
      <c r="FU28" s="164"/>
      <c r="FV28" s="164"/>
      <c r="FW28" s="164"/>
      <c r="FX28" s="164"/>
      <c r="FY28" s="164"/>
      <c r="FZ28" s="164"/>
      <c r="GA28" s="164"/>
      <c r="GB28" s="164"/>
      <c r="GC28" s="164"/>
      <c r="GD28" s="164"/>
      <c r="GE28" s="164"/>
      <c r="GF28" s="164"/>
      <c r="GG28" s="164"/>
      <c r="GH28" s="164"/>
      <c r="GI28" s="164"/>
      <c r="GJ28" s="164"/>
      <c r="GK28" s="164"/>
      <c r="GL28" s="164"/>
      <c r="GM28" s="164"/>
      <c r="GN28" s="164"/>
      <c r="GO28" s="164"/>
      <c r="GP28" s="164"/>
      <c r="GQ28" s="164"/>
      <c r="GR28" s="164"/>
      <c r="GS28" s="164"/>
      <c r="GT28" s="164"/>
      <c r="GU28" s="164"/>
      <c r="GV28" s="164"/>
      <c r="GW28" s="164"/>
      <c r="GX28" s="164"/>
      <c r="GY28" s="164"/>
      <c r="GZ28" s="164"/>
      <c r="HA28" s="164"/>
      <c r="HB28" s="164"/>
      <c r="HC28" s="164"/>
      <c r="HD28" s="164"/>
      <c r="HE28" s="164"/>
      <c r="HF28" s="164"/>
      <c r="HG28" s="164"/>
      <c r="HH28" s="164"/>
      <c r="HI28" s="164"/>
      <c r="HJ28" s="164"/>
      <c r="HK28" s="164"/>
      <c r="HL28" s="164"/>
      <c r="HM28" s="164"/>
      <c r="HN28" s="164"/>
      <c r="HO28" s="164"/>
      <c r="HP28" s="164"/>
      <c r="HQ28" s="164"/>
      <c r="HR28" s="164"/>
      <c r="HS28" s="164"/>
      <c r="HT28" s="164"/>
      <c r="HU28" s="164"/>
      <c r="HV28" s="164"/>
      <c r="HW28" s="164"/>
      <c r="HX28" s="164"/>
      <c r="HY28" s="164"/>
      <c r="HZ28" s="164"/>
      <c r="IA28" s="164"/>
      <c r="IB28" s="164"/>
      <c r="IC28" s="164"/>
      <c r="ID28" s="164"/>
      <c r="IE28" s="164"/>
      <c r="IF28" s="164"/>
      <c r="IG28" s="164"/>
      <c r="IH28" s="164"/>
      <c r="II28" s="164"/>
      <c r="IJ28" s="164"/>
      <c r="IK28" s="164"/>
      <c r="IL28" s="164"/>
      <c r="IM28" s="164"/>
      <c r="IN28" s="164"/>
      <c r="IO28" s="164"/>
      <c r="IP28" s="164"/>
      <c r="IQ28" s="164"/>
      <c r="IR28" s="164"/>
      <c r="IS28" s="164"/>
      <c r="IT28" s="164"/>
      <c r="IU28" s="164"/>
      <c r="IV28" s="164"/>
    </row>
    <row r="29" spans="1:256" ht="32.25" customHeight="1">
      <c r="A29" s="66"/>
      <c r="B29" s="82">
        <f t="shared" si="8"/>
        <v>44306</v>
      </c>
      <c r="C29" s="83"/>
      <c r="D29" s="132">
        <f>'Suivi EAU-ELEC'!C35</f>
        <v>0</v>
      </c>
      <c r="E29" s="135"/>
      <c r="F29" s="200">
        <f t="shared" si="0"/>
        <v>0</v>
      </c>
      <c r="G29" s="201"/>
      <c r="H29" s="202"/>
      <c r="I29" s="128"/>
      <c r="J29" s="84">
        <f>'Suivi EAU-ELEC'!E35</f>
        <v>0</v>
      </c>
      <c r="K29" s="84">
        <f>'Suivi EAU-ELEC'!G35</f>
        <v>0</v>
      </c>
      <c r="L29" s="84">
        <f>'Suivi EAU-ELEC'!I35</f>
        <v>0</v>
      </c>
      <c r="M29" s="74">
        <f t="shared" si="4"/>
        <v>0</v>
      </c>
      <c r="N29" s="52"/>
      <c r="O29" s="53">
        <f t="shared" si="5"/>
        <v>0</v>
      </c>
      <c r="P29" s="51"/>
      <c r="Q29" s="49"/>
      <c r="R29" s="50"/>
      <c r="S29" s="49"/>
      <c r="T29" s="85"/>
      <c r="U29" s="54">
        <f>'Suivi Gaz'!O30</f>
        <v>0</v>
      </c>
      <c r="V29" s="76"/>
      <c r="W29" s="53">
        <f t="shared" si="6"/>
        <v>0</v>
      </c>
      <c r="X29" s="58"/>
      <c r="Y29" s="133">
        <f t="shared" si="1"/>
        <v>0</v>
      </c>
      <c r="Z29" s="57">
        <f t="shared" si="7"/>
        <v>0</v>
      </c>
      <c r="AA29" s="76"/>
      <c r="AB29" s="157"/>
      <c r="AC29" s="70"/>
      <c r="AD29" s="71"/>
      <c r="AE29" s="75"/>
      <c r="AF29" s="75"/>
      <c r="AG29" s="72"/>
      <c r="AH29" s="73"/>
      <c r="AI29" s="38"/>
      <c r="AJ29" s="116">
        <f t="shared" si="2"/>
        <v>0</v>
      </c>
      <c r="AK29" s="115" t="e">
        <f t="shared" si="3"/>
        <v>#DIV/0!</v>
      </c>
      <c r="AL29" s="67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64"/>
      <c r="DF29" s="164"/>
      <c r="DG29" s="164"/>
      <c r="DH29" s="164"/>
      <c r="DI29" s="164"/>
      <c r="DJ29" s="164"/>
      <c r="DK29" s="164"/>
      <c r="DL29" s="164"/>
      <c r="DM29" s="164"/>
      <c r="DN29" s="164"/>
      <c r="DO29" s="164"/>
      <c r="DP29" s="164"/>
      <c r="DQ29" s="164"/>
      <c r="DR29" s="164"/>
      <c r="DS29" s="164"/>
      <c r="DT29" s="164"/>
      <c r="DU29" s="164"/>
      <c r="DV29" s="164"/>
      <c r="DW29" s="164"/>
      <c r="DX29" s="164"/>
      <c r="DY29" s="164"/>
      <c r="DZ29" s="164"/>
      <c r="EA29" s="164"/>
      <c r="EB29" s="164"/>
      <c r="EC29" s="164"/>
      <c r="ED29" s="164"/>
      <c r="EE29" s="164"/>
      <c r="EF29" s="164"/>
      <c r="EG29" s="164"/>
      <c r="EH29" s="164"/>
      <c r="EI29" s="164"/>
      <c r="EJ29" s="164"/>
      <c r="EK29" s="164"/>
      <c r="EL29" s="164"/>
      <c r="EM29" s="164"/>
      <c r="EN29" s="164"/>
      <c r="EO29" s="164"/>
      <c r="EP29" s="164"/>
      <c r="EQ29" s="164"/>
      <c r="ER29" s="164"/>
      <c r="ES29" s="164"/>
      <c r="ET29" s="164"/>
      <c r="EU29" s="164"/>
      <c r="EV29" s="164"/>
      <c r="EW29" s="164"/>
      <c r="EX29" s="164"/>
      <c r="EY29" s="164"/>
      <c r="EZ29" s="164"/>
      <c r="FA29" s="164"/>
      <c r="FB29" s="164"/>
      <c r="FC29" s="164"/>
      <c r="FD29" s="164"/>
      <c r="FE29" s="164"/>
      <c r="FF29" s="164"/>
      <c r="FG29" s="164"/>
      <c r="FH29" s="164"/>
      <c r="FI29" s="164"/>
      <c r="FJ29" s="164"/>
      <c r="FK29" s="164"/>
      <c r="FL29" s="164"/>
      <c r="FM29" s="164"/>
      <c r="FN29" s="164"/>
      <c r="FO29" s="164"/>
      <c r="FP29" s="164"/>
      <c r="FQ29" s="164"/>
      <c r="FR29" s="164"/>
      <c r="FS29" s="164"/>
      <c r="FT29" s="164"/>
      <c r="FU29" s="164"/>
      <c r="FV29" s="164"/>
      <c r="FW29" s="164"/>
      <c r="FX29" s="164"/>
      <c r="FY29" s="164"/>
      <c r="FZ29" s="164"/>
      <c r="GA29" s="164"/>
      <c r="GB29" s="164"/>
      <c r="GC29" s="164"/>
      <c r="GD29" s="164"/>
      <c r="GE29" s="164"/>
      <c r="GF29" s="164"/>
      <c r="GG29" s="164"/>
      <c r="GH29" s="164"/>
      <c r="GI29" s="164"/>
      <c r="GJ29" s="164"/>
      <c r="GK29" s="164"/>
      <c r="GL29" s="164"/>
      <c r="GM29" s="164"/>
      <c r="GN29" s="164"/>
      <c r="GO29" s="164"/>
      <c r="GP29" s="164"/>
      <c r="GQ29" s="164"/>
      <c r="GR29" s="164"/>
      <c r="GS29" s="164"/>
      <c r="GT29" s="164"/>
      <c r="GU29" s="164"/>
      <c r="GV29" s="164"/>
      <c r="GW29" s="164"/>
      <c r="GX29" s="164"/>
      <c r="GY29" s="164"/>
      <c r="GZ29" s="164"/>
      <c r="HA29" s="164"/>
      <c r="HB29" s="164"/>
      <c r="HC29" s="164"/>
      <c r="HD29" s="164"/>
      <c r="HE29" s="164"/>
      <c r="HF29" s="164"/>
      <c r="HG29" s="164"/>
      <c r="HH29" s="164"/>
      <c r="HI29" s="164"/>
      <c r="HJ29" s="164"/>
      <c r="HK29" s="164"/>
      <c r="HL29" s="164"/>
      <c r="HM29" s="164"/>
      <c r="HN29" s="164"/>
      <c r="HO29" s="164"/>
      <c r="HP29" s="164"/>
      <c r="HQ29" s="164"/>
      <c r="HR29" s="164"/>
      <c r="HS29" s="164"/>
      <c r="HT29" s="164"/>
      <c r="HU29" s="164"/>
      <c r="HV29" s="164"/>
      <c r="HW29" s="164"/>
      <c r="HX29" s="164"/>
      <c r="HY29" s="164"/>
      <c r="HZ29" s="164"/>
      <c r="IA29" s="164"/>
      <c r="IB29" s="164"/>
      <c r="IC29" s="164"/>
      <c r="ID29" s="164"/>
      <c r="IE29" s="164"/>
      <c r="IF29" s="164"/>
      <c r="IG29" s="164"/>
      <c r="IH29" s="164"/>
      <c r="II29" s="164"/>
      <c r="IJ29" s="164"/>
      <c r="IK29" s="164"/>
      <c r="IL29" s="164"/>
      <c r="IM29" s="164"/>
      <c r="IN29" s="164"/>
      <c r="IO29" s="164"/>
      <c r="IP29" s="164"/>
      <c r="IQ29" s="164"/>
      <c r="IR29" s="164"/>
      <c r="IS29" s="164"/>
      <c r="IT29" s="164"/>
      <c r="IU29" s="164"/>
      <c r="IV29" s="164"/>
    </row>
    <row r="30" spans="1:256" s="59" customFormat="1" ht="32.25" customHeight="1">
      <c r="A30" s="86"/>
      <c r="B30" s="82">
        <f t="shared" si="8"/>
        <v>44307</v>
      </c>
      <c r="C30" s="87"/>
      <c r="D30" s="132">
        <f>'Suivi EAU-ELEC'!C36</f>
        <v>0</v>
      </c>
      <c r="E30" s="135"/>
      <c r="F30" s="219">
        <f t="shared" si="0"/>
        <v>0</v>
      </c>
      <c r="G30" s="220"/>
      <c r="H30" s="221"/>
      <c r="I30" s="128"/>
      <c r="J30" s="84">
        <f>'Suivi EAU-ELEC'!E36</f>
        <v>0</v>
      </c>
      <c r="K30" s="84">
        <f>'Suivi EAU-ELEC'!G36</f>
        <v>0</v>
      </c>
      <c r="L30" s="84">
        <f>'Suivi EAU-ELEC'!I36</f>
        <v>0</v>
      </c>
      <c r="M30" s="74">
        <f t="shared" si="4"/>
        <v>0</v>
      </c>
      <c r="N30" s="52"/>
      <c r="O30" s="53">
        <f t="shared" si="5"/>
        <v>0</v>
      </c>
      <c r="P30" s="51"/>
      <c r="Q30" s="49"/>
      <c r="R30" s="50"/>
      <c r="S30" s="49"/>
      <c r="T30" s="85"/>
      <c r="U30" s="54">
        <f>'Suivi Gaz'!O31</f>
        <v>0</v>
      </c>
      <c r="V30" s="76"/>
      <c r="W30" s="53">
        <f t="shared" si="6"/>
        <v>0</v>
      </c>
      <c r="X30" s="58"/>
      <c r="Y30" s="133">
        <f t="shared" si="1"/>
        <v>0</v>
      </c>
      <c r="Z30" s="57">
        <f t="shared" si="7"/>
        <v>0</v>
      </c>
      <c r="AA30" s="76"/>
      <c r="AB30" s="157"/>
      <c r="AC30" s="70"/>
      <c r="AD30" s="71"/>
      <c r="AE30" s="75"/>
      <c r="AF30" s="75"/>
      <c r="AG30" s="72"/>
      <c r="AH30" s="73"/>
      <c r="AI30" s="38"/>
      <c r="AJ30" s="116">
        <f t="shared" si="2"/>
        <v>0</v>
      </c>
      <c r="AK30" s="115" t="e">
        <f t="shared" si="3"/>
        <v>#DIV/0!</v>
      </c>
      <c r="AL30" s="67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4"/>
      <c r="BQ30" s="164"/>
      <c r="BR30" s="164"/>
      <c r="BS30" s="164"/>
      <c r="BT30" s="164"/>
      <c r="BU30" s="164"/>
      <c r="BV30" s="164"/>
      <c r="BW30" s="164"/>
      <c r="BX30" s="164"/>
      <c r="BY30" s="164"/>
      <c r="BZ30" s="164"/>
      <c r="CA30" s="164"/>
      <c r="CB30" s="164"/>
      <c r="CC30" s="164"/>
      <c r="CD30" s="164"/>
      <c r="CE30" s="164"/>
      <c r="CF30" s="164"/>
      <c r="CG30" s="164"/>
      <c r="CH30" s="164"/>
      <c r="CI30" s="164"/>
      <c r="CJ30" s="164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  <c r="DB30" s="164"/>
      <c r="DC30" s="164"/>
      <c r="DD30" s="164"/>
      <c r="DE30" s="164"/>
      <c r="DF30" s="164"/>
      <c r="DG30" s="164"/>
      <c r="DH30" s="164"/>
      <c r="DI30" s="164"/>
      <c r="DJ30" s="164"/>
      <c r="DK30" s="164"/>
      <c r="DL30" s="164"/>
      <c r="DM30" s="164"/>
      <c r="DN30" s="164"/>
      <c r="DO30" s="164"/>
      <c r="DP30" s="164"/>
      <c r="DQ30" s="164"/>
      <c r="DR30" s="164"/>
      <c r="DS30" s="164"/>
      <c r="DT30" s="164"/>
      <c r="DU30" s="164"/>
      <c r="DV30" s="164"/>
      <c r="DW30" s="164"/>
      <c r="DX30" s="164"/>
      <c r="DY30" s="164"/>
      <c r="DZ30" s="164"/>
      <c r="EA30" s="164"/>
      <c r="EB30" s="164"/>
      <c r="EC30" s="164"/>
      <c r="ED30" s="164"/>
      <c r="EE30" s="164"/>
      <c r="EF30" s="164"/>
      <c r="EG30" s="164"/>
      <c r="EH30" s="164"/>
      <c r="EI30" s="164"/>
      <c r="EJ30" s="164"/>
      <c r="EK30" s="164"/>
      <c r="EL30" s="164"/>
      <c r="EM30" s="164"/>
      <c r="EN30" s="164"/>
      <c r="EO30" s="164"/>
      <c r="EP30" s="164"/>
      <c r="EQ30" s="164"/>
      <c r="ER30" s="164"/>
      <c r="ES30" s="164"/>
      <c r="ET30" s="164"/>
      <c r="EU30" s="164"/>
      <c r="EV30" s="164"/>
      <c r="EW30" s="164"/>
      <c r="EX30" s="164"/>
      <c r="EY30" s="164"/>
      <c r="EZ30" s="164"/>
      <c r="FA30" s="164"/>
      <c r="FB30" s="164"/>
      <c r="FC30" s="164"/>
      <c r="FD30" s="164"/>
      <c r="FE30" s="164"/>
      <c r="FF30" s="164"/>
      <c r="FG30" s="164"/>
      <c r="FH30" s="164"/>
      <c r="FI30" s="164"/>
      <c r="FJ30" s="164"/>
      <c r="FK30" s="164"/>
      <c r="FL30" s="164"/>
      <c r="FM30" s="164"/>
      <c r="FN30" s="164"/>
      <c r="FO30" s="164"/>
      <c r="FP30" s="164"/>
      <c r="FQ30" s="164"/>
      <c r="FR30" s="164"/>
      <c r="FS30" s="164"/>
      <c r="FT30" s="164"/>
      <c r="FU30" s="164"/>
      <c r="FV30" s="164"/>
      <c r="FW30" s="164"/>
      <c r="FX30" s="164"/>
      <c r="FY30" s="164"/>
      <c r="FZ30" s="164"/>
      <c r="GA30" s="164"/>
      <c r="GB30" s="164"/>
      <c r="GC30" s="164"/>
      <c r="GD30" s="164"/>
      <c r="GE30" s="164"/>
      <c r="GF30" s="164"/>
      <c r="GG30" s="164"/>
      <c r="GH30" s="164"/>
      <c r="GI30" s="164"/>
      <c r="GJ30" s="164"/>
      <c r="GK30" s="164"/>
      <c r="GL30" s="164"/>
      <c r="GM30" s="164"/>
      <c r="GN30" s="164"/>
      <c r="GO30" s="164"/>
      <c r="GP30" s="164"/>
      <c r="GQ30" s="164"/>
      <c r="GR30" s="164"/>
      <c r="GS30" s="164"/>
      <c r="GT30" s="164"/>
      <c r="GU30" s="164"/>
      <c r="GV30" s="164"/>
      <c r="GW30" s="164"/>
      <c r="GX30" s="164"/>
      <c r="GY30" s="164"/>
      <c r="GZ30" s="164"/>
      <c r="HA30" s="164"/>
      <c r="HB30" s="164"/>
      <c r="HC30" s="164"/>
      <c r="HD30" s="164"/>
      <c r="HE30" s="164"/>
      <c r="HF30" s="164"/>
      <c r="HG30" s="164"/>
      <c r="HH30" s="164"/>
      <c r="HI30" s="164"/>
      <c r="HJ30" s="164"/>
      <c r="HK30" s="164"/>
      <c r="HL30" s="164"/>
      <c r="HM30" s="164"/>
      <c r="HN30" s="164"/>
      <c r="HO30" s="164"/>
      <c r="HP30" s="164"/>
      <c r="HQ30" s="164"/>
      <c r="HR30" s="164"/>
      <c r="HS30" s="164"/>
      <c r="HT30" s="164"/>
      <c r="HU30" s="164"/>
      <c r="HV30" s="164"/>
      <c r="HW30" s="164"/>
      <c r="HX30" s="164"/>
      <c r="HY30" s="164"/>
      <c r="HZ30" s="164"/>
      <c r="IA30" s="164"/>
      <c r="IB30" s="164"/>
      <c r="IC30" s="164"/>
      <c r="ID30" s="164"/>
      <c r="IE30" s="164"/>
      <c r="IF30" s="164"/>
      <c r="IG30" s="164"/>
      <c r="IH30" s="164"/>
      <c r="II30" s="164"/>
      <c r="IJ30" s="164"/>
      <c r="IK30" s="164"/>
      <c r="IL30" s="164"/>
      <c r="IM30" s="164"/>
      <c r="IN30" s="164"/>
      <c r="IO30" s="164"/>
      <c r="IP30" s="164"/>
      <c r="IQ30" s="164"/>
      <c r="IR30" s="164"/>
      <c r="IS30" s="164"/>
      <c r="IT30" s="164"/>
      <c r="IU30" s="164"/>
      <c r="IV30" s="164"/>
    </row>
    <row r="31" spans="1:256" ht="32.25" customHeight="1">
      <c r="A31" s="66"/>
      <c r="B31" s="82">
        <f t="shared" si="8"/>
        <v>44308</v>
      </c>
      <c r="C31" s="83"/>
      <c r="D31" s="132">
        <f>'Suivi EAU-ELEC'!C37</f>
        <v>0</v>
      </c>
      <c r="E31" s="85"/>
      <c r="F31" s="200">
        <f t="shared" si="0"/>
        <v>0</v>
      </c>
      <c r="G31" s="201"/>
      <c r="H31" s="202"/>
      <c r="I31" s="129"/>
      <c r="J31" s="84">
        <f>'Suivi EAU-ELEC'!E37</f>
        <v>0</v>
      </c>
      <c r="K31" s="84">
        <f>'Suivi EAU-ELEC'!G37</f>
        <v>0</v>
      </c>
      <c r="L31" s="84">
        <f>'Suivi EAU-ELEC'!I37</f>
        <v>0</v>
      </c>
      <c r="M31" s="74">
        <f t="shared" si="4"/>
        <v>0</v>
      </c>
      <c r="N31" s="52"/>
      <c r="O31" s="53">
        <f t="shared" si="5"/>
        <v>0</v>
      </c>
      <c r="P31" s="51"/>
      <c r="Q31" s="49"/>
      <c r="R31" s="50"/>
      <c r="S31" s="49"/>
      <c r="T31" s="85"/>
      <c r="U31" s="54">
        <f>'Suivi Gaz'!O32</f>
        <v>0</v>
      </c>
      <c r="V31" s="52"/>
      <c r="W31" s="53">
        <f t="shared" si="6"/>
        <v>0</v>
      </c>
      <c r="X31" s="58"/>
      <c r="Y31" s="133">
        <f t="shared" si="1"/>
        <v>0</v>
      </c>
      <c r="Z31" s="57">
        <f t="shared" si="7"/>
        <v>0</v>
      </c>
      <c r="AA31" s="52"/>
      <c r="AB31" s="157"/>
      <c r="AC31" s="70"/>
      <c r="AD31" s="71"/>
      <c r="AE31" s="75"/>
      <c r="AF31" s="75"/>
      <c r="AG31" s="72"/>
      <c r="AH31" s="73"/>
      <c r="AI31" s="38"/>
      <c r="AJ31" s="116">
        <f t="shared" si="2"/>
        <v>0</v>
      </c>
      <c r="AK31" s="115" t="e">
        <f t="shared" si="3"/>
        <v>#DIV/0!</v>
      </c>
      <c r="AL31" s="67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64"/>
      <c r="CG31" s="164"/>
      <c r="CH31" s="164"/>
      <c r="CI31" s="164"/>
      <c r="CJ31" s="164"/>
      <c r="CK31" s="164"/>
      <c r="CL31" s="164"/>
      <c r="CM31" s="164"/>
      <c r="CN31" s="164"/>
      <c r="CO31" s="164"/>
      <c r="CP31" s="164"/>
      <c r="CQ31" s="164"/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  <c r="DB31" s="164"/>
      <c r="DC31" s="164"/>
      <c r="DD31" s="164"/>
      <c r="DE31" s="164"/>
      <c r="DF31" s="164"/>
      <c r="DG31" s="164"/>
      <c r="DH31" s="164"/>
      <c r="DI31" s="164"/>
      <c r="DJ31" s="164"/>
      <c r="DK31" s="164"/>
      <c r="DL31" s="164"/>
      <c r="DM31" s="164"/>
      <c r="DN31" s="164"/>
      <c r="DO31" s="164"/>
      <c r="DP31" s="164"/>
      <c r="DQ31" s="164"/>
      <c r="DR31" s="164"/>
      <c r="DS31" s="164"/>
      <c r="DT31" s="164"/>
      <c r="DU31" s="164"/>
      <c r="DV31" s="164"/>
      <c r="DW31" s="164"/>
      <c r="DX31" s="164"/>
      <c r="DY31" s="164"/>
      <c r="DZ31" s="164"/>
      <c r="EA31" s="164"/>
      <c r="EB31" s="164"/>
      <c r="EC31" s="164"/>
      <c r="ED31" s="164"/>
      <c r="EE31" s="164"/>
      <c r="EF31" s="164"/>
      <c r="EG31" s="164"/>
      <c r="EH31" s="164"/>
      <c r="EI31" s="164"/>
      <c r="EJ31" s="164"/>
      <c r="EK31" s="164"/>
      <c r="EL31" s="164"/>
      <c r="EM31" s="164"/>
      <c r="EN31" s="164"/>
      <c r="EO31" s="164"/>
      <c r="EP31" s="164"/>
      <c r="EQ31" s="164"/>
      <c r="ER31" s="164"/>
      <c r="ES31" s="164"/>
      <c r="ET31" s="164"/>
      <c r="EU31" s="164"/>
      <c r="EV31" s="164"/>
      <c r="EW31" s="164"/>
      <c r="EX31" s="164"/>
      <c r="EY31" s="164"/>
      <c r="EZ31" s="164"/>
      <c r="FA31" s="164"/>
      <c r="FB31" s="164"/>
      <c r="FC31" s="164"/>
      <c r="FD31" s="164"/>
      <c r="FE31" s="164"/>
      <c r="FF31" s="164"/>
      <c r="FG31" s="164"/>
      <c r="FH31" s="164"/>
      <c r="FI31" s="164"/>
      <c r="FJ31" s="164"/>
      <c r="FK31" s="164"/>
      <c r="FL31" s="164"/>
      <c r="FM31" s="164"/>
      <c r="FN31" s="164"/>
      <c r="FO31" s="164"/>
      <c r="FP31" s="164"/>
      <c r="FQ31" s="164"/>
      <c r="FR31" s="164"/>
      <c r="FS31" s="164"/>
      <c r="FT31" s="164"/>
      <c r="FU31" s="164"/>
      <c r="FV31" s="164"/>
      <c r="FW31" s="164"/>
      <c r="FX31" s="164"/>
      <c r="FY31" s="164"/>
      <c r="FZ31" s="164"/>
      <c r="GA31" s="164"/>
      <c r="GB31" s="164"/>
      <c r="GC31" s="164"/>
      <c r="GD31" s="164"/>
      <c r="GE31" s="164"/>
      <c r="GF31" s="164"/>
      <c r="GG31" s="164"/>
      <c r="GH31" s="164"/>
      <c r="GI31" s="164"/>
      <c r="GJ31" s="164"/>
      <c r="GK31" s="164"/>
      <c r="GL31" s="164"/>
      <c r="GM31" s="164"/>
      <c r="GN31" s="164"/>
      <c r="GO31" s="164"/>
      <c r="GP31" s="164"/>
      <c r="GQ31" s="164"/>
      <c r="GR31" s="164"/>
      <c r="GS31" s="164"/>
      <c r="GT31" s="164"/>
      <c r="GU31" s="164"/>
      <c r="GV31" s="164"/>
      <c r="GW31" s="164"/>
      <c r="GX31" s="164"/>
      <c r="GY31" s="164"/>
      <c r="GZ31" s="164"/>
      <c r="HA31" s="164"/>
      <c r="HB31" s="164"/>
      <c r="HC31" s="164"/>
      <c r="HD31" s="164"/>
      <c r="HE31" s="164"/>
      <c r="HF31" s="164"/>
      <c r="HG31" s="164"/>
      <c r="HH31" s="164"/>
      <c r="HI31" s="164"/>
      <c r="HJ31" s="164"/>
      <c r="HK31" s="164"/>
      <c r="HL31" s="164"/>
      <c r="HM31" s="164"/>
      <c r="HN31" s="164"/>
      <c r="HO31" s="164"/>
      <c r="HP31" s="164"/>
      <c r="HQ31" s="164"/>
      <c r="HR31" s="164"/>
      <c r="HS31" s="164"/>
      <c r="HT31" s="164"/>
      <c r="HU31" s="164"/>
      <c r="HV31" s="164"/>
      <c r="HW31" s="164"/>
      <c r="HX31" s="164"/>
      <c r="HY31" s="164"/>
      <c r="HZ31" s="164"/>
      <c r="IA31" s="164"/>
      <c r="IB31" s="164"/>
      <c r="IC31" s="164"/>
      <c r="ID31" s="164"/>
      <c r="IE31" s="164"/>
      <c r="IF31" s="164"/>
      <c r="IG31" s="164"/>
      <c r="IH31" s="164"/>
      <c r="II31" s="164"/>
      <c r="IJ31" s="164"/>
      <c r="IK31" s="164"/>
      <c r="IL31" s="164"/>
      <c r="IM31" s="164"/>
      <c r="IN31" s="164"/>
      <c r="IO31" s="164"/>
      <c r="IP31" s="164"/>
      <c r="IQ31" s="164"/>
      <c r="IR31" s="164"/>
      <c r="IS31" s="164"/>
      <c r="IT31" s="164"/>
      <c r="IU31" s="164"/>
      <c r="IV31" s="164"/>
    </row>
    <row r="32" spans="1:256" ht="32.25" customHeight="1">
      <c r="A32" s="66"/>
      <c r="B32" s="82">
        <f t="shared" si="8"/>
        <v>44309</v>
      </c>
      <c r="C32" s="83"/>
      <c r="D32" s="132">
        <f>'Suivi EAU-ELEC'!C38</f>
        <v>0</v>
      </c>
      <c r="E32" s="85"/>
      <c r="F32" s="200">
        <f>D32*12.67</f>
        <v>0</v>
      </c>
      <c r="G32" s="201"/>
      <c r="H32" s="202"/>
      <c r="I32" s="126"/>
      <c r="J32" s="84">
        <f>'Suivi EAU-ELEC'!E38</f>
        <v>0</v>
      </c>
      <c r="K32" s="84">
        <f>'Suivi EAU-ELEC'!G38</f>
        <v>0</v>
      </c>
      <c r="L32" s="84">
        <f>'Suivi EAU-ELEC'!I38</f>
        <v>0</v>
      </c>
      <c r="M32" s="74">
        <f t="shared" si="4"/>
        <v>0</v>
      </c>
      <c r="N32" s="52"/>
      <c r="O32" s="53">
        <f t="shared" si="5"/>
        <v>0</v>
      </c>
      <c r="P32" s="51"/>
      <c r="Q32" s="49"/>
      <c r="R32" s="50"/>
      <c r="S32" s="49"/>
      <c r="T32" s="85"/>
      <c r="U32" s="54">
        <f>'Suivi Gaz'!O33</f>
        <v>0</v>
      </c>
      <c r="V32" s="52"/>
      <c r="W32" s="53">
        <f t="shared" si="6"/>
        <v>0</v>
      </c>
      <c r="X32" s="58"/>
      <c r="Y32" s="133">
        <f t="shared" si="1"/>
        <v>0</v>
      </c>
      <c r="Z32" s="57">
        <f t="shared" si="7"/>
        <v>0</v>
      </c>
      <c r="AA32" s="52"/>
      <c r="AB32" s="157"/>
      <c r="AC32" s="70"/>
      <c r="AD32" s="71"/>
      <c r="AE32" s="75"/>
      <c r="AF32" s="75"/>
      <c r="AG32" s="72"/>
      <c r="AH32" s="73"/>
      <c r="AI32" s="38"/>
      <c r="AJ32" s="116">
        <f t="shared" si="2"/>
        <v>0</v>
      </c>
      <c r="AK32" s="115" t="e">
        <f t="shared" si="3"/>
        <v>#DIV/0!</v>
      </c>
      <c r="AL32" s="67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64"/>
      <c r="CG32" s="164"/>
      <c r="CH32" s="164"/>
      <c r="CI32" s="164"/>
      <c r="CJ32" s="164"/>
      <c r="CK32" s="164"/>
      <c r="CL32" s="164"/>
      <c r="CM32" s="164"/>
      <c r="CN32" s="164"/>
      <c r="CO32" s="164"/>
      <c r="CP32" s="164"/>
      <c r="CQ32" s="164"/>
      <c r="CR32" s="164"/>
      <c r="CS32" s="164"/>
      <c r="CT32" s="164"/>
      <c r="CU32" s="164"/>
      <c r="CV32" s="164"/>
      <c r="CW32" s="164"/>
      <c r="CX32" s="164"/>
      <c r="CY32" s="164"/>
      <c r="CZ32" s="164"/>
      <c r="DA32" s="164"/>
      <c r="DB32" s="164"/>
      <c r="DC32" s="164"/>
      <c r="DD32" s="164"/>
      <c r="DE32" s="164"/>
      <c r="DF32" s="164"/>
      <c r="DG32" s="164"/>
      <c r="DH32" s="164"/>
      <c r="DI32" s="164"/>
      <c r="DJ32" s="164"/>
      <c r="DK32" s="164"/>
      <c r="DL32" s="164"/>
      <c r="DM32" s="164"/>
      <c r="DN32" s="164"/>
      <c r="DO32" s="164"/>
      <c r="DP32" s="164"/>
      <c r="DQ32" s="164"/>
      <c r="DR32" s="164"/>
      <c r="DS32" s="164"/>
      <c r="DT32" s="164"/>
      <c r="DU32" s="164"/>
      <c r="DV32" s="164"/>
      <c r="DW32" s="164"/>
      <c r="DX32" s="164"/>
      <c r="DY32" s="164"/>
      <c r="DZ32" s="164"/>
      <c r="EA32" s="164"/>
      <c r="EB32" s="164"/>
      <c r="EC32" s="164"/>
      <c r="ED32" s="164"/>
      <c r="EE32" s="164"/>
      <c r="EF32" s="164"/>
      <c r="EG32" s="164"/>
      <c r="EH32" s="164"/>
      <c r="EI32" s="164"/>
      <c r="EJ32" s="164"/>
      <c r="EK32" s="164"/>
      <c r="EL32" s="164"/>
      <c r="EM32" s="164"/>
      <c r="EN32" s="164"/>
      <c r="EO32" s="164"/>
      <c r="EP32" s="164"/>
      <c r="EQ32" s="164"/>
      <c r="ER32" s="164"/>
      <c r="ES32" s="164"/>
      <c r="ET32" s="164"/>
      <c r="EU32" s="164"/>
      <c r="EV32" s="164"/>
      <c r="EW32" s="164"/>
      <c r="EX32" s="164"/>
      <c r="EY32" s="164"/>
      <c r="EZ32" s="164"/>
      <c r="FA32" s="164"/>
      <c r="FB32" s="164"/>
      <c r="FC32" s="164"/>
      <c r="FD32" s="164"/>
      <c r="FE32" s="164"/>
      <c r="FF32" s="164"/>
      <c r="FG32" s="164"/>
      <c r="FH32" s="164"/>
      <c r="FI32" s="164"/>
      <c r="FJ32" s="164"/>
      <c r="FK32" s="164"/>
      <c r="FL32" s="164"/>
      <c r="FM32" s="164"/>
      <c r="FN32" s="164"/>
      <c r="FO32" s="164"/>
      <c r="FP32" s="164"/>
      <c r="FQ32" s="164"/>
      <c r="FR32" s="164"/>
      <c r="FS32" s="164"/>
      <c r="FT32" s="164"/>
      <c r="FU32" s="164"/>
      <c r="FV32" s="164"/>
      <c r="FW32" s="164"/>
      <c r="FX32" s="164"/>
      <c r="FY32" s="164"/>
      <c r="FZ32" s="164"/>
      <c r="GA32" s="164"/>
      <c r="GB32" s="164"/>
      <c r="GC32" s="164"/>
      <c r="GD32" s="164"/>
      <c r="GE32" s="164"/>
      <c r="GF32" s="164"/>
      <c r="GG32" s="164"/>
      <c r="GH32" s="164"/>
      <c r="GI32" s="164"/>
      <c r="GJ32" s="164"/>
      <c r="GK32" s="164"/>
      <c r="GL32" s="164"/>
      <c r="GM32" s="164"/>
      <c r="GN32" s="164"/>
      <c r="GO32" s="164"/>
      <c r="GP32" s="164"/>
      <c r="GQ32" s="164"/>
      <c r="GR32" s="164"/>
      <c r="GS32" s="164"/>
      <c r="GT32" s="164"/>
      <c r="GU32" s="164"/>
      <c r="GV32" s="164"/>
      <c r="GW32" s="164"/>
      <c r="GX32" s="164"/>
      <c r="GY32" s="164"/>
      <c r="GZ32" s="164"/>
      <c r="HA32" s="164"/>
      <c r="HB32" s="164"/>
      <c r="HC32" s="164"/>
      <c r="HD32" s="164"/>
      <c r="HE32" s="164"/>
      <c r="HF32" s="164"/>
      <c r="HG32" s="164"/>
      <c r="HH32" s="164"/>
      <c r="HI32" s="164"/>
      <c r="HJ32" s="164"/>
      <c r="HK32" s="164"/>
      <c r="HL32" s="164"/>
      <c r="HM32" s="164"/>
      <c r="HN32" s="164"/>
      <c r="HO32" s="164"/>
      <c r="HP32" s="164"/>
      <c r="HQ32" s="164"/>
      <c r="HR32" s="164"/>
      <c r="HS32" s="164"/>
      <c r="HT32" s="164"/>
      <c r="HU32" s="164"/>
      <c r="HV32" s="164"/>
      <c r="HW32" s="164"/>
      <c r="HX32" s="164"/>
      <c r="HY32" s="164"/>
      <c r="HZ32" s="164"/>
      <c r="IA32" s="164"/>
      <c r="IB32" s="164"/>
      <c r="IC32" s="164"/>
      <c r="ID32" s="164"/>
      <c r="IE32" s="164"/>
      <c r="IF32" s="164"/>
      <c r="IG32" s="164"/>
      <c r="IH32" s="164"/>
      <c r="II32" s="164"/>
      <c r="IJ32" s="164"/>
      <c r="IK32" s="164"/>
      <c r="IL32" s="164"/>
      <c r="IM32" s="164"/>
      <c r="IN32" s="164"/>
      <c r="IO32" s="164"/>
      <c r="IP32" s="164"/>
      <c r="IQ32" s="164"/>
      <c r="IR32" s="164"/>
      <c r="IS32" s="164"/>
      <c r="IT32" s="164"/>
      <c r="IU32" s="164"/>
      <c r="IV32" s="164"/>
    </row>
    <row r="33" spans="1:38" ht="32.25" customHeight="1">
      <c r="A33" s="66"/>
      <c r="B33" s="82">
        <f t="shared" si="8"/>
        <v>44310</v>
      </c>
      <c r="C33" s="83"/>
      <c r="D33" s="132">
        <f>'Suivi EAU-ELEC'!C39</f>
        <v>0</v>
      </c>
      <c r="E33" s="85"/>
      <c r="F33" s="200">
        <f t="shared" si="0"/>
        <v>0</v>
      </c>
      <c r="G33" s="201"/>
      <c r="H33" s="202"/>
      <c r="I33" s="127"/>
      <c r="J33" s="84">
        <f>'Suivi EAU-ELEC'!E39</f>
        <v>0</v>
      </c>
      <c r="K33" s="84">
        <f>'Suivi EAU-ELEC'!G39</f>
        <v>0</v>
      </c>
      <c r="L33" s="84">
        <f>'Suivi EAU-ELEC'!I39</f>
        <v>0</v>
      </c>
      <c r="M33" s="74">
        <f t="shared" si="4"/>
        <v>0</v>
      </c>
      <c r="N33" s="52"/>
      <c r="O33" s="53">
        <f t="shared" si="5"/>
        <v>0</v>
      </c>
      <c r="P33" s="51"/>
      <c r="Q33" s="49"/>
      <c r="R33" s="50"/>
      <c r="S33" s="49"/>
      <c r="T33" s="85"/>
      <c r="U33" s="54">
        <f>'Suivi Gaz'!O34</f>
        <v>0</v>
      </c>
      <c r="V33" s="52"/>
      <c r="W33" s="53">
        <f t="shared" si="6"/>
        <v>0</v>
      </c>
      <c r="X33" s="58"/>
      <c r="Y33" s="133">
        <f t="shared" si="1"/>
        <v>0</v>
      </c>
      <c r="Z33" s="57">
        <f t="shared" si="7"/>
        <v>0</v>
      </c>
      <c r="AA33" s="52"/>
      <c r="AB33" s="157"/>
      <c r="AC33" s="70"/>
      <c r="AD33" s="71"/>
      <c r="AE33" s="75"/>
      <c r="AF33" s="75"/>
      <c r="AG33" s="72"/>
      <c r="AH33" s="73"/>
      <c r="AI33" s="38"/>
      <c r="AJ33" s="116">
        <f t="shared" si="2"/>
        <v>0</v>
      </c>
      <c r="AK33" s="115" t="e">
        <f t="shared" si="3"/>
        <v>#DIV/0!</v>
      </c>
      <c r="AL33" s="67"/>
    </row>
    <row r="34" spans="1:38" ht="32.25" customHeight="1">
      <c r="A34" s="88"/>
      <c r="B34" s="82">
        <f t="shared" si="8"/>
        <v>44311</v>
      </c>
      <c r="C34" s="83"/>
      <c r="D34" s="132">
        <f>'Suivi EAU-ELEC'!C40</f>
        <v>0</v>
      </c>
      <c r="E34" s="85"/>
      <c r="F34" s="200">
        <f t="shared" si="0"/>
        <v>0</v>
      </c>
      <c r="G34" s="201"/>
      <c r="H34" s="202"/>
      <c r="I34" s="127"/>
      <c r="J34" s="84">
        <f>'Suivi EAU-ELEC'!E40</f>
        <v>0</v>
      </c>
      <c r="K34" s="84">
        <f>'Suivi EAU-ELEC'!G40</f>
        <v>0</v>
      </c>
      <c r="L34" s="84">
        <f>'Suivi EAU-ELEC'!I40</f>
        <v>0</v>
      </c>
      <c r="M34" s="74">
        <f t="shared" si="4"/>
        <v>0</v>
      </c>
      <c r="N34" s="52"/>
      <c r="O34" s="53">
        <f t="shared" si="5"/>
        <v>0</v>
      </c>
      <c r="P34" s="51"/>
      <c r="Q34" s="49"/>
      <c r="R34" s="50"/>
      <c r="S34" s="49"/>
      <c r="T34" s="85"/>
      <c r="U34" s="54">
        <f>'Suivi Gaz'!O35</f>
        <v>0</v>
      </c>
      <c r="V34" s="52"/>
      <c r="W34" s="53">
        <f t="shared" si="6"/>
        <v>0</v>
      </c>
      <c r="X34" s="58"/>
      <c r="Y34" s="133">
        <f t="shared" si="1"/>
        <v>0</v>
      </c>
      <c r="Z34" s="57">
        <f t="shared" si="7"/>
        <v>0</v>
      </c>
      <c r="AA34" s="52"/>
      <c r="AB34" s="157"/>
      <c r="AC34" s="70"/>
      <c r="AD34" s="71"/>
      <c r="AE34" s="75"/>
      <c r="AF34" s="75"/>
      <c r="AG34" s="72"/>
      <c r="AH34" s="73"/>
      <c r="AI34" s="38"/>
      <c r="AJ34" s="116">
        <f t="shared" si="2"/>
        <v>0</v>
      </c>
      <c r="AK34" s="115" t="e">
        <f t="shared" si="3"/>
        <v>#DIV/0!</v>
      </c>
      <c r="AL34" s="67"/>
    </row>
    <row r="35" spans="1:38" ht="32.25" customHeight="1">
      <c r="A35" s="66"/>
      <c r="B35" s="82">
        <f t="shared" si="8"/>
        <v>44312</v>
      </c>
      <c r="C35" s="83"/>
      <c r="D35" s="132">
        <f>'Suivi EAU-ELEC'!C41</f>
        <v>0</v>
      </c>
      <c r="E35" s="85"/>
      <c r="F35" s="222">
        <f t="shared" si="0"/>
        <v>0</v>
      </c>
      <c r="G35" s="223"/>
      <c r="H35" s="224"/>
      <c r="I35" s="127"/>
      <c r="J35" s="84">
        <f>'Suivi EAU-ELEC'!E41</f>
        <v>0</v>
      </c>
      <c r="K35" s="84">
        <f>'Suivi EAU-ELEC'!G41</f>
        <v>0</v>
      </c>
      <c r="L35" s="84">
        <f>'Suivi EAU-ELEC'!I41</f>
        <v>0</v>
      </c>
      <c r="M35" s="74">
        <f t="shared" si="4"/>
        <v>0</v>
      </c>
      <c r="N35" s="52"/>
      <c r="O35" s="53">
        <f t="shared" si="5"/>
        <v>0</v>
      </c>
      <c r="P35" s="51"/>
      <c r="Q35" s="49"/>
      <c r="R35" s="50"/>
      <c r="S35" s="49"/>
      <c r="T35" s="85"/>
      <c r="U35" s="54">
        <f>'Suivi Gaz'!O36</f>
        <v>0</v>
      </c>
      <c r="V35" s="52"/>
      <c r="W35" s="53">
        <f t="shared" si="6"/>
        <v>0</v>
      </c>
      <c r="X35" s="58"/>
      <c r="Y35" s="133">
        <f t="shared" si="1"/>
        <v>0</v>
      </c>
      <c r="Z35" s="57">
        <f t="shared" si="7"/>
        <v>0</v>
      </c>
      <c r="AA35" s="52"/>
      <c r="AB35" s="157"/>
      <c r="AC35" s="70"/>
      <c r="AD35" s="71"/>
      <c r="AE35" s="75"/>
      <c r="AF35" s="75"/>
      <c r="AG35" s="72"/>
      <c r="AH35" s="73"/>
      <c r="AI35" s="38"/>
      <c r="AJ35" s="116">
        <f t="shared" si="2"/>
        <v>0</v>
      </c>
      <c r="AK35" s="115" t="e">
        <f t="shared" si="3"/>
        <v>#DIV/0!</v>
      </c>
      <c r="AL35" s="67"/>
    </row>
    <row r="36" spans="1:38" ht="32.25" customHeight="1">
      <c r="A36" s="66"/>
      <c r="B36" s="82">
        <f t="shared" si="8"/>
        <v>44313</v>
      </c>
      <c r="C36" s="83"/>
      <c r="D36" s="132">
        <f>'Suivi EAU-ELEC'!C42</f>
        <v>0</v>
      </c>
      <c r="E36" s="85"/>
      <c r="F36" s="225">
        <f t="shared" si="0"/>
        <v>0</v>
      </c>
      <c r="G36" s="226"/>
      <c r="H36" s="227"/>
      <c r="I36" s="127"/>
      <c r="J36" s="84">
        <f>'Suivi EAU-ELEC'!E42</f>
        <v>0</v>
      </c>
      <c r="K36" s="84">
        <f>'Suivi EAU-ELEC'!G42</f>
        <v>0</v>
      </c>
      <c r="L36" s="84">
        <f>'Suivi EAU-ELEC'!I42</f>
        <v>0</v>
      </c>
      <c r="M36" s="74">
        <f t="shared" si="4"/>
        <v>0</v>
      </c>
      <c r="N36" s="52"/>
      <c r="O36" s="53">
        <f t="shared" si="5"/>
        <v>0</v>
      </c>
      <c r="P36" s="51"/>
      <c r="Q36" s="49"/>
      <c r="R36" s="50"/>
      <c r="S36" s="49"/>
      <c r="T36" s="85"/>
      <c r="U36" s="54">
        <f>'Suivi Gaz'!O37</f>
        <v>0</v>
      </c>
      <c r="V36" s="52"/>
      <c r="W36" s="53">
        <f t="shared" si="6"/>
        <v>0</v>
      </c>
      <c r="X36" s="58"/>
      <c r="Y36" s="133">
        <f t="shared" si="1"/>
        <v>0</v>
      </c>
      <c r="Z36" s="57">
        <f t="shared" si="7"/>
        <v>0</v>
      </c>
      <c r="AA36" s="52"/>
      <c r="AB36" s="157"/>
      <c r="AC36" s="70"/>
      <c r="AD36" s="71"/>
      <c r="AE36" s="75"/>
      <c r="AF36" s="75"/>
      <c r="AG36" s="72"/>
      <c r="AH36" s="73"/>
      <c r="AI36" s="38"/>
      <c r="AJ36" s="116">
        <f t="shared" si="2"/>
        <v>0</v>
      </c>
      <c r="AK36" s="115" t="e">
        <f t="shared" si="3"/>
        <v>#DIV/0!</v>
      </c>
      <c r="AL36" s="67"/>
    </row>
    <row r="37" spans="1:38" ht="32.25" customHeight="1">
      <c r="A37" s="66"/>
      <c r="B37" s="82">
        <f t="shared" si="8"/>
        <v>44314</v>
      </c>
      <c r="C37" s="83"/>
      <c r="D37" s="132">
        <f>'Suivi EAU-ELEC'!C43</f>
        <v>0</v>
      </c>
      <c r="E37" s="85"/>
      <c r="F37" s="228">
        <f t="shared" si="0"/>
        <v>0</v>
      </c>
      <c r="G37" s="229"/>
      <c r="H37" s="230"/>
      <c r="I37" s="127"/>
      <c r="J37" s="84">
        <f>'Suivi EAU-ELEC'!E43</f>
        <v>0</v>
      </c>
      <c r="K37" s="84">
        <f>'Suivi EAU-ELEC'!G43</f>
        <v>0</v>
      </c>
      <c r="L37" s="84">
        <f>'Suivi EAU-ELEC'!I43</f>
        <v>0</v>
      </c>
      <c r="M37" s="74">
        <f t="shared" si="4"/>
        <v>0</v>
      </c>
      <c r="N37" s="52"/>
      <c r="O37" s="53">
        <f t="shared" si="5"/>
        <v>0</v>
      </c>
      <c r="P37" s="51"/>
      <c r="Q37" s="49"/>
      <c r="R37" s="50"/>
      <c r="S37" s="49"/>
      <c r="T37" s="85"/>
      <c r="U37" s="54">
        <f>'Suivi Gaz'!O38</f>
        <v>0</v>
      </c>
      <c r="V37" s="52"/>
      <c r="W37" s="53">
        <f t="shared" si="6"/>
        <v>0</v>
      </c>
      <c r="X37" s="58"/>
      <c r="Y37" s="133">
        <f t="shared" si="1"/>
        <v>0</v>
      </c>
      <c r="Z37" s="57">
        <f t="shared" si="7"/>
        <v>0</v>
      </c>
      <c r="AA37" s="52"/>
      <c r="AB37" s="157"/>
      <c r="AC37" s="70"/>
      <c r="AD37" s="71"/>
      <c r="AE37" s="75"/>
      <c r="AF37" s="75"/>
      <c r="AG37" s="72"/>
      <c r="AH37" s="73"/>
      <c r="AI37" s="38"/>
      <c r="AJ37" s="116">
        <f t="shared" si="2"/>
        <v>0</v>
      </c>
      <c r="AK37" s="115" t="e">
        <f t="shared" si="3"/>
        <v>#DIV/0!</v>
      </c>
      <c r="AL37" s="67"/>
    </row>
    <row r="38" spans="1:38" ht="32.25" customHeight="1">
      <c r="A38" s="66"/>
      <c r="B38" s="82">
        <f t="shared" si="8"/>
        <v>44315</v>
      </c>
      <c r="C38" s="83"/>
      <c r="D38" s="132">
        <f>'Suivi EAU-ELEC'!C44</f>
        <v>0</v>
      </c>
      <c r="E38" s="85"/>
      <c r="F38" s="219">
        <f t="shared" si="0"/>
        <v>0</v>
      </c>
      <c r="G38" s="220"/>
      <c r="H38" s="221"/>
      <c r="I38" s="127"/>
      <c r="J38" s="84">
        <f>'Suivi EAU-ELEC'!E44</f>
        <v>0</v>
      </c>
      <c r="K38" s="84">
        <f>'Suivi EAU-ELEC'!G44</f>
        <v>0</v>
      </c>
      <c r="L38" s="84">
        <f>'Suivi EAU-ELEC'!I44</f>
        <v>0</v>
      </c>
      <c r="M38" s="74">
        <f t="shared" si="4"/>
        <v>0</v>
      </c>
      <c r="N38" s="52"/>
      <c r="O38" s="53">
        <f t="shared" si="5"/>
        <v>0</v>
      </c>
      <c r="P38" s="51"/>
      <c r="Q38" s="49"/>
      <c r="R38" s="50"/>
      <c r="S38" s="49"/>
      <c r="T38" s="85"/>
      <c r="U38" s="54">
        <f>'Suivi Gaz'!O39</f>
        <v>0</v>
      </c>
      <c r="V38" s="52"/>
      <c r="W38" s="53">
        <f t="shared" si="6"/>
        <v>0</v>
      </c>
      <c r="X38" s="58"/>
      <c r="Y38" s="133">
        <f t="shared" si="1"/>
        <v>0</v>
      </c>
      <c r="Z38" s="57">
        <f t="shared" si="7"/>
        <v>0</v>
      </c>
      <c r="AA38" s="52"/>
      <c r="AB38" s="157"/>
      <c r="AC38" s="70"/>
      <c r="AD38" s="71"/>
      <c r="AE38" s="75"/>
      <c r="AF38" s="75"/>
      <c r="AG38" s="72"/>
      <c r="AH38" s="73"/>
      <c r="AI38" s="38"/>
      <c r="AJ38" s="116">
        <f t="shared" si="2"/>
        <v>0</v>
      </c>
      <c r="AK38" s="115" t="e">
        <f t="shared" si="3"/>
        <v>#DIV/0!</v>
      </c>
      <c r="AL38" s="67"/>
    </row>
    <row r="39" spans="1:38" ht="32.25" customHeight="1">
      <c r="A39" s="66"/>
      <c r="B39" s="82">
        <f t="shared" si="8"/>
        <v>44316</v>
      </c>
      <c r="C39" s="83"/>
      <c r="D39" s="132">
        <f>'Suivi EAU-ELEC'!C45</f>
        <v>0</v>
      </c>
      <c r="E39" s="85"/>
      <c r="F39" s="200">
        <f t="shared" si="0"/>
        <v>0</v>
      </c>
      <c r="G39" s="201"/>
      <c r="H39" s="202"/>
      <c r="I39" s="127"/>
      <c r="J39" s="84">
        <f>'Suivi EAU-ELEC'!E45</f>
        <v>0</v>
      </c>
      <c r="K39" s="84">
        <f>'Suivi EAU-ELEC'!G45</f>
        <v>0</v>
      </c>
      <c r="L39" s="84">
        <f>'Suivi EAU-ELEC'!I45</f>
        <v>0</v>
      </c>
      <c r="M39" s="74">
        <f t="shared" si="4"/>
        <v>0</v>
      </c>
      <c r="N39" s="52"/>
      <c r="O39" s="53">
        <f t="shared" si="5"/>
        <v>0</v>
      </c>
      <c r="P39" s="51"/>
      <c r="Q39" s="49"/>
      <c r="R39" s="50"/>
      <c r="S39" s="49"/>
      <c r="T39" s="85"/>
      <c r="U39" s="54">
        <f>'Suivi Gaz'!O40</f>
        <v>0</v>
      </c>
      <c r="V39" s="52"/>
      <c r="W39" s="53">
        <f t="shared" si="6"/>
        <v>0</v>
      </c>
      <c r="X39" s="58"/>
      <c r="Y39" s="133">
        <f t="shared" si="1"/>
        <v>0</v>
      </c>
      <c r="Z39" s="57">
        <f t="shared" si="7"/>
        <v>0</v>
      </c>
      <c r="AA39" s="52"/>
      <c r="AB39" s="157"/>
      <c r="AC39" s="70"/>
      <c r="AD39" s="71"/>
      <c r="AE39" s="75"/>
      <c r="AF39" s="75"/>
      <c r="AG39" s="72"/>
      <c r="AH39" s="73"/>
      <c r="AI39" s="38"/>
      <c r="AJ39" s="116">
        <f t="shared" si="2"/>
        <v>0</v>
      </c>
      <c r="AK39" s="115" t="e">
        <f t="shared" si="3"/>
        <v>#DIV/0!</v>
      </c>
      <c r="AL39" s="67"/>
    </row>
    <row r="40" spans="1:38" ht="32.25" customHeight="1">
      <c r="A40" s="66"/>
      <c r="B40" s="82">
        <f t="shared" si="8"/>
        <v>44317</v>
      </c>
      <c r="C40" s="83"/>
      <c r="D40" s="132">
        <f>'Suivi EAU-ELEC'!C46</f>
        <v>0</v>
      </c>
      <c r="E40" s="134"/>
      <c r="F40" s="222">
        <f t="shared" si="0"/>
        <v>0</v>
      </c>
      <c r="G40" s="223"/>
      <c r="H40" s="224"/>
      <c r="I40" s="127"/>
      <c r="J40" s="84">
        <f>'Suivi EAU-ELEC'!E46</f>
        <v>0</v>
      </c>
      <c r="K40" s="84">
        <f>'Suivi EAU-ELEC'!G46</f>
        <v>0</v>
      </c>
      <c r="L40" s="84">
        <f>'Suivi EAU-ELEC'!I46</f>
        <v>0</v>
      </c>
      <c r="M40" s="74">
        <f t="shared" si="4"/>
        <v>0</v>
      </c>
      <c r="N40" s="52"/>
      <c r="O40" s="53">
        <f t="shared" si="5"/>
        <v>0</v>
      </c>
      <c r="P40" s="51"/>
      <c r="Q40" s="49"/>
      <c r="R40" s="50"/>
      <c r="S40" s="49"/>
      <c r="T40" s="85"/>
      <c r="U40" s="54">
        <f>'Suivi Gaz'!O41</f>
        <v>0</v>
      </c>
      <c r="V40" s="52"/>
      <c r="W40" s="53">
        <f t="shared" si="6"/>
        <v>0</v>
      </c>
      <c r="X40" s="133"/>
      <c r="Y40" s="133">
        <f t="shared" si="1"/>
        <v>0</v>
      </c>
      <c r="Z40" s="57">
        <f t="shared" si="7"/>
        <v>0</v>
      </c>
      <c r="AA40" s="52"/>
      <c r="AB40" s="158"/>
      <c r="AC40" s="146"/>
      <c r="AD40" s="159"/>
      <c r="AE40" s="160"/>
      <c r="AF40" s="161"/>
      <c r="AG40" s="162"/>
      <c r="AH40" s="163"/>
      <c r="AI40" s="38"/>
      <c r="AJ40" s="117">
        <f t="shared" si="2"/>
        <v>0</v>
      </c>
      <c r="AK40" s="115" t="e">
        <f t="shared" si="3"/>
        <v>#DIV/0!</v>
      </c>
      <c r="AL40" s="67"/>
    </row>
    <row r="41" spans="1:38" ht="44.25" customHeight="1">
      <c r="A41" s="66"/>
      <c r="B41" s="89"/>
      <c r="C41" s="90"/>
      <c r="D41" s="147">
        <f>SUM(D10:D39)</f>
        <v>6665</v>
      </c>
      <c r="E41" s="91"/>
      <c r="F41" s="231">
        <f>SUM(D10:D39)</f>
        <v>6665</v>
      </c>
      <c r="G41" s="232"/>
      <c r="H41" s="233"/>
      <c r="I41" s="91"/>
      <c r="J41" s="93">
        <f>SUM(J10:J39)</f>
        <v>57636</v>
      </c>
      <c r="K41" s="93">
        <f>SUM(K10:K39)</f>
        <v>107282</v>
      </c>
      <c r="L41" s="93">
        <f>SUM(L10:L39)</f>
        <v>48146</v>
      </c>
      <c r="M41" s="93">
        <f>SUM(M10:M39)</f>
        <v>213064</v>
      </c>
      <c r="N41" s="92"/>
      <c r="O41" s="93">
        <f>SUM(O10:O39)</f>
        <v>210933.36000000002</v>
      </c>
      <c r="P41" s="92"/>
      <c r="Q41" s="94">
        <f>SUM(Q10:Q40)</f>
        <v>0</v>
      </c>
      <c r="R41" s="92"/>
      <c r="S41" s="94">
        <f>SUM(S10:S40)</f>
        <v>0</v>
      </c>
      <c r="T41" s="92"/>
      <c r="U41" s="93">
        <f>SUM(U10:U39)</f>
        <v>4823</v>
      </c>
      <c r="V41" s="52"/>
      <c r="W41" s="93">
        <f>SUM(W10:W39)</f>
        <v>44964.587850000018</v>
      </c>
      <c r="X41" s="58"/>
      <c r="Y41" s="93">
        <f>SUM(Y10:Y39)</f>
        <v>231.15999999999985</v>
      </c>
      <c r="Z41" s="93">
        <f>SUM(Z10:Z39)</f>
        <v>122514.79999999996</v>
      </c>
      <c r="AA41" s="91"/>
      <c r="AB41" s="95"/>
      <c r="AC41" s="120"/>
      <c r="AD41" s="119"/>
      <c r="AE41" s="121"/>
      <c r="AF41" s="118"/>
      <c r="AG41" s="125"/>
      <c r="AH41" s="96"/>
      <c r="AI41" s="56"/>
      <c r="AJ41" s="111">
        <f>SUM(AJ10:AJ38)</f>
        <v>462858.2978499998</v>
      </c>
      <c r="AK41" s="111" t="e">
        <f>SUM(AK10:AK38)</f>
        <v>#DIV/0!</v>
      </c>
      <c r="AL41" s="67"/>
    </row>
    <row r="42" spans="1:38" s="6" customFormat="1" ht="30.75" customHeight="1">
      <c r="A42" s="77"/>
      <c r="B42" s="77"/>
      <c r="C42" s="77"/>
      <c r="D42" s="77"/>
      <c r="E42" s="77"/>
      <c r="F42" s="234"/>
      <c r="G42" s="234"/>
      <c r="H42" s="234"/>
      <c r="I42" s="77"/>
      <c r="J42" s="68"/>
      <c r="K42" s="68"/>
      <c r="L42" s="68"/>
      <c r="M42" s="91"/>
      <c r="N42" s="91"/>
      <c r="O42" s="77"/>
      <c r="P42" s="91"/>
      <c r="Q42" s="77"/>
      <c r="R42" s="91"/>
      <c r="S42" s="77"/>
      <c r="T42" s="91"/>
      <c r="U42" s="77"/>
      <c r="V42" s="91"/>
      <c r="W42" s="77"/>
      <c r="X42" s="65"/>
      <c r="Y42" s="131"/>
      <c r="Z42" s="77"/>
      <c r="AA42" s="77"/>
      <c r="AB42" s="77"/>
      <c r="AC42" s="77"/>
      <c r="AD42" s="97"/>
      <c r="AE42" s="68"/>
      <c r="AF42" s="68"/>
      <c r="AG42" s="68"/>
      <c r="AH42" s="98"/>
      <c r="AI42" s="39"/>
      <c r="AJ42" s="39"/>
      <c r="AK42" s="39"/>
    </row>
    <row r="43" spans="1:38" s="8" customFormat="1" ht="36.75" customHeight="1">
      <c r="A43" s="235" t="s">
        <v>39</v>
      </c>
      <c r="B43" s="236"/>
      <c r="C43" s="237"/>
      <c r="D43" s="165" t="s">
        <v>34</v>
      </c>
      <c r="E43" s="99"/>
      <c r="F43" s="100">
        <v>0.64895000000000003</v>
      </c>
      <c r="G43" s="241">
        <f>J41</f>
        <v>57636</v>
      </c>
      <c r="H43" s="242"/>
      <c r="I43" s="243"/>
      <c r="J43" s="244">
        <f>G43*F43</f>
        <v>37402.8822</v>
      </c>
      <c r="K43" s="245"/>
      <c r="L43" s="246">
        <f>J43+J44+J45</f>
        <v>192249.72694000002</v>
      </c>
      <c r="M43" s="247"/>
      <c r="N43" s="247"/>
      <c r="O43" s="247"/>
      <c r="P43" s="247"/>
      <c r="Q43" s="247"/>
      <c r="R43" s="247"/>
      <c r="S43" s="247"/>
      <c r="T43" s="247"/>
      <c r="U43" s="248"/>
      <c r="V43" s="168"/>
      <c r="W43" s="168"/>
      <c r="X43" s="77"/>
      <c r="Y43" s="168"/>
      <c r="Z43" s="168"/>
      <c r="AA43" s="101"/>
      <c r="AB43" s="168"/>
      <c r="AC43" s="102"/>
      <c r="AD43" s="168"/>
      <c r="AE43" s="97"/>
      <c r="AF43" s="97"/>
      <c r="AG43" s="68"/>
      <c r="AH43" s="103"/>
      <c r="AJ43" s="40"/>
      <c r="AK43" s="40"/>
    </row>
    <row r="44" spans="1:38" s="8" customFormat="1" ht="36.75" customHeight="1">
      <c r="A44" s="238"/>
      <c r="B44" s="239"/>
      <c r="C44" s="240"/>
      <c r="D44" s="166" t="s">
        <v>35</v>
      </c>
      <c r="E44" s="99"/>
      <c r="F44" s="104">
        <v>0.88605</v>
      </c>
      <c r="G44" s="241">
        <f>K41</f>
        <v>107282</v>
      </c>
      <c r="H44" s="242"/>
      <c r="I44" s="243"/>
      <c r="J44" s="244">
        <f>G44*F44</f>
        <v>95057.216100000005</v>
      </c>
      <c r="K44" s="245"/>
      <c r="L44" s="249"/>
      <c r="M44" s="250"/>
      <c r="N44" s="250"/>
      <c r="O44" s="250"/>
      <c r="P44" s="250"/>
      <c r="Q44" s="250"/>
      <c r="R44" s="250"/>
      <c r="S44" s="250"/>
      <c r="T44" s="250"/>
      <c r="U44" s="251"/>
      <c r="V44" s="168"/>
      <c r="W44" s="168"/>
      <c r="X44" s="168"/>
      <c r="Y44" s="168"/>
      <c r="Z44" s="168"/>
      <c r="AA44" s="101"/>
      <c r="AB44" s="168"/>
      <c r="AC44" s="101"/>
      <c r="AD44" s="168"/>
      <c r="AE44" s="168"/>
      <c r="AF44" s="101"/>
      <c r="AG44" s="168"/>
      <c r="AH44" s="68"/>
      <c r="AK44" s="40"/>
    </row>
    <row r="45" spans="1:38" s="8" customFormat="1" ht="36.75" customHeight="1">
      <c r="A45" s="238"/>
      <c r="B45" s="239"/>
      <c r="C45" s="240"/>
      <c r="D45" s="167" t="s">
        <v>36</v>
      </c>
      <c r="E45" s="105"/>
      <c r="F45" s="106">
        <v>1.2418400000000001</v>
      </c>
      <c r="G45" s="255">
        <f>L41</f>
        <v>48146</v>
      </c>
      <c r="H45" s="256"/>
      <c r="I45" s="257"/>
      <c r="J45" s="244">
        <f>G45*F45</f>
        <v>59789.628640000003</v>
      </c>
      <c r="K45" s="245"/>
      <c r="L45" s="252"/>
      <c r="M45" s="253"/>
      <c r="N45" s="253"/>
      <c r="O45" s="253"/>
      <c r="P45" s="253"/>
      <c r="Q45" s="253"/>
      <c r="R45" s="253"/>
      <c r="S45" s="253"/>
      <c r="T45" s="253"/>
      <c r="U45" s="254"/>
      <c r="V45" s="168"/>
      <c r="W45" s="168"/>
      <c r="X45" s="168"/>
      <c r="Y45" s="168"/>
      <c r="Z45" s="168"/>
      <c r="AA45" s="101"/>
      <c r="AB45" s="168"/>
      <c r="AC45" s="101"/>
      <c r="AD45" s="168"/>
      <c r="AE45" s="168"/>
      <c r="AF45" s="101" t="s">
        <v>40</v>
      </c>
      <c r="AG45" s="168"/>
      <c r="AH45" s="97"/>
      <c r="AK45" s="40"/>
    </row>
    <row r="46" spans="1:38" s="9" customFormat="1" ht="59.25" customHeight="1">
      <c r="A46" s="259" t="s">
        <v>41</v>
      </c>
      <c r="B46" s="260"/>
      <c r="C46" s="260"/>
      <c r="D46" s="261"/>
      <c r="E46" s="99"/>
      <c r="F46" s="107">
        <v>12.67</v>
      </c>
      <c r="G46" s="259">
        <f>D41</f>
        <v>6665</v>
      </c>
      <c r="H46" s="260"/>
      <c r="I46" s="261"/>
      <c r="J46" s="262">
        <f>G46*F46</f>
        <v>84445.55</v>
      </c>
      <c r="K46" s="263"/>
      <c r="L46" s="264">
        <f>J46</f>
        <v>84445.55</v>
      </c>
      <c r="M46" s="265"/>
      <c r="N46" s="265"/>
      <c r="O46" s="265"/>
      <c r="P46" s="265"/>
      <c r="Q46" s="265"/>
      <c r="R46" s="265"/>
      <c r="S46" s="265"/>
      <c r="T46" s="265"/>
      <c r="U46" s="266"/>
      <c r="V46" s="168"/>
      <c r="W46" s="168"/>
      <c r="X46" s="168"/>
      <c r="Y46" s="168"/>
      <c r="Z46" s="168"/>
      <c r="AA46" s="101"/>
      <c r="AB46" s="168"/>
      <c r="AC46" s="101"/>
      <c r="AD46" s="168"/>
      <c r="AE46" s="168"/>
      <c r="AF46" s="101" t="s">
        <v>42</v>
      </c>
      <c r="AG46" s="168"/>
      <c r="AH46" s="168"/>
      <c r="AK46" s="41"/>
    </row>
    <row r="47" spans="1:38" s="9" customFormat="1" ht="69.75" customHeight="1">
      <c r="A47" s="267" t="s">
        <v>43</v>
      </c>
      <c r="B47" s="268"/>
      <c r="C47" s="268"/>
      <c r="D47" s="269"/>
      <c r="E47" s="99"/>
      <c r="F47" s="108">
        <v>9.6969999999999992</v>
      </c>
      <c r="G47" s="270">
        <f>U41</f>
        <v>4823</v>
      </c>
      <c r="H47" s="271"/>
      <c r="I47" s="272"/>
      <c r="J47" s="270">
        <f>G47*F47</f>
        <v>46768.630999999994</v>
      </c>
      <c r="K47" s="272"/>
      <c r="L47" s="273">
        <f>J47</f>
        <v>46768.630999999994</v>
      </c>
      <c r="M47" s="274"/>
      <c r="N47" s="274"/>
      <c r="O47" s="274"/>
      <c r="P47" s="274"/>
      <c r="Q47" s="274"/>
      <c r="R47" s="274"/>
      <c r="S47" s="274"/>
      <c r="T47" s="274"/>
      <c r="U47" s="275"/>
      <c r="V47" s="168"/>
      <c r="W47" s="168"/>
      <c r="X47" s="168"/>
      <c r="Y47" s="168"/>
      <c r="Z47" s="168"/>
      <c r="AA47" s="101"/>
      <c r="AB47" s="168"/>
      <c r="AC47" s="101"/>
      <c r="AD47" s="79"/>
      <c r="AE47" s="168"/>
      <c r="AF47" s="101"/>
      <c r="AG47" s="168"/>
      <c r="AH47" s="168"/>
      <c r="AI47" s="110"/>
      <c r="AK47" s="41"/>
    </row>
    <row r="48" spans="1:38" s="7" customFormat="1" ht="27" customHeight="1">
      <c r="A48" s="77"/>
      <c r="B48" s="77"/>
      <c r="C48" s="77"/>
      <c r="D48" s="77"/>
      <c r="E48" s="78"/>
      <c r="F48" s="78"/>
      <c r="G48" s="77"/>
      <c r="H48" s="77"/>
      <c r="I48" s="77"/>
      <c r="J48" s="77"/>
      <c r="K48" s="77"/>
      <c r="L48" s="66"/>
      <c r="M48" s="66"/>
      <c r="N48" s="66"/>
      <c r="O48" s="66"/>
      <c r="P48" s="66"/>
      <c r="Q48" s="66"/>
      <c r="R48" s="79"/>
      <c r="S48" s="79"/>
      <c r="T48" s="79"/>
      <c r="U48" s="79"/>
      <c r="V48" s="109"/>
      <c r="W48" s="79"/>
      <c r="X48" s="79"/>
      <c r="Y48" s="79"/>
      <c r="Z48" s="79"/>
      <c r="AA48" s="77"/>
      <c r="AB48" s="79"/>
      <c r="AC48" s="77"/>
      <c r="AD48" s="65"/>
      <c r="AE48" s="79"/>
      <c r="AF48" s="77"/>
      <c r="AG48" s="79"/>
      <c r="AH48" s="168"/>
      <c r="AK48" s="39"/>
    </row>
    <row r="49" spans="1:37" s="6" customFormat="1" ht="18.7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8"/>
      <c r="AE49" s="65"/>
      <c r="AF49" s="65"/>
      <c r="AG49" s="65"/>
      <c r="AH49" s="168"/>
      <c r="AK49" s="3"/>
    </row>
    <row r="50" spans="1:37" s="6" customFormat="1">
      <c r="AD50" s="164"/>
      <c r="AH50" s="11"/>
      <c r="AK50" s="3"/>
    </row>
    <row r="51" spans="1:37" ht="18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B51" s="164"/>
      <c r="AC51" s="164"/>
      <c r="AD51" s="164"/>
      <c r="AE51" s="164"/>
      <c r="AF51" s="164"/>
      <c r="AG51" s="164"/>
      <c r="AH51" s="3"/>
      <c r="AI51" s="164"/>
      <c r="AJ51" s="164"/>
      <c r="AK51" s="55"/>
    </row>
    <row r="52" spans="1:37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B52" s="164"/>
      <c r="AC52" s="164"/>
      <c r="AD52" s="164"/>
      <c r="AE52" s="164"/>
      <c r="AF52" s="164"/>
      <c r="AG52" s="164"/>
      <c r="AH52" s="6"/>
      <c r="AI52" s="164"/>
      <c r="AJ52" s="164"/>
      <c r="AK52" s="55"/>
    </row>
    <row r="53" spans="1:37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55"/>
    </row>
    <row r="54" spans="1:37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55"/>
    </row>
    <row r="55" spans="1:37" ht="39" customHeight="1">
      <c r="A55" s="164"/>
      <c r="B55" s="258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  <c r="AA55" s="258"/>
      <c r="AB55" s="164"/>
      <c r="AC55" s="164"/>
      <c r="AD55" s="164"/>
      <c r="AE55" s="164"/>
      <c r="AF55" s="164"/>
      <c r="AG55" s="164"/>
      <c r="AH55" s="164"/>
      <c r="AI55" s="164"/>
      <c r="AJ55" s="164"/>
      <c r="AK55" s="55"/>
    </row>
    <row r="56" spans="1:37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55"/>
    </row>
    <row r="57" spans="1:37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55"/>
    </row>
    <row r="58" spans="1:37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55"/>
    </row>
    <row r="59" spans="1:37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55"/>
    </row>
    <row r="60" spans="1:37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55"/>
    </row>
    <row r="61" spans="1:37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55"/>
    </row>
    <row r="62" spans="1:37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55"/>
    </row>
    <row r="63" spans="1:37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55"/>
    </row>
    <row r="64" spans="1:37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55"/>
    </row>
    <row r="65" spans="37:37">
      <c r="AK65" s="55"/>
    </row>
    <row r="66" spans="37:37">
      <c r="AK66" s="55"/>
    </row>
    <row r="67" spans="37:37">
      <c r="AK67" s="55"/>
    </row>
    <row r="68" spans="37:37">
      <c r="AK68" s="55"/>
    </row>
    <row r="69" spans="37:37">
      <c r="AK69" s="55"/>
    </row>
    <row r="70" spans="37:37">
      <c r="AK70" s="55"/>
    </row>
    <row r="71" spans="37:37">
      <c r="AK71" s="55"/>
    </row>
    <row r="72" spans="37:37">
      <c r="AK72" s="55"/>
    </row>
    <row r="73" spans="37:37">
      <c r="AK73" s="55"/>
    </row>
    <row r="74" spans="37:37">
      <c r="AK74" s="55"/>
    </row>
    <row r="75" spans="37:37">
      <c r="AK75" s="55"/>
    </row>
    <row r="76" spans="37:37">
      <c r="AK76" s="55"/>
    </row>
    <row r="77" spans="37:37">
      <c r="AK77" s="55"/>
    </row>
    <row r="78" spans="37:37">
      <c r="AK78" s="55"/>
    </row>
    <row r="79" spans="37:37">
      <c r="AK79" s="55"/>
    </row>
    <row r="80" spans="37:37">
      <c r="AK80" s="55"/>
    </row>
    <row r="81" spans="37:37">
      <c r="AK81" s="55"/>
    </row>
    <row r="82" spans="37:37">
      <c r="AK82" s="55"/>
    </row>
    <row r="83" spans="37:37">
      <c r="AK83" s="55"/>
    </row>
    <row r="84" spans="37:37">
      <c r="AK84" s="55"/>
    </row>
    <row r="85" spans="37:37">
      <c r="AK85" s="55"/>
    </row>
    <row r="86" spans="37:37">
      <c r="AK86" s="55"/>
    </row>
    <row r="87" spans="37:37">
      <c r="AK87" s="55"/>
    </row>
    <row r="88" spans="37:37">
      <c r="AK88" s="55"/>
    </row>
    <row r="89" spans="37:37">
      <c r="AK89" s="55"/>
    </row>
    <row r="90" spans="37:37">
      <c r="AK90" s="55"/>
    </row>
    <row r="91" spans="37:37">
      <c r="AK91" s="55"/>
    </row>
    <row r="92" spans="37:37">
      <c r="AK92" s="55"/>
    </row>
    <row r="93" spans="37:37">
      <c r="AK93" s="55"/>
    </row>
    <row r="94" spans="37:37">
      <c r="AK94" s="55"/>
    </row>
    <row r="95" spans="37:37">
      <c r="AK95" s="55"/>
    </row>
    <row r="96" spans="37:37">
      <c r="AK96" s="55"/>
    </row>
    <row r="97" spans="37:37">
      <c r="AK97" s="55"/>
    </row>
    <row r="98" spans="37:37">
      <c r="AK98" s="55"/>
    </row>
    <row r="99" spans="37:37">
      <c r="AK99" s="55"/>
    </row>
    <row r="100" spans="37:37">
      <c r="AK100" s="55"/>
    </row>
    <row r="101" spans="37:37">
      <c r="AK101" s="55"/>
    </row>
    <row r="102" spans="37:37">
      <c r="AK102" s="55"/>
    </row>
    <row r="103" spans="37:37">
      <c r="AK103" s="55"/>
    </row>
    <row r="104" spans="37:37">
      <c r="AK104" s="55"/>
    </row>
    <row r="105" spans="37:37">
      <c r="AK105" s="55"/>
    </row>
    <row r="106" spans="37:37">
      <c r="AK106" s="55"/>
    </row>
    <row r="107" spans="37:37">
      <c r="AK107" s="55"/>
    </row>
    <row r="108" spans="37:37">
      <c r="AK108" s="55"/>
    </row>
    <row r="109" spans="37:37">
      <c r="AK109" s="55"/>
    </row>
    <row r="110" spans="37:37">
      <c r="AK110" s="55"/>
    </row>
    <row r="111" spans="37:37">
      <c r="AK111" s="55"/>
    </row>
    <row r="112" spans="37:37">
      <c r="AK112" s="55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8"/>
  <sheetViews>
    <sheetView zoomScale="80" zoomScaleNormal="80" zoomScaleSheetLayoutView="70" workbookViewId="0">
      <pane xSplit="1" ySplit="3" topLeftCell="B24" activePane="bottomRight" state="frozen"/>
      <selection pane="bottomRight" activeCell="B30" sqref="B3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12" customWidth="1"/>
    <col min="2" max="3" width="9.5703125" style="13" customWidth="1"/>
    <col min="4" max="4" width="9.85546875" style="13" customWidth="1"/>
    <col min="5" max="5" width="8.85546875" style="13" customWidth="1"/>
    <col min="6" max="6" width="11.42578125" style="13" customWidth="1"/>
    <col min="7" max="7" width="8.85546875" style="13" customWidth="1"/>
    <col min="8" max="9" width="9.85546875" style="13" customWidth="1"/>
    <col min="10" max="10" width="16.140625" style="13" customWidth="1"/>
    <col min="11" max="11" width="17.28515625" style="13" customWidth="1"/>
    <col min="12" max="12" width="14.28515625" style="13" customWidth="1"/>
    <col min="13" max="13" width="16.28515625" style="13" customWidth="1"/>
    <col min="14" max="14" width="14.140625" style="13" customWidth="1"/>
    <col min="15" max="15" width="14.42578125" style="13" customWidth="1"/>
    <col min="16" max="16" width="15.85546875" style="13" customWidth="1"/>
    <col min="17" max="17" width="11.28515625" style="13" customWidth="1"/>
    <col min="18" max="18" width="8.42578125" style="13" customWidth="1"/>
    <col min="19" max="19" width="9.85546875" style="13" customWidth="1"/>
    <col min="20" max="20" width="11.28515625" style="13" customWidth="1"/>
    <col min="21" max="21" width="8.42578125" style="13" customWidth="1"/>
    <col min="22" max="22" width="9.85546875" style="13" customWidth="1"/>
    <col min="23" max="23" width="11.28515625" style="13" customWidth="1"/>
    <col min="24" max="24" width="8.42578125" style="13" customWidth="1"/>
    <col min="25" max="25" width="9.85546875" style="13" customWidth="1"/>
    <col min="26" max="26" width="11.28515625" style="13" customWidth="1"/>
    <col min="27" max="27" width="8.42578125" style="13" customWidth="1"/>
    <col min="28" max="28" width="9.85546875" style="13" customWidth="1"/>
    <col min="29" max="29" width="15.28515625" style="14" customWidth="1"/>
    <col min="30" max="30" width="20.140625" style="13" customWidth="1"/>
    <col min="31" max="31" width="24.5703125" style="13" customWidth="1"/>
    <col min="32" max="16384" width="11.42578125" style="13"/>
  </cols>
  <sheetData>
    <row r="1" spans="1:31" ht="62.25" customHeight="1" thickBot="1">
      <c r="A1" s="276"/>
      <c r="B1" s="276"/>
      <c r="C1" s="277"/>
      <c r="D1" s="278" t="s">
        <v>44</v>
      </c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80"/>
      <c r="AA1" s="281"/>
      <c r="AB1" s="282"/>
      <c r="AC1" s="282"/>
    </row>
    <row r="2" spans="1:31" ht="41.25" customHeight="1" thickBot="1">
      <c r="A2" s="42"/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6"/>
      <c r="Q2" s="283">
        <v>803</v>
      </c>
      <c r="R2" s="284"/>
      <c r="S2" s="284"/>
      <c r="T2" s="284">
        <v>519</v>
      </c>
      <c r="U2" s="284"/>
      <c r="V2" s="284"/>
      <c r="W2" s="284">
        <v>800</v>
      </c>
      <c r="X2" s="284"/>
      <c r="Y2" s="284"/>
      <c r="Z2" s="284">
        <v>802</v>
      </c>
      <c r="AA2" s="284"/>
      <c r="AB2" s="287"/>
      <c r="AC2" s="15"/>
    </row>
    <row r="3" spans="1:31" ht="50.25" customHeight="1" thickBot="1">
      <c r="B3" s="20" t="s">
        <v>45</v>
      </c>
      <c r="C3" s="21" t="s">
        <v>46</v>
      </c>
      <c r="D3" s="20" t="s">
        <v>47</v>
      </c>
      <c r="E3" s="21" t="s">
        <v>48</v>
      </c>
      <c r="F3" s="20" t="s">
        <v>49</v>
      </c>
      <c r="G3" s="21" t="s">
        <v>50</v>
      </c>
      <c r="H3" s="20" t="s">
        <v>51</v>
      </c>
      <c r="I3" s="21" t="s">
        <v>52</v>
      </c>
      <c r="J3" s="22" t="s">
        <v>53</v>
      </c>
      <c r="K3" s="22" t="s">
        <v>54</v>
      </c>
      <c r="L3" s="22" t="s">
        <v>55</v>
      </c>
      <c r="M3" s="22" t="s">
        <v>56</v>
      </c>
      <c r="N3" s="22" t="s">
        <v>57</v>
      </c>
      <c r="O3" s="23" t="s">
        <v>58</v>
      </c>
      <c r="P3" s="23" t="s">
        <v>59</v>
      </c>
      <c r="Q3" s="30" t="s">
        <v>60</v>
      </c>
      <c r="R3" s="30" t="s">
        <v>61</v>
      </c>
      <c r="S3" s="30" t="s">
        <v>62</v>
      </c>
      <c r="T3" s="31" t="s">
        <v>63</v>
      </c>
      <c r="U3" s="31" t="s">
        <v>61</v>
      </c>
      <c r="V3" s="31" t="s">
        <v>62</v>
      </c>
      <c r="W3" s="31" t="s">
        <v>64</v>
      </c>
      <c r="X3" s="31" t="s">
        <v>61</v>
      </c>
      <c r="Y3" s="31" t="s">
        <v>62</v>
      </c>
      <c r="Z3" s="31" t="s">
        <v>65</v>
      </c>
      <c r="AA3" s="31" t="s">
        <v>61</v>
      </c>
      <c r="AB3" s="32" t="s">
        <v>62</v>
      </c>
      <c r="AC3" s="46" t="s">
        <v>66</v>
      </c>
      <c r="AD3" s="45" t="s">
        <v>67</v>
      </c>
      <c r="AE3" s="44" t="s">
        <v>68</v>
      </c>
    </row>
    <row r="4" spans="1:31" ht="32.25" customHeight="1">
      <c r="A4" s="17">
        <v>44280</v>
      </c>
      <c r="B4" s="18">
        <v>66</v>
      </c>
      <c r="C4" s="16">
        <f t="shared" ref="C4:C20" si="0">IF(AC4&gt;0,((B4-R4)+(S4-B5)),IF(B5=0, ,(B4-B5)))</f>
        <v>1</v>
      </c>
      <c r="D4" s="18">
        <v>69</v>
      </c>
      <c r="E4" s="16">
        <f t="shared" ref="E4:E29" si="1">IF(AC4&gt;0,((D4-U4)+(V4-D5)),IF(D5=0, ,(D4-D5)))</f>
        <v>2</v>
      </c>
      <c r="F4" s="18">
        <v>64</v>
      </c>
      <c r="G4" s="16">
        <f t="shared" ref="G4:G29" si="2">IF(AC4&gt;0,((F4-X4)+(Y4-F5)),IF(F5=0, ,(F4-F5)))</f>
        <v>1</v>
      </c>
      <c r="H4" s="18">
        <v>66</v>
      </c>
      <c r="I4" s="16">
        <f t="shared" ref="I4:I12" si="3">IF(AC4&gt;0,((H4-AA4)+(AB4-H5)),IF(H5=0, ,(H4-H5)))</f>
        <v>1</v>
      </c>
      <c r="J4" s="16">
        <f t="shared" ref="J4:J12" si="4">B4+D4+F4+H4</f>
        <v>265</v>
      </c>
      <c r="K4" s="16">
        <f t="shared" ref="K4:K12" si="5">J4/4</f>
        <v>66.25</v>
      </c>
      <c r="L4" s="16">
        <f t="shared" ref="L4:L12" si="6">IF(AC4&gt;0,((K4-AD4)+(AE4-K5)),IF(K5=0, ,(K4-K5)))</f>
        <v>1.25</v>
      </c>
      <c r="M4" s="16">
        <f t="shared" ref="M4:M42" si="7">7000*4</f>
        <v>28000</v>
      </c>
      <c r="N4" s="16">
        <f t="shared" ref="N4:N12" si="8">L4*M4/100</f>
        <v>350</v>
      </c>
      <c r="O4" s="16">
        <f t="shared" ref="O4:O12" si="9">N4*0.53</f>
        <v>185.5</v>
      </c>
      <c r="P4" s="19">
        <f t="shared" ref="P4:P12" si="10">O4*9.697</f>
        <v>1798.7934999999998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>
        <f>Q4+T4+W4+Z4</f>
        <v>0</v>
      </c>
      <c r="AD4" s="43">
        <f t="shared" ref="AD4:AD9" si="11">(R4+U4+X4+AA4)/4</f>
        <v>0</v>
      </c>
      <c r="AE4" s="43">
        <f t="shared" ref="AE4:AE9" si="12">(S4+V4+Y4+AB4)/4</f>
        <v>0</v>
      </c>
    </row>
    <row r="5" spans="1:31" ht="32.25" customHeight="1">
      <c r="A5" s="17">
        <f>(A4+1)</f>
        <v>44281</v>
      </c>
      <c r="B5" s="18">
        <v>65</v>
      </c>
      <c r="C5" s="16">
        <f t="shared" si="0"/>
        <v>3</v>
      </c>
      <c r="D5" s="18">
        <v>67</v>
      </c>
      <c r="E5" s="16">
        <f t="shared" si="1"/>
        <v>1</v>
      </c>
      <c r="F5" s="18">
        <v>63</v>
      </c>
      <c r="G5" s="16">
        <f t="shared" si="2"/>
        <v>2</v>
      </c>
      <c r="H5" s="18">
        <v>65</v>
      </c>
      <c r="I5" s="16">
        <f t="shared" si="3"/>
        <v>2</v>
      </c>
      <c r="J5" s="16">
        <f t="shared" si="4"/>
        <v>260</v>
      </c>
      <c r="K5" s="16">
        <f t="shared" si="5"/>
        <v>65</v>
      </c>
      <c r="L5" s="16">
        <f t="shared" si="6"/>
        <v>2</v>
      </c>
      <c r="M5" s="16">
        <f t="shared" si="7"/>
        <v>28000</v>
      </c>
      <c r="N5" s="16">
        <f t="shared" si="8"/>
        <v>560</v>
      </c>
      <c r="O5" s="16">
        <f t="shared" si="9"/>
        <v>296.8</v>
      </c>
      <c r="P5" s="19">
        <f t="shared" si="10"/>
        <v>2878.0695999999998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>
        <f t="shared" ref="AC5:AC42" si="13">Q5+T5+W5+Z5</f>
        <v>0</v>
      </c>
      <c r="AD5" s="43">
        <f t="shared" si="11"/>
        <v>0</v>
      </c>
      <c r="AE5" s="43">
        <f t="shared" si="12"/>
        <v>0</v>
      </c>
    </row>
    <row r="6" spans="1:31" ht="32.25" customHeight="1">
      <c r="A6" s="17">
        <f t="shared" ref="A6:A42" si="14">(A5+1)</f>
        <v>44282</v>
      </c>
      <c r="B6" s="18">
        <v>62</v>
      </c>
      <c r="C6" s="16">
        <f t="shared" si="0"/>
        <v>1</v>
      </c>
      <c r="D6" s="18">
        <v>66</v>
      </c>
      <c r="E6" s="16">
        <f t="shared" si="1"/>
        <v>2</v>
      </c>
      <c r="F6" s="18">
        <v>61</v>
      </c>
      <c r="G6" s="16">
        <f t="shared" si="2"/>
        <v>1</v>
      </c>
      <c r="H6" s="18">
        <v>63</v>
      </c>
      <c r="I6" s="16">
        <f t="shared" si="3"/>
        <v>2</v>
      </c>
      <c r="J6" s="16">
        <f t="shared" si="4"/>
        <v>252</v>
      </c>
      <c r="K6" s="16">
        <f t="shared" si="5"/>
        <v>63</v>
      </c>
      <c r="L6" s="16">
        <f t="shared" si="6"/>
        <v>1.5</v>
      </c>
      <c r="M6" s="16">
        <f t="shared" si="7"/>
        <v>28000</v>
      </c>
      <c r="N6" s="16">
        <f t="shared" si="8"/>
        <v>420</v>
      </c>
      <c r="O6" s="16">
        <f t="shared" si="9"/>
        <v>222.60000000000002</v>
      </c>
      <c r="P6" s="19">
        <f t="shared" si="10"/>
        <v>2158.5522000000001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>
        <f t="shared" si="13"/>
        <v>0</v>
      </c>
      <c r="AD6" s="43">
        <f t="shared" si="11"/>
        <v>0</v>
      </c>
      <c r="AE6" s="43">
        <f t="shared" si="12"/>
        <v>0</v>
      </c>
    </row>
    <row r="7" spans="1:31" ht="32.25" customHeight="1">
      <c r="A7" s="17">
        <f t="shared" si="14"/>
        <v>44283</v>
      </c>
      <c r="B7" s="18">
        <v>61</v>
      </c>
      <c r="C7" s="16">
        <f t="shared" si="0"/>
        <v>1</v>
      </c>
      <c r="D7" s="18">
        <v>64</v>
      </c>
      <c r="E7" s="16">
        <f t="shared" si="1"/>
        <v>3</v>
      </c>
      <c r="F7" s="18">
        <v>60</v>
      </c>
      <c r="G7" s="16">
        <f t="shared" si="2"/>
        <v>0</v>
      </c>
      <c r="H7" s="18">
        <v>61</v>
      </c>
      <c r="I7" s="16">
        <f t="shared" si="3"/>
        <v>1</v>
      </c>
      <c r="J7" s="16">
        <f t="shared" si="4"/>
        <v>246</v>
      </c>
      <c r="K7" s="16">
        <f t="shared" si="5"/>
        <v>61.5</v>
      </c>
      <c r="L7" s="16">
        <f t="shared" si="6"/>
        <v>1.25</v>
      </c>
      <c r="M7" s="16">
        <f t="shared" si="7"/>
        <v>28000</v>
      </c>
      <c r="N7" s="16">
        <f t="shared" si="8"/>
        <v>350</v>
      </c>
      <c r="O7" s="16">
        <f t="shared" si="9"/>
        <v>185.5</v>
      </c>
      <c r="P7" s="19">
        <f t="shared" si="10"/>
        <v>1798.7934999999998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>
        <f t="shared" si="13"/>
        <v>0</v>
      </c>
      <c r="AD7" s="43">
        <f t="shared" si="11"/>
        <v>0</v>
      </c>
      <c r="AE7" s="43">
        <f t="shared" si="12"/>
        <v>0</v>
      </c>
    </row>
    <row r="8" spans="1:31" ht="32.25" customHeight="1">
      <c r="A8" s="17">
        <f t="shared" si="14"/>
        <v>44284</v>
      </c>
      <c r="B8" s="18">
        <v>60</v>
      </c>
      <c r="C8" s="16">
        <f t="shared" si="0"/>
        <v>2</v>
      </c>
      <c r="D8" s="18">
        <v>61</v>
      </c>
      <c r="E8" s="16">
        <f t="shared" si="1"/>
        <v>1</v>
      </c>
      <c r="F8" s="18">
        <v>60</v>
      </c>
      <c r="G8" s="16">
        <f t="shared" si="2"/>
        <v>5</v>
      </c>
      <c r="H8" s="18">
        <v>60</v>
      </c>
      <c r="I8" s="16">
        <f t="shared" si="3"/>
        <v>1</v>
      </c>
      <c r="J8" s="16">
        <f t="shared" si="4"/>
        <v>241</v>
      </c>
      <c r="K8" s="16">
        <f t="shared" si="5"/>
        <v>60.25</v>
      </c>
      <c r="L8" s="16">
        <f t="shared" si="6"/>
        <v>2.25</v>
      </c>
      <c r="M8" s="16">
        <f t="shared" si="7"/>
        <v>28000</v>
      </c>
      <c r="N8" s="16">
        <f t="shared" si="8"/>
        <v>630</v>
      </c>
      <c r="O8" s="16">
        <f t="shared" si="9"/>
        <v>333.90000000000003</v>
      </c>
      <c r="P8" s="19">
        <f t="shared" si="10"/>
        <v>3237.8283000000001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>
        <f t="shared" si="13"/>
        <v>0</v>
      </c>
      <c r="AD8" s="43">
        <f t="shared" si="11"/>
        <v>0</v>
      </c>
      <c r="AE8" s="43">
        <f t="shared" si="12"/>
        <v>0</v>
      </c>
    </row>
    <row r="9" spans="1:31" ht="32.25" customHeight="1">
      <c r="A9" s="17">
        <f t="shared" si="14"/>
        <v>44285</v>
      </c>
      <c r="B9" s="18">
        <v>58</v>
      </c>
      <c r="C9" s="16">
        <f t="shared" si="0"/>
        <v>4</v>
      </c>
      <c r="D9" s="18">
        <v>60</v>
      </c>
      <c r="E9" s="16">
        <f t="shared" si="1"/>
        <v>0</v>
      </c>
      <c r="F9" s="18">
        <v>55</v>
      </c>
      <c r="G9" s="16">
        <f t="shared" si="2"/>
        <v>4</v>
      </c>
      <c r="H9" s="18">
        <v>59</v>
      </c>
      <c r="I9" s="16">
        <f t="shared" si="3"/>
        <v>4</v>
      </c>
      <c r="J9" s="16">
        <f t="shared" si="4"/>
        <v>232</v>
      </c>
      <c r="K9" s="16">
        <f t="shared" si="5"/>
        <v>58</v>
      </c>
      <c r="L9" s="16">
        <f t="shared" si="6"/>
        <v>3</v>
      </c>
      <c r="M9" s="16">
        <f t="shared" si="7"/>
        <v>28000</v>
      </c>
      <c r="N9" s="16">
        <f t="shared" si="8"/>
        <v>840</v>
      </c>
      <c r="O9" s="16">
        <f t="shared" si="9"/>
        <v>445.20000000000005</v>
      </c>
      <c r="P9" s="19">
        <f t="shared" si="10"/>
        <v>4317.1044000000002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>
        <f t="shared" si="13"/>
        <v>0</v>
      </c>
      <c r="AD9" s="43">
        <f t="shared" si="11"/>
        <v>0</v>
      </c>
      <c r="AE9" s="43">
        <f t="shared" si="12"/>
        <v>0</v>
      </c>
    </row>
    <row r="10" spans="1:31" ht="32.25" customHeight="1">
      <c r="A10" s="17">
        <f t="shared" si="14"/>
        <v>44286</v>
      </c>
      <c r="B10" s="18">
        <v>54</v>
      </c>
      <c r="C10" s="16">
        <f t="shared" si="0"/>
        <v>8</v>
      </c>
      <c r="D10" s="18">
        <v>60</v>
      </c>
      <c r="E10" s="16">
        <f t="shared" si="1"/>
        <v>5</v>
      </c>
      <c r="F10" s="18">
        <v>51</v>
      </c>
      <c r="G10" s="16">
        <f t="shared" si="2"/>
        <v>17</v>
      </c>
      <c r="H10" s="18">
        <v>55</v>
      </c>
      <c r="I10" s="16">
        <v>2</v>
      </c>
      <c r="J10" s="16">
        <f t="shared" si="4"/>
        <v>220</v>
      </c>
      <c r="K10" s="16">
        <f t="shared" si="5"/>
        <v>55</v>
      </c>
      <c r="L10" s="16">
        <f t="shared" si="6"/>
        <v>2.25</v>
      </c>
      <c r="M10" s="16">
        <f t="shared" si="7"/>
        <v>28000</v>
      </c>
      <c r="N10" s="16">
        <f t="shared" si="8"/>
        <v>630</v>
      </c>
      <c r="O10" s="16">
        <f t="shared" si="9"/>
        <v>333.90000000000003</v>
      </c>
      <c r="P10" s="19">
        <f t="shared" si="10"/>
        <v>3237.8283000000001</v>
      </c>
      <c r="Q10" s="16">
        <v>2225</v>
      </c>
      <c r="R10" s="16">
        <v>50</v>
      </c>
      <c r="S10" s="16">
        <v>80</v>
      </c>
      <c r="T10" s="16">
        <v>2057</v>
      </c>
      <c r="U10" s="16">
        <v>57</v>
      </c>
      <c r="V10" s="16">
        <v>80</v>
      </c>
      <c r="W10" s="16">
        <v>2927</v>
      </c>
      <c r="X10" s="16">
        <v>50</v>
      </c>
      <c r="Y10" s="16">
        <v>85</v>
      </c>
      <c r="Z10" s="16"/>
      <c r="AA10" s="16"/>
      <c r="AB10" s="16"/>
      <c r="AC10" s="16">
        <f t="shared" si="13"/>
        <v>7209</v>
      </c>
      <c r="AD10" s="43">
        <f>(R10+U10+X10+AA10)/4</f>
        <v>39.25</v>
      </c>
      <c r="AE10" s="43">
        <f>(S10+V10+Y10+AB10)/4</f>
        <v>61.25</v>
      </c>
    </row>
    <row r="11" spans="1:31" ht="32.25" customHeight="1">
      <c r="A11" s="17">
        <f t="shared" si="14"/>
        <v>44287</v>
      </c>
      <c r="B11" s="18">
        <v>76</v>
      </c>
      <c r="C11" s="16">
        <f t="shared" si="0"/>
        <v>1</v>
      </c>
      <c r="D11" s="18">
        <v>78</v>
      </c>
      <c r="E11" s="16">
        <f t="shared" si="1"/>
        <v>1</v>
      </c>
      <c r="F11" s="18">
        <v>69</v>
      </c>
      <c r="G11" s="16">
        <f t="shared" si="2"/>
        <v>2</v>
      </c>
      <c r="H11" s="18">
        <v>76</v>
      </c>
      <c r="I11" s="16">
        <v>0</v>
      </c>
      <c r="J11" s="16">
        <f t="shared" si="4"/>
        <v>299</v>
      </c>
      <c r="K11" s="16">
        <f t="shared" si="5"/>
        <v>74.75</v>
      </c>
      <c r="L11" s="16">
        <f t="shared" si="6"/>
        <v>1.75</v>
      </c>
      <c r="M11" s="16">
        <f t="shared" si="7"/>
        <v>28000</v>
      </c>
      <c r="N11" s="16">
        <f t="shared" si="8"/>
        <v>490</v>
      </c>
      <c r="O11" s="16">
        <f t="shared" si="9"/>
        <v>259.7</v>
      </c>
      <c r="P11" s="19">
        <f>O11*9.32295</f>
        <v>2421.1701149999999</v>
      </c>
      <c r="Q11" s="16">
        <v>996</v>
      </c>
      <c r="R11" s="16">
        <v>76</v>
      </c>
      <c r="S11" s="16">
        <v>86</v>
      </c>
      <c r="T11" s="16">
        <v>981</v>
      </c>
      <c r="U11" s="16">
        <v>78</v>
      </c>
      <c r="V11" s="16">
        <v>85</v>
      </c>
      <c r="W11" s="16">
        <v>1221</v>
      </c>
      <c r="X11" s="16">
        <v>68</v>
      </c>
      <c r="Y11" s="16">
        <v>86</v>
      </c>
      <c r="Z11" s="16">
        <v>1220</v>
      </c>
      <c r="AA11" s="16">
        <v>75</v>
      </c>
      <c r="AB11" s="16">
        <v>86</v>
      </c>
      <c r="AC11" s="16">
        <f t="shared" si="13"/>
        <v>4418</v>
      </c>
      <c r="AD11" s="43">
        <f t="shared" ref="AD11:AE13" si="15">(R11+U11+X11+AA11)/4</f>
        <v>74.25</v>
      </c>
      <c r="AE11" s="43">
        <f t="shared" si="15"/>
        <v>85.75</v>
      </c>
    </row>
    <row r="12" spans="1:31" ht="32.25" customHeight="1">
      <c r="A12" s="17">
        <f t="shared" si="14"/>
        <v>44288</v>
      </c>
      <c r="B12" s="18">
        <v>85</v>
      </c>
      <c r="C12" s="16">
        <f t="shared" si="0"/>
        <v>1</v>
      </c>
      <c r="D12" s="18">
        <v>84</v>
      </c>
      <c r="E12" s="16">
        <f t="shared" si="1"/>
        <v>0</v>
      </c>
      <c r="F12" s="18">
        <v>85</v>
      </c>
      <c r="G12" s="16">
        <f t="shared" si="2"/>
        <v>2</v>
      </c>
      <c r="H12" s="18">
        <v>84</v>
      </c>
      <c r="I12" s="16">
        <f t="shared" ref="I12" si="16">IF(AC12&gt;0,((H12-AA12)+(AB12-H13)),IF(H13=0, ,(H12-H13)))</f>
        <v>1</v>
      </c>
      <c r="J12" s="16">
        <f t="shared" si="4"/>
        <v>338</v>
      </c>
      <c r="K12" s="16">
        <f t="shared" si="5"/>
        <v>84.5</v>
      </c>
      <c r="L12" s="16">
        <f t="shared" si="6"/>
        <v>1</v>
      </c>
      <c r="M12" s="16">
        <f t="shared" si="7"/>
        <v>28000</v>
      </c>
      <c r="N12" s="16">
        <f t="shared" si="8"/>
        <v>280</v>
      </c>
      <c r="O12" s="16">
        <f t="shared" si="9"/>
        <v>148.4</v>
      </c>
      <c r="P12" s="19">
        <f t="shared" ref="P12:P42" si="17">O12*9.32295</f>
        <v>1383.5257800000002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>
        <f t="shared" si="13"/>
        <v>0</v>
      </c>
      <c r="AD12" s="43">
        <f t="shared" si="15"/>
        <v>0</v>
      </c>
      <c r="AE12" s="43">
        <f t="shared" si="15"/>
        <v>0</v>
      </c>
    </row>
    <row r="13" spans="1:31" ht="32.25" customHeight="1">
      <c r="A13" s="17">
        <f t="shared" si="14"/>
        <v>44289</v>
      </c>
      <c r="B13" s="154">
        <v>84</v>
      </c>
      <c r="C13" s="16">
        <f t="shared" si="0"/>
        <v>1</v>
      </c>
      <c r="D13" s="154">
        <v>84</v>
      </c>
      <c r="E13" s="16">
        <f t="shared" si="1"/>
        <v>1</v>
      </c>
      <c r="F13" s="154">
        <v>83</v>
      </c>
      <c r="G13" s="16">
        <f t="shared" si="2"/>
        <v>1</v>
      </c>
      <c r="H13" s="154">
        <v>83</v>
      </c>
      <c r="I13" s="16">
        <v>0</v>
      </c>
      <c r="J13" s="16">
        <f t="shared" ref="J10:J42" si="18">B13+D13+F13+H13</f>
        <v>334</v>
      </c>
      <c r="K13" s="16">
        <f t="shared" ref="K10:K42" si="19">J13/4</f>
        <v>83.5</v>
      </c>
      <c r="L13" s="16">
        <f t="shared" ref="L10:M42" si="20">IF(AC13&gt;0,((K13-AD13)+(AE13-K14)),IF(K14=0, ,(K13-K14)))</f>
        <v>1</v>
      </c>
      <c r="M13" s="16">
        <f t="shared" si="7"/>
        <v>28000</v>
      </c>
      <c r="N13" s="16">
        <f t="shared" ref="N10:N42" si="21">L13*M13/100</f>
        <v>280</v>
      </c>
      <c r="O13" s="16">
        <f t="shared" ref="O10:O42" si="22">N13*0.53</f>
        <v>148.4</v>
      </c>
      <c r="P13" s="19">
        <f t="shared" si="17"/>
        <v>1383.5257800000002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>
        <f t="shared" si="13"/>
        <v>0</v>
      </c>
      <c r="AD13" s="43">
        <f t="shared" si="15"/>
        <v>0</v>
      </c>
      <c r="AE13" s="43">
        <f t="shared" si="15"/>
        <v>0</v>
      </c>
    </row>
    <row r="14" spans="1:31" ht="32.25" customHeight="1">
      <c r="A14" s="17">
        <f t="shared" si="14"/>
        <v>44290</v>
      </c>
      <c r="B14" s="154">
        <v>83</v>
      </c>
      <c r="C14" s="16">
        <f t="shared" si="0"/>
        <v>1</v>
      </c>
      <c r="D14" s="154">
        <v>83</v>
      </c>
      <c r="E14" s="16">
        <f t="shared" si="1"/>
        <v>0</v>
      </c>
      <c r="F14" s="154">
        <v>82</v>
      </c>
      <c r="G14" s="16">
        <f t="shared" si="2"/>
        <v>2</v>
      </c>
      <c r="H14" s="154">
        <v>82</v>
      </c>
      <c r="I14" s="16">
        <f t="shared" ref="I10:I42" si="23">IF(AC14&gt;0,((H14-AA14)+(AB14-H15)),IF(H15=0, ,(H14-H15)))</f>
        <v>1</v>
      </c>
      <c r="J14" s="16">
        <f t="shared" si="18"/>
        <v>330</v>
      </c>
      <c r="K14" s="16">
        <f t="shared" si="19"/>
        <v>82.5</v>
      </c>
      <c r="L14" s="16">
        <f t="shared" si="20"/>
        <v>1</v>
      </c>
      <c r="M14" s="16">
        <f t="shared" si="7"/>
        <v>28000</v>
      </c>
      <c r="N14" s="16">
        <f t="shared" si="21"/>
        <v>280</v>
      </c>
      <c r="O14" s="16">
        <f t="shared" si="22"/>
        <v>148.4</v>
      </c>
      <c r="P14" s="19">
        <f t="shared" si="17"/>
        <v>1383.5257800000002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>
        <f t="shared" si="13"/>
        <v>0</v>
      </c>
      <c r="AD14" s="43">
        <f t="shared" ref="AD14:AD42" si="24">(R14+U14+X14+AA14)/4</f>
        <v>0</v>
      </c>
      <c r="AE14" s="43">
        <f t="shared" ref="AE14:AE42" si="25">(S14+V14+Y14+AB14)/4</f>
        <v>0</v>
      </c>
    </row>
    <row r="15" spans="1:31" ht="32.25" customHeight="1">
      <c r="A15" s="17">
        <f t="shared" si="14"/>
        <v>44291</v>
      </c>
      <c r="B15" s="154">
        <v>82</v>
      </c>
      <c r="C15" s="16">
        <f t="shared" si="0"/>
        <v>2</v>
      </c>
      <c r="D15" s="154">
        <v>83</v>
      </c>
      <c r="E15" s="16">
        <f t="shared" si="1"/>
        <v>2</v>
      </c>
      <c r="F15" s="154">
        <v>80</v>
      </c>
      <c r="G15" s="16">
        <f t="shared" si="2"/>
        <v>2</v>
      </c>
      <c r="H15" s="154">
        <v>81</v>
      </c>
      <c r="I15" s="16">
        <v>0</v>
      </c>
      <c r="J15" s="16">
        <f t="shared" si="18"/>
        <v>326</v>
      </c>
      <c r="K15" s="16">
        <f t="shared" si="19"/>
        <v>81.5</v>
      </c>
      <c r="L15" s="16">
        <f t="shared" si="20"/>
        <v>2.25</v>
      </c>
      <c r="M15" s="16">
        <f t="shared" si="7"/>
        <v>28000</v>
      </c>
      <c r="N15" s="16">
        <f t="shared" si="21"/>
        <v>630</v>
      </c>
      <c r="O15" s="16">
        <f t="shared" si="22"/>
        <v>333.90000000000003</v>
      </c>
      <c r="P15" s="19">
        <f t="shared" si="17"/>
        <v>3112.9330050000003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>
        <f t="shared" si="13"/>
        <v>0</v>
      </c>
      <c r="AD15" s="43">
        <f t="shared" si="24"/>
        <v>0</v>
      </c>
      <c r="AE15" s="43">
        <f t="shared" si="25"/>
        <v>0</v>
      </c>
    </row>
    <row r="16" spans="1:31" ht="32.25" customHeight="1">
      <c r="A16" s="17">
        <f t="shared" si="14"/>
        <v>44292</v>
      </c>
      <c r="B16" s="18">
        <v>80</v>
      </c>
      <c r="C16" s="16">
        <f t="shared" si="0"/>
        <v>3</v>
      </c>
      <c r="D16" s="18">
        <v>81</v>
      </c>
      <c r="E16" s="16">
        <f t="shared" si="1"/>
        <v>1</v>
      </c>
      <c r="F16" s="18">
        <v>78</v>
      </c>
      <c r="G16" s="16">
        <f t="shared" si="2"/>
        <v>3</v>
      </c>
      <c r="H16" s="18">
        <v>78</v>
      </c>
      <c r="I16" s="16">
        <f t="shared" si="23"/>
        <v>1</v>
      </c>
      <c r="J16" s="16">
        <f t="shared" si="18"/>
        <v>317</v>
      </c>
      <c r="K16" s="16">
        <f t="shared" si="19"/>
        <v>79.25</v>
      </c>
      <c r="L16" s="16">
        <f t="shared" si="20"/>
        <v>2</v>
      </c>
      <c r="M16" s="16">
        <f t="shared" si="7"/>
        <v>28000</v>
      </c>
      <c r="N16" s="16">
        <f t="shared" si="21"/>
        <v>560</v>
      </c>
      <c r="O16" s="16">
        <f t="shared" si="22"/>
        <v>296.8</v>
      </c>
      <c r="P16" s="19">
        <f t="shared" si="17"/>
        <v>2767.0515600000003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>
        <f t="shared" si="13"/>
        <v>0</v>
      </c>
      <c r="AD16" s="43">
        <f t="shared" si="24"/>
        <v>0</v>
      </c>
      <c r="AE16" s="43">
        <f t="shared" si="25"/>
        <v>0</v>
      </c>
    </row>
    <row r="17" spans="1:31" ht="32.25" customHeight="1">
      <c r="A17" s="17">
        <f t="shared" si="14"/>
        <v>44293</v>
      </c>
      <c r="B17" s="18">
        <v>77</v>
      </c>
      <c r="C17" s="16">
        <f t="shared" si="0"/>
        <v>12</v>
      </c>
      <c r="D17" s="18">
        <v>80</v>
      </c>
      <c r="E17" s="16">
        <f t="shared" si="1"/>
        <v>-5</v>
      </c>
      <c r="F17" s="18">
        <v>75</v>
      </c>
      <c r="G17" s="16">
        <f t="shared" si="2"/>
        <v>0</v>
      </c>
      <c r="H17" s="18">
        <v>77</v>
      </c>
      <c r="I17" s="16">
        <f t="shared" si="23"/>
        <v>2</v>
      </c>
      <c r="J17" s="16">
        <f t="shared" si="18"/>
        <v>309</v>
      </c>
      <c r="K17" s="16">
        <f t="shared" si="19"/>
        <v>77.25</v>
      </c>
      <c r="L17" s="16">
        <f t="shared" si="20"/>
        <v>2.25</v>
      </c>
      <c r="M17" s="16">
        <f t="shared" si="7"/>
        <v>28000</v>
      </c>
      <c r="N17" s="16">
        <f t="shared" si="21"/>
        <v>630</v>
      </c>
      <c r="O17" s="16">
        <f t="shared" si="22"/>
        <v>333.90000000000003</v>
      </c>
      <c r="P17" s="19">
        <f t="shared" si="17"/>
        <v>3112.9330050000003</v>
      </c>
      <c r="Q17" s="16">
        <v>1634</v>
      </c>
      <c r="R17" s="16">
        <v>65</v>
      </c>
      <c r="S17" s="16">
        <v>85</v>
      </c>
      <c r="T17" s="16"/>
      <c r="U17" s="16"/>
      <c r="V17" s="16"/>
      <c r="W17" s="16">
        <v>1053</v>
      </c>
      <c r="X17" s="16">
        <v>75</v>
      </c>
      <c r="Y17" s="16">
        <v>85</v>
      </c>
      <c r="Z17" s="16">
        <v>1019</v>
      </c>
      <c r="AA17" s="16">
        <v>75</v>
      </c>
      <c r="AB17" s="16">
        <v>85</v>
      </c>
      <c r="AC17" s="16">
        <f t="shared" si="13"/>
        <v>3706</v>
      </c>
      <c r="AD17" s="43">
        <f t="shared" si="24"/>
        <v>53.75</v>
      </c>
      <c r="AE17" s="43">
        <f t="shared" si="25"/>
        <v>63.75</v>
      </c>
    </row>
    <row r="18" spans="1:31" ht="32.25" customHeight="1">
      <c r="A18" s="17">
        <f t="shared" si="14"/>
        <v>44294</v>
      </c>
      <c r="B18" s="18">
        <v>85</v>
      </c>
      <c r="C18" s="16">
        <f t="shared" si="0"/>
        <v>1</v>
      </c>
      <c r="D18" s="18">
        <v>85</v>
      </c>
      <c r="E18" s="16">
        <f t="shared" si="1"/>
        <v>0</v>
      </c>
      <c r="F18" s="18">
        <v>85</v>
      </c>
      <c r="G18" s="16">
        <f t="shared" si="2"/>
        <v>3</v>
      </c>
      <c r="H18" s="18">
        <v>85</v>
      </c>
      <c r="I18" s="16">
        <f t="shared" si="23"/>
        <v>1</v>
      </c>
      <c r="J18" s="16">
        <f t="shared" si="18"/>
        <v>340</v>
      </c>
      <c r="K18" s="16">
        <f t="shared" si="19"/>
        <v>85</v>
      </c>
      <c r="L18" s="16">
        <f t="shared" si="20"/>
        <v>1.25</v>
      </c>
      <c r="M18" s="16">
        <f t="shared" si="7"/>
        <v>28000</v>
      </c>
      <c r="N18" s="16">
        <f t="shared" si="21"/>
        <v>350</v>
      </c>
      <c r="O18" s="16">
        <f t="shared" si="22"/>
        <v>185.5</v>
      </c>
      <c r="P18" s="19">
        <f t="shared" si="17"/>
        <v>1729.4072250000002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>
        <f t="shared" si="13"/>
        <v>0</v>
      </c>
      <c r="AD18" s="43">
        <f t="shared" si="24"/>
        <v>0</v>
      </c>
      <c r="AE18" s="43">
        <f t="shared" si="25"/>
        <v>0</v>
      </c>
    </row>
    <row r="19" spans="1:31" ht="32.25" customHeight="1">
      <c r="A19" s="17">
        <f t="shared" si="14"/>
        <v>44295</v>
      </c>
      <c r="B19" s="18">
        <v>84</v>
      </c>
      <c r="C19" s="16">
        <f t="shared" si="0"/>
        <v>4</v>
      </c>
      <c r="D19" s="18">
        <v>85</v>
      </c>
      <c r="E19" s="16">
        <f t="shared" si="1"/>
        <v>5</v>
      </c>
      <c r="F19" s="18">
        <v>82</v>
      </c>
      <c r="G19" s="16">
        <f t="shared" si="2"/>
        <v>4</v>
      </c>
      <c r="H19" s="18">
        <v>84</v>
      </c>
      <c r="I19" s="16">
        <f t="shared" si="23"/>
        <v>3</v>
      </c>
      <c r="J19" s="16">
        <f t="shared" si="18"/>
        <v>335</v>
      </c>
      <c r="K19" s="16">
        <f t="shared" si="19"/>
        <v>83.75</v>
      </c>
      <c r="L19" s="16">
        <f t="shared" si="20"/>
        <v>4</v>
      </c>
      <c r="M19" s="16">
        <f t="shared" si="7"/>
        <v>28000</v>
      </c>
      <c r="N19" s="16">
        <f t="shared" si="21"/>
        <v>1120</v>
      </c>
      <c r="O19" s="16">
        <f t="shared" si="22"/>
        <v>593.6</v>
      </c>
      <c r="P19" s="19">
        <f t="shared" si="17"/>
        <v>5534.1031200000007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>
        <f t="shared" si="13"/>
        <v>0</v>
      </c>
      <c r="AD19" s="43">
        <f t="shared" si="24"/>
        <v>0</v>
      </c>
      <c r="AE19" s="43">
        <f t="shared" si="25"/>
        <v>0</v>
      </c>
    </row>
    <row r="20" spans="1:31" ht="32.25" customHeight="1">
      <c r="A20" s="17">
        <f t="shared" si="14"/>
        <v>44296</v>
      </c>
      <c r="B20" s="18">
        <v>80</v>
      </c>
      <c r="C20" s="16">
        <f t="shared" si="0"/>
        <v>3</v>
      </c>
      <c r="D20" s="18">
        <v>80</v>
      </c>
      <c r="E20" s="16">
        <f t="shared" si="1"/>
        <v>1</v>
      </c>
      <c r="F20" s="18">
        <v>78</v>
      </c>
      <c r="G20" s="16">
        <f t="shared" si="2"/>
        <v>4</v>
      </c>
      <c r="H20" s="18">
        <v>81</v>
      </c>
      <c r="I20" s="16">
        <f t="shared" si="23"/>
        <v>5</v>
      </c>
      <c r="J20" s="16">
        <f t="shared" si="18"/>
        <v>319</v>
      </c>
      <c r="K20" s="16">
        <f t="shared" si="19"/>
        <v>79.75</v>
      </c>
      <c r="L20" s="16">
        <f t="shared" si="20"/>
        <v>3.25</v>
      </c>
      <c r="M20" s="16">
        <f t="shared" si="7"/>
        <v>28000</v>
      </c>
      <c r="N20" s="16">
        <f t="shared" si="21"/>
        <v>910</v>
      </c>
      <c r="O20" s="16">
        <f t="shared" si="22"/>
        <v>482.3</v>
      </c>
      <c r="P20" s="19">
        <f t="shared" si="17"/>
        <v>4496.4587850000007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>
        <f t="shared" si="13"/>
        <v>0</v>
      </c>
      <c r="AD20" s="43">
        <f t="shared" si="24"/>
        <v>0</v>
      </c>
      <c r="AE20" s="43">
        <f t="shared" si="25"/>
        <v>0</v>
      </c>
    </row>
    <row r="21" spans="1:31" ht="32.25" customHeight="1">
      <c r="A21" s="17">
        <f t="shared" si="14"/>
        <v>44297</v>
      </c>
      <c r="B21" s="18">
        <v>77</v>
      </c>
      <c r="C21" s="16">
        <f t="shared" ref="C21:C29" si="26">IF(AC21&gt;0,((B21-R21)+(S21-B22)),IF(B22=0, ,(B21-B22)))</f>
        <v>4</v>
      </c>
      <c r="D21" s="18">
        <v>79</v>
      </c>
      <c r="E21" s="16">
        <f t="shared" si="1"/>
        <v>3</v>
      </c>
      <c r="F21" s="18">
        <v>74</v>
      </c>
      <c r="G21" s="16">
        <f t="shared" si="2"/>
        <v>2</v>
      </c>
      <c r="H21" s="18">
        <v>76</v>
      </c>
      <c r="I21" s="16">
        <f t="shared" si="23"/>
        <v>3</v>
      </c>
      <c r="J21" s="16">
        <f t="shared" si="18"/>
        <v>306</v>
      </c>
      <c r="K21" s="16">
        <f t="shared" si="19"/>
        <v>76.5</v>
      </c>
      <c r="L21" s="16">
        <f t="shared" si="20"/>
        <v>3</v>
      </c>
      <c r="M21" s="16">
        <f t="shared" si="7"/>
        <v>28000</v>
      </c>
      <c r="N21" s="16">
        <f t="shared" si="21"/>
        <v>840</v>
      </c>
      <c r="O21" s="16">
        <f t="shared" si="22"/>
        <v>445.20000000000005</v>
      </c>
      <c r="P21" s="19">
        <f t="shared" si="17"/>
        <v>4150.5773400000007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>
        <f t="shared" si="13"/>
        <v>0</v>
      </c>
      <c r="AD21" s="43">
        <f t="shared" si="24"/>
        <v>0</v>
      </c>
      <c r="AE21" s="43">
        <f t="shared" si="25"/>
        <v>0</v>
      </c>
    </row>
    <row r="22" spans="1:31" ht="32.25" customHeight="1">
      <c r="A22" s="17">
        <f t="shared" si="14"/>
        <v>44298</v>
      </c>
      <c r="B22" s="18">
        <v>73</v>
      </c>
      <c r="C22" s="16">
        <f t="shared" si="26"/>
        <v>1</v>
      </c>
      <c r="D22" s="18">
        <v>76</v>
      </c>
      <c r="E22" s="16">
        <f t="shared" si="1"/>
        <v>3</v>
      </c>
      <c r="F22" s="18">
        <v>72</v>
      </c>
      <c r="G22" s="16">
        <f t="shared" si="2"/>
        <v>3</v>
      </c>
      <c r="H22" s="18">
        <v>73</v>
      </c>
      <c r="I22" s="16">
        <f t="shared" si="23"/>
        <v>1</v>
      </c>
      <c r="J22" s="16">
        <f t="shared" si="18"/>
        <v>294</v>
      </c>
      <c r="K22" s="16">
        <f t="shared" si="19"/>
        <v>73.5</v>
      </c>
      <c r="L22" s="16">
        <f t="shared" si="20"/>
        <v>2</v>
      </c>
      <c r="M22" s="16">
        <f t="shared" si="7"/>
        <v>28000</v>
      </c>
      <c r="N22" s="16">
        <f t="shared" si="21"/>
        <v>560</v>
      </c>
      <c r="O22" s="16">
        <f t="shared" si="22"/>
        <v>296.8</v>
      </c>
      <c r="P22" s="19">
        <f t="shared" si="17"/>
        <v>2767.0515600000003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>
        <f t="shared" si="13"/>
        <v>0</v>
      </c>
      <c r="AD22" s="43">
        <f t="shared" si="24"/>
        <v>0</v>
      </c>
      <c r="AE22" s="43">
        <f t="shared" si="25"/>
        <v>0</v>
      </c>
    </row>
    <row r="23" spans="1:31" ht="32.25" customHeight="1">
      <c r="A23" s="17">
        <f t="shared" si="14"/>
        <v>44299</v>
      </c>
      <c r="B23" s="18">
        <v>72</v>
      </c>
      <c r="C23" s="16">
        <f t="shared" si="26"/>
        <v>1</v>
      </c>
      <c r="D23" s="18">
        <v>73</v>
      </c>
      <c r="E23" s="16">
        <f t="shared" si="1"/>
        <v>1</v>
      </c>
      <c r="F23" s="18">
        <v>69</v>
      </c>
      <c r="G23" s="16">
        <f t="shared" si="2"/>
        <v>0</v>
      </c>
      <c r="H23" s="18">
        <v>72</v>
      </c>
      <c r="I23" s="16">
        <f t="shared" si="23"/>
        <v>2</v>
      </c>
      <c r="J23" s="16">
        <f t="shared" si="18"/>
        <v>286</v>
      </c>
      <c r="K23" s="16">
        <f t="shared" si="19"/>
        <v>71.5</v>
      </c>
      <c r="L23" s="16">
        <f t="shared" si="20"/>
        <v>1</v>
      </c>
      <c r="M23" s="16">
        <f t="shared" si="7"/>
        <v>28000</v>
      </c>
      <c r="N23" s="16">
        <f t="shared" si="21"/>
        <v>280</v>
      </c>
      <c r="O23" s="16">
        <f t="shared" si="22"/>
        <v>148.4</v>
      </c>
      <c r="P23" s="19">
        <f t="shared" si="17"/>
        <v>1383.5257800000002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>
        <f t="shared" si="13"/>
        <v>0</v>
      </c>
      <c r="AD23" s="43">
        <f t="shared" si="24"/>
        <v>0</v>
      </c>
      <c r="AE23" s="43">
        <f t="shared" si="25"/>
        <v>0</v>
      </c>
    </row>
    <row r="24" spans="1:31" ht="32.25" customHeight="1">
      <c r="A24" s="17">
        <f t="shared" si="14"/>
        <v>44300</v>
      </c>
      <c r="B24" s="18">
        <v>71</v>
      </c>
      <c r="C24" s="16">
        <f t="shared" si="26"/>
        <v>1</v>
      </c>
      <c r="D24" s="18">
        <v>72</v>
      </c>
      <c r="E24" s="16">
        <f t="shared" si="1"/>
        <v>2</v>
      </c>
      <c r="F24" s="18">
        <v>69</v>
      </c>
      <c r="G24" s="16">
        <f t="shared" si="2"/>
        <v>3</v>
      </c>
      <c r="H24" s="18">
        <v>70</v>
      </c>
      <c r="I24" s="16">
        <f t="shared" si="23"/>
        <v>1</v>
      </c>
      <c r="J24" s="16">
        <f t="shared" si="18"/>
        <v>282</v>
      </c>
      <c r="K24" s="16">
        <f t="shared" si="19"/>
        <v>70.5</v>
      </c>
      <c r="L24" s="16">
        <f t="shared" si="20"/>
        <v>1.75</v>
      </c>
      <c r="M24" s="16">
        <f t="shared" si="7"/>
        <v>28000</v>
      </c>
      <c r="N24" s="16">
        <f t="shared" si="21"/>
        <v>490</v>
      </c>
      <c r="O24" s="16">
        <f t="shared" si="22"/>
        <v>259.7</v>
      </c>
      <c r="P24" s="19">
        <f t="shared" si="17"/>
        <v>2421.1701149999999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>
        <f t="shared" si="13"/>
        <v>0</v>
      </c>
      <c r="AD24" s="43">
        <f t="shared" si="24"/>
        <v>0</v>
      </c>
      <c r="AE24" s="43">
        <f t="shared" si="25"/>
        <v>0</v>
      </c>
    </row>
    <row r="25" spans="1:31" ht="32.25" customHeight="1">
      <c r="A25" s="17">
        <f t="shared" si="14"/>
        <v>44301</v>
      </c>
      <c r="B25" s="18">
        <v>70</v>
      </c>
      <c r="C25" s="16">
        <f t="shared" si="26"/>
        <v>2</v>
      </c>
      <c r="D25" s="18">
        <v>70</v>
      </c>
      <c r="E25" s="16">
        <f t="shared" si="1"/>
        <v>0</v>
      </c>
      <c r="F25" s="18">
        <v>66</v>
      </c>
      <c r="G25" s="16">
        <f t="shared" si="2"/>
        <v>1</v>
      </c>
      <c r="H25" s="18">
        <v>69</v>
      </c>
      <c r="I25" s="16">
        <f t="shared" si="23"/>
        <v>1</v>
      </c>
      <c r="J25" s="16">
        <f t="shared" si="18"/>
        <v>275</v>
      </c>
      <c r="K25" s="16">
        <f t="shared" si="19"/>
        <v>68.75</v>
      </c>
      <c r="L25" s="16">
        <f t="shared" si="20"/>
        <v>1</v>
      </c>
      <c r="M25" s="16">
        <f t="shared" si="7"/>
        <v>28000</v>
      </c>
      <c r="N25" s="16">
        <f t="shared" si="21"/>
        <v>280</v>
      </c>
      <c r="O25" s="16">
        <f t="shared" si="22"/>
        <v>148.4</v>
      </c>
      <c r="P25" s="19">
        <f t="shared" si="17"/>
        <v>1383.5257800000002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>
        <f t="shared" si="13"/>
        <v>0</v>
      </c>
      <c r="AD25" s="43">
        <f t="shared" si="24"/>
        <v>0</v>
      </c>
      <c r="AE25" s="43">
        <f t="shared" si="25"/>
        <v>0</v>
      </c>
    </row>
    <row r="26" spans="1:31" ht="32.25" customHeight="1">
      <c r="A26" s="17">
        <f t="shared" si="14"/>
        <v>44302</v>
      </c>
      <c r="B26" s="18">
        <v>68</v>
      </c>
      <c r="C26" s="16">
        <f t="shared" si="26"/>
        <v>0</v>
      </c>
      <c r="D26" s="18">
        <v>70</v>
      </c>
      <c r="E26" s="16">
        <f t="shared" si="1"/>
        <v>5</v>
      </c>
      <c r="F26" s="18">
        <v>65</v>
      </c>
      <c r="G26" s="16">
        <f t="shared" si="2"/>
        <v>0</v>
      </c>
      <c r="H26" s="18">
        <v>68</v>
      </c>
      <c r="I26" s="16">
        <f t="shared" si="23"/>
        <v>3</v>
      </c>
      <c r="J26" s="16">
        <f t="shared" si="18"/>
        <v>271</v>
      </c>
      <c r="K26" s="16">
        <f t="shared" si="19"/>
        <v>67.75</v>
      </c>
      <c r="L26" s="16">
        <f t="shared" si="20"/>
        <v>2</v>
      </c>
      <c r="M26" s="16">
        <f t="shared" si="7"/>
        <v>28000</v>
      </c>
      <c r="N26" s="16">
        <f t="shared" si="21"/>
        <v>560</v>
      </c>
      <c r="O26" s="16">
        <f t="shared" si="22"/>
        <v>296.8</v>
      </c>
      <c r="P26" s="19">
        <f t="shared" si="17"/>
        <v>2767.0515600000003</v>
      </c>
      <c r="Q26" s="16">
        <v>859</v>
      </c>
      <c r="R26" s="16">
        <v>68</v>
      </c>
      <c r="S26" s="16">
        <v>85</v>
      </c>
      <c r="T26" s="16">
        <v>860</v>
      </c>
      <c r="U26" s="16">
        <v>65</v>
      </c>
      <c r="V26" s="16">
        <v>85</v>
      </c>
      <c r="W26" s="16">
        <v>917</v>
      </c>
      <c r="X26" s="16">
        <v>65</v>
      </c>
      <c r="Y26" s="16">
        <v>85</v>
      </c>
      <c r="Z26" s="16">
        <v>1043</v>
      </c>
      <c r="AA26" s="16">
        <v>65</v>
      </c>
      <c r="AB26" s="16">
        <v>85</v>
      </c>
      <c r="AC26" s="16">
        <f t="shared" si="13"/>
        <v>3679</v>
      </c>
      <c r="AD26" s="43">
        <f t="shared" si="24"/>
        <v>65.75</v>
      </c>
      <c r="AE26" s="43">
        <f t="shared" si="25"/>
        <v>85</v>
      </c>
    </row>
    <row r="27" spans="1:31" ht="32.25" customHeight="1">
      <c r="A27" s="17">
        <f t="shared" si="14"/>
        <v>44303</v>
      </c>
      <c r="B27" s="18">
        <v>85</v>
      </c>
      <c r="C27" s="16">
        <f t="shared" si="26"/>
        <v>1</v>
      </c>
      <c r="D27" s="18">
        <v>85</v>
      </c>
      <c r="E27" s="16">
        <f t="shared" si="1"/>
        <v>1</v>
      </c>
      <c r="F27" s="18">
        <v>85</v>
      </c>
      <c r="G27" s="16">
        <f t="shared" si="2"/>
        <v>1</v>
      </c>
      <c r="H27" s="18">
        <v>85</v>
      </c>
      <c r="I27" s="16">
        <f t="shared" si="23"/>
        <v>1</v>
      </c>
      <c r="J27" s="16">
        <f t="shared" si="18"/>
        <v>340</v>
      </c>
      <c r="K27" s="16">
        <f t="shared" si="19"/>
        <v>85</v>
      </c>
      <c r="L27" s="16">
        <f t="shared" si="20"/>
        <v>1</v>
      </c>
      <c r="M27" s="16">
        <f t="shared" si="7"/>
        <v>28000</v>
      </c>
      <c r="N27" s="16">
        <f t="shared" si="21"/>
        <v>280</v>
      </c>
      <c r="O27" s="16">
        <f t="shared" si="22"/>
        <v>148.4</v>
      </c>
      <c r="P27" s="19">
        <f t="shared" si="17"/>
        <v>1383.5257800000002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>
        <f t="shared" si="13"/>
        <v>0</v>
      </c>
      <c r="AD27" s="43">
        <f t="shared" si="24"/>
        <v>0</v>
      </c>
      <c r="AE27" s="43">
        <f t="shared" si="25"/>
        <v>0</v>
      </c>
    </row>
    <row r="28" spans="1:31" ht="32.25" customHeight="1">
      <c r="A28" s="17">
        <f t="shared" si="14"/>
        <v>44304</v>
      </c>
      <c r="B28" s="18">
        <v>84</v>
      </c>
      <c r="C28" s="16">
        <f t="shared" si="26"/>
        <v>1</v>
      </c>
      <c r="D28" s="18">
        <v>84</v>
      </c>
      <c r="E28" s="16">
        <f t="shared" si="1"/>
        <v>1</v>
      </c>
      <c r="F28" s="18">
        <v>84</v>
      </c>
      <c r="G28" s="16">
        <f t="shared" si="2"/>
        <v>1</v>
      </c>
      <c r="H28" s="18">
        <v>84</v>
      </c>
      <c r="I28" s="16">
        <f t="shared" si="23"/>
        <v>1</v>
      </c>
      <c r="J28" s="16">
        <f t="shared" si="18"/>
        <v>336</v>
      </c>
      <c r="K28" s="16">
        <f t="shared" si="19"/>
        <v>84</v>
      </c>
      <c r="L28" s="16">
        <f t="shared" si="20"/>
        <v>1</v>
      </c>
      <c r="M28" s="16">
        <f t="shared" si="7"/>
        <v>28000</v>
      </c>
      <c r="N28" s="16">
        <f t="shared" si="21"/>
        <v>280</v>
      </c>
      <c r="O28" s="16">
        <f t="shared" si="22"/>
        <v>148.4</v>
      </c>
      <c r="P28" s="19">
        <f t="shared" si="17"/>
        <v>1383.5257800000002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>
        <f t="shared" si="13"/>
        <v>0</v>
      </c>
      <c r="AD28" s="43">
        <f t="shared" si="24"/>
        <v>0</v>
      </c>
      <c r="AE28" s="43">
        <f t="shared" si="25"/>
        <v>0</v>
      </c>
    </row>
    <row r="29" spans="1:31" ht="32.25" customHeight="1">
      <c r="A29" s="17">
        <f t="shared" si="14"/>
        <v>44305</v>
      </c>
      <c r="B29" s="18">
        <v>83</v>
      </c>
      <c r="C29" s="16">
        <f t="shared" si="26"/>
        <v>0</v>
      </c>
      <c r="D29" s="18">
        <v>83</v>
      </c>
      <c r="E29" s="16">
        <f t="shared" si="1"/>
        <v>0</v>
      </c>
      <c r="F29" s="18">
        <v>83</v>
      </c>
      <c r="G29" s="16">
        <f t="shared" si="2"/>
        <v>0</v>
      </c>
      <c r="H29" s="18">
        <v>83</v>
      </c>
      <c r="I29" s="16">
        <f t="shared" si="23"/>
        <v>0</v>
      </c>
      <c r="J29" s="16">
        <f t="shared" si="18"/>
        <v>332</v>
      </c>
      <c r="K29" s="16">
        <f t="shared" si="19"/>
        <v>83</v>
      </c>
      <c r="L29" s="16">
        <f t="shared" si="20"/>
        <v>0</v>
      </c>
      <c r="M29" s="16">
        <f t="shared" si="7"/>
        <v>28000</v>
      </c>
      <c r="N29" s="16">
        <f t="shared" si="21"/>
        <v>0</v>
      </c>
      <c r="O29" s="16">
        <f t="shared" si="22"/>
        <v>0</v>
      </c>
      <c r="P29" s="19">
        <f t="shared" si="17"/>
        <v>0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>
        <f t="shared" si="13"/>
        <v>0</v>
      </c>
      <c r="AD29" s="43">
        <f t="shared" si="24"/>
        <v>0</v>
      </c>
      <c r="AE29" s="43">
        <f t="shared" si="25"/>
        <v>0</v>
      </c>
    </row>
    <row r="30" spans="1:31" ht="32.25" customHeight="1">
      <c r="A30" s="17">
        <f t="shared" si="14"/>
        <v>44306</v>
      </c>
      <c r="B30" s="18"/>
      <c r="C30" s="16">
        <f t="shared" ref="C13:C42" si="27">IF(AC30&gt;0,((B30-R30)+(S30-B31)),IF(B31=0, ,(B30-B31)))</f>
        <v>0</v>
      </c>
      <c r="D30" s="18"/>
      <c r="E30" s="16">
        <f t="shared" ref="E13:E42" si="28">IF(AC30&gt;0,((D30-U30)+(V30-D31)),IF(D31=0, ,(D30-D31)))</f>
        <v>0</v>
      </c>
      <c r="F30" s="18"/>
      <c r="G30" s="16">
        <f t="shared" ref="G13:G42" si="29">IF(AC30&gt;0,((F30-X30)+(Y30-F31)),IF(F31=0, ,(F30-F31)))</f>
        <v>0</v>
      </c>
      <c r="H30" s="18"/>
      <c r="I30" s="16">
        <f t="shared" si="23"/>
        <v>0</v>
      </c>
      <c r="J30" s="16">
        <f t="shared" si="18"/>
        <v>0</v>
      </c>
      <c r="K30" s="16">
        <f t="shared" si="19"/>
        <v>0</v>
      </c>
      <c r="L30" s="16">
        <f t="shared" si="20"/>
        <v>0</v>
      </c>
      <c r="M30" s="16">
        <f t="shared" si="7"/>
        <v>28000</v>
      </c>
      <c r="N30" s="16">
        <f t="shared" si="21"/>
        <v>0</v>
      </c>
      <c r="O30" s="16">
        <f t="shared" si="22"/>
        <v>0</v>
      </c>
      <c r="P30" s="19">
        <f t="shared" si="17"/>
        <v>0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>
        <f t="shared" si="13"/>
        <v>0</v>
      </c>
      <c r="AD30" s="43">
        <f t="shared" si="24"/>
        <v>0</v>
      </c>
      <c r="AE30" s="43">
        <f t="shared" si="25"/>
        <v>0</v>
      </c>
    </row>
    <row r="31" spans="1:31" ht="32.25" customHeight="1">
      <c r="A31" s="17">
        <f t="shared" si="14"/>
        <v>44307</v>
      </c>
      <c r="B31" s="18"/>
      <c r="C31" s="16">
        <f t="shared" si="27"/>
        <v>0</v>
      </c>
      <c r="D31" s="18"/>
      <c r="E31" s="16">
        <f t="shared" si="28"/>
        <v>0</v>
      </c>
      <c r="F31" s="18"/>
      <c r="G31" s="16">
        <f t="shared" si="29"/>
        <v>0</v>
      </c>
      <c r="H31" s="18"/>
      <c r="I31" s="16">
        <f t="shared" si="23"/>
        <v>0</v>
      </c>
      <c r="J31" s="16">
        <f t="shared" si="18"/>
        <v>0</v>
      </c>
      <c r="K31" s="16">
        <f t="shared" si="19"/>
        <v>0</v>
      </c>
      <c r="L31" s="16">
        <f t="shared" si="20"/>
        <v>0</v>
      </c>
      <c r="M31" s="16">
        <f t="shared" si="7"/>
        <v>28000</v>
      </c>
      <c r="N31" s="16">
        <f t="shared" si="21"/>
        <v>0</v>
      </c>
      <c r="O31" s="16">
        <f t="shared" si="22"/>
        <v>0</v>
      </c>
      <c r="P31" s="19">
        <f t="shared" si="17"/>
        <v>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>
        <f t="shared" si="13"/>
        <v>0</v>
      </c>
      <c r="AD31" s="43">
        <f t="shared" si="24"/>
        <v>0</v>
      </c>
      <c r="AE31" s="43">
        <f t="shared" si="25"/>
        <v>0</v>
      </c>
    </row>
    <row r="32" spans="1:31" ht="32.25" customHeight="1">
      <c r="A32" s="17">
        <f t="shared" si="14"/>
        <v>44308</v>
      </c>
      <c r="B32" s="18"/>
      <c r="C32" s="16">
        <f t="shared" si="27"/>
        <v>0</v>
      </c>
      <c r="D32" s="18"/>
      <c r="E32" s="16">
        <f t="shared" si="28"/>
        <v>0</v>
      </c>
      <c r="F32" s="18"/>
      <c r="G32" s="16">
        <f t="shared" si="29"/>
        <v>0</v>
      </c>
      <c r="H32" s="18"/>
      <c r="I32" s="16">
        <f t="shared" si="23"/>
        <v>0</v>
      </c>
      <c r="J32" s="16">
        <f t="shared" si="18"/>
        <v>0</v>
      </c>
      <c r="K32" s="16">
        <f t="shared" si="19"/>
        <v>0</v>
      </c>
      <c r="L32" s="16">
        <f t="shared" si="20"/>
        <v>0</v>
      </c>
      <c r="M32" s="16">
        <f t="shared" si="7"/>
        <v>28000</v>
      </c>
      <c r="N32" s="16">
        <f t="shared" si="21"/>
        <v>0</v>
      </c>
      <c r="O32" s="16">
        <f t="shared" si="22"/>
        <v>0</v>
      </c>
      <c r="P32" s="19">
        <f t="shared" si="17"/>
        <v>0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>
        <f t="shared" si="13"/>
        <v>0</v>
      </c>
      <c r="AD32" s="43">
        <f t="shared" si="24"/>
        <v>0</v>
      </c>
      <c r="AE32" s="43">
        <f t="shared" si="25"/>
        <v>0</v>
      </c>
    </row>
    <row r="33" spans="1:31" ht="32.25" customHeight="1">
      <c r="A33" s="17">
        <f t="shared" si="14"/>
        <v>44309</v>
      </c>
      <c r="B33" s="18"/>
      <c r="C33" s="16">
        <f t="shared" si="27"/>
        <v>0</v>
      </c>
      <c r="D33" s="18"/>
      <c r="E33" s="16">
        <f t="shared" si="28"/>
        <v>0</v>
      </c>
      <c r="F33" s="18"/>
      <c r="G33" s="16">
        <f t="shared" si="29"/>
        <v>0</v>
      </c>
      <c r="H33" s="18"/>
      <c r="I33" s="16">
        <f t="shared" si="23"/>
        <v>0</v>
      </c>
      <c r="J33" s="16">
        <f t="shared" si="18"/>
        <v>0</v>
      </c>
      <c r="K33" s="16">
        <f t="shared" si="19"/>
        <v>0</v>
      </c>
      <c r="L33" s="16">
        <f t="shared" si="20"/>
        <v>0</v>
      </c>
      <c r="M33" s="16">
        <f t="shared" si="7"/>
        <v>28000</v>
      </c>
      <c r="N33" s="16">
        <f t="shared" si="21"/>
        <v>0</v>
      </c>
      <c r="O33" s="16">
        <f t="shared" si="22"/>
        <v>0</v>
      </c>
      <c r="P33" s="19">
        <f t="shared" si="17"/>
        <v>0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>
        <f t="shared" si="13"/>
        <v>0</v>
      </c>
      <c r="AD33" s="43">
        <f t="shared" si="24"/>
        <v>0</v>
      </c>
      <c r="AE33" s="43">
        <f t="shared" si="25"/>
        <v>0</v>
      </c>
    </row>
    <row r="34" spans="1:31" ht="32.25" customHeight="1">
      <c r="A34" s="17">
        <f t="shared" si="14"/>
        <v>44310</v>
      </c>
      <c r="B34" s="18"/>
      <c r="C34" s="16">
        <f t="shared" si="27"/>
        <v>0</v>
      </c>
      <c r="D34" s="18"/>
      <c r="E34" s="16">
        <f t="shared" si="28"/>
        <v>0</v>
      </c>
      <c r="F34" s="18"/>
      <c r="G34" s="16">
        <f t="shared" si="29"/>
        <v>0</v>
      </c>
      <c r="H34" s="18"/>
      <c r="I34" s="16">
        <f t="shared" si="23"/>
        <v>0</v>
      </c>
      <c r="J34" s="16">
        <f t="shared" si="18"/>
        <v>0</v>
      </c>
      <c r="K34" s="16">
        <f t="shared" si="19"/>
        <v>0</v>
      </c>
      <c r="L34" s="16">
        <f t="shared" si="20"/>
        <v>0</v>
      </c>
      <c r="M34" s="16">
        <f t="shared" si="7"/>
        <v>28000</v>
      </c>
      <c r="N34" s="16">
        <f t="shared" si="21"/>
        <v>0</v>
      </c>
      <c r="O34" s="16">
        <f t="shared" si="22"/>
        <v>0</v>
      </c>
      <c r="P34" s="19">
        <f t="shared" si="17"/>
        <v>0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>
        <f t="shared" si="13"/>
        <v>0</v>
      </c>
      <c r="AD34" s="43">
        <f t="shared" si="24"/>
        <v>0</v>
      </c>
      <c r="AE34" s="43">
        <f t="shared" si="25"/>
        <v>0</v>
      </c>
    </row>
    <row r="35" spans="1:31" ht="32.25" customHeight="1">
      <c r="A35" s="17">
        <f t="shared" si="14"/>
        <v>44311</v>
      </c>
      <c r="B35" s="18"/>
      <c r="C35" s="16">
        <f t="shared" si="27"/>
        <v>0</v>
      </c>
      <c r="D35" s="18"/>
      <c r="E35" s="16">
        <f t="shared" si="28"/>
        <v>0</v>
      </c>
      <c r="F35" s="18"/>
      <c r="G35" s="16">
        <f t="shared" si="29"/>
        <v>0</v>
      </c>
      <c r="H35" s="18"/>
      <c r="I35" s="16">
        <f t="shared" si="23"/>
        <v>0</v>
      </c>
      <c r="J35" s="16">
        <f t="shared" si="18"/>
        <v>0</v>
      </c>
      <c r="K35" s="16">
        <f t="shared" si="19"/>
        <v>0</v>
      </c>
      <c r="L35" s="16">
        <f t="shared" si="20"/>
        <v>0</v>
      </c>
      <c r="M35" s="16">
        <f t="shared" si="7"/>
        <v>28000</v>
      </c>
      <c r="N35" s="16">
        <f t="shared" si="21"/>
        <v>0</v>
      </c>
      <c r="O35" s="16">
        <f t="shared" si="22"/>
        <v>0</v>
      </c>
      <c r="P35" s="19">
        <f t="shared" si="17"/>
        <v>0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>
        <f t="shared" si="13"/>
        <v>0</v>
      </c>
      <c r="AD35" s="43">
        <f t="shared" si="24"/>
        <v>0</v>
      </c>
      <c r="AE35" s="43">
        <f t="shared" si="25"/>
        <v>0</v>
      </c>
    </row>
    <row r="36" spans="1:31" ht="32.25" customHeight="1">
      <c r="A36" s="17">
        <f t="shared" si="14"/>
        <v>44312</v>
      </c>
      <c r="B36" s="18"/>
      <c r="C36" s="16">
        <f t="shared" si="27"/>
        <v>0</v>
      </c>
      <c r="D36" s="18"/>
      <c r="E36" s="16">
        <f t="shared" si="28"/>
        <v>0</v>
      </c>
      <c r="F36" s="18"/>
      <c r="G36" s="16">
        <f t="shared" si="29"/>
        <v>0</v>
      </c>
      <c r="H36" s="18"/>
      <c r="I36" s="16">
        <f t="shared" si="23"/>
        <v>0</v>
      </c>
      <c r="J36" s="16">
        <f t="shared" si="18"/>
        <v>0</v>
      </c>
      <c r="K36" s="16">
        <f t="shared" si="19"/>
        <v>0</v>
      </c>
      <c r="L36" s="16">
        <f t="shared" si="20"/>
        <v>0</v>
      </c>
      <c r="M36" s="16">
        <f t="shared" si="7"/>
        <v>28000</v>
      </c>
      <c r="N36" s="16">
        <f t="shared" si="21"/>
        <v>0</v>
      </c>
      <c r="O36" s="16">
        <f t="shared" si="22"/>
        <v>0</v>
      </c>
      <c r="P36" s="19">
        <f t="shared" si="17"/>
        <v>0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>
        <f t="shared" si="13"/>
        <v>0</v>
      </c>
      <c r="AD36" s="43">
        <f t="shared" si="24"/>
        <v>0</v>
      </c>
      <c r="AE36" s="43">
        <f t="shared" si="25"/>
        <v>0</v>
      </c>
    </row>
    <row r="37" spans="1:31" ht="32.25" customHeight="1">
      <c r="A37" s="17">
        <f t="shared" si="14"/>
        <v>44313</v>
      </c>
      <c r="B37" s="18"/>
      <c r="C37" s="16">
        <f t="shared" si="27"/>
        <v>0</v>
      </c>
      <c r="D37" s="18"/>
      <c r="E37" s="16">
        <f t="shared" si="28"/>
        <v>0</v>
      </c>
      <c r="F37" s="18"/>
      <c r="G37" s="16">
        <f t="shared" si="29"/>
        <v>0</v>
      </c>
      <c r="H37" s="18"/>
      <c r="I37" s="16">
        <f t="shared" si="23"/>
        <v>0</v>
      </c>
      <c r="J37" s="16">
        <f t="shared" si="18"/>
        <v>0</v>
      </c>
      <c r="K37" s="16">
        <f t="shared" si="19"/>
        <v>0</v>
      </c>
      <c r="L37" s="16">
        <f t="shared" si="20"/>
        <v>0</v>
      </c>
      <c r="M37" s="16">
        <f t="shared" si="7"/>
        <v>28000</v>
      </c>
      <c r="N37" s="16">
        <f t="shared" si="21"/>
        <v>0</v>
      </c>
      <c r="O37" s="16">
        <f t="shared" si="22"/>
        <v>0</v>
      </c>
      <c r="P37" s="19">
        <f t="shared" si="17"/>
        <v>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>
        <f t="shared" si="13"/>
        <v>0</v>
      </c>
      <c r="AD37" s="43">
        <f t="shared" si="24"/>
        <v>0</v>
      </c>
      <c r="AE37" s="43">
        <f t="shared" si="25"/>
        <v>0</v>
      </c>
    </row>
    <row r="38" spans="1:31" ht="32.25" customHeight="1">
      <c r="A38" s="17">
        <f t="shared" si="14"/>
        <v>44314</v>
      </c>
      <c r="B38" s="18"/>
      <c r="C38" s="16">
        <f t="shared" si="27"/>
        <v>0</v>
      </c>
      <c r="D38" s="18"/>
      <c r="E38" s="16">
        <f t="shared" si="28"/>
        <v>0</v>
      </c>
      <c r="F38" s="18"/>
      <c r="G38" s="16">
        <f t="shared" si="29"/>
        <v>0</v>
      </c>
      <c r="H38" s="18"/>
      <c r="I38" s="16">
        <v>2</v>
      </c>
      <c r="J38" s="16">
        <f t="shared" si="18"/>
        <v>0</v>
      </c>
      <c r="K38" s="16">
        <f t="shared" si="19"/>
        <v>0</v>
      </c>
      <c r="L38" s="16">
        <f t="shared" si="20"/>
        <v>0</v>
      </c>
      <c r="M38" s="16">
        <f t="shared" si="7"/>
        <v>28000</v>
      </c>
      <c r="N38" s="16">
        <f t="shared" si="21"/>
        <v>0</v>
      </c>
      <c r="O38" s="16">
        <f t="shared" si="22"/>
        <v>0</v>
      </c>
      <c r="P38" s="19">
        <f t="shared" si="17"/>
        <v>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>
        <f t="shared" si="13"/>
        <v>0</v>
      </c>
      <c r="AD38" s="43">
        <f t="shared" si="24"/>
        <v>0</v>
      </c>
      <c r="AE38" s="43">
        <f t="shared" si="25"/>
        <v>0</v>
      </c>
    </row>
    <row r="39" spans="1:31" ht="32.25" customHeight="1">
      <c r="A39" s="17">
        <f t="shared" si="14"/>
        <v>44315</v>
      </c>
      <c r="B39" s="18"/>
      <c r="C39" s="16">
        <f t="shared" si="27"/>
        <v>0</v>
      </c>
      <c r="D39" s="18"/>
      <c r="E39" s="16">
        <f t="shared" si="28"/>
        <v>0</v>
      </c>
      <c r="F39" s="18"/>
      <c r="G39" s="16">
        <f t="shared" si="29"/>
        <v>0</v>
      </c>
      <c r="H39" s="18"/>
      <c r="I39" s="16">
        <v>0</v>
      </c>
      <c r="J39" s="16">
        <f t="shared" si="18"/>
        <v>0</v>
      </c>
      <c r="K39" s="16">
        <f t="shared" si="19"/>
        <v>0</v>
      </c>
      <c r="L39" s="16">
        <f t="shared" si="20"/>
        <v>0</v>
      </c>
      <c r="M39" s="16">
        <f t="shared" si="7"/>
        <v>28000</v>
      </c>
      <c r="N39" s="16">
        <f t="shared" si="21"/>
        <v>0</v>
      </c>
      <c r="O39" s="16">
        <f t="shared" si="22"/>
        <v>0</v>
      </c>
      <c r="P39" s="19">
        <f t="shared" si="17"/>
        <v>0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>
        <f t="shared" si="13"/>
        <v>0</v>
      </c>
      <c r="AD39" s="43">
        <f t="shared" si="24"/>
        <v>0</v>
      </c>
      <c r="AE39" s="43">
        <f t="shared" si="25"/>
        <v>0</v>
      </c>
    </row>
    <row r="40" spans="1:31" ht="32.25" customHeight="1">
      <c r="A40" s="17">
        <f t="shared" si="14"/>
        <v>44316</v>
      </c>
      <c r="B40" s="18"/>
      <c r="C40" s="16">
        <f t="shared" si="27"/>
        <v>0</v>
      </c>
      <c r="D40" s="18"/>
      <c r="E40" s="16">
        <f t="shared" si="28"/>
        <v>0</v>
      </c>
      <c r="F40" s="18"/>
      <c r="G40" s="16">
        <f t="shared" si="29"/>
        <v>0</v>
      </c>
      <c r="H40" s="18"/>
      <c r="I40" s="16">
        <f t="shared" si="23"/>
        <v>0</v>
      </c>
      <c r="J40" s="16">
        <f t="shared" si="18"/>
        <v>0</v>
      </c>
      <c r="K40" s="16">
        <f t="shared" si="19"/>
        <v>0</v>
      </c>
      <c r="L40" s="16">
        <f t="shared" si="20"/>
        <v>0</v>
      </c>
      <c r="M40" s="16">
        <f t="shared" si="7"/>
        <v>28000</v>
      </c>
      <c r="N40" s="16">
        <f t="shared" si="21"/>
        <v>0</v>
      </c>
      <c r="O40" s="16">
        <f t="shared" si="22"/>
        <v>0</v>
      </c>
      <c r="P40" s="19">
        <f t="shared" si="17"/>
        <v>0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>
        <f t="shared" si="13"/>
        <v>0</v>
      </c>
      <c r="AD40" s="43">
        <f t="shared" si="24"/>
        <v>0</v>
      </c>
      <c r="AE40" s="43">
        <f t="shared" si="25"/>
        <v>0</v>
      </c>
    </row>
    <row r="41" spans="1:31" ht="32.25" customHeight="1">
      <c r="A41" s="17">
        <f t="shared" si="14"/>
        <v>44317</v>
      </c>
      <c r="B41" s="18"/>
      <c r="C41" s="16">
        <f t="shared" si="27"/>
        <v>0</v>
      </c>
      <c r="D41" s="18"/>
      <c r="E41" s="16">
        <f t="shared" si="28"/>
        <v>0</v>
      </c>
      <c r="F41" s="18"/>
      <c r="G41" s="16">
        <f t="shared" si="29"/>
        <v>0</v>
      </c>
      <c r="H41" s="18"/>
      <c r="I41" s="16">
        <f t="shared" si="23"/>
        <v>0</v>
      </c>
      <c r="J41" s="16">
        <f t="shared" si="18"/>
        <v>0</v>
      </c>
      <c r="K41" s="16">
        <f t="shared" si="19"/>
        <v>0</v>
      </c>
      <c r="L41" s="16">
        <f t="shared" si="20"/>
        <v>0</v>
      </c>
      <c r="M41" s="16">
        <f t="shared" si="7"/>
        <v>28000</v>
      </c>
      <c r="N41" s="16">
        <f t="shared" si="21"/>
        <v>0</v>
      </c>
      <c r="O41" s="16">
        <f t="shared" si="22"/>
        <v>0</v>
      </c>
      <c r="P41" s="19">
        <f t="shared" si="17"/>
        <v>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>
        <f t="shared" si="13"/>
        <v>0</v>
      </c>
      <c r="AD41" s="43">
        <f t="shared" si="24"/>
        <v>0</v>
      </c>
      <c r="AE41" s="43">
        <f t="shared" si="25"/>
        <v>0</v>
      </c>
    </row>
    <row r="42" spans="1:31" ht="32.25" customHeight="1">
      <c r="A42" s="17">
        <f t="shared" si="14"/>
        <v>44318</v>
      </c>
      <c r="B42" s="18"/>
      <c r="C42" s="16">
        <f t="shared" si="27"/>
        <v>0</v>
      </c>
      <c r="D42" s="18"/>
      <c r="E42" s="16">
        <f t="shared" si="28"/>
        <v>0</v>
      </c>
      <c r="F42" s="18"/>
      <c r="G42" s="16">
        <f t="shared" si="29"/>
        <v>0</v>
      </c>
      <c r="H42" s="18"/>
      <c r="I42" s="16">
        <f t="shared" si="23"/>
        <v>0</v>
      </c>
      <c r="J42" s="16">
        <f t="shared" si="18"/>
        <v>0</v>
      </c>
      <c r="K42" s="16">
        <f t="shared" si="19"/>
        <v>0</v>
      </c>
      <c r="L42" s="16">
        <f t="shared" si="20"/>
        <v>0</v>
      </c>
      <c r="M42" s="16">
        <f t="shared" si="7"/>
        <v>28000</v>
      </c>
      <c r="N42" s="16">
        <f t="shared" si="21"/>
        <v>0</v>
      </c>
      <c r="O42" s="16">
        <f t="shared" si="22"/>
        <v>0</v>
      </c>
      <c r="P42" s="19">
        <f t="shared" si="17"/>
        <v>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>
        <f t="shared" si="13"/>
        <v>0</v>
      </c>
      <c r="AD42" s="43">
        <f t="shared" si="24"/>
        <v>0</v>
      </c>
      <c r="AE42" s="43">
        <f t="shared" si="25"/>
        <v>0</v>
      </c>
    </row>
    <row r="43" spans="1:31" ht="32.25" customHeight="1">
      <c r="B43" s="18"/>
      <c r="C43" s="16">
        <f>SUM(C11:C40)</f>
        <v>40</v>
      </c>
      <c r="D43" s="18"/>
      <c r="E43" s="16">
        <f>SUM(E11:E40)</f>
        <v>22</v>
      </c>
      <c r="F43" s="18"/>
      <c r="G43" s="16">
        <f>SUM(G11:G40)</f>
        <v>34</v>
      </c>
      <c r="H43" s="18"/>
      <c r="I43" s="16">
        <f>SUM(I11:I40)</f>
        <v>29</v>
      </c>
      <c r="J43" s="14"/>
      <c r="K43" s="14"/>
      <c r="L43" s="14"/>
      <c r="M43" s="14"/>
      <c r="N43" s="16">
        <f>SUM(N11:N40)</f>
        <v>9100</v>
      </c>
      <c r="O43" s="16">
        <f>N43*0.53</f>
        <v>4823</v>
      </c>
      <c r="P43" s="16">
        <f>SUM(P11:P40)</f>
        <v>44964.587850000018</v>
      </c>
      <c r="Q43" s="291">
        <f>SUM(Q11:Q40)</f>
        <v>3489</v>
      </c>
      <c r="R43" s="292"/>
      <c r="S43" s="293"/>
      <c r="T43" s="291">
        <f>SUM(T11:T40)</f>
        <v>1841</v>
      </c>
      <c r="U43" s="292"/>
      <c r="V43" s="293"/>
      <c r="W43" s="291">
        <f>SUM(W11:W40)</f>
        <v>3191</v>
      </c>
      <c r="X43" s="292"/>
      <c r="Y43" s="293"/>
      <c r="Z43" s="291">
        <f>SUM(Z11:Z40)</f>
        <v>3282</v>
      </c>
      <c r="AA43" s="292"/>
      <c r="AB43" s="293"/>
      <c r="AC43" s="16">
        <f>SUM(AC11:AC40)</f>
        <v>11803</v>
      </c>
      <c r="AD43" s="124"/>
      <c r="AE43" s="122"/>
    </row>
    <row r="44" spans="1:31" ht="35.25" customHeight="1">
      <c r="B44" s="294"/>
      <c r="C44" s="295"/>
      <c r="D44" s="295"/>
      <c r="E44" s="295"/>
      <c r="F44" s="295"/>
      <c r="G44" s="295"/>
      <c r="H44" s="295"/>
      <c r="I44" s="296"/>
      <c r="J44" s="14"/>
      <c r="K44" s="14"/>
      <c r="L44" s="14"/>
      <c r="M44" s="14"/>
      <c r="N44" s="14"/>
      <c r="O44" s="14"/>
      <c r="P44" s="14"/>
      <c r="Q44" s="297">
        <f>Q43+T43+W43+Z43</f>
        <v>11803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123">
        <f>Q43+T43+W43+Z43</f>
        <v>11803</v>
      </c>
      <c r="AD44" s="14"/>
      <c r="AE44" s="14"/>
    </row>
    <row r="45" spans="1:31" ht="7.5" customHeight="1" thickBot="1"/>
    <row r="46" spans="1:31" ht="51" customHeight="1" thickBot="1">
      <c r="H46" s="14"/>
      <c r="I46" s="14"/>
      <c r="J46" s="14"/>
      <c r="K46" s="172" t="s">
        <v>69</v>
      </c>
      <c r="L46" s="173" t="s">
        <v>70</v>
      </c>
      <c r="M46" s="173" t="s">
        <v>71</v>
      </c>
    </row>
    <row r="47" spans="1:31" ht="48" customHeight="1" thickBot="1">
      <c r="H47" s="300" t="s">
        <v>72</v>
      </c>
      <c r="I47" s="301"/>
      <c r="J47" s="302"/>
      <c r="K47" s="174">
        <f>N43</f>
        <v>9100</v>
      </c>
      <c r="L47" s="175">
        <f>O43</f>
        <v>4823</v>
      </c>
      <c r="M47" s="175">
        <f>P43</f>
        <v>44964.587850000018</v>
      </c>
    </row>
    <row r="48" spans="1:31" ht="54.75" customHeight="1" thickBot="1">
      <c r="H48" s="288" t="s">
        <v>73</v>
      </c>
      <c r="I48" s="289"/>
      <c r="J48" s="290"/>
      <c r="K48" s="172">
        <f>AC43</f>
        <v>11803</v>
      </c>
      <c r="L48" s="173">
        <f>K48*0.53</f>
        <v>6255.59</v>
      </c>
      <c r="M48" s="173">
        <f>L48*9.32295</f>
        <v>58320.552790500005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1"/>
  <sheetViews>
    <sheetView zoomScaleNormal="100" workbookViewId="0">
      <pane xSplit="1" ySplit="8" topLeftCell="B32" activePane="bottomRight" state="frozen"/>
      <selection pane="bottomRight" activeCell="B35" sqref="B35"/>
      <selection pane="bottomLeft" activeCell="A9" sqref="A9"/>
      <selection pane="topRight" activeCell="B1" sqref="B1"/>
    </sheetView>
  </sheetViews>
  <sheetFormatPr defaultColWidth="11.42578125" defaultRowHeight="12.75"/>
  <cols>
    <col min="1" max="1" width="16.7109375" style="24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>
      <c r="A1" s="321"/>
      <c r="B1" s="322"/>
      <c r="C1" s="304" t="s">
        <v>74</v>
      </c>
      <c r="D1" s="305"/>
      <c r="E1" s="305"/>
      <c r="F1" s="305"/>
      <c r="G1" s="306"/>
      <c r="H1" s="313"/>
      <c r="I1" s="314"/>
      <c r="J1" s="27"/>
      <c r="K1" s="25"/>
      <c r="L1" s="25"/>
    </row>
    <row r="2" spans="1:20" ht="16.5" customHeight="1">
      <c r="A2" s="323"/>
      <c r="B2" s="324"/>
      <c r="C2" s="307"/>
      <c r="D2" s="308"/>
      <c r="E2" s="308"/>
      <c r="F2" s="308"/>
      <c r="G2" s="309"/>
      <c r="H2" s="315"/>
      <c r="I2" s="316"/>
      <c r="J2" s="27"/>
      <c r="K2" s="25"/>
      <c r="L2" s="25"/>
    </row>
    <row r="3" spans="1:20" ht="48" customHeight="1" thickBot="1">
      <c r="A3" s="325"/>
      <c r="B3" s="326"/>
      <c r="C3" s="310"/>
      <c r="D3" s="311"/>
      <c r="E3" s="311"/>
      <c r="F3" s="311"/>
      <c r="G3" s="312"/>
      <c r="H3" s="317"/>
      <c r="I3" s="318"/>
      <c r="J3" s="27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>
      <c r="D5">
        <f>SUM(C16:C45)</f>
        <v>6665</v>
      </c>
    </row>
    <row r="6" spans="1:20" ht="10.5" customHeight="1" thickBot="1"/>
    <row r="7" spans="1:20" ht="16.5" customHeight="1" thickTop="1" thickBot="1">
      <c r="A7" s="303" t="s">
        <v>17</v>
      </c>
      <c r="B7" s="319" t="s">
        <v>75</v>
      </c>
      <c r="C7" s="319"/>
      <c r="D7" s="320" t="s">
        <v>76</v>
      </c>
      <c r="E7" s="320"/>
      <c r="F7" s="320"/>
      <c r="G7" s="320"/>
      <c r="H7" s="320"/>
      <c r="I7" s="320"/>
    </row>
    <row r="8" spans="1:20" s="10" customFormat="1" ht="28.5" customHeight="1" thickTop="1" thickBot="1">
      <c r="A8" s="303"/>
      <c r="B8" s="29" t="s">
        <v>77</v>
      </c>
      <c r="C8" s="29" t="s">
        <v>78</v>
      </c>
      <c r="D8" s="28" t="s">
        <v>79</v>
      </c>
      <c r="E8" s="28" t="s">
        <v>80</v>
      </c>
      <c r="F8" s="28" t="s">
        <v>81</v>
      </c>
      <c r="G8" s="28" t="s">
        <v>82</v>
      </c>
      <c r="H8" s="28" t="s">
        <v>83</v>
      </c>
      <c r="I8" s="28" t="s">
        <v>84</v>
      </c>
    </row>
    <row r="9" spans="1:20" ht="19.5">
      <c r="A9" s="33">
        <v>44280</v>
      </c>
      <c r="B9" s="34">
        <v>17913</v>
      </c>
      <c r="C9" s="35">
        <f t="shared" ref="C9:C34" si="0">IF(B10&lt;B9,0,B10-B9)</f>
        <v>357</v>
      </c>
      <c r="D9" s="36">
        <v>19194962</v>
      </c>
      <c r="E9" s="35">
        <f t="shared" ref="E9:E34" si="1">IF(D10&lt;D9,0,D10-D9)</f>
        <v>3709</v>
      </c>
      <c r="F9" s="36">
        <v>34325286</v>
      </c>
      <c r="G9" s="35">
        <f t="shared" ref="G9:G34" si="2">IF(F10&lt;F9,0,F10-F9)</f>
        <v>5852</v>
      </c>
      <c r="H9" s="36">
        <v>15201513</v>
      </c>
      <c r="I9" s="35">
        <f t="shared" ref="I9:I47" si="3">IF(H10&lt;H9,0,H10-H9)</f>
        <v>2867</v>
      </c>
    </row>
    <row r="10" spans="1:20" ht="19.5">
      <c r="A10" s="33">
        <f>(A9+1)</f>
        <v>44281</v>
      </c>
      <c r="B10" s="34">
        <v>18270</v>
      </c>
      <c r="C10" s="35">
        <f t="shared" si="0"/>
        <v>370</v>
      </c>
      <c r="D10" s="36">
        <v>19198671</v>
      </c>
      <c r="E10" s="35">
        <f t="shared" si="1"/>
        <v>3393</v>
      </c>
      <c r="F10" s="36">
        <v>34331138</v>
      </c>
      <c r="G10" s="35">
        <f t="shared" si="2"/>
        <v>4998</v>
      </c>
      <c r="H10" s="36">
        <v>15204380</v>
      </c>
      <c r="I10" s="35">
        <f t="shared" si="3"/>
        <v>2128</v>
      </c>
    </row>
    <row r="11" spans="1:20" ht="19.5">
      <c r="A11" s="33">
        <f t="shared" ref="A11:A47" si="4">(A10+1)</f>
        <v>44282</v>
      </c>
      <c r="B11" s="34">
        <v>18640</v>
      </c>
      <c r="C11" s="35">
        <f t="shared" si="0"/>
        <v>237</v>
      </c>
      <c r="D11" s="36">
        <v>19202064</v>
      </c>
      <c r="E11" s="35">
        <f t="shared" si="1"/>
        <v>3816</v>
      </c>
      <c r="F11" s="36">
        <v>34336136</v>
      </c>
      <c r="G11" s="35">
        <f t="shared" si="2"/>
        <v>5175</v>
      </c>
      <c r="H11" s="36">
        <v>15206508</v>
      </c>
      <c r="I11" s="35">
        <f t="shared" si="3"/>
        <v>2913</v>
      </c>
    </row>
    <row r="12" spans="1:20" ht="19.5">
      <c r="A12" s="33">
        <f t="shared" si="4"/>
        <v>44283</v>
      </c>
      <c r="B12" s="34">
        <v>18877</v>
      </c>
      <c r="C12" s="35">
        <f t="shared" si="0"/>
        <v>337</v>
      </c>
      <c r="D12" s="36">
        <v>19205880</v>
      </c>
      <c r="E12" s="35">
        <f t="shared" si="1"/>
        <v>3408</v>
      </c>
      <c r="F12" s="36">
        <v>34341311</v>
      </c>
      <c r="G12" s="35">
        <f t="shared" si="2"/>
        <v>5300</v>
      </c>
      <c r="H12" s="36">
        <v>15209421</v>
      </c>
      <c r="I12" s="35">
        <f t="shared" si="3"/>
        <v>2287</v>
      </c>
    </row>
    <row r="13" spans="1:20" ht="19.5">
      <c r="A13" s="33">
        <f t="shared" si="4"/>
        <v>44284</v>
      </c>
      <c r="B13" s="34">
        <v>19214</v>
      </c>
      <c r="C13" s="35">
        <f t="shared" si="0"/>
        <v>368</v>
      </c>
      <c r="D13" s="36">
        <v>19209288</v>
      </c>
      <c r="E13" s="35">
        <f t="shared" si="1"/>
        <v>3790</v>
      </c>
      <c r="F13" s="36">
        <v>34346611</v>
      </c>
      <c r="G13" s="35">
        <f t="shared" si="2"/>
        <v>7080</v>
      </c>
      <c r="H13" s="36">
        <v>15211708</v>
      </c>
      <c r="I13" s="35">
        <f t="shared" si="3"/>
        <v>2570</v>
      </c>
    </row>
    <row r="14" spans="1:20" ht="19.5">
      <c r="A14" s="33">
        <f t="shared" si="4"/>
        <v>44285</v>
      </c>
      <c r="B14" s="34">
        <v>19582</v>
      </c>
      <c r="C14" s="35">
        <f t="shared" si="0"/>
        <v>336</v>
      </c>
      <c r="D14" s="36">
        <v>19213078</v>
      </c>
      <c r="E14" s="35">
        <f t="shared" si="1"/>
        <v>3614</v>
      </c>
      <c r="F14" s="36">
        <v>34353691</v>
      </c>
      <c r="G14" s="35">
        <f t="shared" si="2"/>
        <v>6102</v>
      </c>
      <c r="H14" s="36">
        <v>15214278</v>
      </c>
      <c r="I14" s="35">
        <f t="shared" si="3"/>
        <v>2513</v>
      </c>
    </row>
    <row r="15" spans="1:20" ht="19.5">
      <c r="A15" s="33">
        <f t="shared" si="4"/>
        <v>44286</v>
      </c>
      <c r="B15" s="34">
        <v>19918</v>
      </c>
      <c r="C15" s="35">
        <f t="shared" si="0"/>
        <v>297</v>
      </c>
      <c r="D15" s="36">
        <v>19216692</v>
      </c>
      <c r="E15" s="35">
        <f t="shared" si="1"/>
        <v>3830</v>
      </c>
      <c r="F15" s="36">
        <v>34359793</v>
      </c>
      <c r="G15" s="35">
        <f t="shared" si="2"/>
        <v>6590</v>
      </c>
      <c r="H15" s="36">
        <v>15216791</v>
      </c>
      <c r="I15" s="35">
        <f t="shared" si="3"/>
        <v>2838</v>
      </c>
    </row>
    <row r="16" spans="1:20" ht="19.5">
      <c r="A16" s="33">
        <f t="shared" si="4"/>
        <v>44287</v>
      </c>
      <c r="B16" s="34">
        <v>20215</v>
      </c>
      <c r="C16" s="35">
        <f t="shared" si="0"/>
        <v>342</v>
      </c>
      <c r="D16" s="36">
        <v>19220522</v>
      </c>
      <c r="E16" s="35">
        <f t="shared" si="1"/>
        <v>3753</v>
      </c>
      <c r="F16" s="36">
        <v>34366383</v>
      </c>
      <c r="G16" s="35">
        <f t="shared" si="2"/>
        <v>7026</v>
      </c>
      <c r="H16" s="36">
        <v>15219629</v>
      </c>
      <c r="I16" s="35">
        <f t="shared" si="3"/>
        <v>3187</v>
      </c>
    </row>
    <row r="17" spans="1:9" ht="19.5">
      <c r="A17" s="33">
        <f t="shared" si="4"/>
        <v>44288</v>
      </c>
      <c r="B17" s="34">
        <v>20557</v>
      </c>
      <c r="C17" s="35">
        <f t="shared" si="0"/>
        <v>507</v>
      </c>
      <c r="D17" s="36">
        <v>19224275</v>
      </c>
      <c r="E17" s="35">
        <f t="shared" si="1"/>
        <v>3377</v>
      </c>
      <c r="F17" s="36">
        <v>34373409</v>
      </c>
      <c r="G17" s="35">
        <f t="shared" si="2"/>
        <v>8299</v>
      </c>
      <c r="H17" s="36">
        <v>15222816</v>
      </c>
      <c r="I17" s="35">
        <f t="shared" si="3"/>
        <v>3378</v>
      </c>
    </row>
    <row r="18" spans="1:9" ht="19.5">
      <c r="A18" s="33">
        <f t="shared" si="4"/>
        <v>44289</v>
      </c>
      <c r="B18" s="155">
        <v>21064</v>
      </c>
      <c r="C18" s="35">
        <f t="shared" si="0"/>
        <v>506</v>
      </c>
      <c r="D18" s="156">
        <v>19227652</v>
      </c>
      <c r="E18" s="35">
        <f t="shared" si="1"/>
        <v>3827</v>
      </c>
      <c r="F18" s="156">
        <v>34381708</v>
      </c>
      <c r="G18" s="35">
        <f t="shared" si="2"/>
        <v>8493</v>
      </c>
      <c r="H18" s="156">
        <v>15226194</v>
      </c>
      <c r="I18" s="35">
        <f t="shared" si="3"/>
        <v>4000</v>
      </c>
    </row>
    <row r="19" spans="1:9" ht="19.5">
      <c r="A19" s="33">
        <f t="shared" si="4"/>
        <v>44290</v>
      </c>
      <c r="B19" s="155">
        <v>21570</v>
      </c>
      <c r="C19" s="35">
        <f t="shared" si="0"/>
        <v>528</v>
      </c>
      <c r="D19" s="156">
        <v>19231479</v>
      </c>
      <c r="E19" s="35">
        <f t="shared" si="1"/>
        <v>4272</v>
      </c>
      <c r="F19" s="156">
        <v>34390201</v>
      </c>
      <c r="G19" s="35">
        <f t="shared" si="2"/>
        <v>7406</v>
      </c>
      <c r="H19" s="156">
        <v>15230194</v>
      </c>
      <c r="I19" s="35">
        <f t="shared" si="3"/>
        <v>3632</v>
      </c>
    </row>
    <row r="20" spans="1:9" ht="19.5">
      <c r="A20" s="33">
        <f t="shared" si="4"/>
        <v>44291</v>
      </c>
      <c r="B20" s="155">
        <v>22098</v>
      </c>
      <c r="C20" s="35">
        <f t="shared" si="0"/>
        <v>385</v>
      </c>
      <c r="D20" s="156">
        <v>19235751</v>
      </c>
      <c r="E20" s="35">
        <f t="shared" si="1"/>
        <v>4074</v>
      </c>
      <c r="F20" s="156">
        <v>34397607</v>
      </c>
      <c r="G20" s="35">
        <f t="shared" si="2"/>
        <v>7007</v>
      </c>
      <c r="H20" s="156">
        <v>15233826</v>
      </c>
      <c r="I20" s="35">
        <f t="shared" si="3"/>
        <v>3686</v>
      </c>
    </row>
    <row r="21" spans="1:9" ht="19.5">
      <c r="A21" s="33">
        <f t="shared" si="4"/>
        <v>44292</v>
      </c>
      <c r="B21" s="34">
        <v>22483</v>
      </c>
      <c r="C21" s="35">
        <f t="shared" si="0"/>
        <v>324</v>
      </c>
      <c r="D21" s="36">
        <v>19239825</v>
      </c>
      <c r="E21" s="35">
        <f t="shared" si="1"/>
        <v>3211</v>
      </c>
      <c r="F21" s="36">
        <v>34404614</v>
      </c>
      <c r="G21" s="35">
        <f t="shared" si="2"/>
        <v>5668</v>
      </c>
      <c r="H21" s="36">
        <v>15237512</v>
      </c>
      <c r="I21" s="35">
        <f t="shared" si="3"/>
        <v>2019</v>
      </c>
    </row>
    <row r="22" spans="1:9" ht="19.5">
      <c r="A22" s="33">
        <f t="shared" si="4"/>
        <v>44293</v>
      </c>
      <c r="B22" s="34">
        <v>22807</v>
      </c>
      <c r="C22" s="35">
        <f t="shared" si="0"/>
        <v>361</v>
      </c>
      <c r="D22" s="36">
        <v>19243036</v>
      </c>
      <c r="E22" s="35">
        <f t="shared" si="1"/>
        <v>2958</v>
      </c>
      <c r="F22" s="36">
        <v>34410282</v>
      </c>
      <c r="G22" s="35">
        <f t="shared" si="2"/>
        <v>5360</v>
      </c>
      <c r="H22" s="36">
        <v>15239531</v>
      </c>
      <c r="I22" s="35">
        <f t="shared" si="3"/>
        <v>1998</v>
      </c>
    </row>
    <row r="23" spans="1:9" ht="19.5">
      <c r="A23" s="33">
        <f t="shared" si="4"/>
        <v>44294</v>
      </c>
      <c r="B23" s="34">
        <v>23168</v>
      </c>
      <c r="C23" s="35">
        <f t="shared" si="0"/>
        <v>312</v>
      </c>
      <c r="D23" s="36">
        <v>19245994</v>
      </c>
      <c r="E23" s="35">
        <f t="shared" si="1"/>
        <v>2872</v>
      </c>
      <c r="F23" s="36">
        <v>34415642</v>
      </c>
      <c r="G23" s="35">
        <f t="shared" si="2"/>
        <v>5340</v>
      </c>
      <c r="H23" s="36">
        <v>15241529</v>
      </c>
      <c r="I23" s="35">
        <f t="shared" si="3"/>
        <v>2363</v>
      </c>
    </row>
    <row r="24" spans="1:9" ht="19.5">
      <c r="A24" s="33">
        <f t="shared" si="4"/>
        <v>44295</v>
      </c>
      <c r="B24" s="34">
        <v>23480</v>
      </c>
      <c r="C24" s="35">
        <f t="shared" si="0"/>
        <v>334</v>
      </c>
      <c r="D24" s="36">
        <v>19248866</v>
      </c>
      <c r="E24" s="35">
        <f t="shared" si="1"/>
        <v>3589</v>
      </c>
      <c r="F24" s="36">
        <v>34420982</v>
      </c>
      <c r="G24" s="35">
        <f t="shared" si="2"/>
        <v>6259</v>
      </c>
      <c r="H24" s="36">
        <v>15243892</v>
      </c>
      <c r="I24" s="35">
        <f t="shared" si="3"/>
        <v>3138</v>
      </c>
    </row>
    <row r="25" spans="1:9" ht="19.5">
      <c r="A25" s="33">
        <f t="shared" si="4"/>
        <v>44296</v>
      </c>
      <c r="B25" s="34">
        <v>23814</v>
      </c>
      <c r="C25" s="35">
        <f t="shared" si="0"/>
        <v>425</v>
      </c>
      <c r="D25" s="36">
        <v>19252455</v>
      </c>
      <c r="E25" s="35">
        <f t="shared" si="1"/>
        <v>3186</v>
      </c>
      <c r="F25" s="36">
        <v>34427241</v>
      </c>
      <c r="G25" s="35">
        <f t="shared" si="2"/>
        <v>5731</v>
      </c>
      <c r="H25" s="36">
        <v>15247030</v>
      </c>
      <c r="I25" s="35">
        <f t="shared" si="3"/>
        <v>2242</v>
      </c>
    </row>
    <row r="26" spans="1:9" ht="19.5">
      <c r="A26" s="33">
        <f t="shared" si="4"/>
        <v>44297</v>
      </c>
      <c r="B26" s="34">
        <v>24239</v>
      </c>
      <c r="C26" s="35">
        <f t="shared" si="0"/>
        <v>425</v>
      </c>
      <c r="D26" s="36">
        <v>19255641</v>
      </c>
      <c r="E26" s="35">
        <f t="shared" si="1"/>
        <v>3853</v>
      </c>
      <c r="F26" s="36">
        <v>34432972</v>
      </c>
      <c r="G26" s="35">
        <f t="shared" si="2"/>
        <v>5780</v>
      </c>
      <c r="H26" s="36">
        <v>15249272</v>
      </c>
      <c r="I26" s="35">
        <f t="shared" si="3"/>
        <v>2421</v>
      </c>
    </row>
    <row r="27" spans="1:9" ht="19.5">
      <c r="A27" s="33">
        <f t="shared" si="4"/>
        <v>44298</v>
      </c>
      <c r="B27" s="34">
        <v>24664</v>
      </c>
      <c r="C27" s="35">
        <f t="shared" si="0"/>
        <v>482</v>
      </c>
      <c r="D27" s="36">
        <v>19259494</v>
      </c>
      <c r="E27" s="35">
        <f t="shared" si="1"/>
        <v>3036</v>
      </c>
      <c r="F27" s="36">
        <v>34438752</v>
      </c>
      <c r="G27" s="35">
        <f t="shared" si="2"/>
        <v>5262</v>
      </c>
      <c r="H27" s="36">
        <v>15251693</v>
      </c>
      <c r="I27" s="35">
        <f t="shared" si="3"/>
        <v>2193</v>
      </c>
    </row>
    <row r="28" spans="1:9" ht="19.5">
      <c r="A28" s="33">
        <f t="shared" si="4"/>
        <v>44299</v>
      </c>
      <c r="B28" s="34">
        <v>25146</v>
      </c>
      <c r="C28" s="35">
        <f t="shared" si="0"/>
        <v>268</v>
      </c>
      <c r="D28" s="36">
        <v>19262530</v>
      </c>
      <c r="E28" s="35">
        <f t="shared" si="1"/>
        <v>2884</v>
      </c>
      <c r="F28" s="36">
        <v>34444014</v>
      </c>
      <c r="G28" s="35">
        <f t="shared" si="2"/>
        <v>5115</v>
      </c>
      <c r="H28" s="36">
        <v>15253886</v>
      </c>
      <c r="I28" s="35">
        <f t="shared" si="3"/>
        <v>2075</v>
      </c>
    </row>
    <row r="29" spans="1:9" ht="19.5">
      <c r="A29" s="33">
        <f t="shared" si="4"/>
        <v>44300</v>
      </c>
      <c r="B29" s="34">
        <v>25414</v>
      </c>
      <c r="C29" s="35">
        <f t="shared" si="0"/>
        <v>469</v>
      </c>
      <c r="D29" s="36">
        <v>19265414</v>
      </c>
      <c r="E29" s="35">
        <f t="shared" si="1"/>
        <v>3083</v>
      </c>
      <c r="F29" s="36">
        <v>34449129</v>
      </c>
      <c r="G29" s="35">
        <f t="shared" si="2"/>
        <v>4597</v>
      </c>
      <c r="H29" s="36">
        <v>15255961</v>
      </c>
      <c r="I29" s="35">
        <f t="shared" si="3"/>
        <v>2683</v>
      </c>
    </row>
    <row r="30" spans="1:9" ht="19.5">
      <c r="A30" s="33">
        <f t="shared" si="4"/>
        <v>44301</v>
      </c>
      <c r="B30" s="34">
        <v>25883</v>
      </c>
      <c r="C30" s="35">
        <f t="shared" si="0"/>
        <v>250</v>
      </c>
      <c r="D30" s="36">
        <v>19268497</v>
      </c>
      <c r="E30" s="35">
        <f t="shared" si="1"/>
        <v>2807</v>
      </c>
      <c r="F30" s="36">
        <v>34453726</v>
      </c>
      <c r="G30" s="35">
        <f t="shared" si="2"/>
        <v>6277</v>
      </c>
      <c r="H30" s="36">
        <v>15258644</v>
      </c>
      <c r="I30" s="35">
        <f t="shared" si="3"/>
        <v>2866</v>
      </c>
    </row>
    <row r="31" spans="1:9" ht="19.5">
      <c r="A31" s="33">
        <f t="shared" si="4"/>
        <v>44302</v>
      </c>
      <c r="B31" s="34">
        <v>26133</v>
      </c>
      <c r="C31" s="35">
        <f t="shared" si="0"/>
        <v>216</v>
      </c>
      <c r="D31" s="36">
        <v>19271304</v>
      </c>
      <c r="E31" s="35">
        <f t="shared" si="1"/>
        <v>2272</v>
      </c>
      <c r="F31" s="36">
        <v>34460003</v>
      </c>
      <c r="G31" s="35">
        <f t="shared" si="2"/>
        <v>4682</v>
      </c>
      <c r="H31" s="36">
        <v>15261510</v>
      </c>
      <c r="I31" s="35">
        <f t="shared" si="3"/>
        <v>1822</v>
      </c>
    </row>
    <row r="32" spans="1:9" ht="19.5">
      <c r="A32" s="33">
        <f t="shared" si="4"/>
        <v>44303</v>
      </c>
      <c r="B32" s="34">
        <v>26349</v>
      </c>
      <c r="C32" s="35">
        <f t="shared" si="0"/>
        <v>282</v>
      </c>
      <c r="D32" s="36">
        <v>19273576</v>
      </c>
      <c r="E32" s="35">
        <f t="shared" si="1"/>
        <v>2297</v>
      </c>
      <c r="F32" s="36">
        <v>34464685</v>
      </c>
      <c r="G32" s="35">
        <f t="shared" si="2"/>
        <v>4398</v>
      </c>
      <c r="H32" s="36">
        <v>15263332</v>
      </c>
      <c r="I32" s="35">
        <f t="shared" si="3"/>
        <v>2633</v>
      </c>
    </row>
    <row r="33" spans="1:9" ht="19.5">
      <c r="A33" s="33">
        <f t="shared" si="4"/>
        <v>44304</v>
      </c>
      <c r="B33" s="34">
        <v>26631</v>
      </c>
      <c r="C33" s="35">
        <f t="shared" si="0"/>
        <v>249</v>
      </c>
      <c r="D33" s="36">
        <v>19275873</v>
      </c>
      <c r="E33" s="35">
        <f t="shared" si="1"/>
        <v>2285</v>
      </c>
      <c r="F33" s="36">
        <v>34469083</v>
      </c>
      <c r="G33" s="35">
        <f t="shared" si="2"/>
        <v>4582</v>
      </c>
      <c r="H33" s="36">
        <v>15265965</v>
      </c>
      <c r="I33" s="35">
        <f t="shared" si="3"/>
        <v>1810</v>
      </c>
    </row>
    <row r="34" spans="1:9" ht="19.5">
      <c r="A34" s="33">
        <f t="shared" si="4"/>
        <v>44305</v>
      </c>
      <c r="B34" s="34">
        <v>26880</v>
      </c>
      <c r="C34" s="35">
        <f t="shared" si="0"/>
        <v>0</v>
      </c>
      <c r="D34" s="36">
        <v>19278158</v>
      </c>
      <c r="E34" s="35">
        <f t="shared" si="1"/>
        <v>0</v>
      </c>
      <c r="F34" s="36">
        <v>34473665</v>
      </c>
      <c r="G34" s="35">
        <f t="shared" si="2"/>
        <v>0</v>
      </c>
      <c r="H34" s="36">
        <v>15267775</v>
      </c>
      <c r="I34" s="35">
        <f t="shared" si="3"/>
        <v>0</v>
      </c>
    </row>
    <row r="35" spans="1:9" ht="19.5">
      <c r="A35" s="33">
        <f t="shared" si="4"/>
        <v>44306</v>
      </c>
      <c r="B35" s="34"/>
      <c r="C35" s="35">
        <f t="shared" ref="C18:C45" si="5">IF(B36&lt;B35,0,B36-B35)</f>
        <v>0</v>
      </c>
      <c r="D35" s="36"/>
      <c r="E35" s="35">
        <f t="shared" ref="E18:E45" si="6">IF(D36&lt;D35,0,D36-D35)</f>
        <v>0</v>
      </c>
      <c r="F35" s="36"/>
      <c r="G35" s="35">
        <f t="shared" ref="G18:G45" si="7">IF(F36&lt;F35,0,F36-F35)</f>
        <v>0</v>
      </c>
      <c r="H35" s="36"/>
      <c r="I35" s="35">
        <f t="shared" si="3"/>
        <v>0</v>
      </c>
    </row>
    <row r="36" spans="1:9" ht="19.5">
      <c r="A36" s="33">
        <f t="shared" si="4"/>
        <v>44307</v>
      </c>
      <c r="B36" s="34"/>
      <c r="C36" s="35">
        <f t="shared" si="5"/>
        <v>0</v>
      </c>
      <c r="D36" s="36"/>
      <c r="E36" s="35">
        <f t="shared" si="6"/>
        <v>0</v>
      </c>
      <c r="F36" s="36"/>
      <c r="G36" s="35">
        <f t="shared" si="7"/>
        <v>0</v>
      </c>
      <c r="H36" s="36"/>
      <c r="I36" s="35">
        <f t="shared" si="3"/>
        <v>0</v>
      </c>
    </row>
    <row r="37" spans="1:9" ht="19.5">
      <c r="A37" s="33">
        <f t="shared" si="4"/>
        <v>44308</v>
      </c>
      <c r="B37" s="34"/>
      <c r="C37" s="35">
        <f t="shared" si="5"/>
        <v>0</v>
      </c>
      <c r="D37" s="36"/>
      <c r="E37" s="35">
        <f t="shared" si="6"/>
        <v>0</v>
      </c>
      <c r="F37" s="36"/>
      <c r="G37" s="35">
        <f t="shared" si="7"/>
        <v>0</v>
      </c>
      <c r="H37" s="36"/>
      <c r="I37" s="35">
        <f t="shared" si="3"/>
        <v>0</v>
      </c>
    </row>
    <row r="38" spans="1:9" ht="19.5">
      <c r="A38" s="33">
        <f t="shared" si="4"/>
        <v>44309</v>
      </c>
      <c r="B38" s="34"/>
      <c r="C38" s="35">
        <f t="shared" si="5"/>
        <v>0</v>
      </c>
      <c r="D38" s="36"/>
      <c r="E38" s="35">
        <f t="shared" si="6"/>
        <v>0</v>
      </c>
      <c r="F38" s="36"/>
      <c r="G38" s="35">
        <f t="shared" si="7"/>
        <v>0</v>
      </c>
      <c r="H38" s="36"/>
      <c r="I38" s="35">
        <f t="shared" si="3"/>
        <v>0</v>
      </c>
    </row>
    <row r="39" spans="1:9" ht="19.5">
      <c r="A39" s="33">
        <f t="shared" si="4"/>
        <v>44310</v>
      </c>
      <c r="B39" s="34"/>
      <c r="C39" s="35">
        <f t="shared" si="5"/>
        <v>0</v>
      </c>
      <c r="D39" s="36"/>
      <c r="E39" s="35">
        <f t="shared" si="6"/>
        <v>0</v>
      </c>
      <c r="F39" s="36"/>
      <c r="G39" s="35">
        <f t="shared" si="7"/>
        <v>0</v>
      </c>
      <c r="H39" s="36"/>
      <c r="I39" s="35">
        <f t="shared" si="3"/>
        <v>0</v>
      </c>
    </row>
    <row r="40" spans="1:9" ht="19.5">
      <c r="A40" s="33">
        <f t="shared" si="4"/>
        <v>44311</v>
      </c>
      <c r="B40" s="34"/>
      <c r="C40" s="35">
        <f t="shared" si="5"/>
        <v>0</v>
      </c>
      <c r="D40" s="36"/>
      <c r="E40" s="35">
        <f t="shared" si="6"/>
        <v>0</v>
      </c>
      <c r="F40" s="36"/>
      <c r="G40" s="35">
        <f t="shared" si="7"/>
        <v>0</v>
      </c>
      <c r="H40" s="36"/>
      <c r="I40" s="35">
        <f t="shared" si="3"/>
        <v>0</v>
      </c>
    </row>
    <row r="41" spans="1:9" ht="19.5">
      <c r="A41" s="33">
        <f t="shared" si="4"/>
        <v>44312</v>
      </c>
      <c r="B41" s="34"/>
      <c r="C41" s="35">
        <f t="shared" si="5"/>
        <v>0</v>
      </c>
      <c r="D41" s="36"/>
      <c r="E41" s="35">
        <f t="shared" si="6"/>
        <v>0</v>
      </c>
      <c r="F41" s="36"/>
      <c r="G41" s="35">
        <f t="shared" si="7"/>
        <v>0</v>
      </c>
      <c r="H41" s="36"/>
      <c r="I41" s="35">
        <f t="shared" si="3"/>
        <v>0</v>
      </c>
    </row>
    <row r="42" spans="1:9" ht="19.5">
      <c r="A42" s="33">
        <f t="shared" si="4"/>
        <v>44313</v>
      </c>
      <c r="B42" s="34"/>
      <c r="C42" s="35">
        <f t="shared" si="5"/>
        <v>0</v>
      </c>
      <c r="D42" s="36"/>
      <c r="E42" s="35">
        <f t="shared" si="6"/>
        <v>0</v>
      </c>
      <c r="F42" s="36"/>
      <c r="G42" s="35">
        <f t="shared" si="7"/>
        <v>0</v>
      </c>
      <c r="H42" s="36"/>
      <c r="I42" s="35">
        <f t="shared" si="3"/>
        <v>0</v>
      </c>
    </row>
    <row r="43" spans="1:9" ht="19.5">
      <c r="A43" s="33">
        <f t="shared" si="4"/>
        <v>44314</v>
      </c>
      <c r="B43" s="34"/>
      <c r="C43" s="35">
        <f t="shared" si="5"/>
        <v>0</v>
      </c>
      <c r="D43" s="36"/>
      <c r="E43" s="35">
        <f t="shared" si="6"/>
        <v>0</v>
      </c>
      <c r="F43" s="36"/>
      <c r="G43" s="35">
        <f t="shared" si="7"/>
        <v>0</v>
      </c>
      <c r="H43" s="36"/>
      <c r="I43" s="35">
        <f t="shared" si="3"/>
        <v>0</v>
      </c>
    </row>
    <row r="44" spans="1:9" ht="19.5">
      <c r="A44" s="33">
        <f t="shared" si="4"/>
        <v>44315</v>
      </c>
      <c r="B44" s="34"/>
      <c r="C44" s="35">
        <f t="shared" si="5"/>
        <v>0</v>
      </c>
      <c r="D44" s="36"/>
      <c r="E44" s="35">
        <f t="shared" si="6"/>
        <v>0</v>
      </c>
      <c r="F44" s="36"/>
      <c r="G44" s="35">
        <f t="shared" si="7"/>
        <v>0</v>
      </c>
      <c r="H44" s="36"/>
      <c r="I44" s="35">
        <f t="shared" si="3"/>
        <v>0</v>
      </c>
    </row>
    <row r="45" spans="1:9" ht="19.5">
      <c r="A45" s="33">
        <f t="shared" si="4"/>
        <v>44316</v>
      </c>
      <c r="B45" s="34"/>
      <c r="C45" s="35">
        <f t="shared" si="5"/>
        <v>0</v>
      </c>
      <c r="D45" s="36"/>
      <c r="E45" s="35">
        <f t="shared" si="6"/>
        <v>0</v>
      </c>
      <c r="F45" s="36"/>
      <c r="G45" s="35">
        <f t="shared" si="7"/>
        <v>0</v>
      </c>
      <c r="H45" s="36"/>
      <c r="I45" s="35">
        <f t="shared" si="3"/>
        <v>0</v>
      </c>
    </row>
    <row r="46" spans="1:9" ht="19.5">
      <c r="A46" s="33">
        <f t="shared" si="4"/>
        <v>44317</v>
      </c>
      <c r="B46" s="34"/>
      <c r="C46" s="35">
        <f t="shared" ref="C9:C47" si="8">IF(B47&lt;B46,0,B47-B46)</f>
        <v>0</v>
      </c>
      <c r="D46" s="36"/>
      <c r="E46" s="35">
        <f t="shared" ref="E14:E47" si="9">IF(D47&lt;D46,0,D47-D46)</f>
        <v>0</v>
      </c>
      <c r="F46" s="36"/>
      <c r="G46" s="35">
        <f t="shared" ref="G9:G47" si="10">IF(F47&lt;F46,0,F47-F46)</f>
        <v>0</v>
      </c>
      <c r="H46" s="36"/>
      <c r="I46" s="35">
        <f t="shared" si="3"/>
        <v>0</v>
      </c>
    </row>
    <row r="47" spans="1:9" ht="19.5">
      <c r="A47" s="33">
        <f t="shared" si="4"/>
        <v>44318</v>
      </c>
      <c r="B47" s="34"/>
      <c r="C47" s="35">
        <f t="shared" si="8"/>
        <v>0</v>
      </c>
      <c r="D47" s="36"/>
      <c r="E47" s="35">
        <f t="shared" si="9"/>
        <v>0</v>
      </c>
      <c r="F47" s="36"/>
      <c r="G47" s="35">
        <f t="shared" si="10"/>
        <v>0</v>
      </c>
      <c r="H47" s="36"/>
      <c r="I47" s="35">
        <f t="shared" si="3"/>
        <v>0</v>
      </c>
    </row>
    <row r="48" spans="1:9" ht="21.75" customHeight="1">
      <c r="A48" s="37"/>
      <c r="C48" s="35">
        <f>SUM(C16:C45)</f>
        <v>6665</v>
      </c>
      <c r="E48" s="35">
        <f>SUM(E16:E45)</f>
        <v>57636</v>
      </c>
      <c r="F48" s="47"/>
      <c r="G48" s="35">
        <f>SUM(G16:G45)</f>
        <v>107282</v>
      </c>
      <c r="H48" s="47"/>
      <c r="I48" s="35">
        <f>SUM(I16:I45)</f>
        <v>48146</v>
      </c>
    </row>
    <row r="49" spans="1:8" ht="24" customHeight="1" thickTop="1">
      <c r="A49" s="37"/>
      <c r="F49" s="47"/>
      <c r="G49" s="48"/>
      <c r="H49" s="47"/>
    </row>
    <row r="50" spans="1:8" ht="19.5">
      <c r="A50" s="26"/>
      <c r="F50" s="47"/>
      <c r="G50" s="48"/>
      <c r="H50" s="47"/>
    </row>
    <row r="51" spans="1:8" ht="19.5">
      <c r="A51" s="26"/>
      <c r="F51" s="47"/>
      <c r="G51" s="48"/>
      <c r="H51" s="47"/>
    </row>
    <row r="52" spans="1:8" ht="19.5">
      <c r="F52" s="47"/>
      <c r="G52" s="48"/>
      <c r="H52" s="47"/>
    </row>
    <row r="53" spans="1:8" ht="19.5">
      <c r="F53" s="47"/>
      <c r="G53" s="48"/>
      <c r="H53" s="47"/>
    </row>
    <row r="54" spans="1:8" ht="19.5">
      <c r="F54" s="47"/>
      <c r="G54" s="48"/>
      <c r="H54" s="47"/>
    </row>
    <row r="55" spans="1:8" ht="19.5">
      <c r="F55" s="47"/>
      <c r="G55" s="48"/>
      <c r="H55" s="47"/>
    </row>
    <row r="56" spans="1:8" ht="19.5">
      <c r="F56" s="47"/>
      <c r="G56" s="48"/>
      <c r="H56" s="47"/>
    </row>
    <row r="57" spans="1:8" ht="19.5">
      <c r="F57" s="47"/>
      <c r="G57" s="48"/>
      <c r="H57" s="47"/>
    </row>
    <row r="58" spans="1:8" ht="19.5">
      <c r="F58" s="47"/>
      <c r="G58" s="48"/>
      <c r="H58" s="47"/>
    </row>
    <row r="59" spans="1:8">
      <c r="F59" s="47"/>
      <c r="G59" s="47"/>
      <c r="H59" s="47"/>
    </row>
    <row r="60" spans="1:8">
      <c r="F60" s="47"/>
      <c r="G60" s="47"/>
      <c r="H60" s="47"/>
    </row>
    <row r="61" spans="1:8">
      <c r="F61" s="47"/>
      <c r="G61" s="47"/>
      <c r="H61" s="47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80" priority="1430" stopIfTrue="1" operator="lessThanOrEqual">
      <formula>0</formula>
    </cfRule>
  </conditionalFormatting>
  <conditionalFormatting sqref="C48">
    <cfRule type="cellIs" dxfId="79" priority="1092" stopIfTrue="1" operator="lessThanOrEqual">
      <formula>0</formula>
    </cfRule>
  </conditionalFormatting>
  <conditionalFormatting sqref="C48">
    <cfRule type="cellIs" dxfId="78" priority="1091" stopIfTrue="1" operator="lessThanOrEqual">
      <formula>0</formula>
    </cfRule>
  </conditionalFormatting>
  <conditionalFormatting sqref="C48">
    <cfRule type="cellIs" dxfId="77" priority="1090" stopIfTrue="1" operator="lessThanOrEqual">
      <formula>0</formula>
    </cfRule>
  </conditionalFormatting>
  <conditionalFormatting sqref="C48">
    <cfRule type="cellIs" dxfId="76" priority="1089" stopIfTrue="1" operator="lessThanOrEqual">
      <formula>0</formula>
    </cfRule>
  </conditionalFormatting>
  <conditionalFormatting sqref="C46:C47">
    <cfRule type="cellIs" dxfId="75" priority="136" stopIfTrue="1" operator="lessThanOrEqual">
      <formula>0</formula>
    </cfRule>
  </conditionalFormatting>
  <conditionalFormatting sqref="C46:C47">
    <cfRule type="cellIs" dxfId="74" priority="135" stopIfTrue="1" operator="lessThanOrEqual">
      <formula>0</formula>
    </cfRule>
  </conditionalFormatting>
  <conditionalFormatting sqref="C46:C47">
    <cfRule type="cellIs" dxfId="73" priority="134" stopIfTrue="1" operator="lessThanOrEqual">
      <formula>0</formula>
    </cfRule>
  </conditionalFormatting>
  <conditionalFormatting sqref="C46:C47">
    <cfRule type="cellIs" dxfId="72" priority="133" stopIfTrue="1" operator="lessThanOrEqual">
      <formula>0</formula>
    </cfRule>
  </conditionalFormatting>
  <conditionalFormatting sqref="C35:C45">
    <cfRule type="cellIs" dxfId="71" priority="76" stopIfTrue="1" operator="lessThanOrEqual">
      <formula>0</formula>
    </cfRule>
  </conditionalFormatting>
  <conditionalFormatting sqref="C35:C45">
    <cfRule type="cellIs" dxfId="70" priority="75" stopIfTrue="1" operator="lessThanOrEqual">
      <formula>0</formula>
    </cfRule>
  </conditionalFormatting>
  <conditionalFormatting sqref="C35:C45">
    <cfRule type="cellIs" dxfId="69" priority="74" stopIfTrue="1" operator="lessThanOrEqual">
      <formula>0</formula>
    </cfRule>
  </conditionalFormatting>
  <conditionalFormatting sqref="C35:C45">
    <cfRule type="cellIs" dxfId="68" priority="73" stopIfTrue="1" operator="lessThanOrEqual">
      <formula>0</formula>
    </cfRule>
  </conditionalFormatting>
  <conditionalFormatting sqref="C9:C11">
    <cfRule type="cellIs" dxfId="67" priority="72" stopIfTrue="1" operator="lessThanOrEqual">
      <formula>0</formula>
    </cfRule>
  </conditionalFormatting>
  <conditionalFormatting sqref="C9:C11">
    <cfRule type="cellIs" dxfId="66" priority="71" stopIfTrue="1" operator="lessThanOrEqual">
      <formula>0</formula>
    </cfRule>
  </conditionalFormatting>
  <conditionalFormatting sqref="C9:C11">
    <cfRule type="cellIs" dxfId="65" priority="70" stopIfTrue="1" operator="lessThanOrEqual">
      <formula>0</formula>
    </cfRule>
  </conditionalFormatting>
  <conditionalFormatting sqref="C9:C11">
    <cfRule type="cellIs" dxfId="64" priority="69" stopIfTrue="1" operator="lessThanOrEqual">
      <formula>0</formula>
    </cfRule>
  </conditionalFormatting>
  <conditionalFormatting sqref="C12">
    <cfRule type="cellIs" dxfId="63" priority="68" stopIfTrue="1" operator="lessThanOrEqual">
      <formula>0</formula>
    </cfRule>
  </conditionalFormatting>
  <conditionalFormatting sqref="C12">
    <cfRule type="cellIs" dxfId="62" priority="67" stopIfTrue="1" operator="lessThanOrEqual">
      <formula>0</formula>
    </cfRule>
  </conditionalFormatting>
  <conditionalFormatting sqref="C12">
    <cfRule type="cellIs" dxfId="61" priority="66" stopIfTrue="1" operator="lessThanOrEqual">
      <formula>0</formula>
    </cfRule>
  </conditionalFormatting>
  <conditionalFormatting sqref="C12">
    <cfRule type="cellIs" dxfId="60" priority="65" stopIfTrue="1" operator="lessThanOrEqual">
      <formula>0</formula>
    </cfRule>
  </conditionalFormatting>
  <conditionalFormatting sqref="C13:C14">
    <cfRule type="cellIs" dxfId="59" priority="64" stopIfTrue="1" operator="lessThanOrEqual">
      <formula>0</formula>
    </cfRule>
  </conditionalFormatting>
  <conditionalFormatting sqref="C13:C14">
    <cfRule type="cellIs" dxfId="58" priority="63" stopIfTrue="1" operator="lessThanOrEqual">
      <formula>0</formula>
    </cfRule>
  </conditionalFormatting>
  <conditionalFormatting sqref="C13:C14">
    <cfRule type="cellIs" dxfId="57" priority="62" stopIfTrue="1" operator="lessThanOrEqual">
      <formula>0</formula>
    </cfRule>
  </conditionalFormatting>
  <conditionalFormatting sqref="C13:C14">
    <cfRule type="cellIs" dxfId="56" priority="61" stopIfTrue="1" operator="lessThanOrEqual">
      <formula>0</formula>
    </cfRule>
  </conditionalFormatting>
  <conditionalFormatting sqref="C15">
    <cfRule type="cellIs" dxfId="55" priority="60" stopIfTrue="1" operator="lessThanOrEqual">
      <formula>0</formula>
    </cfRule>
  </conditionalFormatting>
  <conditionalFormatting sqref="C15">
    <cfRule type="cellIs" dxfId="54" priority="59" stopIfTrue="1" operator="lessThanOrEqual">
      <formula>0</formula>
    </cfRule>
  </conditionalFormatting>
  <conditionalFormatting sqref="C15">
    <cfRule type="cellIs" dxfId="53" priority="58" stopIfTrue="1" operator="lessThanOrEqual">
      <formula>0</formula>
    </cfRule>
  </conditionalFormatting>
  <conditionalFormatting sqref="C15">
    <cfRule type="cellIs" dxfId="52" priority="57" stopIfTrue="1" operator="lessThanOrEqual">
      <formula>0</formula>
    </cfRule>
  </conditionalFormatting>
  <conditionalFormatting sqref="C16:C19">
    <cfRule type="cellIs" dxfId="51" priority="56" stopIfTrue="1" operator="lessThanOrEqual">
      <formula>0</formula>
    </cfRule>
  </conditionalFormatting>
  <conditionalFormatting sqref="C16:C19">
    <cfRule type="cellIs" dxfId="50" priority="55" stopIfTrue="1" operator="lessThanOrEqual">
      <formula>0</formula>
    </cfRule>
  </conditionalFormatting>
  <conditionalFormatting sqref="C16:C19">
    <cfRule type="cellIs" dxfId="49" priority="54" stopIfTrue="1" operator="lessThanOrEqual">
      <formula>0</formula>
    </cfRule>
  </conditionalFormatting>
  <conditionalFormatting sqref="C16:C19">
    <cfRule type="cellIs" dxfId="48" priority="53" stopIfTrue="1" operator="lessThanOrEqual">
      <formula>0</formula>
    </cfRule>
  </conditionalFormatting>
  <conditionalFormatting sqref="E48">
    <cfRule type="cellIs" dxfId="47" priority="52" stopIfTrue="1" operator="lessThanOrEqual">
      <formula>0</formula>
    </cfRule>
  </conditionalFormatting>
  <conditionalFormatting sqref="E48">
    <cfRule type="cellIs" dxfId="46" priority="51" stopIfTrue="1" operator="lessThanOrEqual">
      <formula>0</formula>
    </cfRule>
  </conditionalFormatting>
  <conditionalFormatting sqref="E48">
    <cfRule type="cellIs" dxfId="45" priority="50" stopIfTrue="1" operator="lessThanOrEqual">
      <formula>0</formula>
    </cfRule>
  </conditionalFormatting>
  <conditionalFormatting sqref="E48">
    <cfRule type="cellIs" dxfId="44" priority="49" stopIfTrue="1" operator="lessThanOrEqual">
      <formula>0</formula>
    </cfRule>
  </conditionalFormatting>
  <conditionalFormatting sqref="G48">
    <cfRule type="cellIs" dxfId="43" priority="48" stopIfTrue="1" operator="lessThanOrEqual">
      <formula>0</formula>
    </cfRule>
  </conditionalFormatting>
  <conditionalFormatting sqref="G48">
    <cfRule type="cellIs" dxfId="42" priority="47" stopIfTrue="1" operator="lessThanOrEqual">
      <formula>0</formula>
    </cfRule>
  </conditionalFormatting>
  <conditionalFormatting sqref="G48">
    <cfRule type="cellIs" dxfId="41" priority="46" stopIfTrue="1" operator="lessThanOrEqual">
      <formula>0</formula>
    </cfRule>
  </conditionalFormatting>
  <conditionalFormatting sqref="G48">
    <cfRule type="cellIs" dxfId="40" priority="45" stopIfTrue="1" operator="lessThanOrEqual">
      <formula>0</formula>
    </cfRule>
  </conditionalFormatting>
  <conditionalFormatting sqref="I48">
    <cfRule type="cellIs" dxfId="39" priority="44" stopIfTrue="1" operator="lessThanOrEqual">
      <formula>0</formula>
    </cfRule>
  </conditionalFormatting>
  <conditionalFormatting sqref="I48">
    <cfRule type="cellIs" dxfId="38" priority="43" stopIfTrue="1" operator="lessThanOrEqual">
      <formula>0</formula>
    </cfRule>
  </conditionalFormatting>
  <conditionalFormatting sqref="I48">
    <cfRule type="cellIs" dxfId="37" priority="42" stopIfTrue="1" operator="lessThanOrEqual">
      <formula>0</formula>
    </cfRule>
  </conditionalFormatting>
  <conditionalFormatting sqref="I48">
    <cfRule type="cellIs" dxfId="36" priority="41" stopIfTrue="1" operator="lessThanOrEqual">
      <formula>0</formula>
    </cfRule>
  </conditionalFormatting>
  <conditionalFormatting sqref="C20">
    <cfRule type="cellIs" dxfId="35" priority="40" stopIfTrue="1" operator="lessThanOrEqual">
      <formula>0</formula>
    </cfRule>
  </conditionalFormatting>
  <conditionalFormatting sqref="C20">
    <cfRule type="cellIs" dxfId="34" priority="39" stopIfTrue="1" operator="lessThanOrEqual">
      <formula>0</formula>
    </cfRule>
  </conditionalFormatting>
  <conditionalFormatting sqref="C20">
    <cfRule type="cellIs" dxfId="33" priority="38" stopIfTrue="1" operator="lessThanOrEqual">
      <formula>0</formula>
    </cfRule>
  </conditionalFormatting>
  <conditionalFormatting sqref="C20">
    <cfRule type="cellIs" dxfId="32" priority="37" stopIfTrue="1" operator="lessThanOrEqual">
      <formula>0</formula>
    </cfRule>
  </conditionalFormatting>
  <conditionalFormatting sqref="C21">
    <cfRule type="cellIs" dxfId="31" priority="36" stopIfTrue="1" operator="lessThanOrEqual">
      <formula>0</formula>
    </cfRule>
  </conditionalFormatting>
  <conditionalFormatting sqref="C21">
    <cfRule type="cellIs" dxfId="30" priority="35" stopIfTrue="1" operator="lessThanOrEqual">
      <formula>0</formula>
    </cfRule>
  </conditionalFormatting>
  <conditionalFormatting sqref="C21">
    <cfRule type="cellIs" dxfId="29" priority="34" stopIfTrue="1" operator="lessThanOrEqual">
      <formula>0</formula>
    </cfRule>
  </conditionalFormatting>
  <conditionalFormatting sqref="C21">
    <cfRule type="cellIs" dxfId="28" priority="33" stopIfTrue="1" operator="lessThanOrEqual">
      <formula>0</formula>
    </cfRule>
  </conditionalFormatting>
  <conditionalFormatting sqref="C22:C25">
    <cfRule type="cellIs" dxfId="27" priority="28" stopIfTrue="1" operator="lessThanOrEqual">
      <formula>0</formula>
    </cfRule>
  </conditionalFormatting>
  <conditionalFormatting sqref="C22:C25">
    <cfRule type="cellIs" dxfId="26" priority="27" stopIfTrue="1" operator="lessThanOrEqual">
      <formula>0</formula>
    </cfRule>
  </conditionalFormatting>
  <conditionalFormatting sqref="C22:C25">
    <cfRule type="cellIs" dxfId="25" priority="26" stopIfTrue="1" operator="lessThanOrEqual">
      <formula>0</formula>
    </cfRule>
  </conditionalFormatting>
  <conditionalFormatting sqref="C22:C25">
    <cfRule type="cellIs" dxfId="24" priority="25" stopIfTrue="1" operator="lessThanOrEqual">
      <formula>0</formula>
    </cfRule>
  </conditionalFormatting>
  <conditionalFormatting sqref="C26">
    <cfRule type="cellIs" dxfId="23" priority="24" stopIfTrue="1" operator="lessThanOrEqual">
      <formula>0</formula>
    </cfRule>
  </conditionalFormatting>
  <conditionalFormatting sqref="C26">
    <cfRule type="cellIs" dxfId="22" priority="23" stopIfTrue="1" operator="lessThanOrEqual">
      <formula>0</formula>
    </cfRule>
  </conditionalFormatting>
  <conditionalFormatting sqref="C26">
    <cfRule type="cellIs" dxfId="21" priority="22" stopIfTrue="1" operator="lessThanOrEqual">
      <formula>0</formula>
    </cfRule>
  </conditionalFormatting>
  <conditionalFormatting sqref="C26">
    <cfRule type="cellIs" dxfId="20" priority="21" stopIfTrue="1" operator="lessThanOrEqual">
      <formula>0</formula>
    </cfRule>
  </conditionalFormatting>
  <conditionalFormatting sqref="C27">
    <cfRule type="cellIs" dxfId="19" priority="20" stopIfTrue="1" operator="lessThanOrEqual">
      <formula>0</formula>
    </cfRule>
  </conditionalFormatting>
  <conditionalFormatting sqref="C27">
    <cfRule type="cellIs" dxfId="18" priority="19" stopIfTrue="1" operator="lessThanOrEqual">
      <formula>0</formula>
    </cfRule>
  </conditionalFormatting>
  <conditionalFormatting sqref="C27">
    <cfRule type="cellIs" dxfId="17" priority="18" stopIfTrue="1" operator="lessThanOrEqual">
      <formula>0</formula>
    </cfRule>
  </conditionalFormatting>
  <conditionalFormatting sqref="C27">
    <cfRule type="cellIs" dxfId="16" priority="17" stopIfTrue="1" operator="lessThanOrEqual">
      <formula>0</formula>
    </cfRule>
  </conditionalFormatting>
  <conditionalFormatting sqref="C28:C29">
    <cfRule type="cellIs" dxfId="15" priority="16" stopIfTrue="1" operator="lessThanOrEqual">
      <formula>0</formula>
    </cfRule>
  </conditionalFormatting>
  <conditionalFormatting sqref="C28:C29">
    <cfRule type="cellIs" dxfId="14" priority="15" stopIfTrue="1" operator="lessThanOrEqual">
      <formula>0</formula>
    </cfRule>
  </conditionalFormatting>
  <conditionalFormatting sqref="C28:C29">
    <cfRule type="cellIs" dxfId="13" priority="14" stopIfTrue="1" operator="lessThanOrEqual">
      <formula>0</formula>
    </cfRule>
  </conditionalFormatting>
  <conditionalFormatting sqref="C28:C29">
    <cfRule type="cellIs" dxfId="12" priority="13" stopIfTrue="1" operator="lessThanOrEqual">
      <formula>0</formula>
    </cfRule>
  </conditionalFormatting>
  <conditionalFormatting sqref="C30:C32">
    <cfRule type="cellIs" dxfId="11" priority="12" stopIfTrue="1" operator="lessThanOrEqual">
      <formula>0</formula>
    </cfRule>
  </conditionalFormatting>
  <conditionalFormatting sqref="C30:C32">
    <cfRule type="cellIs" dxfId="10" priority="11" stopIfTrue="1" operator="lessThanOrEqual">
      <formula>0</formula>
    </cfRule>
  </conditionalFormatting>
  <conditionalFormatting sqref="C30:C32">
    <cfRule type="cellIs" dxfId="9" priority="10" stopIfTrue="1" operator="lessThanOrEqual">
      <formula>0</formula>
    </cfRule>
  </conditionalFormatting>
  <conditionalFormatting sqref="C30:C32">
    <cfRule type="cellIs" dxfId="8" priority="9" stopIfTrue="1" operator="lessThanOrEqual">
      <formula>0</formula>
    </cfRule>
  </conditionalFormatting>
  <conditionalFormatting sqref="C33">
    <cfRule type="cellIs" dxfId="7" priority="8" stopIfTrue="1" operator="lessThanOrEqual">
      <formula>0</formula>
    </cfRule>
  </conditionalFormatting>
  <conditionalFormatting sqref="C33">
    <cfRule type="cellIs" dxfId="6" priority="7" stopIfTrue="1" operator="lessThanOrEqual">
      <formula>0</formula>
    </cfRule>
  </conditionalFormatting>
  <conditionalFormatting sqref="C33">
    <cfRule type="cellIs" dxfId="5" priority="6" stopIfTrue="1" operator="lessThanOrEqual">
      <formula>0</formula>
    </cfRule>
  </conditionalFormatting>
  <conditionalFormatting sqref="C33">
    <cfRule type="cellIs" dxfId="4" priority="5" stopIfTrue="1" operator="lessThanOrEqual">
      <formula>0</formula>
    </cfRule>
  </conditionalFormatting>
  <conditionalFormatting sqref="C34">
    <cfRule type="cellIs" dxfId="3" priority="4" stopIfTrue="1" operator="lessThanOrEqual">
      <formula>0</formula>
    </cfRule>
  </conditionalFormatting>
  <conditionalFormatting sqref="C34">
    <cfRule type="cellIs" dxfId="2" priority="3" stopIfTrue="1" operator="lessThanOrEqual">
      <formula>0</formula>
    </cfRule>
  </conditionalFormatting>
  <conditionalFormatting sqref="C34">
    <cfRule type="cellIs" dxfId="1" priority="2" stopIfTrue="1" operator="lessThanOrEqual">
      <formula>0</formula>
    </cfRule>
  </conditionalFormatting>
  <conditionalFormatting sqref="C34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35F0EEA1B0E244942E636686C7AE40" ma:contentTypeVersion="12" ma:contentTypeDescription="Create a new document." ma:contentTypeScope="" ma:versionID="eaa115c0ecfd6acf91c265669388fb18">
  <xsd:schema xmlns:xsd="http://www.w3.org/2001/XMLSchema" xmlns:xs="http://www.w3.org/2001/XMLSchema" xmlns:p="http://schemas.microsoft.com/office/2006/metadata/properties" xmlns:ns2="7a5664f0-f44a-407c-bcfb-1dc3733a2a4d" xmlns:ns3="815259c7-1489-43a8-a41d-eb332cce8965" targetNamespace="http://schemas.microsoft.com/office/2006/metadata/properties" ma:root="true" ma:fieldsID="6bc4fe0e71d1e6a8c009ac1c22e9013c" ns2:_="" ns3:_="">
    <xsd:import namespace="7a5664f0-f44a-407c-bcfb-1dc3733a2a4d"/>
    <xsd:import namespace="815259c7-1489-43a8-a41d-eb332cce89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5664f0-f44a-407c-bcfb-1dc3733a2a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59c7-1489-43a8-a41d-eb332cce89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B19898-29D9-40FA-837A-5D7F2F24C0A0}"/>
</file>

<file path=customXml/itemProps2.xml><?xml version="1.0" encoding="utf-8"?>
<ds:datastoreItem xmlns:ds="http://schemas.openxmlformats.org/officeDocument/2006/customXml" ds:itemID="{19514F25-C294-40C2-A953-50BB6872018A}"/>
</file>

<file path=customXml/itemProps3.xml><?xml version="1.0" encoding="utf-8"?>
<ds:datastoreItem xmlns:ds="http://schemas.openxmlformats.org/officeDocument/2006/customXml" ds:itemID="{3A47A9EB-F5A8-49A5-9CF2-E69D2BDAB3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/>
  <cp:revision/>
  <dcterms:created xsi:type="dcterms:W3CDTF">1996-10-21T11:03:58Z</dcterms:created>
  <dcterms:modified xsi:type="dcterms:W3CDTF">2021-04-19T18:49:53Z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0x010100C535F0EEA1B0E244942E636686C7AE40</vt:lpwstr>
  </property>
</Properties>
</file>