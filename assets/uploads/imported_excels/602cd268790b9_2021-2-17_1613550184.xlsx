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59" documentId="8_{5B502D95-7A37-4D5A-8B6B-374537CC2F26}" xr6:coauthVersionLast="46" xr6:coauthVersionMax="46" xr10:uidLastSave="{F6981C08-A561-441B-92DC-DEF79FDCE663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6" l="1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P5" i="4"/>
  <c r="P6" i="4"/>
  <c r="P7" i="4"/>
  <c r="P8" i="4"/>
  <c r="P9" i="4"/>
  <c r="P10" i="4"/>
  <c r="P11" i="4"/>
  <c r="P12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K18" i="6"/>
  <c r="I18" i="6"/>
  <c r="G18" i="6"/>
  <c r="E18" i="6"/>
  <c r="C18" i="6"/>
  <c r="K17" i="6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K34" i="6"/>
  <c r="N35" i="2" s="1"/>
  <c r="I34" i="6"/>
  <c r="M35" i="2" s="1"/>
  <c r="G34" i="6"/>
  <c r="L35" i="2" s="1"/>
  <c r="E34" i="6"/>
  <c r="F35" i="2" s="1"/>
  <c r="C34" i="6"/>
  <c r="P40" i="4"/>
  <c r="K33" i="6"/>
  <c r="N34" i="2" s="1"/>
  <c r="I33" i="6"/>
  <c r="M34" i="2" s="1"/>
  <c r="G33" i="6"/>
  <c r="L34" i="2" s="1"/>
  <c r="E33" i="6"/>
  <c r="F34" i="2" s="1"/>
  <c r="C33" i="6"/>
  <c r="K31" i="6"/>
  <c r="N32" i="2" s="1"/>
  <c r="K32" i="6"/>
  <c r="N33" i="2" s="1"/>
  <c r="I31" i="6"/>
  <c r="M32" i="2" s="1"/>
  <c r="I32" i="6"/>
  <c r="M33" i="2" s="1"/>
  <c r="G31" i="6"/>
  <c r="L32" i="2" s="1"/>
  <c r="G32" i="6"/>
  <c r="L33" i="2" s="1"/>
  <c r="E31" i="6"/>
  <c r="F32" i="2" s="1"/>
  <c r="E32" i="6"/>
  <c r="F33" i="2" s="1"/>
  <c r="C32" i="6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O23" i="2" s="1"/>
  <c r="F23" i="2"/>
  <c r="N22" i="2"/>
  <c r="M22" i="2"/>
  <c r="L22" i="2"/>
  <c r="F22" i="2"/>
  <c r="N21" i="2"/>
  <c r="M21" i="2"/>
  <c r="L21" i="2"/>
  <c r="F21" i="2"/>
  <c r="N18" i="2"/>
  <c r="N19" i="2"/>
  <c r="N20" i="2"/>
  <c r="M18" i="2"/>
  <c r="M19" i="2"/>
  <c r="M20" i="2"/>
  <c r="L18" i="2"/>
  <c r="L19" i="2"/>
  <c r="L20" i="2"/>
  <c r="F20" i="2"/>
  <c r="F18" i="2"/>
  <c r="F19" i="2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V15" i="2"/>
  <c r="G7" i="22"/>
  <c r="V14" i="2" l="1"/>
  <c r="V13" i="2"/>
  <c r="V21" i="2"/>
  <c r="X21" i="2" s="1"/>
  <c r="V26" i="2"/>
  <c r="X26" i="2" s="1"/>
  <c r="V25" i="2"/>
  <c r="X25" i="2" s="1"/>
  <c r="V31" i="2"/>
  <c r="V32" i="2"/>
  <c r="V38" i="2"/>
  <c r="V17" i="2"/>
  <c r="V18" i="2"/>
  <c r="V30" i="2"/>
  <c r="V35" i="2"/>
  <c r="V27" i="2"/>
  <c r="V24" i="2"/>
  <c r="X24" i="2" s="1"/>
  <c r="V36" i="2"/>
  <c r="V33" i="2"/>
  <c r="V20" i="2"/>
  <c r="X20" i="2" s="1"/>
  <c r="V22" i="2"/>
  <c r="X22" i="2" s="1"/>
  <c r="V34" i="2"/>
  <c r="V37" i="2"/>
  <c r="V16" i="2"/>
  <c r="V19" i="2"/>
  <c r="X19" i="2" s="1"/>
  <c r="V23" i="2"/>
  <c r="X23" i="2" s="1"/>
  <c r="V29" i="2"/>
  <c r="V28" i="2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V11" i="2"/>
  <c r="I4" i="4"/>
  <c r="L4" i="4"/>
  <c r="N4" i="4" s="1"/>
  <c r="G25" i="4"/>
  <c r="E25" i="4"/>
  <c r="C25" i="4"/>
  <c r="G24" i="4"/>
  <c r="E24" i="4"/>
  <c r="C24" i="4"/>
  <c r="E27" i="22"/>
  <c r="X39" i="2" l="1"/>
  <c r="G19" i="22"/>
  <c r="M19" i="22" s="1"/>
  <c r="G20" i="22"/>
  <c r="M20" i="22" s="1"/>
  <c r="G14" i="22"/>
  <c r="M14" i="22" s="1"/>
  <c r="G10" i="22"/>
  <c r="M10" i="22" s="1"/>
  <c r="G28" i="22"/>
  <c r="M28" i="22" s="1"/>
  <c r="G25" i="22"/>
  <c r="M25" i="22" s="1"/>
  <c r="G13" i="22"/>
  <c r="M13" i="22" s="1"/>
  <c r="G11" i="22"/>
  <c r="M11" i="22" s="1"/>
  <c r="G24" i="22"/>
  <c r="M24" i="22" s="1"/>
  <c r="G27" i="22"/>
  <c r="M27" i="22" s="1"/>
  <c r="G15" i="22"/>
  <c r="M15" i="22" s="1"/>
  <c r="G18" i="22"/>
  <c r="M18" i="22" s="1"/>
  <c r="G26" i="22"/>
  <c r="M26" i="22" s="1"/>
  <c r="G21" i="22"/>
  <c r="M21" i="22" s="1"/>
  <c r="G9" i="22"/>
  <c r="M9" i="22" s="1"/>
  <c r="G29" i="22"/>
  <c r="M2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<sst xmlns="http://schemas.openxmlformats.org/spreadsheetml/2006/main" count="474" uniqueCount="186">
  <si>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</si>
  <si>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</si>
  <si>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</si>
  <si>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</si>
  <si>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</si>
  <si>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</si>
  <si>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</si>
  <si>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</si>
  <si>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</si>
  <si>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</si>
  <si>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</si>
  <si>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</si>
  <si>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</si>
  <si>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</si>
  <si>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</si>
  <si>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</si>
  <si>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</si>
  <si>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</si>
  <si>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</si>
  <si>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</si>
  <si>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</si>
  <si>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</si>
  <si>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</si>
  <si>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</si>
  <si>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</si>
  <si>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</si>
  <si>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</si>
  <si>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</si>
  <si>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</si>
  <si>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</si>
  <si>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</si>
  <si>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</si>
  <si>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</si>
  <si>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</si>
  <si>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</si>
  <si>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</si>
  <si>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</si>
  <si>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</si>
  <si>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</si>
  <si>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</si>
  <si>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</si>
  <si>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</si>
  <si>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</si>
  <si>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</si>
  <si>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</si>
  <si>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</si>
  <si>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</si>
  <si>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</si>
  <si>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</si>
  <si>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</si>
  <si>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</si>
  <si>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</si>
  <si>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</si>
  <si>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</si>
  <si>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</si>
  <si>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</si>
  <si>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</si>
  <si>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</si>
  <si>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</si>
  <si>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</si>
  <si>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</si>
  <si>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</si>
  <si>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</si>
  <si>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</si>
  <si>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</si>
  <si>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</si>
  <si>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</si>
  <si>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</si>
  <si>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</si>
  <si>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</si>
  <si>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</si>
  <si>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</si>
  <si>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</si>
  <si>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</si>
  <si>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</si>
  <si>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</si>
  <si>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</si>
  <si>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</si>
  <si>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</si>
  <si>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</si>
  <si>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</si>
  <si>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</si>
  <si>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</si>
  <si>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</si>
  <si>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</si>
  <si>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</si>
  <si>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</si>
  <si>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</si>
  <si>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</si>
  <si>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</si>
  <si>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</si>
  <si>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</si>
  <si>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</si>
  <si>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</si>
  <si>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</si>
  <si>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</si>
  <si>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</si>
  <si>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</si>
  <si>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</si>
  <si>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</si>
  <si>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</si>
  <si>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</si>
  <si>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</si>
  <si>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</si>
  <si>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</si>
  <si>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</si>
  <si>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</si>
  <si>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</si>
  <si>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</si>
  <si>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</si>
  <si>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</si>
  <si>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</si>
  <si>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</si>
  <si>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</si>
  <si>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</si>
  <si>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</si>
  <si>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</si>
  <si>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</si>
  <si>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</si>
  <si>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</si>
  <si>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</si>
  <si>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</si>
  <si>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</si>
  <si>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</si>
  <si>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</si>
  <si>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</si>
  <si>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</si>
  <si>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</si>
  <si>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</si>
  <si>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</si>
  <si>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</si>
  <si>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16/2/2021</t>
  </si>
  <si>
    <t>17/2/2021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</si>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</sst>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191.99526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28</v>
      </c>
      <c r="L10" s="140">
        <f>'Consommation mensuel énergie'!E18</f>
        <v>36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7873</v>
      </c>
      <c r="F11" s="137">
        <v>1.05</v>
      </c>
      <c r="G11" s="137">
        <f>'Consommation mensuel énergie'!V20</f>
        <v>255.99368000000001</v>
      </c>
      <c r="H11" s="137">
        <v>8.6999999999999993</v>
      </c>
      <c r="I11" s="137">
        <f>'Consommation mensuel énergie'!F19</f>
        <v>32</v>
      </c>
      <c r="J11" s="137">
        <v>11.4</v>
      </c>
      <c r="K11" s="140">
        <f>'Consommation mensuel énergie'!D19</f>
        <v>33</v>
      </c>
      <c r="L11" s="140">
        <f>'Consommation mensuel énergie'!E19</f>
        <v>44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8194</v>
      </c>
      <c r="F12" s="137">
        <v>1.05</v>
      </c>
      <c r="G12" s="137">
        <f>'Consommation mensuel énergie'!V21</f>
        <v>639.98419999999999</v>
      </c>
      <c r="H12" s="137">
        <v>8.6999999999999993</v>
      </c>
      <c r="I12" s="137">
        <f>'Consommation mensuel énergie'!F20</f>
        <v>60.5</v>
      </c>
      <c r="J12" s="137">
        <v>11.4</v>
      </c>
      <c r="K12" s="140">
        <f>'Consommation mensuel énergie'!D20</f>
        <v>37</v>
      </c>
      <c r="L12" s="140">
        <f>'Consommation mensuel énergie'!E20</f>
        <v>56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7959</v>
      </c>
      <c r="F13" s="137">
        <v>1.05</v>
      </c>
      <c r="G13" s="137">
        <f>'Consommation mensuel énergie'!V22</f>
        <v>447.98894000000001</v>
      </c>
      <c r="H13" s="137">
        <v>8.6999999999999993</v>
      </c>
      <c r="I13" s="137">
        <f>'Consommation mensuel énergie'!F21</f>
        <v>68.399999999994179</v>
      </c>
      <c r="J13" s="137">
        <v>11.4</v>
      </c>
      <c r="K13" s="140">
        <f>'Consommation mensuel énergie'!D21</f>
        <v>35</v>
      </c>
      <c r="L13" s="140">
        <f>'Consommation mensuel énergie'!E21</f>
        <v>53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7715</v>
      </c>
      <c r="F14" s="137">
        <v>1.05</v>
      </c>
      <c r="G14" s="137">
        <f>'Consommation mensuel énergie'!V23</f>
        <v>767.98104000000001</v>
      </c>
      <c r="H14" s="137">
        <v>8.6999999999999993</v>
      </c>
      <c r="I14" s="137">
        <f>'Consommation mensuel énergie'!F22</f>
        <v>85.5</v>
      </c>
      <c r="J14" s="137">
        <v>11.4</v>
      </c>
      <c r="K14" s="140">
        <f>'Consommation mensuel énergie'!D22</f>
        <v>52</v>
      </c>
      <c r="L14" s="140">
        <f>'Consommation mensuel énergie'!E22</f>
        <v>86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8007</v>
      </c>
      <c r="F15" s="137">
        <v>1.05</v>
      </c>
      <c r="G15" s="137">
        <f>'Consommation mensuel énergie'!V24</f>
        <v>703.98262</v>
      </c>
      <c r="H15" s="137">
        <v>8.6999999999999993</v>
      </c>
      <c r="I15" s="137">
        <f>'Consommation mensuel énergie'!F23</f>
        <v>102.40000000000873</v>
      </c>
      <c r="J15" s="137">
        <v>11.4</v>
      </c>
      <c r="K15" s="140">
        <f>'Consommation mensuel énergie'!D23</f>
        <v>51</v>
      </c>
      <c r="L15" s="140">
        <f>'Consommation mensuel énergie'!E23</f>
        <v>78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7814</v>
      </c>
      <c r="F16" s="137">
        <v>1.05</v>
      </c>
      <c r="G16" s="137">
        <f>'Consommation mensuel énergie'!V25</f>
        <v>383.99052</v>
      </c>
      <c r="H16" s="137">
        <v>8.6999999999999993</v>
      </c>
      <c r="I16" s="137">
        <f>'Consommation mensuel énergie'!F24</f>
        <v>69.299999999988358</v>
      </c>
      <c r="J16" s="137">
        <v>11.4</v>
      </c>
      <c r="K16" s="140">
        <f>'Consommation mensuel énergie'!D24</f>
        <v>35</v>
      </c>
      <c r="L16" s="140">
        <f>'Consommation mensuel énergie'!E24</f>
        <v>50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8449</v>
      </c>
      <c r="F17" s="137">
        <v>1.05</v>
      </c>
      <c r="G17" s="137">
        <f>'Consommation mensuel énergie'!V26</f>
        <v>0</v>
      </c>
      <c r="H17" s="137">
        <v>8.6999999999999993</v>
      </c>
      <c r="I17" s="137">
        <f>'Consommation mensuel énergie'!F25</f>
        <v>87.200000000011642</v>
      </c>
      <c r="J17" s="137">
        <v>11.4</v>
      </c>
      <c r="K17" s="140">
        <f>'Consommation mensuel énergie'!D25</f>
        <v>50</v>
      </c>
      <c r="L17" s="140">
        <f>'Consommation mensuel énergie'!E25</f>
        <v>67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8027</v>
      </c>
      <c r="F18" s="137">
        <v>1.05</v>
      </c>
      <c r="G18" s="137">
        <f>'Consommation mensuel énergie'!V27</f>
        <v>0</v>
      </c>
      <c r="H18" s="137">
        <v>8.6999999999999993</v>
      </c>
      <c r="I18" s="137">
        <f>'Consommation mensuel énergie'!F26</f>
        <v>41.19999999999709</v>
      </c>
      <c r="J18" s="137">
        <v>11.4</v>
      </c>
      <c r="K18" s="140">
        <f>'Consommation mensuel énergie'!D26</f>
        <v>0</v>
      </c>
      <c r="L18" s="140">
        <f>'Consommation mensuel énergie'!E26</f>
        <v>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0</v>
      </c>
      <c r="F19" s="137">
        <v>1.05</v>
      </c>
      <c r="G19" s="137">
        <f>'Consommation mensuel énergie'!V28</f>
        <v>0</v>
      </c>
      <c r="H19" s="137">
        <v>8.6999999999999993</v>
      </c>
      <c r="I19" s="137">
        <f>'Consommation mensuel énergie'!F27</f>
        <v>0</v>
      </c>
      <c r="J19" s="137">
        <v>11.4</v>
      </c>
      <c r="K19" s="140">
        <f>'Consommation mensuel énergie'!D27</f>
        <v>0</v>
      </c>
      <c r="L19" s="140">
        <f>'Consommation mensuel énergie'!E27</f>
        <v>0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0</v>
      </c>
      <c r="F20" s="137">
        <v>1.05</v>
      </c>
      <c r="G20" s="137">
        <f>'Consommation mensuel énergie'!V29</f>
        <v>0</v>
      </c>
      <c r="H20" s="137">
        <v>8.6999999999999993</v>
      </c>
      <c r="I20" s="137">
        <f>'Consommation mensuel énergie'!F28</f>
        <v>0</v>
      </c>
      <c r="J20" s="137">
        <v>11.4</v>
      </c>
      <c r="K20" s="140">
        <f>'Consommation mensuel énergie'!D28</f>
        <v>0</v>
      </c>
      <c r="L20" s="140">
        <f>'Consommation mensuel énergie'!E28</f>
        <v>0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0</v>
      </c>
      <c r="F21" s="137">
        <v>1.05</v>
      </c>
      <c r="G21" s="137">
        <f>'Consommation mensuel énergie'!V30</f>
        <v>0</v>
      </c>
      <c r="H21" s="137">
        <v>8.6999999999999993</v>
      </c>
      <c r="I21" s="137">
        <f>'Consommation mensuel énergie'!F29</f>
        <v>0</v>
      </c>
      <c r="J21" s="137">
        <v>11.4</v>
      </c>
      <c r="K21" s="140">
        <f>'Consommation mensuel énergie'!D29</f>
        <v>0</v>
      </c>
      <c r="L21" s="140">
        <f>'Consommation mensuel énergie'!E29</f>
        <v>0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0</v>
      </c>
      <c r="F22" s="137">
        <v>1.05</v>
      </c>
      <c r="G22" s="137">
        <f>'Consommation mensuel énergie'!V31</f>
        <v>0</v>
      </c>
      <c r="H22" s="137">
        <v>8.6999999999999993</v>
      </c>
      <c r="I22" s="137">
        <f>'Consommation mensuel énergie'!F30</f>
        <v>0</v>
      </c>
      <c r="J22" s="137">
        <v>11.4</v>
      </c>
      <c r="K22" s="140">
        <f>'Consommation mensuel énergie'!D30</f>
        <v>0</v>
      </c>
      <c r="L22" s="140">
        <f>'Consommation mensuel énergie'!E30</f>
        <v>0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0</v>
      </c>
      <c r="F23" s="137">
        <v>1.05</v>
      </c>
      <c r="G23" s="137">
        <f>'Consommation mensuel énergie'!V32</f>
        <v>0</v>
      </c>
      <c r="H23" s="137">
        <v>8.6999999999999993</v>
      </c>
      <c r="I23" s="137">
        <f>'Consommation mensuel énergie'!F31</f>
        <v>0</v>
      </c>
      <c r="J23" s="137">
        <v>11.4</v>
      </c>
      <c r="K23" s="140">
        <f>'Consommation mensuel énergie'!D31</f>
        <v>0</v>
      </c>
      <c r="L23" s="140">
        <f>'Consommation mensuel énergie'!E31</f>
        <v>0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0</v>
      </c>
      <c r="F24" s="137">
        <v>1.05</v>
      </c>
      <c r="G24" s="137">
        <f>'Consommation mensuel énergie'!V33</f>
        <v>0</v>
      </c>
      <c r="H24" s="137">
        <v>8.6999999999999993</v>
      </c>
      <c r="I24" s="137">
        <f>'Consommation mensuel énergie'!F32</f>
        <v>0</v>
      </c>
      <c r="J24" s="137">
        <v>11.4</v>
      </c>
      <c r="K24" s="140">
        <f>'Consommation mensuel énergie'!D32</f>
        <v>0</v>
      </c>
      <c r="L24" s="140">
        <f>'Consommation mensuel énergie'!E32</f>
        <v>0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0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0</v>
      </c>
      <c r="J25" s="137">
        <v>11.4</v>
      </c>
      <c r="K25" s="140">
        <f>'Consommation mensuel énergie'!D33</f>
        <v>0</v>
      </c>
      <c r="L25" s="140">
        <f>'Consommation mensuel énergie'!E33</f>
        <v>0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0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0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28</v>
      </c>
      <c r="I10" s="140">
        <f>'Consommation mensuel énergie'!E18</f>
        <v>36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2658</v>
      </c>
      <c r="F11" s="140">
        <f>'Consommation mensuel énergie'!M19</f>
        <v>3622</v>
      </c>
      <c r="G11" s="140">
        <f>'Consommation mensuel énergie'!N19</f>
        <v>1593</v>
      </c>
      <c r="H11" s="140">
        <f>'Consommation mensuel énergie'!D19</f>
        <v>33</v>
      </c>
      <c r="I11" s="140">
        <f>'Consommation mensuel énergie'!E19</f>
        <v>44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2114</v>
      </c>
      <c r="F12" s="140">
        <f>'Consommation mensuel énergie'!M20</f>
        <v>4111</v>
      </c>
      <c r="G12" s="140">
        <f>'Consommation mensuel énergie'!N20</f>
        <v>1969</v>
      </c>
      <c r="H12" s="140">
        <f>'Consommation mensuel énergie'!D20</f>
        <v>37</v>
      </c>
      <c r="I12" s="140">
        <f>'Consommation mensuel énergie'!E20</f>
        <v>56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2618</v>
      </c>
      <c r="F13" s="140">
        <f>'Consommation mensuel énergie'!M21</f>
        <v>3760</v>
      </c>
      <c r="G13" s="140">
        <f>'Consommation mensuel énergie'!N21</f>
        <v>1581</v>
      </c>
      <c r="H13" s="140">
        <f>'Consommation mensuel énergie'!D21</f>
        <v>35</v>
      </c>
      <c r="I13" s="140">
        <f>'Consommation mensuel énergie'!E21</f>
        <v>53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2443</v>
      </c>
      <c r="F14" s="140">
        <f>'Consommation mensuel énergie'!M22</f>
        <v>3578</v>
      </c>
      <c r="G14" s="140">
        <f>'Consommation mensuel énergie'!N22</f>
        <v>1694</v>
      </c>
      <c r="H14" s="140">
        <f>'Consommation mensuel énergie'!D22</f>
        <v>52</v>
      </c>
      <c r="I14" s="140">
        <f>'Consommation mensuel énergie'!E22</f>
        <v>86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2543</v>
      </c>
      <c r="F15" s="140">
        <f>'Consommation mensuel énergie'!M23</f>
        <v>3614</v>
      </c>
      <c r="G15" s="140">
        <f>'Consommation mensuel énergie'!N23</f>
        <v>1850</v>
      </c>
      <c r="H15" s="140">
        <f>'Consommation mensuel énergie'!D23</f>
        <v>51</v>
      </c>
      <c r="I15" s="140">
        <f>'Consommation mensuel énergie'!E23</f>
        <v>78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2258</v>
      </c>
      <c r="F16" s="140">
        <f>'Consommation mensuel énergie'!M24</f>
        <v>3720</v>
      </c>
      <c r="G16" s="140">
        <f>'Consommation mensuel énergie'!N24</f>
        <v>1836</v>
      </c>
      <c r="H16" s="140">
        <f>'Consommation mensuel énergie'!D24</f>
        <v>35</v>
      </c>
      <c r="I16" s="140">
        <f>'Consommation mensuel énergie'!E24</f>
        <v>50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2497</v>
      </c>
      <c r="F17" s="140">
        <f>'Consommation mensuel énergie'!M25</f>
        <v>4039</v>
      </c>
      <c r="G17" s="140">
        <f>'Consommation mensuel énergie'!N25</f>
        <v>1913</v>
      </c>
      <c r="H17" s="140">
        <f>'Consommation mensuel énergie'!D25</f>
        <v>50</v>
      </c>
      <c r="I17" s="140">
        <f>'Consommation mensuel énergie'!E25</f>
        <v>67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2209</v>
      </c>
      <c r="F18" s="140">
        <f>'Consommation mensuel énergie'!M26</f>
        <v>3944</v>
      </c>
      <c r="G18" s="140">
        <f>'Consommation mensuel énergie'!N26</f>
        <v>1874</v>
      </c>
      <c r="H18" s="140">
        <f>'Consommation mensuel énergie'!D26</f>
        <v>0</v>
      </c>
      <c r="I18" s="140">
        <f>'Consommation mensuel énergie'!E26</f>
        <v>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0</v>
      </c>
      <c r="F19" s="140">
        <f>'Consommation mensuel énergie'!M27</f>
        <v>0</v>
      </c>
      <c r="G19" s="140">
        <f>'Consommation mensuel énergie'!N27</f>
        <v>0</v>
      </c>
      <c r="H19" s="140">
        <f>'Consommation mensuel énergie'!D27</f>
        <v>0</v>
      </c>
      <c r="I19" s="140">
        <f>'Consommation mensuel énergie'!E27</f>
        <v>0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0</v>
      </c>
      <c r="F20" s="140">
        <f>'Consommation mensuel énergie'!M28</f>
        <v>0</v>
      </c>
      <c r="G20" s="140">
        <f>'Consommation mensuel énergie'!N28</f>
        <v>0</v>
      </c>
      <c r="H20" s="140">
        <f>'Consommation mensuel énergie'!D28</f>
        <v>0</v>
      </c>
      <c r="I20" s="140">
        <f>'Consommation mensuel énergie'!E28</f>
        <v>0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0</v>
      </c>
      <c r="F21" s="140">
        <f>'Consommation mensuel énergie'!M29</f>
        <v>0</v>
      </c>
      <c r="G21" s="140">
        <f>'Consommation mensuel énergie'!N29</f>
        <v>0</v>
      </c>
      <c r="H21" s="140">
        <f>'Consommation mensuel énergie'!D29</f>
        <v>0</v>
      </c>
      <c r="I21" s="140">
        <f>'Consommation mensuel énergie'!E29</f>
        <v>0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0</v>
      </c>
      <c r="F22" s="140">
        <f>'Consommation mensuel énergie'!M30</f>
        <v>0</v>
      </c>
      <c r="G22" s="140">
        <f>'Consommation mensuel énergie'!N30</f>
        <v>0</v>
      </c>
      <c r="H22" s="140">
        <f>'Consommation mensuel énergie'!D30</f>
        <v>0</v>
      </c>
      <c r="I22" s="140">
        <f>'Consommation mensuel énergie'!E30</f>
        <v>0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0</v>
      </c>
      <c r="F23" s="140">
        <f>'Consommation mensuel énergie'!M31</f>
        <v>0</v>
      </c>
      <c r="G23" s="140">
        <f>'Consommation mensuel énergie'!N31</f>
        <v>0</v>
      </c>
      <c r="H23" s="140">
        <f>'Consommation mensuel énergie'!D31</f>
        <v>0</v>
      </c>
      <c r="I23" s="140">
        <f>'Consommation mensuel énergie'!E31</f>
        <v>0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0</v>
      </c>
      <c r="F24" s="140">
        <f>'Consommation mensuel énergie'!M32</f>
        <v>0</v>
      </c>
      <c r="G24" s="140">
        <f>'Consommation mensuel énergie'!N32</f>
        <v>0</v>
      </c>
      <c r="H24" s="140">
        <f>'Consommation mensuel énergie'!D32</f>
        <v>0</v>
      </c>
      <c r="I24" s="140">
        <f>'Consommation mensuel énergie'!E32</f>
        <v>0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0</v>
      </c>
      <c r="F25" s="140">
        <f>'Consommation mensuel énergie'!M33</f>
        <v>0</v>
      </c>
      <c r="G25" s="140">
        <f>'Consommation mensuel énergie'!N33</f>
        <v>0</v>
      </c>
      <c r="H25" s="140">
        <f>'Consommation mensuel énergie'!D33</f>
        <v>0</v>
      </c>
      <c r="I25" s="140">
        <f>'Consommation mensuel énergie'!E33</f>
        <v>0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0</v>
      </c>
      <c r="F26" s="140">
        <f>'Consommation mensuel énergie'!M34</f>
        <v>0</v>
      </c>
      <c r="G26" s="140">
        <f>'Consommation mensuel énergie'!N34</f>
        <v>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1" activePane="bottomRight" state="frozen"/>
      <selection pane="bottomRight" activeCell="E26" sqref="E2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</row>
    <row r="2" spans="1:24" ht="100.5" customHeight="1" thickBot="1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</row>
    <row r="4" spans="1:24" ht="39" hidden="1" customHeight="1" thickBot="1">
      <c r="A4" s="192"/>
      <c r="B4" s="192"/>
      <c r="C4" s="192"/>
      <c r="D4" s="169"/>
      <c r="E4" s="169"/>
      <c r="F4" s="169"/>
      <c r="G4" s="169"/>
      <c r="H4" s="169"/>
      <c r="I4" s="169"/>
      <c r="J4" s="169"/>
      <c r="K4" s="169"/>
      <c r="L4" s="16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2"/>
      <c r="B5" s="192"/>
      <c r="C5" s="192"/>
      <c r="D5" s="169"/>
      <c r="E5" s="169"/>
      <c r="F5" s="169"/>
      <c r="G5" s="169"/>
      <c r="H5" s="169"/>
      <c r="I5" s="169"/>
      <c r="J5" s="169"/>
      <c r="K5" s="169"/>
      <c r="L5" s="169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>
      <c r="A6" s="3"/>
      <c r="B6" s="3"/>
      <c r="C6" s="3"/>
      <c r="D6" s="169"/>
      <c r="E6" s="169"/>
      <c r="F6" s="169"/>
      <c r="G6" s="169"/>
      <c r="H6" s="169"/>
      <c r="I6" s="169"/>
      <c r="J6" s="169"/>
      <c r="K6" s="169"/>
      <c r="L6" s="169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>
      <c r="A7" s="169"/>
      <c r="B7" s="169"/>
      <c r="C7" s="169"/>
      <c r="D7" s="169"/>
      <c r="E7" s="169"/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>
      <c r="A8" s="193"/>
      <c r="B8" s="204" t="s">
        <v>19</v>
      </c>
      <c r="C8" s="4"/>
      <c r="D8" s="205" t="s">
        <v>20</v>
      </c>
      <c r="E8" s="205" t="s">
        <v>21</v>
      </c>
      <c r="F8" s="185" t="s">
        <v>22</v>
      </c>
      <c r="G8" s="2"/>
      <c r="H8" s="194" t="s">
        <v>23</v>
      </c>
      <c r="I8" s="195"/>
      <c r="J8" s="196"/>
      <c r="K8" s="187" t="s">
        <v>24</v>
      </c>
      <c r="L8" s="184" t="s">
        <v>25</v>
      </c>
      <c r="M8" s="184"/>
      <c r="N8" s="184"/>
      <c r="O8" s="184" t="s">
        <v>26</v>
      </c>
      <c r="P8" s="2"/>
      <c r="Q8" s="182" t="s">
        <v>23</v>
      </c>
      <c r="R8" s="2"/>
      <c r="S8" s="182" t="s">
        <v>27</v>
      </c>
      <c r="T8" s="2"/>
      <c r="U8" s="182" t="s">
        <v>28</v>
      </c>
      <c r="V8" s="207" t="s">
        <v>29</v>
      </c>
      <c r="W8" s="2"/>
      <c r="X8" s="182" t="s">
        <v>23</v>
      </c>
    </row>
    <row r="9" spans="1:24" ht="59.25" customHeight="1" thickBot="1">
      <c r="A9" s="193"/>
      <c r="B9" s="204"/>
      <c r="C9" s="4"/>
      <c r="D9" s="206"/>
      <c r="E9" s="206"/>
      <c r="F9" s="186"/>
      <c r="G9" s="2"/>
      <c r="H9" s="197"/>
      <c r="I9" s="198"/>
      <c r="J9" s="199"/>
      <c r="K9" s="188"/>
      <c r="L9" s="170" t="s">
        <v>30</v>
      </c>
      <c r="M9" s="170" t="s">
        <v>31</v>
      </c>
      <c r="N9" s="170" t="s">
        <v>32</v>
      </c>
      <c r="O9" s="203"/>
      <c r="P9" s="2"/>
      <c r="Q9" s="183"/>
      <c r="R9" s="2"/>
      <c r="S9" s="183"/>
      <c r="T9" s="2"/>
      <c r="U9" s="183"/>
      <c r="V9" s="208"/>
      <c r="W9" s="2"/>
      <c r="X9" s="183"/>
    </row>
    <row r="10" spans="1:24" ht="32.25" customHeigh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178">
        <f>F10*8.79</f>
        <v>912.40199999989761</v>
      </c>
      <c r="I10" s="179"/>
      <c r="J10" s="179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V10*9.8209</f>
        <v>3456.8714563789999</v>
      </c>
    </row>
    <row r="11" spans="1:24" ht="32.25" customHeigh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178">
        <f t="shared" ref="H11:H21" si="0">F11*8.79</f>
        <v>1145.3370000000255</v>
      </c>
      <c r="I11" s="179"/>
      <c r="J11" s="179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V11*9.8209</f>
        <v>4085.393539357</v>
      </c>
    </row>
    <row r="12" spans="1:24" ht="32.25" customHeigh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178">
        <f t="shared" si="0"/>
        <v>484.32900000005111</v>
      </c>
      <c r="I12" s="179"/>
      <c r="J12" s="179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3771.132497868</v>
      </c>
    </row>
    <row r="13" spans="1:24" ht="32.25" customHeigh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178">
        <f t="shared" si="0"/>
        <v>442.13700000002552</v>
      </c>
      <c r="I13" s="179"/>
      <c r="J13" s="179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3778.2612927600003</v>
      </c>
    </row>
    <row r="14" spans="1:24" ht="32.25" customHeigh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178">
        <f t="shared" si="0"/>
        <v>632.00099999994882</v>
      </c>
      <c r="I14" s="179"/>
      <c r="J14" s="179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3456.8714563789999</v>
      </c>
    </row>
    <row r="15" spans="1:24" ht="32.25" customHeight="1">
      <c r="A15" s="169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178">
        <f t="shared" si="0"/>
        <v>641.66999999999996</v>
      </c>
      <c r="I15" s="179"/>
      <c r="J15" s="179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4713.9156223350001</v>
      </c>
    </row>
    <row r="16" spans="1:24" ht="32.25" customHeight="1">
      <c r="A16" s="169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178">
        <f t="shared" si="0"/>
        <v>448.28999999999996</v>
      </c>
      <c r="I16" s="179"/>
      <c r="J16" s="179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5656.6987468019997</v>
      </c>
    </row>
    <row r="17" spans="1:24" s="5" customFormat="1" ht="32.25" customHeigh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178">
        <f t="shared" si="0"/>
        <v>597.71999999999991</v>
      </c>
      <c r="I17" s="179"/>
      <c r="J17" s="179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2199.8272904230002</v>
      </c>
    </row>
    <row r="18" spans="1:24" ht="32.25" customHeight="1">
      <c r="A18" s="2"/>
      <c r="B18" s="6">
        <v>44236</v>
      </c>
      <c r="C18" s="7"/>
      <c r="D18" s="146">
        <v>28</v>
      </c>
      <c r="E18" s="146">
        <v>36</v>
      </c>
      <c r="F18" s="13">
        <f>'Suivi EAU-ELEC'!E17</f>
        <v>64.80000000000291</v>
      </c>
      <c r="G18" s="11"/>
      <c r="H18" s="178">
        <f t="shared" si="0"/>
        <v>569.59200000002556</v>
      </c>
      <c r="I18" s="179"/>
      <c r="J18" s="179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287.99288999999999</v>
      </c>
      <c r="W18" s="11"/>
      <c r="X18" s="34">
        <f t="shared" si="1"/>
        <v>2828.3493734009999</v>
      </c>
    </row>
    <row r="19" spans="1:24" ht="32.25" customHeight="1">
      <c r="A19" s="2"/>
      <c r="B19" s="6">
        <v>44237</v>
      </c>
      <c r="C19" s="7"/>
      <c r="D19" s="146">
        <v>33</v>
      </c>
      <c r="E19" s="146">
        <v>44</v>
      </c>
      <c r="F19" s="13">
        <f>'Suivi EAU-ELEC'!E18</f>
        <v>32</v>
      </c>
      <c r="G19" s="12"/>
      <c r="H19" s="178">
        <f t="shared" si="0"/>
        <v>281.27999999999997</v>
      </c>
      <c r="I19" s="179"/>
      <c r="J19" s="179"/>
      <c r="K19" s="62">
        <v>42287</v>
      </c>
      <c r="L19" s="92">
        <f>'Suivi EAU-ELEC'!G18</f>
        <v>2658</v>
      </c>
      <c r="M19" s="93">
        <f>'Suivi EAU-ELEC'!I18</f>
        <v>3622</v>
      </c>
      <c r="N19" s="93">
        <f>'Suivi EAU-ELEC'!K18</f>
        <v>1593</v>
      </c>
      <c r="O19" s="93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52">
        <f>'Suvi Gaz'!O13</f>
        <v>191.99526</v>
      </c>
      <c r="W19" s="11"/>
      <c r="X19" s="34">
        <f t="shared" si="1"/>
        <v>1885.566248934</v>
      </c>
    </row>
    <row r="20" spans="1:24" ht="32.25" customHeight="1">
      <c r="A20" s="2"/>
      <c r="B20" s="6">
        <v>44238</v>
      </c>
      <c r="C20" s="7"/>
      <c r="D20" s="146">
        <v>37</v>
      </c>
      <c r="E20" s="146">
        <v>56</v>
      </c>
      <c r="F20" s="13">
        <f>'Suivi EAU-ELEC'!E19</f>
        <v>60.5</v>
      </c>
      <c r="G20" s="12"/>
      <c r="H20" s="178">
        <f t="shared" si="0"/>
        <v>531.79499999999996</v>
      </c>
      <c r="I20" s="179"/>
      <c r="J20" s="179"/>
      <c r="K20" s="62">
        <v>42288</v>
      </c>
      <c r="L20" s="92">
        <f>'Suivi EAU-ELEC'!G19</f>
        <v>2114</v>
      </c>
      <c r="M20" s="93">
        <f>'Suivi EAU-ELEC'!I19</f>
        <v>4111</v>
      </c>
      <c r="N20" s="93">
        <f>'Suivi EAU-ELEC'!K19</f>
        <v>1969</v>
      </c>
      <c r="O20" s="93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52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44239</v>
      </c>
      <c r="C21" s="7"/>
      <c r="D21" s="146">
        <v>35</v>
      </c>
      <c r="E21" s="146">
        <v>53</v>
      </c>
      <c r="F21" s="13">
        <f>'Suivi EAU-ELEC'!E20</f>
        <v>68.399999999994179</v>
      </c>
      <c r="G21" s="12"/>
      <c r="H21" s="178">
        <f t="shared" si="0"/>
        <v>601.23599999994883</v>
      </c>
      <c r="I21" s="179"/>
      <c r="J21" s="179"/>
      <c r="K21" s="62">
        <v>42289</v>
      </c>
      <c r="L21" s="92">
        <f>'Suivi EAU-ELEC'!G20</f>
        <v>2618</v>
      </c>
      <c r="M21" s="93">
        <f>'Suivi EAU-ELEC'!I20</f>
        <v>3760</v>
      </c>
      <c r="N21" s="93">
        <f>'Suivi EAU-ELEC'!K20</f>
        <v>1581</v>
      </c>
      <c r="O21" s="93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52">
        <f>'Suvi Gaz'!O15</f>
        <v>639.98419999999999</v>
      </c>
      <c r="W21" s="11"/>
      <c r="X21" s="34">
        <f t="shared" si="1"/>
        <v>6285.2208297799998</v>
      </c>
    </row>
    <row r="22" spans="1:24" ht="32.25" customHeight="1">
      <c r="A22" s="2"/>
      <c r="B22" s="6">
        <v>44240</v>
      </c>
      <c r="C22" s="7"/>
      <c r="D22" s="146">
        <v>52</v>
      </c>
      <c r="E22" s="146">
        <v>86</v>
      </c>
      <c r="F22" s="13">
        <f>'Suivi EAU-ELEC'!E21</f>
        <v>85.5</v>
      </c>
      <c r="G22" s="12"/>
      <c r="H22" s="178">
        <f t="shared" ref="H22:H38" si="4">F22*8.79</f>
        <v>751.54499999999996</v>
      </c>
      <c r="I22" s="179"/>
      <c r="J22" s="179"/>
      <c r="K22" s="62">
        <v>42290</v>
      </c>
      <c r="L22" s="92">
        <f>'Suivi EAU-ELEC'!G21</f>
        <v>2443</v>
      </c>
      <c r="M22" s="93">
        <f>'Suivi EAU-ELEC'!I21</f>
        <v>3578</v>
      </c>
      <c r="N22" s="93">
        <f>'Suivi EAU-ELEC'!K21</f>
        <v>1694</v>
      </c>
      <c r="O22" s="93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52">
        <f>'Suvi Gaz'!O16</f>
        <v>447.98894000000001</v>
      </c>
      <c r="W22" s="11"/>
      <c r="X22" s="34">
        <f t="shared" si="1"/>
        <v>4399.6545808460005</v>
      </c>
    </row>
    <row r="23" spans="1:24" ht="32.25" customHeight="1">
      <c r="A23" s="2"/>
      <c r="B23" s="6">
        <v>44241</v>
      </c>
      <c r="C23" s="7"/>
      <c r="D23" s="146">
        <v>51</v>
      </c>
      <c r="E23" s="146">
        <v>78</v>
      </c>
      <c r="F23" s="13">
        <f>'Suivi EAU-ELEC'!E22</f>
        <v>102.40000000000873</v>
      </c>
      <c r="G23" s="14"/>
      <c r="H23" s="178">
        <f t="shared" si="4"/>
        <v>900.09600000007663</v>
      </c>
      <c r="I23" s="179"/>
      <c r="J23" s="179"/>
      <c r="K23" s="62">
        <v>42291</v>
      </c>
      <c r="L23" s="92">
        <f>'Suivi EAU-ELEC'!G22</f>
        <v>2543</v>
      </c>
      <c r="M23" s="93">
        <f>'Suivi EAU-ELEC'!I22</f>
        <v>3614</v>
      </c>
      <c r="N23" s="93">
        <f>'Suivi EAU-ELEC'!K22</f>
        <v>1850</v>
      </c>
      <c r="O23" s="93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52">
        <f>'Suvi Gaz'!O17</f>
        <v>767.98104000000001</v>
      </c>
      <c r="W23" s="11"/>
      <c r="X23" s="34">
        <f t="shared" si="1"/>
        <v>7542.2649957359999</v>
      </c>
    </row>
    <row r="24" spans="1:24" ht="32.25" customHeight="1">
      <c r="A24" s="2"/>
      <c r="B24" s="6">
        <v>44242</v>
      </c>
      <c r="C24" s="7"/>
      <c r="D24" s="146">
        <v>35</v>
      </c>
      <c r="E24" s="146">
        <v>50</v>
      </c>
      <c r="F24" s="13">
        <f>'Suivi EAU-ELEC'!E23</f>
        <v>69.299999999988358</v>
      </c>
      <c r="G24" s="14"/>
      <c r="H24" s="178">
        <f t="shared" si="4"/>
        <v>609.14699999989762</v>
      </c>
      <c r="I24" s="179"/>
      <c r="J24" s="179"/>
      <c r="K24" s="62">
        <v>42292</v>
      </c>
      <c r="L24" s="92">
        <f>'Suivi EAU-ELEC'!G23</f>
        <v>2258</v>
      </c>
      <c r="M24" s="93">
        <f>'Suivi EAU-ELEC'!I23</f>
        <v>3720</v>
      </c>
      <c r="N24" s="93">
        <f>'Suivi EAU-ELEC'!K23</f>
        <v>1836</v>
      </c>
      <c r="O24" s="93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52">
        <f>'Suvi Gaz'!O18</f>
        <v>703.98262</v>
      </c>
      <c r="W24" s="11"/>
      <c r="X24" s="34">
        <f t="shared" si="1"/>
        <v>6913.7429127579999</v>
      </c>
    </row>
    <row r="25" spans="1:24" ht="32.25" customHeight="1">
      <c r="A25" s="2"/>
      <c r="B25" s="6">
        <v>44243</v>
      </c>
      <c r="C25" s="7"/>
      <c r="D25" s="146">
        <v>50</v>
      </c>
      <c r="E25" s="146">
        <v>67</v>
      </c>
      <c r="F25" s="13">
        <f>'Suivi EAU-ELEC'!E24</f>
        <v>87.200000000011642</v>
      </c>
      <c r="G25" s="14"/>
      <c r="H25" s="178">
        <f t="shared" si="4"/>
        <v>766.48800000010226</v>
      </c>
      <c r="I25" s="179"/>
      <c r="J25" s="179"/>
      <c r="K25" s="62">
        <v>42293</v>
      </c>
      <c r="L25" s="92">
        <f>'Suivi EAU-ELEC'!G24</f>
        <v>2497</v>
      </c>
      <c r="M25" s="93">
        <f>'Suivi EAU-ELEC'!I24</f>
        <v>4039</v>
      </c>
      <c r="N25" s="93">
        <f>'Suivi EAU-ELEC'!K24</f>
        <v>1913</v>
      </c>
      <c r="O25" s="93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52">
        <f>'Suvi Gaz'!O19</f>
        <v>383.99052</v>
      </c>
      <c r="W25" s="11"/>
      <c r="X25" s="34">
        <f t="shared" si="1"/>
        <v>3771.132497868</v>
      </c>
    </row>
    <row r="26" spans="1:24" ht="32.25" customHeight="1">
      <c r="A26" s="2"/>
      <c r="B26" s="6">
        <v>44244</v>
      </c>
      <c r="C26" s="7"/>
      <c r="D26" s="146"/>
      <c r="E26" s="146"/>
      <c r="F26" s="13">
        <f>'Suivi EAU-ELEC'!E25</f>
        <v>41.19999999999709</v>
      </c>
      <c r="G26" s="14"/>
      <c r="H26" s="178">
        <f t="shared" si="4"/>
        <v>362.14799999997439</v>
      </c>
      <c r="I26" s="179"/>
      <c r="J26" s="179"/>
      <c r="K26" s="62">
        <v>42294</v>
      </c>
      <c r="L26" s="92">
        <f>'Suivi EAU-ELEC'!G25</f>
        <v>2209</v>
      </c>
      <c r="M26" s="93">
        <f>'Suivi EAU-ELEC'!I25</f>
        <v>3944</v>
      </c>
      <c r="N26" s="93">
        <f>'Suivi EAU-ELEC'!K25</f>
        <v>1874</v>
      </c>
      <c r="O26" s="93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52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44245</v>
      </c>
      <c r="C27" s="7"/>
      <c r="D27" s="146"/>
      <c r="E27" s="146"/>
      <c r="F27" s="13">
        <f>'Suivi EAU-ELEC'!E26</f>
        <v>0</v>
      </c>
      <c r="G27" s="14"/>
      <c r="H27" s="178">
        <f t="shared" si="4"/>
        <v>0</v>
      </c>
      <c r="I27" s="179"/>
      <c r="J27" s="179"/>
      <c r="K27" s="62">
        <v>42295</v>
      </c>
      <c r="L27" s="92">
        <f>'Suivi EAU-ELEC'!G26</f>
        <v>0</v>
      </c>
      <c r="M27" s="93">
        <f>'Suivi EAU-ELEC'!I26</f>
        <v>0</v>
      </c>
      <c r="N27" s="93">
        <f>'Suivi EAU-ELEC'!K26</f>
        <v>0</v>
      </c>
      <c r="O27" s="93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2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44246</v>
      </c>
      <c r="C28" s="7"/>
      <c r="D28" s="146"/>
      <c r="E28" s="146"/>
      <c r="F28" s="13">
        <f>'Suivi EAU-ELEC'!E27</f>
        <v>0</v>
      </c>
      <c r="G28" s="11"/>
      <c r="H28" s="178">
        <f t="shared" si="4"/>
        <v>0</v>
      </c>
      <c r="I28" s="179"/>
      <c r="J28" s="179"/>
      <c r="K28" s="62">
        <v>42296</v>
      </c>
      <c r="L28" s="92">
        <f>'Suivi EAU-ELEC'!G27</f>
        <v>0</v>
      </c>
      <c r="M28" s="93">
        <f>'Suivi EAU-ELEC'!I27</f>
        <v>0</v>
      </c>
      <c r="N28" s="93">
        <f>'Suivi EAU-ELEC'!K27</f>
        <v>0</v>
      </c>
      <c r="O28" s="93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2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44247</v>
      </c>
      <c r="C29" s="7"/>
      <c r="D29" s="146"/>
      <c r="E29" s="146"/>
      <c r="F29" s="13">
        <f>'Suivi EAU-ELEC'!E28</f>
        <v>0</v>
      </c>
      <c r="G29" s="11"/>
      <c r="H29" s="178">
        <f t="shared" si="4"/>
        <v>0</v>
      </c>
      <c r="I29" s="179"/>
      <c r="J29" s="179"/>
      <c r="K29" s="62">
        <v>42297</v>
      </c>
      <c r="L29" s="92">
        <f>'Suivi EAU-ELEC'!G28</f>
        <v>0</v>
      </c>
      <c r="M29" s="93">
        <f>'Suivi EAU-ELEC'!I28</f>
        <v>0</v>
      </c>
      <c r="N29" s="93">
        <f>'Suivi EAU-ELEC'!K28</f>
        <v>0</v>
      </c>
      <c r="O29" s="93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2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44248</v>
      </c>
      <c r="C30" s="7"/>
      <c r="D30" s="146"/>
      <c r="E30" s="146"/>
      <c r="F30" s="13">
        <f>'Suivi EAU-ELEC'!E29</f>
        <v>0</v>
      </c>
      <c r="G30" s="11"/>
      <c r="H30" s="178">
        <f t="shared" si="4"/>
        <v>0</v>
      </c>
      <c r="I30" s="179"/>
      <c r="J30" s="179"/>
      <c r="K30" s="62">
        <v>42298</v>
      </c>
      <c r="L30" s="92">
        <f>'Suivi EAU-ELEC'!G29</f>
        <v>0</v>
      </c>
      <c r="M30" s="93">
        <f>'Suivi EAU-ELEC'!I29</f>
        <v>0</v>
      </c>
      <c r="N30" s="93">
        <f>'Suivi EAU-ELEC'!K29</f>
        <v>0</v>
      </c>
      <c r="O30" s="93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2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44249</v>
      </c>
      <c r="C31" s="7"/>
      <c r="D31" s="146"/>
      <c r="E31" s="146"/>
      <c r="F31" s="13">
        <f>'Suivi EAU-ELEC'!E30</f>
        <v>0</v>
      </c>
      <c r="G31" s="11"/>
      <c r="H31" s="178">
        <f t="shared" si="4"/>
        <v>0</v>
      </c>
      <c r="I31" s="179"/>
      <c r="J31" s="179"/>
      <c r="K31" s="62">
        <v>42299</v>
      </c>
      <c r="L31" s="92">
        <f>'Suivi EAU-ELEC'!G30</f>
        <v>0</v>
      </c>
      <c r="M31" s="93">
        <f>'Suivi EAU-ELEC'!I30</f>
        <v>0</v>
      </c>
      <c r="N31" s="93">
        <f>'Suivi EAU-ELEC'!K30</f>
        <v>0</v>
      </c>
      <c r="O31" s="93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2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44250</v>
      </c>
      <c r="C32" s="7"/>
      <c r="D32" s="146"/>
      <c r="E32" s="146"/>
      <c r="F32" s="13">
        <f>'Suivi EAU-ELEC'!E31</f>
        <v>0</v>
      </c>
      <c r="G32" s="11"/>
      <c r="H32" s="178">
        <f t="shared" si="4"/>
        <v>0</v>
      </c>
      <c r="I32" s="179"/>
      <c r="J32" s="179"/>
      <c r="K32" s="62">
        <v>42300</v>
      </c>
      <c r="L32" s="92">
        <f>'Suivi EAU-ELEC'!G31</f>
        <v>0</v>
      </c>
      <c r="M32" s="93">
        <f>'Suivi EAU-ELEC'!I31</f>
        <v>0</v>
      </c>
      <c r="N32" s="93">
        <f>'Suivi EAU-ELEC'!K31</f>
        <v>0</v>
      </c>
      <c r="O32" s="93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2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44251</v>
      </c>
      <c r="C33" s="7"/>
      <c r="D33" s="146"/>
      <c r="E33" s="146"/>
      <c r="F33" s="13">
        <f>'Suivi EAU-ELEC'!E32</f>
        <v>0</v>
      </c>
      <c r="G33" s="11"/>
      <c r="H33" s="178">
        <f t="shared" si="4"/>
        <v>0</v>
      </c>
      <c r="I33" s="179"/>
      <c r="J33" s="179"/>
      <c r="K33" s="62">
        <v>42301</v>
      </c>
      <c r="L33" s="92">
        <f>'Suivi EAU-ELEC'!G32</f>
        <v>0</v>
      </c>
      <c r="M33" s="93">
        <f>'Suivi EAU-ELEC'!I32</f>
        <v>0</v>
      </c>
      <c r="N33" s="93">
        <f>'Suivi EAU-ELEC'!K32</f>
        <v>0</v>
      </c>
      <c r="O33" s="93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2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44252</v>
      </c>
      <c r="C34" s="7"/>
      <c r="D34" s="146"/>
      <c r="E34" s="146"/>
      <c r="F34" s="13">
        <f>'Suivi EAU-ELEC'!E33</f>
        <v>0</v>
      </c>
      <c r="G34" s="11"/>
      <c r="H34" s="178">
        <f t="shared" si="4"/>
        <v>0</v>
      </c>
      <c r="I34" s="179"/>
      <c r="J34" s="179"/>
      <c r="K34" s="62">
        <v>42302</v>
      </c>
      <c r="L34" s="92">
        <f>'Suivi EAU-ELEC'!G33</f>
        <v>0</v>
      </c>
      <c r="M34" s="93">
        <f>'Suivi EAU-ELEC'!I33</f>
        <v>0</v>
      </c>
      <c r="N34" s="93">
        <f>'Suivi EAU-ELEC'!K33</f>
        <v>0</v>
      </c>
      <c r="O34" s="93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178">
        <f t="shared" si="4"/>
        <v>0</v>
      </c>
      <c r="I35" s="179"/>
      <c r="J35" s="179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178">
        <f>F36*8.79</f>
        <v>0</v>
      </c>
      <c r="I36" s="179"/>
      <c r="J36" s="179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178">
        <f>F37*8.79</f>
        <v>0</v>
      </c>
      <c r="I37" s="179"/>
      <c r="J37" s="179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178">
        <f t="shared" si="4"/>
        <v>0</v>
      </c>
      <c r="I38" s="179"/>
      <c r="J38" s="179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582</v>
      </c>
      <c r="E39" s="8">
        <f>SUM(E10:E38)</f>
        <v>839</v>
      </c>
      <c r="F39" s="8">
        <f>SUM(F10:F38)</f>
        <v>1214.6999999999971</v>
      </c>
      <c r="G39" s="1"/>
      <c r="H39" s="175">
        <f>SUM(H10:H38)</f>
        <v>10677.212999999972</v>
      </c>
      <c r="I39" s="176"/>
      <c r="J39" s="177"/>
      <c r="K39" s="1"/>
      <c r="L39" s="54">
        <f>SUM(L10:L38)</f>
        <v>40840</v>
      </c>
      <c r="M39" s="54">
        <f>SUM(M10:M38)</f>
        <v>63958</v>
      </c>
      <c r="N39" s="55">
        <f>SUM(N10:N38)</f>
        <v>29932</v>
      </c>
      <c r="O39" s="56">
        <f>SUM(O10:O38)</f>
        <v>134730</v>
      </c>
      <c r="P39" s="31"/>
      <c r="Q39" s="32">
        <f>SUM(Q10:Q38)</f>
        <v>129197.914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6848.5568200000007</v>
      </c>
      <c r="W39" s="31"/>
      <c r="X39" s="32">
        <f>SUM(X10:X38)</f>
        <v>67258.99167353801</v>
      </c>
    </row>
    <row r="40" spans="1:24" s="5" customFormat="1" ht="12.75" customHeigh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9"/>
      <c r="M40" s="169"/>
      <c r="N40" s="169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214" t="s">
        <v>33</v>
      </c>
      <c r="B41" s="215"/>
      <c r="C41" s="215"/>
      <c r="D41" s="215"/>
      <c r="E41" s="215"/>
      <c r="F41" s="216"/>
      <c r="G41" s="26"/>
      <c r="H41" s="27" t="s">
        <v>34</v>
      </c>
      <c r="I41" s="253" t="s">
        <v>35</v>
      </c>
      <c r="J41" s="254"/>
      <c r="K41" s="255"/>
      <c r="L41" s="228" t="s">
        <v>36</v>
      </c>
      <c r="M41" s="229"/>
      <c r="N41" s="214" t="s">
        <v>37</v>
      </c>
      <c r="O41" s="215"/>
      <c r="P41" s="215"/>
      <c r="Q41" s="215"/>
      <c r="R41" s="215"/>
      <c r="S41" s="215"/>
      <c r="T41" s="215"/>
      <c r="U41" s="215"/>
      <c r="V41" s="215"/>
      <c r="W41" s="215"/>
      <c r="X41" s="216"/>
    </row>
    <row r="42" spans="1:24" s="18" customFormat="1" ht="29.25" customHeight="1" thickBot="1">
      <c r="A42" s="222" t="s">
        <v>38</v>
      </c>
      <c r="B42" s="223"/>
      <c r="C42" s="224"/>
      <c r="D42" s="166" t="s">
        <v>30</v>
      </c>
      <c r="E42" s="166" t="s">
        <v>30</v>
      </c>
      <c r="F42" s="166" t="s">
        <v>30</v>
      </c>
      <c r="G42" s="16"/>
      <c r="H42" s="17">
        <v>0.69850000000000001</v>
      </c>
      <c r="I42" s="219">
        <f>L39</f>
        <v>40840</v>
      </c>
      <c r="J42" s="220"/>
      <c r="K42" s="221"/>
      <c r="L42" s="180">
        <f>I42*H42</f>
        <v>28526.74</v>
      </c>
      <c r="M42" s="181"/>
      <c r="N42" s="237">
        <f>L42+L43+L44</f>
        <v>129197.914</v>
      </c>
      <c r="O42" s="238"/>
      <c r="P42" s="238"/>
      <c r="Q42" s="238"/>
      <c r="R42" s="238"/>
      <c r="S42" s="238"/>
      <c r="T42" s="238"/>
      <c r="U42" s="238"/>
      <c r="V42" s="238"/>
      <c r="W42" s="238"/>
      <c r="X42" s="239"/>
    </row>
    <row r="43" spans="1:24" s="18" customFormat="1" ht="29.25" customHeight="1" thickBot="1">
      <c r="A43" s="225"/>
      <c r="B43" s="226"/>
      <c r="C43" s="227"/>
      <c r="D43" s="165" t="s">
        <v>31</v>
      </c>
      <c r="E43" s="165" t="s">
        <v>31</v>
      </c>
      <c r="F43" s="165" t="s">
        <v>31</v>
      </c>
      <c r="G43" s="16"/>
      <c r="H43" s="19">
        <v>0.95140000000000002</v>
      </c>
      <c r="I43" s="219">
        <f>M39</f>
        <v>63958</v>
      </c>
      <c r="J43" s="220"/>
      <c r="K43" s="221"/>
      <c r="L43" s="180">
        <f>I43*H43</f>
        <v>60849.641199999998</v>
      </c>
      <c r="M43" s="181"/>
      <c r="N43" s="240"/>
      <c r="O43" s="241"/>
      <c r="P43" s="241"/>
      <c r="Q43" s="241"/>
      <c r="R43" s="241"/>
      <c r="S43" s="241"/>
      <c r="T43" s="241"/>
      <c r="U43" s="241"/>
      <c r="V43" s="241"/>
      <c r="W43" s="241"/>
      <c r="X43" s="242"/>
    </row>
    <row r="44" spans="1:24" s="18" customFormat="1" ht="24.75" customHeight="1" thickBot="1">
      <c r="A44" s="225"/>
      <c r="B44" s="226"/>
      <c r="C44" s="227"/>
      <c r="D44" s="162" t="s">
        <v>32</v>
      </c>
      <c r="E44" s="162" t="s">
        <v>32</v>
      </c>
      <c r="F44" s="162" t="s">
        <v>32</v>
      </c>
      <c r="G44" s="20"/>
      <c r="H44" s="20">
        <v>1.3304</v>
      </c>
      <c r="I44" s="250">
        <f>N39</f>
        <v>29932</v>
      </c>
      <c r="J44" s="251"/>
      <c r="K44" s="252"/>
      <c r="L44" s="180">
        <f>I44*H44</f>
        <v>39821.532800000001</v>
      </c>
      <c r="M44" s="181"/>
      <c r="N44" s="243"/>
      <c r="O44" s="244"/>
      <c r="P44" s="244"/>
      <c r="Q44" s="244"/>
      <c r="R44" s="244"/>
      <c r="S44" s="244"/>
      <c r="T44" s="244"/>
      <c r="U44" s="244"/>
      <c r="V44" s="244"/>
      <c r="W44" s="244"/>
      <c r="X44" s="245"/>
    </row>
    <row r="45" spans="1:24" s="18" customFormat="1" ht="43.5" customHeight="1" thickBot="1">
      <c r="A45" s="167"/>
      <c r="B45" s="168"/>
      <c r="C45" s="168"/>
      <c r="D45" s="162"/>
      <c r="E45" s="162"/>
      <c r="F45" s="162"/>
      <c r="G45" s="16"/>
      <c r="H45" s="16"/>
      <c r="I45" s="160"/>
      <c r="J45" s="161"/>
      <c r="K45" s="162"/>
      <c r="L45" s="163"/>
      <c r="M45" s="164"/>
      <c r="N45" s="256">
        <f>N42*1.3</f>
        <v>167957.28820000001</v>
      </c>
      <c r="O45" s="257"/>
      <c r="P45" s="257"/>
      <c r="Q45" s="257"/>
      <c r="R45" s="257"/>
      <c r="S45" s="257"/>
      <c r="T45" s="257"/>
      <c r="U45" s="257"/>
      <c r="V45" s="257"/>
      <c r="W45" s="257"/>
      <c r="X45" s="258"/>
    </row>
    <row r="46" spans="1:24" s="23" customFormat="1" ht="32.25" customHeight="1" thickBot="1">
      <c r="A46" s="211" t="s">
        <v>39</v>
      </c>
      <c r="B46" s="212"/>
      <c r="C46" s="212"/>
      <c r="D46" s="212"/>
      <c r="E46" s="212"/>
      <c r="F46" s="213"/>
      <c r="G46" s="21"/>
      <c r="H46" s="22">
        <v>8.7899999999999991</v>
      </c>
      <c r="I46" s="211">
        <f>F39</f>
        <v>1214.6999999999971</v>
      </c>
      <c r="J46" s="212"/>
      <c r="K46" s="213"/>
      <c r="L46" s="217">
        <f>I46*H46</f>
        <v>10677.212999999974</v>
      </c>
      <c r="M46" s="218"/>
      <c r="N46" s="234">
        <f>L46</f>
        <v>10677.212999999974</v>
      </c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23" customFormat="1" ht="36.75" customHeight="1">
      <c r="A47" s="246" t="s">
        <v>40</v>
      </c>
      <c r="B47" s="247"/>
      <c r="C47" s="247"/>
      <c r="D47" s="247"/>
      <c r="E47" s="247"/>
      <c r="F47" s="248"/>
      <c r="G47" s="24"/>
      <c r="H47" s="25">
        <v>9.8209</v>
      </c>
      <c r="I47" s="209">
        <f>V39</f>
        <v>6848.5568200000007</v>
      </c>
      <c r="J47" s="249"/>
      <c r="K47" s="210"/>
      <c r="L47" s="209">
        <f>I47*H47</f>
        <v>67258.99167353801</v>
      </c>
      <c r="M47" s="210"/>
      <c r="N47" s="231">
        <f>L47</f>
        <v>67258.99167353801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</row>
    <row r="53" spans="1:24" ht="39" customHeight="1">
      <c r="A53" s="159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</row>
    <row r="54" spans="1:2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</row>
    <row r="55" spans="1:24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</row>
  </sheetData>
  <mergeCells count="71"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H30:J30"/>
    <mergeCell ref="H38:J38"/>
    <mergeCell ref="H36:J36"/>
    <mergeCell ref="L42:M42"/>
    <mergeCell ref="H33:J33"/>
    <mergeCell ref="H31:J31"/>
    <mergeCell ref="H35:J3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3" activePane="bottomRight" state="frozen"/>
      <selection pane="bottomRight" activeCell="K24" sqref="K24:K2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>
        <v>2559</v>
      </c>
      <c r="C18" s="118">
        <f t="shared" si="0"/>
        <v>0</v>
      </c>
      <c r="D18" s="59">
        <v>102385.8</v>
      </c>
      <c r="E18" s="151">
        <f t="shared" si="1"/>
        <v>32</v>
      </c>
      <c r="F18" s="52">
        <v>10330245</v>
      </c>
      <c r="G18" s="51">
        <f>F18-F17</f>
        <v>2658</v>
      </c>
      <c r="H18" s="52">
        <v>17354364</v>
      </c>
      <c r="I18" s="51">
        <f>H18-H17</f>
        <v>3622</v>
      </c>
      <c r="J18" s="52">
        <v>7686070</v>
      </c>
      <c r="K18" s="51">
        <f>J18-J17</f>
        <v>1593</v>
      </c>
    </row>
    <row r="19" spans="1:29" ht="19.5">
      <c r="A19" s="61">
        <v>44238</v>
      </c>
      <c r="B19" s="119">
        <v>2559</v>
      </c>
      <c r="C19" s="118">
        <f t="shared" si="0"/>
        <v>0</v>
      </c>
      <c r="D19" s="59">
        <v>102446.3</v>
      </c>
      <c r="E19" s="151">
        <f t="shared" si="1"/>
        <v>60.5</v>
      </c>
      <c r="F19" s="52">
        <v>10332359</v>
      </c>
      <c r="G19" s="51">
        <f>F19-F18</f>
        <v>2114</v>
      </c>
      <c r="H19" s="52">
        <v>17358475</v>
      </c>
      <c r="I19" s="51">
        <f>H19-H18</f>
        <v>4111</v>
      </c>
      <c r="J19" s="52">
        <v>7688039</v>
      </c>
      <c r="K19" s="51">
        <f>J19-J18</f>
        <v>1969</v>
      </c>
    </row>
    <row r="20" spans="1:29" ht="25.5">
      <c r="A20" s="61">
        <v>44239</v>
      </c>
      <c r="B20" s="119">
        <v>2559</v>
      </c>
      <c r="C20" s="118">
        <f t="shared" si="0"/>
        <v>0</v>
      </c>
      <c r="D20" s="59">
        <v>102514.7</v>
      </c>
      <c r="E20" s="151">
        <f t="shared" si="1"/>
        <v>68.399999999994179</v>
      </c>
      <c r="F20" s="52">
        <v>10334977</v>
      </c>
      <c r="G20" s="51">
        <f>F20-F19</f>
        <v>2618</v>
      </c>
      <c r="H20" s="52">
        <v>17362235</v>
      </c>
      <c r="I20" s="51">
        <f>H20-H19</f>
        <v>3760</v>
      </c>
      <c r="J20" s="52">
        <v>7689620</v>
      </c>
      <c r="K20" s="51">
        <f>J20-J19</f>
        <v>1581</v>
      </c>
      <c r="L20" s="120" t="s">
        <v>18</v>
      </c>
      <c r="AC20" t="s">
        <v>56</v>
      </c>
    </row>
    <row r="21" spans="1:29" ht="19.5">
      <c r="A21" s="61">
        <v>44240</v>
      </c>
      <c r="B21" s="119">
        <v>2559</v>
      </c>
      <c r="C21" s="118">
        <f t="shared" si="0"/>
        <v>0</v>
      </c>
      <c r="D21" s="59">
        <v>102600.2</v>
      </c>
      <c r="E21" s="151">
        <f t="shared" si="1"/>
        <v>85.5</v>
      </c>
      <c r="F21" s="52">
        <v>10337420</v>
      </c>
      <c r="G21" s="51">
        <f>F21-F20</f>
        <v>2443</v>
      </c>
      <c r="H21" s="52">
        <v>17365813</v>
      </c>
      <c r="I21" s="51">
        <f>H21-H20</f>
        <v>3578</v>
      </c>
      <c r="J21" s="52">
        <v>7691314</v>
      </c>
      <c r="K21" s="51">
        <f>J21-J20</f>
        <v>1694</v>
      </c>
    </row>
    <row r="22" spans="1:29" ht="19.5">
      <c r="A22" s="61">
        <v>44241</v>
      </c>
      <c r="B22" s="119">
        <v>2559</v>
      </c>
      <c r="C22" s="118">
        <f t="shared" si="0"/>
        <v>0</v>
      </c>
      <c r="D22" s="59">
        <v>102702.6</v>
      </c>
      <c r="E22" s="151">
        <f t="shared" si="1"/>
        <v>102.40000000000873</v>
      </c>
      <c r="F22" s="52">
        <v>10339963</v>
      </c>
      <c r="G22" s="51">
        <f>F22-F21</f>
        <v>2543</v>
      </c>
      <c r="H22" s="52">
        <v>17369427</v>
      </c>
      <c r="I22" s="51">
        <f>H22-H21</f>
        <v>3614</v>
      </c>
      <c r="J22" s="52">
        <v>7693164</v>
      </c>
      <c r="K22" s="51">
        <f>J22-J21</f>
        <v>1850</v>
      </c>
    </row>
    <row r="23" spans="1:29" ht="19.5">
      <c r="A23" s="61">
        <v>44242</v>
      </c>
      <c r="B23" s="119">
        <v>2559</v>
      </c>
      <c r="C23" s="118">
        <f t="shared" si="0"/>
        <v>0</v>
      </c>
      <c r="D23" s="59">
        <v>102771.9</v>
      </c>
      <c r="E23" s="151">
        <f t="shared" si="1"/>
        <v>69.299999999988358</v>
      </c>
      <c r="F23" s="52">
        <v>10342221</v>
      </c>
      <c r="G23" s="51">
        <f>F23-F22</f>
        <v>2258</v>
      </c>
      <c r="H23" s="52">
        <v>17373147</v>
      </c>
      <c r="I23" s="51">
        <f>H23-H22</f>
        <v>3720</v>
      </c>
      <c r="J23" s="52">
        <v>7695000</v>
      </c>
      <c r="K23" s="51">
        <f>J23-J22</f>
        <v>1836</v>
      </c>
    </row>
    <row r="24" spans="1:29" ht="19.5">
      <c r="A24" s="61">
        <v>44243</v>
      </c>
      <c r="B24" s="119">
        <v>2559</v>
      </c>
      <c r="C24" s="118">
        <f t="shared" si="0"/>
        <v>0</v>
      </c>
      <c r="D24" s="59">
        <v>102859.1</v>
      </c>
      <c r="E24" s="151">
        <f t="shared" si="1"/>
        <v>87.200000000011642</v>
      </c>
      <c r="F24" s="52">
        <v>10344718</v>
      </c>
      <c r="G24" s="51">
        <f>F24-F23</f>
        <v>2497</v>
      </c>
      <c r="H24" s="52">
        <v>17377186</v>
      </c>
      <c r="I24" s="51">
        <f>H24-H23</f>
        <v>4039</v>
      </c>
      <c r="J24" s="52">
        <v>7696913</v>
      </c>
      <c r="K24" s="51">
        <f>J24-J23</f>
        <v>1913</v>
      </c>
    </row>
    <row r="25" spans="1:29" ht="19.5">
      <c r="A25" s="61">
        <v>44244</v>
      </c>
      <c r="B25" s="119">
        <v>2559</v>
      </c>
      <c r="C25" s="118">
        <f t="shared" si="0"/>
        <v>0</v>
      </c>
      <c r="D25" s="59">
        <v>102900.3</v>
      </c>
      <c r="E25" s="151">
        <f t="shared" si="1"/>
        <v>41.19999999999709</v>
      </c>
      <c r="F25" s="52">
        <v>10346927</v>
      </c>
      <c r="G25" s="51">
        <f>F25-F24</f>
        <v>2209</v>
      </c>
      <c r="H25" s="52">
        <v>17381130</v>
      </c>
      <c r="I25" s="51">
        <f>H25-H24</f>
        <v>3944</v>
      </c>
      <c r="J25" s="52">
        <v>7698787</v>
      </c>
      <c r="K25" s="51">
        <f>J25-J24</f>
        <v>1874</v>
      </c>
    </row>
    <row r="26" spans="1:29" ht="19.5">
      <c r="A26" s="61">
        <v>44245</v>
      </c>
      <c r="B26" s="119"/>
      <c r="C26" s="118"/>
      <c r="D26" s="59"/>
      <c r="E26" s="151"/>
      <c r="F26" s="52"/>
      <c r="G26" s="51"/>
      <c r="H26" s="52"/>
      <c r="I26" s="51"/>
      <c r="J26" s="52"/>
      <c r="K26" s="51"/>
    </row>
    <row r="27" spans="1:29" ht="19.5">
      <c r="A27" s="61">
        <v>44246</v>
      </c>
      <c r="B27" s="119"/>
      <c r="C27" s="118">
        <f t="shared" si="0"/>
        <v>0</v>
      </c>
      <c r="D27" s="59"/>
      <c r="E27" s="151">
        <f t="shared" si="1"/>
        <v>0</v>
      </c>
      <c r="F27" s="52"/>
      <c r="G27" s="51">
        <f t="shared" ref="G17:G37" si="2">F27-F26</f>
        <v>0</v>
      </c>
      <c r="H27" s="52"/>
      <c r="I27" s="51">
        <f t="shared" ref="I17:I37" si="3">H27-H26</f>
        <v>0</v>
      </c>
      <c r="J27" s="52"/>
      <c r="K27" s="51">
        <f t="shared" ref="K17:K37" si="4">J27-J26</f>
        <v>0</v>
      </c>
    </row>
    <row r="28" spans="1:29" ht="19.5">
      <c r="A28" s="61">
        <v>44247</v>
      </c>
      <c r="B28" s="119"/>
      <c r="C28" s="118">
        <f t="shared" si="0"/>
        <v>0</v>
      </c>
      <c r="D28" s="59"/>
      <c r="E28" s="151">
        <f t="shared" si="1"/>
        <v>0</v>
      </c>
      <c r="F28" s="52"/>
      <c r="G28" s="51">
        <f t="shared" si="2"/>
        <v>0</v>
      </c>
      <c r="H28" s="52"/>
      <c r="I28" s="51">
        <f t="shared" si="3"/>
        <v>0</v>
      </c>
      <c r="J28" s="52"/>
      <c r="K28" s="51">
        <f t="shared" si="4"/>
        <v>0</v>
      </c>
    </row>
    <row r="29" spans="1:29" ht="19.5">
      <c r="A29" s="61">
        <v>44248</v>
      </c>
      <c r="B29" s="119"/>
      <c r="C29" s="118">
        <f t="shared" si="0"/>
        <v>0</v>
      </c>
      <c r="D29" s="59"/>
      <c r="E29" s="151">
        <f t="shared" si="1"/>
        <v>0</v>
      </c>
      <c r="F29" s="52"/>
      <c r="G29" s="51">
        <f t="shared" si="2"/>
        <v>0</v>
      </c>
      <c r="H29" s="52"/>
      <c r="I29" s="51">
        <f t="shared" si="3"/>
        <v>0</v>
      </c>
      <c r="J29" s="52"/>
      <c r="K29" s="51">
        <f t="shared" si="4"/>
        <v>0</v>
      </c>
    </row>
    <row r="30" spans="1:29" ht="19.5">
      <c r="A30" s="61">
        <v>44249</v>
      </c>
      <c r="B30" s="119"/>
      <c r="C30" s="118">
        <f t="shared" si="0"/>
        <v>0</v>
      </c>
      <c r="D30" s="59"/>
      <c r="E30" s="151">
        <f t="shared" si="1"/>
        <v>0</v>
      </c>
      <c r="F30" s="52"/>
      <c r="G30" s="51">
        <f t="shared" si="2"/>
        <v>0</v>
      </c>
      <c r="H30" s="52"/>
      <c r="I30" s="51">
        <f t="shared" si="3"/>
        <v>0</v>
      </c>
      <c r="J30" s="52"/>
      <c r="K30" s="51">
        <f t="shared" si="4"/>
        <v>0</v>
      </c>
    </row>
    <row r="31" spans="1:29" ht="19.5">
      <c r="A31" s="61">
        <v>44250</v>
      </c>
      <c r="B31" s="119"/>
      <c r="C31" s="118">
        <f t="shared" si="0"/>
        <v>0</v>
      </c>
      <c r="D31" s="59"/>
      <c r="E31" s="151">
        <f t="shared" si="1"/>
        <v>0</v>
      </c>
      <c r="F31" s="52"/>
      <c r="G31" s="51">
        <f t="shared" si="2"/>
        <v>0</v>
      </c>
      <c r="H31" s="52"/>
      <c r="I31" s="51">
        <f t="shared" si="3"/>
        <v>0</v>
      </c>
      <c r="J31" s="52"/>
      <c r="K31" s="51">
        <f t="shared" si="4"/>
        <v>0</v>
      </c>
    </row>
    <row r="32" spans="1:29" ht="19.5">
      <c r="A32" s="61">
        <v>44251</v>
      </c>
      <c r="B32" s="119"/>
      <c r="C32" s="118">
        <f t="shared" si="0"/>
        <v>0</v>
      </c>
      <c r="D32" s="59"/>
      <c r="E32" s="151">
        <f t="shared" si="1"/>
        <v>0</v>
      </c>
      <c r="F32" s="52"/>
      <c r="G32" s="51">
        <f t="shared" si="2"/>
        <v>0</v>
      </c>
      <c r="H32" s="52"/>
      <c r="I32" s="51">
        <f t="shared" si="3"/>
        <v>0</v>
      </c>
      <c r="J32" s="52"/>
      <c r="K32" s="51">
        <f t="shared" si="4"/>
        <v>0</v>
      </c>
    </row>
    <row r="33" spans="1:11" ht="19.5">
      <c r="A33" s="61">
        <v>44252</v>
      </c>
      <c r="B33" s="119"/>
      <c r="C33" s="118">
        <f t="shared" si="0"/>
        <v>0</v>
      </c>
      <c r="D33" s="59"/>
      <c r="E33" s="151">
        <f t="shared" si="1"/>
        <v>0</v>
      </c>
      <c r="F33" s="52"/>
      <c r="G33" s="51">
        <f t="shared" si="2"/>
        <v>0</v>
      </c>
      <c r="H33" s="52"/>
      <c r="I33" s="51">
        <f t="shared" si="3"/>
        <v>0</v>
      </c>
      <c r="J33" s="52"/>
      <c r="K33" s="51">
        <f t="shared" si="4"/>
        <v>0</v>
      </c>
    </row>
    <row r="34" spans="1:11" ht="19.5">
      <c r="A34" s="61">
        <v>44253</v>
      </c>
      <c r="B34" s="119"/>
      <c r="C34" s="118">
        <f t="shared" si="0"/>
        <v>0</v>
      </c>
      <c r="D34" s="59"/>
      <c r="E34" s="151">
        <f t="shared" si="1"/>
        <v>0</v>
      </c>
      <c r="F34" s="52"/>
      <c r="G34" s="51">
        <f t="shared" si="2"/>
        <v>0</v>
      </c>
      <c r="H34" s="52"/>
      <c r="I34" s="51">
        <f t="shared" si="3"/>
        <v>0</v>
      </c>
      <c r="J34" s="52"/>
      <c r="K34" s="51">
        <f t="shared" si="4"/>
        <v>0</v>
      </c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si="2"/>
        <v>0</v>
      </c>
      <c r="H35" s="52"/>
      <c r="I35" s="51">
        <f t="shared" si="3"/>
        <v>0</v>
      </c>
      <c r="J35" s="52"/>
      <c r="K35" s="51">
        <f t="shared" si="4"/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7" activePane="bottomRight" state="frozen"/>
      <selection pane="bottomRight" activeCell="I20" sqref="I2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O4*9.8209</f>
        <v>3456.8714563789999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9" si="6">O5*9.8209</f>
        <v>4085.393539357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3771.132497868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3778.2612927600003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3456.8714563789999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4713.9156223350001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5656.6987468019997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2199.8272904230002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3</v>
      </c>
      <c r="D12" s="41">
        <v>75</v>
      </c>
      <c r="E12" s="39">
        <f t="shared" si="16"/>
        <v>2</v>
      </c>
      <c r="F12" s="41">
        <v>76</v>
      </c>
      <c r="G12" s="39">
        <f t="shared" si="8"/>
        <v>2</v>
      </c>
      <c r="H12" s="41">
        <v>75</v>
      </c>
      <c r="I12" s="39">
        <f t="shared" si="9"/>
        <v>2</v>
      </c>
      <c r="J12" s="39">
        <f t="shared" si="10"/>
        <v>301</v>
      </c>
      <c r="K12" s="39">
        <f t="shared" si="11"/>
        <v>75.25</v>
      </c>
      <c r="L12" s="39">
        <f t="shared" si="12"/>
        <v>2.25</v>
      </c>
      <c r="M12" s="155">
        <f t="shared" si="15"/>
        <v>24196</v>
      </c>
      <c r="N12" s="39">
        <f t="shared" si="13"/>
        <v>544.41</v>
      </c>
      <c r="O12" s="39">
        <f t="shared" si="14"/>
        <v>287.99288999999999</v>
      </c>
      <c r="P12" s="42">
        <f t="shared" si="6"/>
        <v>2828.3493734009999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>
        <v>72</v>
      </c>
      <c r="C13" s="39">
        <f t="shared" si="7"/>
        <v>1</v>
      </c>
      <c r="D13" s="41">
        <v>73</v>
      </c>
      <c r="E13" s="39">
        <f t="shared" si="16"/>
        <v>2</v>
      </c>
      <c r="F13" s="41">
        <v>74</v>
      </c>
      <c r="G13" s="39">
        <f t="shared" si="8"/>
        <v>1</v>
      </c>
      <c r="H13" s="41">
        <v>73</v>
      </c>
      <c r="I13" s="39">
        <f t="shared" si="9"/>
        <v>2</v>
      </c>
      <c r="J13" s="39">
        <f t="shared" si="10"/>
        <v>292</v>
      </c>
      <c r="K13" s="39">
        <f t="shared" si="11"/>
        <v>73</v>
      </c>
      <c r="L13" s="39">
        <f t="shared" si="12"/>
        <v>1.5</v>
      </c>
      <c r="M13" s="155">
        <f t="shared" si="15"/>
        <v>24196</v>
      </c>
      <c r="N13" s="39">
        <f t="shared" si="13"/>
        <v>362.94</v>
      </c>
      <c r="O13" s="39">
        <f t="shared" si="14"/>
        <v>191.99526</v>
      </c>
      <c r="P13" s="42">
        <f t="shared" si="6"/>
        <v>1885.566248934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0"/>
        <v>286</v>
      </c>
      <c r="K14" s="39">
        <f t="shared" si="11"/>
        <v>71.5</v>
      </c>
      <c r="L14" s="39">
        <f t="shared" si="12"/>
        <v>2</v>
      </c>
      <c r="M14" s="155">
        <f t="shared" si="15"/>
        <v>24196</v>
      </c>
      <c r="N14" s="39">
        <f t="shared" si="13"/>
        <v>483.92</v>
      </c>
      <c r="O14" s="39">
        <f t="shared" si="14"/>
        <v>255.99368000000001</v>
      </c>
      <c r="P14" s="42">
        <f t="shared" si="6"/>
        <v>2514.0883319120003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0"/>
        <v>278</v>
      </c>
      <c r="K15" s="39">
        <f t="shared" si="11"/>
        <v>69.5</v>
      </c>
      <c r="L15" s="39">
        <f t="shared" si="12"/>
        <v>5</v>
      </c>
      <c r="M15" s="155">
        <f>6049*4</f>
        <v>24196</v>
      </c>
      <c r="N15" s="39">
        <f t="shared" si="13"/>
        <v>1209.8</v>
      </c>
      <c r="O15" s="39">
        <f t="shared" si="14"/>
        <v>639.98419999999999</v>
      </c>
      <c r="P15" s="42">
        <f t="shared" si="6"/>
        <v>6285.2208297799998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>
        <v>64</v>
      </c>
      <c r="C16" s="39">
        <f t="shared" si="7"/>
        <v>4</v>
      </c>
      <c r="D16" s="41">
        <v>64</v>
      </c>
      <c r="E16" s="39">
        <f t="shared" si="16"/>
        <v>2</v>
      </c>
      <c r="F16" s="41">
        <v>66</v>
      </c>
      <c r="G16" s="39">
        <f t="shared" si="8"/>
        <v>4</v>
      </c>
      <c r="H16" s="41">
        <v>64</v>
      </c>
      <c r="I16" s="39">
        <f t="shared" si="9"/>
        <v>4</v>
      </c>
      <c r="J16" s="39">
        <f t="shared" si="10"/>
        <v>258</v>
      </c>
      <c r="K16" s="39">
        <f t="shared" si="11"/>
        <v>64.5</v>
      </c>
      <c r="L16" s="39">
        <f t="shared" si="12"/>
        <v>3.5</v>
      </c>
      <c r="M16" s="155">
        <f t="shared" si="15"/>
        <v>24196</v>
      </c>
      <c r="N16" s="39">
        <f t="shared" si="13"/>
        <v>846.86</v>
      </c>
      <c r="O16" s="39">
        <f t="shared" si="14"/>
        <v>447.98894000000001</v>
      </c>
      <c r="P16" s="42">
        <f t="shared" si="6"/>
        <v>4399.6545808460005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>
        <v>60</v>
      </c>
      <c r="C17" s="39">
        <f t="shared" si="7"/>
        <v>5</v>
      </c>
      <c r="D17" s="41">
        <v>62</v>
      </c>
      <c r="E17" s="39">
        <f t="shared" si="16"/>
        <v>8</v>
      </c>
      <c r="F17" s="41">
        <v>62</v>
      </c>
      <c r="G17" s="39">
        <f t="shared" si="8"/>
        <v>7</v>
      </c>
      <c r="H17" s="41">
        <v>60</v>
      </c>
      <c r="I17" s="39">
        <f t="shared" si="9"/>
        <v>4</v>
      </c>
      <c r="J17" s="39">
        <f t="shared" si="10"/>
        <v>244</v>
      </c>
      <c r="K17" s="39">
        <f t="shared" si="11"/>
        <v>61</v>
      </c>
      <c r="L17" s="39">
        <f t="shared" si="12"/>
        <v>6</v>
      </c>
      <c r="M17" s="39">
        <f t="shared" si="15"/>
        <v>24196</v>
      </c>
      <c r="N17" s="39">
        <f t="shared" si="13"/>
        <v>1451.76</v>
      </c>
      <c r="O17" s="39">
        <f t="shared" si="14"/>
        <v>767.98104000000001</v>
      </c>
      <c r="P17" s="42">
        <f t="shared" si="6"/>
        <v>7542.2649957359999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>
        <v>55</v>
      </c>
      <c r="C18" s="39">
        <f t="shared" si="7"/>
        <v>5</v>
      </c>
      <c r="D18" s="41">
        <v>54</v>
      </c>
      <c r="E18" s="39">
        <f t="shared" si="16"/>
        <v>5</v>
      </c>
      <c r="F18" s="41">
        <v>55</v>
      </c>
      <c r="G18" s="39">
        <f t="shared" si="8"/>
        <v>6</v>
      </c>
      <c r="H18" s="41">
        <v>56</v>
      </c>
      <c r="I18" s="39">
        <f t="shared" si="9"/>
        <v>6</v>
      </c>
      <c r="J18" s="39">
        <f t="shared" si="10"/>
        <v>220</v>
      </c>
      <c r="K18" s="39">
        <f t="shared" si="11"/>
        <v>55</v>
      </c>
      <c r="L18" s="39">
        <f t="shared" si="12"/>
        <v>5.5</v>
      </c>
      <c r="M18" s="39">
        <f t="shared" si="15"/>
        <v>24196</v>
      </c>
      <c r="N18" s="39">
        <f t="shared" si="13"/>
        <v>1330.78</v>
      </c>
      <c r="O18" s="39">
        <f t="shared" si="14"/>
        <v>703.98262</v>
      </c>
      <c r="P18" s="42">
        <f t="shared" si="6"/>
        <v>6913.7429127579999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>
      <c r="A19" s="40">
        <v>44243</v>
      </c>
      <c r="B19" s="41">
        <v>80</v>
      </c>
      <c r="C19" s="39">
        <f t="shared" si="7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8"/>
        <v>3</v>
      </c>
      <c r="H19" s="41">
        <v>83</v>
      </c>
      <c r="I19" s="39">
        <f t="shared" si="9"/>
        <v>3</v>
      </c>
      <c r="J19" s="39">
        <f t="shared" si="10"/>
        <v>325</v>
      </c>
      <c r="K19" s="39">
        <f t="shared" si="11"/>
        <v>81.25</v>
      </c>
      <c r="L19" s="39">
        <f t="shared" si="12"/>
        <v>3</v>
      </c>
      <c r="M19" s="39">
        <f t="shared" si="15"/>
        <v>24196</v>
      </c>
      <c r="N19" s="39">
        <f t="shared" si="13"/>
        <v>725.88</v>
      </c>
      <c r="O19" s="39">
        <f t="shared" si="14"/>
        <v>383.99052</v>
      </c>
      <c r="P19" s="42">
        <f t="shared" si="6"/>
        <v>3771.132497868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>
        <v>77</v>
      </c>
      <c r="C20" s="39">
        <f>IF(AC20&gt;0,((B20-R20)+(S20-B21)),IF(B21=0, ,(B20-B21)))</f>
        <v>0</v>
      </c>
      <c r="D20" s="41">
        <v>78</v>
      </c>
      <c r="E20" s="39">
        <f t="shared" si="16"/>
        <v>0</v>
      </c>
      <c r="F20" s="41">
        <v>78</v>
      </c>
      <c r="G20" s="39">
        <f t="shared" si="8"/>
        <v>0</v>
      </c>
      <c r="H20" s="41">
        <v>80</v>
      </c>
      <c r="I20" s="39">
        <f t="shared" si="9"/>
        <v>0</v>
      </c>
      <c r="J20" s="39">
        <f t="shared" si="10"/>
        <v>313</v>
      </c>
      <c r="K20" s="39">
        <f t="shared" si="11"/>
        <v>78.25</v>
      </c>
      <c r="L20" s="39">
        <f t="shared" ref="L20:L42" si="17">IF(AC20&gt;0,((K20-AD20)+(AE20-K21)),IF(K21=0, ,(K20-K21)))</f>
        <v>0</v>
      </c>
      <c r="M20" s="39">
        <f t="shared" si="15"/>
        <v>24196</v>
      </c>
      <c r="N20" s="39">
        <f t="shared" si="13"/>
        <v>0</v>
      </c>
      <c r="O20" s="39">
        <f t="shared" si="14"/>
        <v>0</v>
      </c>
      <c r="P20" s="42">
        <f t="shared" si="6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/>
      <c r="C21" s="39">
        <f t="shared" ref="C21:C35" si="18">IF(AC21&gt;0,((B21-R21)+(S21-B22)),IF(B22=0, ,(B21-B22)))</f>
        <v>0</v>
      </c>
      <c r="D21" s="41"/>
      <c r="E21" s="39">
        <f t="shared" si="16"/>
        <v>0</v>
      </c>
      <c r="F21" s="41"/>
      <c r="G21" s="39">
        <f>IF(AC21&gt;0,((F21-X21)+(Y21-F22)),IF(F22=0, ,(F21-F22)))</f>
        <v>0</v>
      </c>
      <c r="H21" s="41"/>
      <c r="I21" s="39">
        <f t="shared" si="9"/>
        <v>0</v>
      </c>
      <c r="J21" s="39">
        <f t="shared" si="10"/>
        <v>0</v>
      </c>
      <c r="K21" s="39">
        <f t="shared" si="11"/>
        <v>0</v>
      </c>
      <c r="L21" s="39">
        <f>IF(AC21&gt;0,((K21-AD21)+(AE21-K22)),IF(K22=0, ,(K21-K22)))</f>
        <v>0</v>
      </c>
      <c r="M21" s="39">
        <f t="shared" si="15"/>
        <v>24196</v>
      </c>
      <c r="N21" s="39">
        <f t="shared" si="13"/>
        <v>0</v>
      </c>
      <c r="O21" s="39">
        <f t="shared" si="14"/>
        <v>0</v>
      </c>
      <c r="P21" s="42">
        <f t="shared" si="6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8"/>
        <v>0</v>
      </c>
      <c r="H22" s="41"/>
      <c r="I22" s="39">
        <f t="shared" si="9"/>
        <v>0</v>
      </c>
      <c r="J22" s="39">
        <f t="shared" si="10"/>
        <v>0</v>
      </c>
      <c r="K22" s="39">
        <f t="shared" si="11"/>
        <v>0</v>
      </c>
      <c r="L22" s="39">
        <f>IF(AC22&gt;0,((K22-AD22)+(AE22-K23)),IF(K23=0, ,(K22-K23)))</f>
        <v>0</v>
      </c>
      <c r="M22" s="39">
        <f t="shared" si="15"/>
        <v>24196</v>
      </c>
      <c r="N22" s="39">
        <f t="shared" si="13"/>
        <v>0</v>
      </c>
      <c r="O22" s="39">
        <f t="shared" si="14"/>
        <v>0</v>
      </c>
      <c r="P22" s="42">
        <f t="shared" si="6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8"/>
        <v>0</v>
      </c>
      <c r="H23" s="41"/>
      <c r="I23" s="39">
        <f t="shared" si="9"/>
        <v>0</v>
      </c>
      <c r="J23" s="39">
        <f t="shared" si="10"/>
        <v>0</v>
      </c>
      <c r="K23" s="39">
        <f t="shared" si="11"/>
        <v>0</v>
      </c>
      <c r="L23" s="39">
        <f t="shared" si="17"/>
        <v>0</v>
      </c>
      <c r="M23" s="39">
        <f t="shared" si="15"/>
        <v>24196</v>
      </c>
      <c r="N23" s="39">
        <f t="shared" si="13"/>
        <v>0</v>
      </c>
      <c r="O23" s="39">
        <f t="shared" si="14"/>
        <v>0</v>
      </c>
      <c r="P23" s="42">
        <f t="shared" si="6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8"/>
        <v>0</v>
      </c>
      <c r="H24" s="41"/>
      <c r="I24" s="39">
        <f t="shared" si="9"/>
        <v>0</v>
      </c>
      <c r="J24" s="39">
        <f t="shared" si="10"/>
        <v>0</v>
      </c>
      <c r="K24" s="39">
        <f t="shared" si="11"/>
        <v>0</v>
      </c>
      <c r="L24" s="39">
        <f t="shared" si="17"/>
        <v>0</v>
      </c>
      <c r="M24" s="39">
        <f t="shared" si="15"/>
        <v>24196</v>
      </c>
      <c r="N24" s="39">
        <f t="shared" si="13"/>
        <v>0</v>
      </c>
      <c r="O24" s="39">
        <f t="shared" si="14"/>
        <v>0</v>
      </c>
      <c r="P24" s="42">
        <f t="shared" si="6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8"/>
        <v>0</v>
      </c>
      <c r="H25" s="41"/>
      <c r="I25" s="39">
        <f t="shared" si="9"/>
        <v>0</v>
      </c>
      <c r="J25" s="39">
        <f t="shared" si="10"/>
        <v>0</v>
      </c>
      <c r="K25" s="39">
        <f t="shared" si="11"/>
        <v>0</v>
      </c>
      <c r="L25" s="39">
        <f t="shared" si="17"/>
        <v>0</v>
      </c>
      <c r="M25" s="39">
        <f t="shared" si="15"/>
        <v>24196</v>
      </c>
      <c r="N25" s="39">
        <f t="shared" si="13"/>
        <v>0</v>
      </c>
      <c r="O25" s="39">
        <f t="shared" si="14"/>
        <v>0</v>
      </c>
      <c r="P25" s="42">
        <f t="shared" si="6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8"/>
        <v>0</v>
      </c>
      <c r="H26" s="41"/>
      <c r="I26" s="39">
        <f t="shared" si="9"/>
        <v>0</v>
      </c>
      <c r="J26" s="39">
        <f t="shared" si="10"/>
        <v>0</v>
      </c>
      <c r="K26" s="39">
        <f t="shared" si="11"/>
        <v>0</v>
      </c>
      <c r="L26" s="39">
        <f t="shared" si="17"/>
        <v>0</v>
      </c>
      <c r="M26" s="39">
        <f t="shared" si="15"/>
        <v>24196</v>
      </c>
      <c r="N26" s="39">
        <f t="shared" si="13"/>
        <v>0</v>
      </c>
      <c r="O26" s="39">
        <f t="shared" si="14"/>
        <v>0</v>
      </c>
      <c r="P26" s="42">
        <f t="shared" si="6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44251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9"/>
        <v>0</v>
      </c>
      <c r="J27" s="39">
        <f t="shared" si="10"/>
        <v>0</v>
      </c>
      <c r="K27" s="39">
        <f t="shared" si="11"/>
        <v>0</v>
      </c>
      <c r="L27" s="39">
        <f t="shared" si="17"/>
        <v>0</v>
      </c>
      <c r="M27" s="39">
        <f t="shared" si="15"/>
        <v>24196</v>
      </c>
      <c r="N27" s="39">
        <f t="shared" si="13"/>
        <v>0</v>
      </c>
      <c r="O27" s="39">
        <f t="shared" si="14"/>
        <v>0</v>
      </c>
      <c r="P27" s="42">
        <f t="shared" si="6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0"/>
        <v>0</v>
      </c>
      <c r="K28" s="39">
        <f t="shared" si="11"/>
        <v>0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si="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12944.86</v>
      </c>
      <c r="O43" s="39">
        <f>N43*0.529</f>
        <v>6847.8309400000007</v>
      </c>
      <c r="P43" s="42">
        <f>O43*9.8209</f>
        <v>67251.862878646003</v>
      </c>
      <c r="Q43" s="293">
        <f>SUM(Q4:Q42)</f>
        <v>3935</v>
      </c>
      <c r="R43" s="294"/>
      <c r="S43" s="295"/>
      <c r="T43" s="296">
        <f>SUM(T4:T42)</f>
        <v>3761</v>
      </c>
      <c r="U43" s="294"/>
      <c r="V43" s="295"/>
      <c r="W43" s="296">
        <f>SUM(W4:W42)</f>
        <v>3886</v>
      </c>
      <c r="X43" s="294"/>
      <c r="Y43" s="295"/>
      <c r="Z43" s="296">
        <f>SUM(Z4:Z42)</f>
        <v>3958</v>
      </c>
      <c r="AA43" s="294"/>
      <c r="AB43" s="295"/>
      <c r="AC43" s="39">
        <f t="shared" si="20"/>
        <v>15540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15540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15540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12944.86</v>
      </c>
      <c r="L47" s="46">
        <f>O43</f>
        <v>6847.8309400000007</v>
      </c>
      <c r="M47" s="46">
        <f>P43</f>
        <v>67251.862878646003</v>
      </c>
    </row>
    <row r="48" spans="1:31" ht="54.75" customHeight="1" thickBot="1">
      <c r="H48" s="289" t="s">
        <v>86</v>
      </c>
      <c r="I48" s="290"/>
      <c r="J48" s="291"/>
      <c r="K48" s="43">
        <f>AC44</f>
        <v>15540</v>
      </c>
      <c r="L48" s="44">
        <f>K48*0.529</f>
        <v>8220.66</v>
      </c>
      <c r="M48" s="44">
        <f>L48*9.8209</f>
        <v>80734.279794000002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44193</v>
      </c>
      <c r="D8" s="333"/>
      <c r="E8" s="115">
        <v>44224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701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9"/>
      <c r="H17" s="350"/>
      <c r="I17" s="349">
        <f>+E17</f>
        <v>112812</v>
      </c>
      <c r="J17" s="350"/>
    </row>
    <row r="18" spans="1:10">
      <c r="A18" s="347" t="s">
        <v>111</v>
      </c>
      <c r="B18" s="348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9"/>
      <c r="H18" s="350"/>
      <c r="I18" s="349">
        <f>+E18</f>
        <v>76080</v>
      </c>
      <c r="J18" s="350"/>
    </row>
    <row r="19" spans="1:10">
      <c r="A19" s="347" t="s">
        <v>112</v>
      </c>
      <c r="B19" s="348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9"/>
      <c r="H19" s="350"/>
      <c r="I19" s="349">
        <f>+E19</f>
        <v>51019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239911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71">
        <f>SUM(H25,F25)</f>
        <v>122355.443952</v>
      </c>
      <c r="J25" s="372"/>
    </row>
    <row r="26" spans="1:10" ht="15">
      <c r="A26" s="373" t="s">
        <v>124</v>
      </c>
      <c r="B26" s="374"/>
      <c r="C26" s="375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71">
        <f t="shared" ref="I26:I31" si="0">SUM(H26,F26)</f>
        <v>60581.743199999997</v>
      </c>
      <c r="J26" s="372"/>
    </row>
    <row r="27" spans="1:10" ht="15">
      <c r="A27" s="373" t="s">
        <v>125</v>
      </c>
      <c r="B27" s="374"/>
      <c r="C27" s="375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71">
        <f>SUM(H27,F27)</f>
        <v>77378.272463999994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274561.56439999997</v>
      </c>
      <c r="G32" s="87"/>
      <c r="H32" s="88"/>
      <c r="I32" s="383">
        <f>SUM(I25:J31)</f>
        <v>312946.203416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9" sqref="D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 t="s">
        <v>131</v>
      </c>
      <c r="D8" s="333"/>
      <c r="E8" s="115" t="s">
        <v>132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1070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17381130</v>
      </c>
      <c r="D17" s="68">
        <v>17377186</v>
      </c>
      <c r="E17" s="69">
        <f>MIN(C17-D17)</f>
        <v>3944</v>
      </c>
      <c r="F17" s="69">
        <f>+E17</f>
        <v>3944</v>
      </c>
      <c r="G17" s="349"/>
      <c r="H17" s="350"/>
      <c r="I17" s="349">
        <f>+E17</f>
        <v>3944</v>
      </c>
      <c r="J17" s="350"/>
    </row>
    <row r="18" spans="1:10">
      <c r="A18" s="347" t="s">
        <v>111</v>
      </c>
      <c r="B18" s="348"/>
      <c r="C18" s="68">
        <v>10346927</v>
      </c>
      <c r="D18" s="68">
        <v>10344718</v>
      </c>
      <c r="E18" s="69">
        <f>MIN(C18-D18)</f>
        <v>2209</v>
      </c>
      <c r="F18" s="69">
        <f>+E18</f>
        <v>2209</v>
      </c>
      <c r="G18" s="349"/>
      <c r="H18" s="350"/>
      <c r="I18" s="349">
        <f>+E18</f>
        <v>2209</v>
      </c>
      <c r="J18" s="350"/>
    </row>
    <row r="19" spans="1:10">
      <c r="A19" s="347" t="s">
        <v>112</v>
      </c>
      <c r="B19" s="348"/>
      <c r="C19" s="68">
        <v>7698787</v>
      </c>
      <c r="D19" s="68">
        <v>7696913</v>
      </c>
      <c r="E19" s="69">
        <f>AVERAGE(C19-D19)</f>
        <v>1874</v>
      </c>
      <c r="F19" s="69">
        <f>+E19</f>
        <v>1874</v>
      </c>
      <c r="G19" s="349"/>
      <c r="H19" s="350"/>
      <c r="I19" s="349">
        <f>+E19</f>
        <v>1874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8027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3944</v>
      </c>
      <c r="E25" s="74">
        <v>0.95140000000000002</v>
      </c>
      <c r="F25" s="75">
        <f>PRODUCT(D25*E25)</f>
        <v>3752.3216000000002</v>
      </c>
      <c r="G25" s="157">
        <v>14</v>
      </c>
      <c r="H25" s="67">
        <f>PRODUCT(0.14,F25)</f>
        <v>525.3250240000001</v>
      </c>
      <c r="I25" s="371">
        <f>SUM(H25,F25)</f>
        <v>4277.646624</v>
      </c>
      <c r="J25" s="372"/>
    </row>
    <row r="26" spans="1:10" ht="15">
      <c r="A26" s="373" t="s">
        <v>124</v>
      </c>
      <c r="B26" s="374"/>
      <c r="C26" s="375"/>
      <c r="D26" s="69">
        <f>+E18</f>
        <v>2209</v>
      </c>
      <c r="E26" s="76">
        <v>0.69850000000000001</v>
      </c>
      <c r="F26" s="75">
        <f>PRODUCT(D26*E26)</f>
        <v>1542.9865</v>
      </c>
      <c r="G26">
        <v>14</v>
      </c>
      <c r="H26" s="69">
        <f>PRODUCT(0.14,F26)</f>
        <v>216.01811000000001</v>
      </c>
      <c r="I26" s="371">
        <f t="shared" ref="I26:I31" si="0">SUM(H26,F26)</f>
        <v>1759.00461</v>
      </c>
      <c r="J26" s="372"/>
    </row>
    <row r="27" spans="1:10" ht="15">
      <c r="A27" s="373" t="s">
        <v>125</v>
      </c>
      <c r="B27" s="374"/>
      <c r="C27" s="375"/>
      <c r="D27" s="69">
        <f>+E19</f>
        <v>1874</v>
      </c>
      <c r="E27" s="76">
        <v>1.3304</v>
      </c>
      <c r="F27" s="75">
        <f>PRODUCT(D27*E27)</f>
        <v>2493.1696000000002</v>
      </c>
      <c r="G27">
        <v>14</v>
      </c>
      <c r="H27" s="69">
        <f>PRODUCT(0.14,F27)</f>
        <v>349.04374400000006</v>
      </c>
      <c r="I27" s="371">
        <f>SUM(H27,F27)</f>
        <v>2842.2133440000002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87">
        <f t="shared" si="0"/>
        <v>3908.0047020000002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57431.222000000002</v>
      </c>
      <c r="G32" s="87"/>
      <c r="H32" s="88"/>
      <c r="I32" s="383">
        <f>SUM(I25:J31)</f>
        <v>65417.613079999996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143</v>
      </c>
      <c r="B13" s="405">
        <f>G8</f>
        <v>2083.1999999999971</v>
      </c>
      <c r="C13" s="405"/>
      <c r="D13" s="405">
        <v>8.7899999999999991</v>
      </c>
      <c r="E13" s="405"/>
      <c r="F13" s="407">
        <f>PRODUCT(D13,B13)</f>
        <v>18311.327999999972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148</v>
      </c>
      <c r="B19" s="405">
        <f>G8</f>
        <v>2083.1999999999971</v>
      </c>
      <c r="C19" s="405"/>
      <c r="D19" s="405">
        <v>2.61</v>
      </c>
      <c r="E19" s="405"/>
      <c r="F19" s="405">
        <f>PRODUCT(D19,B19)</f>
        <v>5437.1519999999919</v>
      </c>
      <c r="G19" s="405"/>
      <c r="H19" s="405"/>
    </row>
    <row r="20" spans="1:8" ht="18.75">
      <c r="A20" s="421" t="s">
        <v>149</v>
      </c>
      <c r="B20" s="422"/>
      <c r="C20" s="422"/>
      <c r="D20" s="422"/>
      <c r="E20" s="423"/>
      <c r="F20" s="424">
        <f>SUM(F11+F13+F16+F17+F18+F19)</f>
        <v>23771.479999999963</v>
      </c>
      <c r="G20" s="424"/>
      <c r="H20" s="424"/>
    </row>
    <row r="21" spans="1:8" ht="15">
      <c r="A21" s="410" t="s">
        <v>150</v>
      </c>
      <c r="B21" s="411"/>
      <c r="C21" s="411"/>
      <c r="D21" s="411"/>
      <c r="E21" s="412"/>
      <c r="F21" s="405">
        <f>PRODUCT(F20,0.07)</f>
        <v>1664.0035999999975</v>
      </c>
      <c r="G21" s="405"/>
      <c r="H21" s="405"/>
    </row>
    <row r="22" spans="1:8" ht="15">
      <c r="A22" s="425" t="s">
        <v>151</v>
      </c>
      <c r="B22" s="426"/>
      <c r="C22" s="426"/>
      <c r="D22" s="426"/>
      <c r="E22" s="427"/>
      <c r="F22" s="405">
        <v>208.26</v>
      </c>
      <c r="G22" s="405"/>
      <c r="H22" s="405"/>
    </row>
    <row r="23" spans="1:8" ht="15.75">
      <c r="A23" s="410" t="s">
        <v>152</v>
      </c>
      <c r="B23" s="411"/>
      <c r="C23" s="411"/>
      <c r="D23" s="411"/>
      <c r="E23" s="412"/>
      <c r="F23" s="413">
        <f>SUM(F21:H22)</f>
        <v>1872.2635999999975</v>
      </c>
      <c r="G23" s="413"/>
      <c r="H23" s="413"/>
    </row>
    <row r="24" spans="1:8">
      <c r="A24" s="414" t="s">
        <v>153</v>
      </c>
      <c r="B24" s="415"/>
      <c r="C24" s="415"/>
      <c r="D24" s="415"/>
      <c r="E24" s="416"/>
      <c r="F24" s="420">
        <f>SUM(F20,F23)</f>
        <v>25643.743599999962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102859.1</v>
      </c>
      <c r="D8" s="99">
        <v>44243</v>
      </c>
      <c r="E8" s="98">
        <v>102900.3</v>
      </c>
      <c r="F8" s="99">
        <v>44244</v>
      </c>
      <c r="G8" s="100">
        <f>E8-C8</f>
        <v>41.19999999999709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143</v>
      </c>
      <c r="B13" s="405">
        <f>G8</f>
        <v>41.19999999999709</v>
      </c>
      <c r="C13" s="405"/>
      <c r="D13" s="405">
        <v>8.5</v>
      </c>
      <c r="E13" s="405"/>
      <c r="F13" s="407">
        <f>PRODUCT(D13,B13)</f>
        <v>350.19999999997526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148</v>
      </c>
      <c r="B19" s="405">
        <v>0</v>
      </c>
      <c r="C19" s="405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154</v>
      </c>
      <c r="B20" s="405">
        <f>G8</f>
        <v>41.19999999999709</v>
      </c>
      <c r="C20" s="405"/>
      <c r="D20" s="405">
        <v>2.54</v>
      </c>
      <c r="E20" s="405"/>
      <c r="F20" s="405">
        <f>PRODUCT(D20,B20)</f>
        <v>104.64799999999261</v>
      </c>
      <c r="G20" s="405"/>
      <c r="H20" s="405"/>
    </row>
    <row r="21" spans="1:8" ht="18.75">
      <c r="A21" s="421" t="s">
        <v>149</v>
      </c>
      <c r="B21" s="422"/>
      <c r="C21" s="422"/>
      <c r="D21" s="422"/>
      <c r="E21" s="423"/>
      <c r="F21" s="424">
        <f>SUM(F11+F13+F16+F17+F18+F20)</f>
        <v>477.8479999999679</v>
      </c>
      <c r="G21" s="424"/>
      <c r="H21" s="424"/>
    </row>
    <row r="22" spans="1:8" ht="15">
      <c r="A22" s="410" t="s">
        <v>150</v>
      </c>
      <c r="B22" s="411"/>
      <c r="C22" s="411"/>
      <c r="D22" s="411"/>
      <c r="E22" s="412"/>
      <c r="F22" s="405">
        <f>PRODUCT(F21,0.07)</f>
        <v>33.449359999997753</v>
      </c>
      <c r="G22" s="405"/>
      <c r="H22" s="405"/>
    </row>
    <row r="23" spans="1:8" ht="15">
      <c r="A23" s="425" t="s">
        <v>151</v>
      </c>
      <c r="B23" s="426"/>
      <c r="C23" s="426"/>
      <c r="D23" s="426"/>
      <c r="E23" s="427"/>
      <c r="F23" s="405">
        <v>208.26</v>
      </c>
      <c r="G23" s="405"/>
      <c r="H23" s="405"/>
    </row>
    <row r="24" spans="1:8" ht="15.75">
      <c r="A24" s="410" t="s">
        <v>152</v>
      </c>
      <c r="B24" s="411"/>
      <c r="C24" s="411"/>
      <c r="D24" s="411"/>
      <c r="E24" s="412"/>
      <c r="F24" s="413">
        <f>SUM(F22:H23)</f>
        <v>241.70935999999773</v>
      </c>
      <c r="G24" s="413"/>
      <c r="H24" s="413"/>
    </row>
    <row r="25" spans="1:8">
      <c r="A25" s="414" t="s">
        <v>153</v>
      </c>
      <c r="B25" s="415"/>
      <c r="C25" s="415"/>
      <c r="D25" s="415"/>
      <c r="E25" s="416"/>
      <c r="F25" s="420">
        <f>SUM(F21,F24)</f>
        <v>719.55735999996568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155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156</v>
      </c>
      <c r="B13" s="405">
        <f>G8</f>
        <v>0</v>
      </c>
      <c r="C13" s="405"/>
      <c r="D13" s="405">
        <v>16.48</v>
      </c>
      <c r="E13" s="405"/>
      <c r="F13" s="407">
        <f>PRODUCT(D13,B13)</f>
        <v>0</v>
      </c>
      <c r="G13" s="407"/>
      <c r="H13" s="407"/>
    </row>
    <row r="14" spans="1:8" ht="15">
      <c r="A14" s="104" t="s">
        <v>157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158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159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160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144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145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5" t="s">
        <v>146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5" t="s">
        <v>147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5" t="s">
        <v>148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5" t="s">
        <v>154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21" t="s">
        <v>149</v>
      </c>
      <c r="B25" s="422"/>
      <c r="C25" s="422"/>
      <c r="D25" s="422"/>
      <c r="E25" s="423"/>
      <c r="F25" s="430">
        <f>SUM(F11+F13+F20+F21+F22+F23)</f>
        <v>15</v>
      </c>
      <c r="G25" s="424"/>
      <c r="H25" s="424"/>
    </row>
    <row r="26" spans="1:8" ht="15">
      <c r="A26" s="410" t="s">
        <v>150</v>
      </c>
      <c r="B26" s="411"/>
      <c r="C26" s="411"/>
      <c r="D26" s="411"/>
      <c r="E26" s="412"/>
      <c r="F26" s="405">
        <v>63.63</v>
      </c>
      <c r="G26" s="405"/>
      <c r="H26" s="405"/>
    </row>
    <row r="27" spans="1:8" ht="15">
      <c r="A27" s="425" t="s">
        <v>151</v>
      </c>
      <c r="B27" s="426"/>
      <c r="C27" s="426"/>
      <c r="D27" s="426"/>
      <c r="E27" s="427"/>
      <c r="F27" s="405">
        <v>2.4300000000000002</v>
      </c>
      <c r="G27" s="405"/>
      <c r="H27" s="405"/>
    </row>
    <row r="28" spans="1:8" ht="15.75">
      <c r="A28" s="410" t="s">
        <v>152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153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161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2.2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175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176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177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178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179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180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28.5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175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176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177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178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179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180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175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176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177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178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179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180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5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175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176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177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178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179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180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184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.7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175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176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177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178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179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180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185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175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176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177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178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179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180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2021-02-17T08:07:41Z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