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D9" i="1"/>
  <c r="AC19" i="13" l="1"/>
  <c r="AC20"/>
  <c r="H19" i="23" s="1"/>
  <c r="AC21" i="13"/>
  <c r="H20" i="23" s="1"/>
  <c r="AC22" i="13"/>
  <c r="L15" i="3"/>
  <c r="L16"/>
  <c r="L17"/>
  <c r="L18"/>
  <c r="L19"/>
  <c r="L20"/>
  <c r="L21"/>
  <c r="L22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9"/>
  <c r="Q10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G18" i="10" s="1"/>
  <c r="T25" i="1"/>
  <c r="G19" i="10" s="1"/>
  <c r="T26" i="1"/>
  <c r="G20" i="10" s="1"/>
  <c r="T27" i="1"/>
  <c r="G21" i="10" s="1"/>
  <c r="T28" i="1"/>
  <c r="G22" i="10" s="1"/>
  <c r="T29" i="1"/>
  <c r="G23" i="10" s="1"/>
  <c r="T30" i="1"/>
  <c r="G24" i="10" s="1"/>
  <c r="T31" i="1"/>
  <c r="G25" i="10" s="1"/>
  <c r="T32" i="1"/>
  <c r="G26" i="10" s="1"/>
  <c r="T33" i="1"/>
  <c r="G27" i="10" s="1"/>
  <c r="T34" i="1"/>
  <c r="G28" i="10" s="1"/>
  <c r="T35" i="1"/>
  <c r="G29" i="10" s="1"/>
  <c r="T36" i="1"/>
  <c r="G30" i="10" s="1"/>
  <c r="T37" i="1"/>
  <c r="G31" i="10" s="1"/>
  <c r="T38" i="1"/>
  <c r="G32" i="10" s="1"/>
  <c r="T39" i="1"/>
  <c r="G33" i="10" s="1"/>
  <c r="T40" i="1"/>
  <c r="G34" i="10" s="1"/>
  <c r="T41" i="1"/>
  <c r="G35" i="10" s="1"/>
  <c r="T42" i="1"/>
  <c r="T43"/>
  <c r="T44"/>
  <c r="G34" i="15"/>
  <c r="G35"/>
  <c r="U36" i="1"/>
  <c r="U35"/>
  <c r="F30" i="3"/>
  <c r="G32" i="15"/>
  <c r="F29" i="3"/>
  <c r="F28" l="1"/>
  <c r="F27"/>
  <c r="H26"/>
  <c r="AE20"/>
  <c r="AE19"/>
  <c r="H18" i="23"/>
  <c r="AE18" i="3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H21" i="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N17" i="12"/>
  <c r="P17" s="1"/>
  <c r="E16" i="3"/>
  <c r="K15" i="10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V27" s="1"/>
  <c r="AK27"/>
  <c r="C21" i="23" s="1"/>
  <c r="U28" i="1"/>
  <c r="AK28"/>
  <c r="C22" i="23" s="1"/>
  <c r="U29" i="1"/>
  <c r="V29" s="1"/>
  <c r="AK29"/>
  <c r="U30"/>
  <c r="V30" s="1"/>
  <c r="AK30"/>
  <c r="C24" i="23" s="1"/>
  <c r="U31" i="1"/>
  <c r="V31" s="1"/>
  <c r="AK31"/>
  <c r="C25" i="23" s="1"/>
  <c r="U32" i="1"/>
  <c r="V32" s="1"/>
  <c r="AK32"/>
  <c r="C26" i="23" s="1"/>
  <c r="U33" i="1"/>
  <c r="V33" s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3" l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20" i="23" l="1"/>
  <c r="K20" i="10"/>
  <c r="F19" i="23"/>
  <c r="K19" i="10"/>
  <c r="F18" i="23"/>
  <c r="K18" i="10"/>
  <c r="F17" i="23"/>
  <c r="K17" i="10"/>
  <c r="F16" i="23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1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T 818 CBX and T 466 DNY. </t>
        </r>
      </text>
    </comment>
  </commentList>
</comments>
</file>

<file path=xl/sharedStrings.xml><?xml version="1.0" encoding="utf-8"?>
<sst xmlns="http://schemas.openxmlformats.org/spreadsheetml/2006/main" count="542" uniqueCount="329">
  <si>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</si>
  <si>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</si>
  <si>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</si>
  <si>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</si>
  <si>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</si>
  <si>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</si>
  <si>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</si>
  <si>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</si>
  <si>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</si>
  <si>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</si>
  <si>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</si>
  <si>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</si>
  <si>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</si>
  <si>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</si>
  <si>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</si>
  <si>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</si>
  <si>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</si>
  <si>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</si>
  <si>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</si>
  <si>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</si>
  <si>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</si>
  <si>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</si>
  <si>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</si>
  <si>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</si>
  <si>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</si>
  <si>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</si>
  <si>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</si>
  <si>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</si>
  <si>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</si>
  <si>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</si>
  <si>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</si>
  <si>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</si>
  <si>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</si>
  <si>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</si>
  <si>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</si>
  <si>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</si>
  <si>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</si>
  <si>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</si>
  <si>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</si>
  <si>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</si>
  <si>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</si>
  <si>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</si>
  <si>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</si>
  <si>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</si>
  <si>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</si>
  <si>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</si>
  <si>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</si>
  <si>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</si>
  <si>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</si>
  <si>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</si>
  <si>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</si>
  <si>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</si>
  <si>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</si>
  <si>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</si>
  <si>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</si>
  <si>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</si>
  <si>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</si>
  <si>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</si>
  <si>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</si>
  <si>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</si>
  <si>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</si>
  <si>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</si>
  <si>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</si>
  <si>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</si>
  <si>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</si>
  <si>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</si>
  <si>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</si>
  <si>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</si>
  <si>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</si>
  <si>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</si>
  <si>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</si>
  <si>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</si>
  <si>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</si>
  <si>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</si>
  <si>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</si>
  <si>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</si>
  <si>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</si>
  <si>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</si>
  <si>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</si>
  <si>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</si>
  <si>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</si>
  <si>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</si>
  <si>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</si>
  <si>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</si>
  <si>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</si>
  <si>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</si>
  <si>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</si>
  <si>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</si>
  <si>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</si>
  <si>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</si>
  <si>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</si>
  <si>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</si>
  <si>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</si>
  <si>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</si>
  <si>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</si>
  <si>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</si>
  <si>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</si>
  <si>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</si>
  <si>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</si>
  <si>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</si>
  <si>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</si>
  <si>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</si>
  <si>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</si>
  <si>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</si>
  <si>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</si>
  <si>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</si>
  <si>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</si>
  <si>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</si>
  <si>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</si>
  <si>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</si>
  <si>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</si>
  <si>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</si>
  <si>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</si>
  <si>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</si>
  <si>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</si>
  <si>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</si>
  <si>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</si>
  <si>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</si>
  <si>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</si>
  <si>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</si>
  <si>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</si>
  <si>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</si>
  <si>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</si>
  <si>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</si>
  <si>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</si>
  <si>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</si>
  <si>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</si>
  <si>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</si>
  <si>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</si>
  <si>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</si>
  <si>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</si>
  <si>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</si>
  <si>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</si>
  <si>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</si>
  <si>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</si>
  <si>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</si>
  <si>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</si>
  <si>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</si>
  <si>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</si>
  <si>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</si>
  <si>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</si>
  <si>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</si>
  <si>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</si>
  <si>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</si>
  <si>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</si>
  <si>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</si>
  <si>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</si>
  <si>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</si>
  <si>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</si>
  <si>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</si>
  <si>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</si>
  <si>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</si>
  <si>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</si>
  <si>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</si>
  <si>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</si>
  <si>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</si>
  <si>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</si>
  <si>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</si>
  <si>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</si>
  <si>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</si>
  <si>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</si>
  <si>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</si>
  <si>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</si>
  <si>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</si>
  <si>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</si>
  <si>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</si>
  <si>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</si>
  <si>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</si>
  <si>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</si>
  <si>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</si>
  <si>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</si>
  <si>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</si>
  <si>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</si>
  <si>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</si>
  <si>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</si>
  <si>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</si>
  <si>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</si>
  <si>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</si>
  <si>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</si>
  <si>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</si>
  <si>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</si>
  <si>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</si>
  <si>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</si>
  <si>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</si>
  <si>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</si>
  <si>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</si>
  <si>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</si>
  <si>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</si>
  <si>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</si>
  <si>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</si>
  <si>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</si>
  <si>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</si>
  <si>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</si>
  <si>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</si>
  <si>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</si>
  <si>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</si>
  <si>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</si>
  <si>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</si>
  <si>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</si>
  <si>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</si>
  <si>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</si>
  <si>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</si>
  <si>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</si>
  <si>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</si>
  <si>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</si>
  <si>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</si>
  <si>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</si>
  <si>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</si>
  <si>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</si>
  <si>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</si>
  <si>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</si>
  <si>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</si>
  <si>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</si>
  <si>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</si>
  <si>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</si>
  <si>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</si>
  <si>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</si>
  <si>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</si>
  <si>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</si>
  <si>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</si>
  <si>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</si>
  <si>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</si>
  <si>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</si>
  <si>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</si>
  <si>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</si>
  <si>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</si>
  <si>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</si>
  <si>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</si>
  <si>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</si>
  <si>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</si>
  <si>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</si>
  <si>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</si>
  <si>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</si>
  <si>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</si>
  <si>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</si>
  <si>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</si>
  <si>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</si>
  <si>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</si>
  <si>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</si>
  <si>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</si>
  <si>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</si>
  <si>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</si>
  <si>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</si>
  <si>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</si>
  <si>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</si>
  <si>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</si>
  <si>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</si>
  <si>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</si>
  <si>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</si>
  <si>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</si>
  <si>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</si>
  <si>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</si>
  <si>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</si>
  <si>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</si>
  <si>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</si>
  <si>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</si>
  <si>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</si>
  <si>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</si>
  <si>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</si>
  <si>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</si>
  <si>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</si>
  <si>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</si>
  <si>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</si>
  <si>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</si>
  <si>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</si>
  <si>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</si>
  <si>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</si>
  <si>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</si>
  <si>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</si>
  <si>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</si>
  <si>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</si>
  <si>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</si>
  <si>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</si>
  <si>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</si>
  <si>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</si>
  <si>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</si>
  <si>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</si>
  <si>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</si>
  <si>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</si>
  <si>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</si>
  <si>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</si>
  <si>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</si>
  <si>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</si>
  <si>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</si>
  <si>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</si>
  <si>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</si>
  <si>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</si>
  <si>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</si>
  <si>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</si>
  <si>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</si>
  <si>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</si>
  <si>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</si>
  <si>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</si>
  <si>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</si>
  <si>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</si>
  <si>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</si>
  <si>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</si>
  <si>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</si>
  <si>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</si>
  <si>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</si>
  <si>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</si>
  <si>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</si>
  <si>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</si>
  <si>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</si>
  <si>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</si>
  <si>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</si>
  <si>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</si>
  <si>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</si>
  <si>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</si>
  <si>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</si>
  <si>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</si>
  <si>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</si>
  <si>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</si>
  <si>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</si>
  <si>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</si>
  <si>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</si>
  <si>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</si>
  <si>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</si>
  <si>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</si>
  <si>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</si>
  <si>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</si>
  <si>
    <t>T 880DKQ</t>
  </si>
  <si>
    <t>Emanuel</t>
  </si>
  <si>
    <t>Noel</t>
  </si>
  <si>
    <t xml:space="preserve"> T818 CBX</t>
  </si>
  <si>
    <t>Sita</t>
  </si>
  <si>
    <t>Cssh paid</t>
  </si>
  <si>
    <t>T466DNY</t>
  </si>
  <si>
    <t>Abdullah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</si>
</sst>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841.98</c:v>
                </c:pt>
                <c:pt idx="4">
                  <c:v>938.54</c:v>
                </c:pt>
                <c:pt idx="5">
                  <c:v>910.27</c:v>
                </c:pt>
                <c:pt idx="6">
                  <c:v>948.21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0890112"/>
        <c:axId val="809000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0901632"/>
        <c:axId val="80903168"/>
      </c:lineChart>
      <c:catAx>
        <c:axId val="8089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00096"/>
        <c:crosses val="autoZero"/>
        <c:auto val="1"/>
        <c:lblAlgn val="ctr"/>
        <c:lblOffset val="100"/>
      </c:catAx>
      <c:valAx>
        <c:axId val="8090009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90112"/>
        <c:crosses val="autoZero"/>
        <c:crossBetween val="between"/>
        <c:majorUnit val="200"/>
      </c:valAx>
      <c:catAx>
        <c:axId val="80901632"/>
        <c:scaling>
          <c:orientation val="minMax"/>
        </c:scaling>
        <c:delete val="1"/>
        <c:axPos val="b"/>
        <c:tickLblPos val="none"/>
        <c:crossAx val="80903168"/>
        <c:crosses val="autoZero"/>
        <c:auto val="1"/>
        <c:lblAlgn val="ctr"/>
        <c:lblOffset val="100"/>
      </c:catAx>
      <c:valAx>
        <c:axId val="809031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01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3890560"/>
        <c:axId val="838920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3893632"/>
        <c:axId val="83899520"/>
      </c:lineChart>
      <c:catAx>
        <c:axId val="8389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92096"/>
        <c:crosses val="autoZero"/>
        <c:auto val="1"/>
        <c:lblAlgn val="ctr"/>
        <c:lblOffset val="100"/>
      </c:catAx>
      <c:valAx>
        <c:axId val="83892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90560"/>
        <c:crosses val="autoZero"/>
        <c:crossBetween val="between"/>
        <c:majorUnit val="200"/>
      </c:valAx>
      <c:catAx>
        <c:axId val="83893632"/>
        <c:scaling>
          <c:orientation val="minMax"/>
        </c:scaling>
        <c:delete val="1"/>
        <c:axPos val="b"/>
        <c:tickLblPos val="none"/>
        <c:crossAx val="83899520"/>
        <c:crosses val="autoZero"/>
        <c:auto val="1"/>
        <c:lblAlgn val="ctr"/>
        <c:lblOffset val="100"/>
      </c:catAx>
      <c:valAx>
        <c:axId val="838995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93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5665280"/>
        <c:axId val="85666816"/>
      </c:lineChart>
      <c:catAx>
        <c:axId val="8566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66816"/>
        <c:crosses val="autoZero"/>
        <c:auto val="1"/>
        <c:lblAlgn val="ctr"/>
        <c:lblOffset val="200"/>
        <c:tickLblSkip val="1"/>
      </c:catAx>
      <c:valAx>
        <c:axId val="856668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6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5699584"/>
        <c:axId val="86319872"/>
      </c:lineChart>
      <c:catAx>
        <c:axId val="8569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19872"/>
        <c:crosses val="autoZero"/>
        <c:auto val="1"/>
        <c:lblAlgn val="ctr"/>
        <c:lblOffset val="100"/>
      </c:catAx>
      <c:valAx>
        <c:axId val="863198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9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6360832"/>
        <c:axId val="86362752"/>
      </c:lineChart>
      <c:catAx>
        <c:axId val="86360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62752"/>
        <c:crosses val="autoZero"/>
        <c:auto val="1"/>
        <c:lblAlgn val="ctr"/>
        <c:lblOffset val="100"/>
      </c:catAx>
      <c:valAx>
        <c:axId val="863627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6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6289408"/>
        <c:axId val="86299776"/>
      </c:lineChart>
      <c:catAx>
        <c:axId val="86289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99776"/>
        <c:crosses val="autoZero"/>
        <c:auto val="1"/>
        <c:lblAlgn val="ctr"/>
        <c:lblOffset val="100"/>
      </c:catAx>
      <c:valAx>
        <c:axId val="862997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894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-317591.076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6906368"/>
        <c:axId val="86907904"/>
      </c:lineChart>
      <c:catAx>
        <c:axId val="8690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07904"/>
        <c:crosses val="autoZero"/>
        <c:auto val="1"/>
        <c:lblAlgn val="ctr"/>
        <c:lblOffset val="100"/>
      </c:catAx>
      <c:valAx>
        <c:axId val="86907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0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6941696"/>
        <c:axId val="86943232"/>
      </c:lineChart>
      <c:catAx>
        <c:axId val="8694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43232"/>
        <c:crosses val="autoZero"/>
        <c:auto val="1"/>
        <c:lblAlgn val="ctr"/>
        <c:lblOffset val="100"/>
      </c:catAx>
      <c:valAx>
        <c:axId val="8694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4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910.27</c:v>
                </c:pt>
                <c:pt idx="9">
                  <c:v>948.21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7966848"/>
        <c:axId val="87968384"/>
      </c:lineChart>
      <c:catAx>
        <c:axId val="8796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8384"/>
        <c:crosses val="autoZero"/>
        <c:auto val="1"/>
        <c:lblAlgn val="ctr"/>
        <c:lblOffset val="100"/>
      </c:catAx>
      <c:valAx>
        <c:axId val="8796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151"/>
          <c:y val="7.471324705111273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7997056"/>
        <c:axId val="88007040"/>
      </c:lineChart>
      <c:catAx>
        <c:axId val="8799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07040"/>
        <c:crosses val="autoZero"/>
        <c:auto val="1"/>
        <c:lblAlgn val="ctr"/>
        <c:lblOffset val="200"/>
        <c:tickLblSkip val="1"/>
      </c:catAx>
      <c:valAx>
        <c:axId val="88007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7790336"/>
        <c:axId val="87791872"/>
      </c:lineChart>
      <c:catAx>
        <c:axId val="8779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91872"/>
        <c:crosses val="autoZero"/>
        <c:auto val="1"/>
        <c:lblAlgn val="ctr"/>
        <c:lblOffset val="100"/>
      </c:catAx>
      <c:valAx>
        <c:axId val="8779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9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7808256"/>
        <c:axId val="88371584"/>
      </c:lineChart>
      <c:catAx>
        <c:axId val="87808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71584"/>
        <c:crosses val="autoZero"/>
        <c:auto val="1"/>
        <c:lblAlgn val="ctr"/>
        <c:lblOffset val="100"/>
      </c:catAx>
      <c:valAx>
        <c:axId val="883715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082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2773376"/>
        <c:axId val="152775296"/>
      </c:lineChart>
      <c:catAx>
        <c:axId val="152773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75296"/>
        <c:crosses val="autoZero"/>
        <c:auto val="1"/>
        <c:lblAlgn val="ctr"/>
        <c:lblOffset val="100"/>
      </c:catAx>
      <c:valAx>
        <c:axId val="152775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733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2816640"/>
        <c:axId val="152818432"/>
      </c:lineChart>
      <c:catAx>
        <c:axId val="15281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18432"/>
        <c:crosses val="autoZero"/>
        <c:auto val="1"/>
        <c:lblAlgn val="ctr"/>
        <c:lblOffset val="100"/>
      </c:catAx>
      <c:valAx>
        <c:axId val="15281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1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8311296"/>
        <c:axId val="88312832"/>
      </c:lineChart>
      <c:catAx>
        <c:axId val="8831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12832"/>
        <c:crosses val="autoZero"/>
        <c:auto val="1"/>
        <c:lblAlgn val="ctr"/>
        <c:lblOffset val="100"/>
      </c:catAx>
      <c:valAx>
        <c:axId val="8831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1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3098880"/>
        <c:axId val="153104768"/>
      </c:lineChart>
      <c:catAx>
        <c:axId val="15309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04768"/>
        <c:crosses val="autoZero"/>
        <c:auto val="1"/>
        <c:lblAlgn val="ctr"/>
        <c:lblOffset val="100"/>
      </c:catAx>
      <c:valAx>
        <c:axId val="15310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9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395"/>
          <c:y val="7.471324705111312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3793280"/>
        <c:axId val="15379481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1199104"/>
        <c:axId val="81200640"/>
      </c:lineChart>
      <c:catAx>
        <c:axId val="1537932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94816"/>
        <c:crosses val="autoZero"/>
        <c:lblAlgn val="ctr"/>
        <c:lblOffset val="100"/>
        <c:tickMarkSkip val="1"/>
      </c:catAx>
      <c:valAx>
        <c:axId val="153794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93280"/>
        <c:crosses val="autoZero"/>
        <c:crossBetween val="between"/>
      </c:valAx>
      <c:catAx>
        <c:axId val="81199104"/>
        <c:scaling>
          <c:orientation val="minMax"/>
        </c:scaling>
        <c:delete val="1"/>
        <c:axPos val="b"/>
        <c:numFmt formatCode="[$-409]d\-mmm\-yy;@" sourceLinked="1"/>
        <c:tickLblPos val="none"/>
        <c:crossAx val="81200640"/>
        <c:crosses val="autoZero"/>
        <c:lblAlgn val="ctr"/>
        <c:lblOffset val="100"/>
      </c:catAx>
      <c:valAx>
        <c:axId val="8120064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99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1229312"/>
        <c:axId val="81230848"/>
      </c:lineChart>
      <c:catAx>
        <c:axId val="8122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30848"/>
        <c:crosses val="autoZero"/>
        <c:auto val="1"/>
        <c:lblAlgn val="ctr"/>
        <c:lblOffset val="100"/>
      </c:catAx>
      <c:valAx>
        <c:axId val="812308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2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1263616"/>
        <c:axId val="153826048"/>
      </c:lineChart>
      <c:catAx>
        <c:axId val="8126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26048"/>
        <c:crosses val="autoZero"/>
        <c:auto val="1"/>
        <c:lblAlgn val="ctr"/>
        <c:lblOffset val="100"/>
      </c:catAx>
      <c:valAx>
        <c:axId val="1538260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6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3877504"/>
        <c:axId val="1558494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5851008"/>
        <c:axId val="155856896"/>
      </c:lineChart>
      <c:catAx>
        <c:axId val="1538775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49472"/>
        <c:crosses val="autoZero"/>
        <c:lblAlgn val="ctr"/>
        <c:lblOffset val="100"/>
        <c:tickMarkSkip val="1"/>
      </c:catAx>
      <c:valAx>
        <c:axId val="15584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77504"/>
        <c:crosses val="autoZero"/>
        <c:crossBetween val="between"/>
      </c:valAx>
      <c:catAx>
        <c:axId val="155851008"/>
        <c:scaling>
          <c:orientation val="minMax"/>
        </c:scaling>
        <c:delete val="1"/>
        <c:axPos val="b"/>
        <c:numFmt formatCode="General" sourceLinked="1"/>
        <c:tickLblPos val="none"/>
        <c:crossAx val="155856896"/>
        <c:crosses val="autoZero"/>
        <c:lblAlgn val="ctr"/>
        <c:lblOffset val="100"/>
      </c:catAx>
      <c:valAx>
        <c:axId val="1558568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1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5905408"/>
        <c:axId val="155907200"/>
      </c:lineChart>
      <c:catAx>
        <c:axId val="15590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07200"/>
        <c:crosses val="autoZero"/>
        <c:auto val="1"/>
        <c:lblAlgn val="ctr"/>
        <c:lblOffset val="100"/>
      </c:catAx>
      <c:valAx>
        <c:axId val="15590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0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6066944"/>
        <c:axId val="156068480"/>
      </c:lineChart>
      <c:catAx>
        <c:axId val="15606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68480"/>
        <c:crosses val="autoZero"/>
        <c:auto val="1"/>
        <c:lblAlgn val="ctr"/>
        <c:lblOffset val="100"/>
      </c:catAx>
      <c:valAx>
        <c:axId val="15606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6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6521216"/>
        <c:axId val="15652275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6532736"/>
        <c:axId val="156534272"/>
      </c:lineChart>
      <c:catAx>
        <c:axId val="1565212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22752"/>
        <c:crosses val="autoZero"/>
        <c:lblAlgn val="ctr"/>
        <c:lblOffset val="100"/>
        <c:tickMarkSkip val="1"/>
      </c:catAx>
      <c:valAx>
        <c:axId val="156522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21216"/>
        <c:crosses val="autoZero"/>
        <c:crossBetween val="between"/>
      </c:valAx>
      <c:catAx>
        <c:axId val="156532736"/>
        <c:scaling>
          <c:orientation val="minMax"/>
        </c:scaling>
        <c:delete val="1"/>
        <c:axPos val="b"/>
        <c:numFmt formatCode="[$-409]d\-mmm\-yy;@" sourceLinked="1"/>
        <c:tickLblPos val="none"/>
        <c:crossAx val="156534272"/>
        <c:crosses val="autoZero"/>
        <c:lblAlgn val="ctr"/>
        <c:lblOffset val="100"/>
      </c:catAx>
      <c:valAx>
        <c:axId val="1565342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32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6564480"/>
        <c:axId val="1576189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7620480"/>
        <c:axId val="157634560"/>
      </c:lineChart>
      <c:catAx>
        <c:axId val="1565644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8944"/>
        <c:crosses val="autoZero"/>
        <c:lblAlgn val="ctr"/>
        <c:lblOffset val="100"/>
        <c:tickMarkSkip val="1"/>
      </c:catAx>
      <c:valAx>
        <c:axId val="15761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4480"/>
        <c:crosses val="autoZero"/>
        <c:crossBetween val="between"/>
      </c:valAx>
      <c:catAx>
        <c:axId val="157620480"/>
        <c:scaling>
          <c:orientation val="minMax"/>
        </c:scaling>
        <c:delete val="1"/>
        <c:axPos val="b"/>
        <c:numFmt formatCode="General" sourceLinked="1"/>
        <c:tickLblPos val="none"/>
        <c:crossAx val="157634560"/>
        <c:crosses val="autoZero"/>
        <c:lblAlgn val="ctr"/>
        <c:lblOffset val="100"/>
      </c:catAx>
      <c:valAx>
        <c:axId val="1576345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20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7841664"/>
        <c:axId val="15785164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7853184"/>
        <c:axId val="157854720"/>
      </c:lineChart>
      <c:catAx>
        <c:axId val="1578416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51648"/>
        <c:crosses val="autoZero"/>
        <c:lblAlgn val="ctr"/>
        <c:lblOffset val="100"/>
        <c:tickMarkSkip val="1"/>
      </c:catAx>
      <c:valAx>
        <c:axId val="1578516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41664"/>
        <c:crosses val="autoZero"/>
        <c:crossBetween val="between"/>
      </c:valAx>
      <c:catAx>
        <c:axId val="157853184"/>
        <c:scaling>
          <c:orientation val="minMax"/>
        </c:scaling>
        <c:delete val="1"/>
        <c:axPos val="b"/>
        <c:numFmt formatCode="[$-409]d\-mmm\-yy;@" sourceLinked="1"/>
        <c:tickLblPos val="none"/>
        <c:crossAx val="157854720"/>
        <c:crosses val="autoZero"/>
        <c:lblAlgn val="ctr"/>
        <c:lblOffset val="100"/>
      </c:catAx>
      <c:valAx>
        <c:axId val="1578547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53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9146752"/>
        <c:axId val="1591482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9150080"/>
        <c:axId val="159151616"/>
      </c:lineChart>
      <c:catAx>
        <c:axId val="1591467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48288"/>
        <c:crosses val="autoZero"/>
        <c:lblAlgn val="ctr"/>
        <c:lblOffset val="100"/>
        <c:tickMarkSkip val="1"/>
      </c:catAx>
      <c:valAx>
        <c:axId val="15914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46752"/>
        <c:crosses val="autoZero"/>
        <c:crossBetween val="between"/>
      </c:valAx>
      <c:catAx>
        <c:axId val="159150080"/>
        <c:scaling>
          <c:orientation val="minMax"/>
        </c:scaling>
        <c:delete val="1"/>
        <c:axPos val="b"/>
        <c:numFmt formatCode="General" sourceLinked="1"/>
        <c:tickLblPos val="none"/>
        <c:crossAx val="159151616"/>
        <c:crosses val="autoZero"/>
        <c:lblAlgn val="ctr"/>
        <c:lblOffset val="100"/>
      </c:catAx>
      <c:valAx>
        <c:axId val="1591516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00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9463296"/>
        <c:axId val="159473664"/>
      </c:lineChart>
      <c:catAx>
        <c:axId val="159463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73664"/>
        <c:crosses val="autoZero"/>
        <c:auto val="1"/>
        <c:lblAlgn val="ctr"/>
        <c:lblOffset val="100"/>
      </c:catAx>
      <c:valAx>
        <c:axId val="159473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632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494528"/>
        <c:axId val="159496448"/>
      </c:lineChart>
      <c:catAx>
        <c:axId val="159494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96448"/>
        <c:crosses val="autoZero"/>
        <c:auto val="1"/>
        <c:lblAlgn val="ctr"/>
        <c:lblOffset val="100"/>
      </c:catAx>
      <c:valAx>
        <c:axId val="1594964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945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7969024"/>
        <c:axId val="157974912"/>
      </c:lineChart>
      <c:catAx>
        <c:axId val="15796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74912"/>
        <c:crosses val="autoZero"/>
        <c:auto val="1"/>
        <c:lblAlgn val="ctr"/>
        <c:lblOffset val="200"/>
        <c:tickLblSkip val="1"/>
      </c:catAx>
      <c:valAx>
        <c:axId val="1579749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6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486336"/>
        <c:axId val="159487872"/>
      </c:lineChart>
      <c:catAx>
        <c:axId val="15948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87872"/>
        <c:crosses val="autoZero"/>
        <c:auto val="1"/>
        <c:lblAlgn val="ctr"/>
        <c:lblOffset val="100"/>
      </c:catAx>
      <c:valAx>
        <c:axId val="1594878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8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6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-317591.076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0069504"/>
        <c:axId val="160071040"/>
      </c:lineChart>
      <c:catAx>
        <c:axId val="16006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1040"/>
        <c:crosses val="autoZero"/>
        <c:auto val="1"/>
        <c:lblAlgn val="ctr"/>
        <c:lblOffset val="100"/>
      </c:catAx>
      <c:valAx>
        <c:axId val="160071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6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1164672"/>
        <c:axId val="161195520"/>
      </c:lineChart>
      <c:catAx>
        <c:axId val="161164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5520"/>
        <c:crosses val="autoZero"/>
        <c:auto val="1"/>
        <c:lblAlgn val="ctr"/>
        <c:lblOffset val="100"/>
      </c:catAx>
      <c:valAx>
        <c:axId val="161195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64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1351552"/>
        <c:axId val="161378304"/>
      </c:lineChart>
      <c:catAx>
        <c:axId val="161351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78304"/>
        <c:crosses val="autoZero"/>
        <c:auto val="1"/>
        <c:lblAlgn val="ctr"/>
        <c:lblOffset val="100"/>
      </c:catAx>
      <c:valAx>
        <c:axId val="1613783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15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087872"/>
        <c:axId val="161089408"/>
      </c:lineChart>
      <c:catAx>
        <c:axId val="1610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89408"/>
        <c:crosses val="autoZero"/>
        <c:auto val="1"/>
        <c:lblAlgn val="ctr"/>
        <c:lblOffset val="200"/>
        <c:tickLblSkip val="1"/>
      </c:catAx>
      <c:valAx>
        <c:axId val="1610894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118080"/>
        <c:axId val="161119616"/>
      </c:lineChart>
      <c:catAx>
        <c:axId val="16111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19616"/>
        <c:crosses val="autoZero"/>
        <c:auto val="1"/>
        <c:lblAlgn val="ctr"/>
        <c:lblOffset val="100"/>
      </c:catAx>
      <c:valAx>
        <c:axId val="1611196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1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6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-317591.076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1140096"/>
        <c:axId val="161940608"/>
      </c:lineChart>
      <c:catAx>
        <c:axId val="16114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40608"/>
        <c:crosses val="autoZero"/>
        <c:auto val="1"/>
        <c:lblAlgn val="ctr"/>
        <c:lblOffset val="100"/>
      </c:catAx>
      <c:valAx>
        <c:axId val="161940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4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858112"/>
        <c:axId val="162860032"/>
      </c:lineChart>
      <c:catAx>
        <c:axId val="162858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60032"/>
        <c:crosses val="autoZero"/>
        <c:auto val="1"/>
        <c:lblAlgn val="ctr"/>
        <c:lblOffset val="100"/>
      </c:catAx>
      <c:valAx>
        <c:axId val="162860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81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876800"/>
        <c:axId val="162899456"/>
      </c:lineChart>
      <c:catAx>
        <c:axId val="162876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99456"/>
        <c:crosses val="autoZero"/>
        <c:auto val="1"/>
        <c:lblAlgn val="ctr"/>
        <c:lblOffset val="100"/>
      </c:catAx>
      <c:valAx>
        <c:axId val="1628994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76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3075968"/>
        <c:axId val="163077504"/>
      </c:lineChart>
      <c:catAx>
        <c:axId val="16307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77504"/>
        <c:crosses val="autoZero"/>
        <c:auto val="1"/>
        <c:lblAlgn val="ctr"/>
        <c:lblOffset val="200"/>
        <c:tickLblSkip val="1"/>
      </c:catAx>
      <c:valAx>
        <c:axId val="1630775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7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3106176"/>
        <c:axId val="163112064"/>
      </c:lineChart>
      <c:catAx>
        <c:axId val="16310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12064"/>
        <c:crosses val="autoZero"/>
        <c:auto val="1"/>
        <c:lblAlgn val="ctr"/>
        <c:lblOffset val="100"/>
      </c:catAx>
      <c:valAx>
        <c:axId val="16311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0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267712"/>
        <c:axId val="163269248"/>
      </c:lineChart>
      <c:catAx>
        <c:axId val="16326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9248"/>
        <c:crosses val="autoZero"/>
        <c:auto val="1"/>
        <c:lblAlgn val="ctr"/>
        <c:lblOffset val="100"/>
      </c:catAx>
      <c:valAx>
        <c:axId val="16326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306112"/>
        <c:axId val="163799808"/>
      </c:lineChart>
      <c:catAx>
        <c:axId val="163306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99808"/>
        <c:crosses val="autoZero"/>
        <c:auto val="1"/>
        <c:lblAlgn val="ctr"/>
        <c:lblOffset val="100"/>
      </c:catAx>
      <c:valAx>
        <c:axId val="1637998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061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583104"/>
        <c:axId val="163585024"/>
      </c:lineChart>
      <c:catAx>
        <c:axId val="163583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85024"/>
        <c:crosses val="autoZero"/>
        <c:auto val="1"/>
        <c:lblAlgn val="ctr"/>
        <c:lblOffset val="100"/>
      </c:catAx>
      <c:valAx>
        <c:axId val="1635850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831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609984"/>
        <c:axId val="163615872"/>
      </c:lineChart>
      <c:catAx>
        <c:axId val="16360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15872"/>
        <c:crosses val="autoZero"/>
        <c:auto val="1"/>
        <c:lblAlgn val="ctr"/>
        <c:lblOffset val="200"/>
        <c:tickLblSkip val="1"/>
      </c:catAx>
      <c:valAx>
        <c:axId val="1636158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0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4304000"/>
        <c:axId val="164305536"/>
      </c:lineChart>
      <c:catAx>
        <c:axId val="16430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05536"/>
        <c:crosses val="autoZero"/>
        <c:auto val="1"/>
        <c:lblAlgn val="ctr"/>
        <c:lblOffset val="100"/>
      </c:catAx>
      <c:valAx>
        <c:axId val="16430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0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317824"/>
        <c:axId val="164340096"/>
      </c:lineChart>
      <c:catAx>
        <c:axId val="16431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0096"/>
        <c:crosses val="autoZero"/>
        <c:auto val="1"/>
        <c:lblAlgn val="ctr"/>
        <c:lblOffset val="100"/>
      </c:catAx>
      <c:valAx>
        <c:axId val="16434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8%20AUGUST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43590.620000000017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8" sqref="C3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78.980000000051234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76.031999999994881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58.607999999966708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66.263999999989764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2152</v>
      </c>
      <c r="F6" s="484">
        <f>('UTILITY REPORT 1'!E7*'UTILITY REPORT 1'!D7)/'UTILITY REPORT 1'!F7</f>
        <v>0.39125464684014871</v>
      </c>
      <c r="G6" s="484">
        <f>IF('Utility summery'!M10&lt;0,"0",'Utility summery'!M10)</f>
        <v>63.536000000010247</v>
      </c>
      <c r="H6" s="492">
        <v>0</v>
      </c>
      <c r="I6" s="484">
        <f>IF('UTILITY REPORT 1'!G7&lt;0,"0",'UTILITY REPORT 1'!G7)</f>
        <v>50</v>
      </c>
      <c r="J6" s="492">
        <v>0</v>
      </c>
      <c r="K6" s="483">
        <f>'UTILITY REPORT 1'!C7</f>
        <v>8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2052</v>
      </c>
      <c r="F7" s="484">
        <f>('UTILITY REPORT 1'!E8*'UTILITY REPORT 1'!D8)/'UTILITY REPORT 1'!F8</f>
        <v>0.45737816764132549</v>
      </c>
      <c r="G7" s="484">
        <f>IF('Utility summery'!M11&lt;0,"0",'Utility summery'!M11)</f>
        <v>50.072000000020495</v>
      </c>
      <c r="H7" s="492">
        <v>0</v>
      </c>
      <c r="I7" s="484">
        <f>IF('UTILITY REPORT 1'!G8&lt;0,"0",'UTILITY REPORT 1'!G8)</f>
        <v>52</v>
      </c>
      <c r="J7" s="492">
        <v>0</v>
      </c>
      <c r="K7" s="483">
        <f>'UTILITY REPORT 1'!C8</f>
        <v>7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2010</v>
      </c>
      <c r="F8" s="484">
        <f>('UTILITY REPORT 1'!E9*'UTILITY REPORT 1'!D9)/'UTILITY REPORT 1'!F9</f>
        <v>0.45287064676616917</v>
      </c>
      <c r="G8" s="484">
        <f>IF('Utility summery'!M12&lt;0,"0",'Utility summery'!M12)</f>
        <v>49.588000000017935</v>
      </c>
      <c r="H8" s="492">
        <v>0</v>
      </c>
      <c r="I8" s="484">
        <f>IF('UTILITY REPORT 1'!G9&lt;0,"0",'UTILITY REPORT 1'!G9)</f>
        <v>58</v>
      </c>
      <c r="J8" s="492">
        <v>0</v>
      </c>
      <c r="K8" s="483">
        <f>'UTILITY REPORT 1'!C9</f>
        <v>3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2245</v>
      </c>
      <c r="F9" s="484">
        <f>('UTILITY REPORT 1'!E10*'UTILITY REPORT 1'!D10)/'UTILITY REPORT 1'!F10</f>
        <v>0.42236525612472164</v>
      </c>
      <c r="G9" s="484">
        <f>IF('Utility summery'!M13&lt;0,"0",'Utility summery'!M13)</f>
        <v>62.567999999941101</v>
      </c>
      <c r="H9" s="492">
        <v>0</v>
      </c>
      <c r="I9" s="484">
        <f>IF('UTILITY REPORT 1'!G10&lt;0,"0",'UTILITY REPORT 1'!G10)</f>
        <v>46</v>
      </c>
      <c r="J9" s="492">
        <v>0</v>
      </c>
      <c r="K9" s="483">
        <f>'UTILITY REPORT 1'!C10</f>
        <v>7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0</v>
      </c>
      <c r="F10" s="484" t="e">
        <f>('UTILITY REPORT 1'!E11*'UTILITY REPORT 1'!D11)/'UTILITY REPORT 1'!F11</f>
        <v>#DIV/0!</v>
      </c>
      <c r="G10" s="484" t="str">
        <f>IF('Utility summery'!M14&lt;0,"0",'Utility summery'!M14)</f>
        <v>0</v>
      </c>
      <c r="H10" s="492">
        <v>0</v>
      </c>
      <c r="I10" s="484" t="str">
        <f>IF('UTILITY REPORT 1'!G11&lt;0,"0",'UTILITY REPORT 1'!G11)</f>
        <v>0</v>
      </c>
      <c r="J10" s="492">
        <v>0</v>
      </c>
      <c r="K10" s="483">
        <f>'UTILITY REPORT 1'!C11</f>
        <v>5</v>
      </c>
      <c r="L10" s="485" t="e">
        <f>E10*F10+G10*H10+#REF!*#REF!+I10*J10</f>
        <v>#DIV/0!</v>
      </c>
    </row>
    <row r="11" spans="1:12">
      <c r="A11" s="480" t="s">
        <v>283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0</v>
      </c>
      <c r="F11" s="484" t="e">
        <f>('UTILITY REPORT 1'!E12*'UTILITY REPORT 1'!D12)/'UTILITY REPORT 1'!F12</f>
        <v>#DIV/0!</v>
      </c>
      <c r="G11" s="484">
        <f>IF('Utility summery'!M15&lt;0,"0",'Utility summery'!M15)</f>
        <v>0</v>
      </c>
      <c r="H11" s="492">
        <v>0</v>
      </c>
      <c r="I11" s="484">
        <f>IF('UTILITY REPORT 1'!G12&lt;0,"0",'UTILITY REPORT 1'!G12)</f>
        <v>0</v>
      </c>
      <c r="J11" s="492">
        <v>0</v>
      </c>
      <c r="K11" s="483">
        <f>'UTILITY REPORT 1'!C12</f>
        <v>0</v>
      </c>
      <c r="L11" s="485" t="e">
        <f>E11*F11+G11*H11+#REF!*#REF!+I11*J11</f>
        <v>#DIV/0!</v>
      </c>
    </row>
    <row r="12" spans="1:12">
      <c r="A12" s="480" t="s">
        <v>283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0</v>
      </c>
      <c r="F12" s="484" t="e">
        <f>('UTILITY REPORT 1'!E13*'UTILITY REPORT 1'!D13)/'UTILITY REPORT 1'!F13</f>
        <v>#DIV/0!</v>
      </c>
      <c r="G12" s="484">
        <f>IF('Utility summery'!M16&lt;0,"0",'Utility summery'!M16)</f>
        <v>0</v>
      </c>
      <c r="H12" s="492">
        <v>0</v>
      </c>
      <c r="I12" s="484">
        <f>IF('UTILITY REPORT 1'!G13&lt;0,"0",'UTILITY REPORT 1'!G13)</f>
        <v>0</v>
      </c>
      <c r="J12" s="492">
        <v>0</v>
      </c>
      <c r="K12" s="483">
        <f>'UTILITY REPORT 1'!C13</f>
        <v>0</v>
      </c>
      <c r="L12" s="485" t="e">
        <f>E12*F12+G12*H12+#REF!*#REF!+I12*J12</f>
        <v>#DIV/0!</v>
      </c>
    </row>
    <row r="13" spans="1:12">
      <c r="A13" s="480" t="s">
        <v>283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0</v>
      </c>
      <c r="F13" s="484" t="e">
        <f>('UTILITY REPORT 1'!E14*'UTILITY REPORT 1'!D14)/'UTILITY REPORT 1'!F14</f>
        <v>#DIV/0!</v>
      </c>
      <c r="G13" s="484">
        <f>IF('Utility summery'!M17&lt;0,"0",'Utility summery'!M17)</f>
        <v>0</v>
      </c>
      <c r="H13" s="492">
        <v>0</v>
      </c>
      <c r="I13" s="484">
        <f>IF('UTILITY REPORT 1'!G14&lt;0,"0",'UTILITY REPORT 1'!G14)</f>
        <v>0</v>
      </c>
      <c r="J13" s="492">
        <v>0</v>
      </c>
      <c r="K13" s="483">
        <f>'UTILITY REPORT 1'!C14</f>
        <v>0</v>
      </c>
      <c r="L13" s="485" t="e">
        <f>E13*F13+G13*H13+#REF!*#REF!+I13*J13</f>
        <v>#DIV/0!</v>
      </c>
    </row>
    <row r="14" spans="1:12">
      <c r="A14" s="480" t="s">
        <v>283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0</v>
      </c>
      <c r="H14" s="492">
        <v>0</v>
      </c>
      <c r="I14" s="484">
        <f>IF('UTILITY REPORT 1'!G15&lt;0,"0",'UTILITY REPORT 1'!G15)</f>
        <v>0</v>
      </c>
      <c r="J14" s="492">
        <v>0</v>
      </c>
      <c r="K14" s="483">
        <f>'UTILITY REPORT 1'!C15</f>
        <v>0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>
        <f>IF('Utility summery'!M19&lt;0,"0",'Utility summery'!M19)</f>
        <v>0</v>
      </c>
      <c r="H15" s="492">
        <v>0</v>
      </c>
      <c r="I15" s="484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9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283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283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283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283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27.01</v>
      </c>
      <c r="F6" s="540">
        <f>'UTILITY REPORT 1'!E7</f>
        <v>841.98</v>
      </c>
      <c r="G6" s="541">
        <f>'UTILITY REPORT 1'!F7</f>
        <v>2152</v>
      </c>
      <c r="H6" s="540">
        <f>IF('Kit report'!F8&lt;0,"0",'Kit report'!F8)</f>
        <v>204.00000000008731</v>
      </c>
      <c r="I6" s="540">
        <f>IF('Kit report'!X8&lt;0,"0",'Kit report'!X8)</f>
        <v>40.000000000145519</v>
      </c>
      <c r="J6" s="540">
        <f>IF('Utility summery'!H10&lt;0,"0",'Utility summery'!H10)</f>
        <v>43</v>
      </c>
      <c r="K6" s="541">
        <f>IF('UTILITY REPORT 1'!H7&lt;0,"0",'UTILITY REPORT 1'!H7)</f>
        <v>1</v>
      </c>
      <c r="L6" s="540">
        <f>'Water-Meter'!K10</f>
        <v>1</v>
      </c>
      <c r="M6" s="541">
        <f>'Water-Meter'!H10</f>
        <v>0</v>
      </c>
      <c r="N6" s="541">
        <f>'Water-Meter'!Q10</f>
        <v>2</v>
      </c>
      <c r="O6" s="540" t="e">
        <f>K6*E6+H6*I6+#REF!*#REF!+J6*L6</f>
        <v>#REF!</v>
      </c>
      <c r="P6" s="547">
        <f>'Water-Meter'!E10</f>
        <v>50</v>
      </c>
      <c r="Q6" s="289">
        <f>IF('Water-Meter'!U10&lt;0,"0",'Water-Meter'!U10)</f>
        <v>20</v>
      </c>
      <c r="R6" s="289">
        <f>IF('Water-Meter'!X10&lt;0,"0",'Water-Meter'!X10)</f>
        <v>0</v>
      </c>
      <c r="S6" s="289">
        <f>IF('Water-Meter'!AA10&lt;0,"0",'Water-Meter'!AA10)</f>
        <v>43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24</v>
      </c>
      <c r="W6" s="31">
        <f>'Water-Meter'!AN10</f>
        <v>103</v>
      </c>
      <c r="X6" s="558">
        <f>Total!K6</f>
        <v>8</v>
      </c>
    </row>
    <row r="7" spans="1:24">
      <c r="A7" s="542" t="s">
        <v>283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938.54</v>
      </c>
      <c r="G7" s="541">
        <f>'UTILITY REPORT 1'!F8</f>
        <v>2052</v>
      </c>
      <c r="H7" s="540">
        <f>IF('Kit report'!F9&lt;0,"0",'Kit report'!F9)</f>
        <v>143.99999999986903</v>
      </c>
      <c r="I7" s="540">
        <f>IF('Kit report'!X9&lt;0,"0",'Kit report'!X9)</f>
        <v>59.999999999854481</v>
      </c>
      <c r="J7" s="540">
        <f>IF('Utility summery'!H11&lt;0,"0",'Utility summery'!H11)</f>
        <v>35</v>
      </c>
      <c r="K7" s="541">
        <f>IF('UTILITY REPORT 1'!H8&lt;0,"0",'UTILITY REPORT 1'!H8)</f>
        <v>68</v>
      </c>
      <c r="L7" s="540">
        <f>'Water-Meter'!K11</f>
        <v>1</v>
      </c>
      <c r="M7" s="541">
        <f>'Water-Meter'!H11</f>
        <v>0</v>
      </c>
      <c r="N7" s="541">
        <f>'Water-Meter'!Q11</f>
        <v>2</v>
      </c>
      <c r="O7" s="540" t="e">
        <f>K7*E7+H7*I7+#REF!*#REF!+J7*L7</f>
        <v>#REF!</v>
      </c>
      <c r="P7" s="547">
        <f>'Water-Meter'!E11</f>
        <v>52</v>
      </c>
      <c r="Q7" s="289">
        <f>IF('Water-Meter'!U11&lt;0,"0",'Water-Meter'!U11)</f>
        <v>13</v>
      </c>
      <c r="R7" s="289">
        <f>IF('Water-Meter'!X11&lt;0,"0",'Water-Meter'!X11)</f>
        <v>0</v>
      </c>
      <c r="S7" s="289">
        <f>IF('Water-Meter'!AA11&lt;0,"0",'Water-Meter'!AA11)</f>
        <v>33</v>
      </c>
      <c r="T7" s="289">
        <f>IF('Water-Meter'!AD11&lt;0,"0",'Water-Meter'!AD11)</f>
        <v>15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83</v>
      </c>
      <c r="X7" s="558">
        <f>Total!K7</f>
        <v>7</v>
      </c>
    </row>
    <row r="8" spans="1:24">
      <c r="A8" s="542" t="s">
        <v>283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258.14</v>
      </c>
      <c r="F8" s="540">
        <f>'UTILITY REPORT 1'!E9</f>
        <v>910.27</v>
      </c>
      <c r="G8" s="541">
        <f>'UTILITY REPORT 1'!F9</f>
        <v>2010</v>
      </c>
      <c r="H8" s="540">
        <f>IF('Kit report'!F10&lt;0,"0",'Kit report'!F10)</f>
        <v>192.00000000004366</v>
      </c>
      <c r="I8" s="540">
        <f>IF('Kit report'!X10&lt;0,"0",'Kit report'!X10)</f>
        <v>40.000000000145519</v>
      </c>
      <c r="J8" s="540">
        <f>IF('Utility summery'!H12&lt;0,"0",'Utility summery'!H12)</f>
        <v>44</v>
      </c>
      <c r="K8" s="541">
        <f>IF('UTILITY REPORT 1'!H9&lt;0,"0",'UTILITY REPORT 1'!H9)</f>
        <v>45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58</v>
      </c>
      <c r="Q8" s="289">
        <f>IF('Water-Meter'!U12&lt;0,"0",'Water-Meter'!U12)</f>
        <v>21</v>
      </c>
      <c r="R8" s="289">
        <f>IF('Water-Meter'!X12&lt;0,"0",'Water-Meter'!X12)</f>
        <v>0</v>
      </c>
      <c r="S8" s="289">
        <f>IF('Water-Meter'!AA12&lt;0,"0",'Water-Meter'!AA12)</f>
        <v>43</v>
      </c>
      <c r="T8" s="289">
        <f>IF('Water-Meter'!AD12&lt;0,"0",'Water-Meter'!AD12)</f>
        <v>17</v>
      </c>
      <c r="U8" s="289">
        <f>IF('Water-Meter'!AG12&lt;0,"0",'Water-Meter'!AG12)</f>
        <v>0</v>
      </c>
      <c r="V8" s="289">
        <f>IF('Water-Meter'!AJ12&lt;0,"0",'Water-Meter'!AJ12)</f>
        <v>25</v>
      </c>
      <c r="W8" s="31">
        <f>'Water-Meter'!AN12</f>
        <v>106</v>
      </c>
      <c r="X8" s="558">
        <f>Total!K8</f>
        <v>3</v>
      </c>
    </row>
    <row r="9" spans="1:24">
      <c r="A9" s="542" t="s">
        <v>283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123.3</v>
      </c>
      <c r="F9" s="540">
        <f>'UTILITY REPORT 1'!E10</f>
        <v>948.21</v>
      </c>
      <c r="G9" s="541">
        <f>'UTILITY REPORT 1'!F10</f>
        <v>2245</v>
      </c>
      <c r="H9" s="540">
        <f>IF('Kit report'!F11&lt;0,"0",'Kit report'!F11)</f>
        <v>192.00000000004366</v>
      </c>
      <c r="I9" s="540">
        <f>IF('Kit report'!X11&lt;0,"0",'Kit report'!X11)</f>
        <v>59.999999999854481</v>
      </c>
      <c r="J9" s="540">
        <f>IF('Utility summery'!H13&lt;0,"0",'Utility summery'!H13)</f>
        <v>35</v>
      </c>
      <c r="K9" s="541">
        <f>IF('UTILITY REPORT 1'!H10&lt;0,"0",'UTILITY REPORT 1'!H10)</f>
        <v>54</v>
      </c>
      <c r="L9" s="540">
        <f>'Water-Meter'!K13</f>
        <v>1</v>
      </c>
      <c r="M9" s="541">
        <f>'Water-Meter'!H13</f>
        <v>0</v>
      </c>
      <c r="N9" s="541">
        <f>'Water-Meter'!Q13</f>
        <v>4</v>
      </c>
      <c r="O9" s="540" t="e">
        <f>K9*E9+H9*I9+#REF!*#REF!+J9*L9</f>
        <v>#REF!</v>
      </c>
      <c r="P9" s="547">
        <f>'Water-Meter'!E13</f>
        <v>46</v>
      </c>
      <c r="Q9" s="289">
        <f>IF('Water-Meter'!U13&lt;0,"0",'Water-Meter'!U13)</f>
        <v>62</v>
      </c>
      <c r="R9" s="289">
        <f>IF('Water-Meter'!X13&lt;0,"0",'Water-Meter'!X13)</f>
        <v>0</v>
      </c>
      <c r="S9" s="289">
        <f>IF('Water-Meter'!AA13&lt;0,"0",'Water-Meter'!AA13)</f>
        <v>38</v>
      </c>
      <c r="T9" s="289">
        <f>IF('Water-Meter'!AD13&lt;0,"0",'Water-Meter'!AD13)</f>
        <v>15</v>
      </c>
      <c r="U9" s="289">
        <f>IF('Water-Meter'!AG13&lt;0,"0",'Water-Meter'!AG13)</f>
        <v>0</v>
      </c>
      <c r="V9" s="289">
        <f>IF('Water-Meter'!AJ13&lt;0,"0",'Water-Meter'!AJ13)</f>
        <v>23</v>
      </c>
      <c r="W9" s="31">
        <f>'Water-Meter'!AN13</f>
        <v>138</v>
      </c>
      <c r="X9" s="558">
        <f>Total!K9</f>
        <v>7</v>
      </c>
    </row>
    <row r="10" spans="1:24">
      <c r="A10" s="542" t="s">
        <v>283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0</v>
      </c>
      <c r="G10" s="541">
        <f>'UTILITY REPORT 1'!F11</f>
        <v>0</v>
      </c>
      <c r="H10" s="540" t="str">
        <f>IF('Kit report'!F12&lt;0,"0",'Kit report'!F12)</f>
        <v>0</v>
      </c>
      <c r="I10" s="540" t="str">
        <f>IF('Kit report'!X12&lt;0,"0",'Kit report'!X12)</f>
        <v>0</v>
      </c>
      <c r="J10" s="540" t="str">
        <f>IF('Utility summery'!H14&lt;0,"0",'Utility summery'!H14)</f>
        <v>0</v>
      </c>
      <c r="K10" s="541" t="str">
        <f>IF('UTILITY REPORT 1'!H11&lt;0,"0",'UTILITY REPORT 1'!H11)</f>
        <v>0</v>
      </c>
      <c r="L10" s="540" t="str">
        <f>'Water-Meter'!K14</f>
        <v>0</v>
      </c>
      <c r="M10" s="541" t="str">
        <f>'Water-Meter'!H14</f>
        <v>0</v>
      </c>
      <c r="N10" s="541" t="str">
        <f>'Water-Meter'!Q14</f>
        <v>0</v>
      </c>
      <c r="O10" s="540" t="e">
        <f>K10*E10+H10*I10+#REF!*#REF!+J10*L10</f>
        <v>#REF!</v>
      </c>
      <c r="P10" s="547" t="str">
        <f>'Water-Meter'!E14</f>
        <v>0</v>
      </c>
      <c r="Q10" s="289" t="str">
        <f>IF('Water-Meter'!U14&lt;0,"0",'Water-Meter'!U14)</f>
        <v>0</v>
      </c>
      <c r="R10" s="289" t="str">
        <f>IF('Water-Meter'!X14&lt;0,"0",'Water-Meter'!X14)</f>
        <v>0</v>
      </c>
      <c r="S10" s="289" t="str">
        <f>IF('Water-Meter'!AA14&lt;0,"0",'Water-Meter'!AA14)</f>
        <v>0</v>
      </c>
      <c r="T10" s="289" t="str">
        <f>IF('Water-Meter'!AD14&lt;0,"0",'Water-Meter'!AD14)</f>
        <v>0</v>
      </c>
      <c r="U10" s="289" t="str">
        <f>IF('Water-Meter'!AG14&lt;0,"0",'Water-Meter'!AG14)</f>
        <v>0</v>
      </c>
      <c r="V10" s="289" t="str">
        <f>IF('Water-Meter'!AJ14&lt;0,"0",'Water-Meter'!AJ14)</f>
        <v>0</v>
      </c>
      <c r="W10" s="31">
        <f>'Water-Meter'!AN14</f>
        <v>0</v>
      </c>
      <c r="X10" s="558">
        <f>Total!K10</f>
        <v>5</v>
      </c>
    </row>
    <row r="11" spans="1:24">
      <c r="A11" s="542" t="s">
        <v>283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0</v>
      </c>
      <c r="G11" s="541">
        <f>'UTILITY REPORT 1'!F12</f>
        <v>0</v>
      </c>
      <c r="H11" s="540">
        <f>IF('Kit report'!F13&lt;0,"0",'Kit report'!F13)</f>
        <v>0</v>
      </c>
      <c r="I11" s="540">
        <f>IF('Kit report'!X13&lt;0,"0",'Kit report'!X13)</f>
        <v>0</v>
      </c>
      <c r="J11" s="540">
        <f>IF('Utility summery'!H15&lt;0,"0",'Utility summery'!H15)</f>
        <v>0</v>
      </c>
      <c r="K11" s="541">
        <f>IF('UTILITY REPORT 1'!H12&lt;0,"0",'UTILITY REPORT 1'!H12)</f>
        <v>0</v>
      </c>
      <c r="L11" s="540">
        <f>'Water-Meter'!K15</f>
        <v>0</v>
      </c>
      <c r="M11" s="541">
        <f>'Water-Meter'!H15</f>
        <v>0</v>
      </c>
      <c r="N11" s="541">
        <f>'Water-Meter'!Q15</f>
        <v>0</v>
      </c>
      <c r="O11" s="540" t="e">
        <f>K11*E11+H11*I11+#REF!*#REF!+J11*L11</f>
        <v>#REF!</v>
      </c>
      <c r="P11" s="547">
        <f>'Water-Meter'!E15</f>
        <v>0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0</v>
      </c>
      <c r="T11" s="289">
        <f>IF('Water-Meter'!AD15&lt;0,"0",'Water-Meter'!AD15)</f>
        <v>0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0</v>
      </c>
      <c r="X11" s="558">
        <f>Total!K11</f>
        <v>0</v>
      </c>
    </row>
    <row r="12" spans="1:24">
      <c r="A12" s="542" t="s">
        <v>283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0</v>
      </c>
      <c r="G12" s="541">
        <f>'UTILITY REPORT 1'!F13</f>
        <v>0</v>
      </c>
      <c r="H12" s="540">
        <f>IF('Kit report'!F14&lt;0,"0",'Kit report'!F14)</f>
        <v>0</v>
      </c>
      <c r="I12" s="540">
        <f>IF('Kit report'!X14&lt;0,"0",'Kit report'!X14)</f>
        <v>0</v>
      </c>
      <c r="J12" s="540">
        <f>IF('Utility summery'!H16&lt;0,"0",'Utility summery'!H16)</f>
        <v>0</v>
      </c>
      <c r="K12" s="541">
        <f>IF('UTILITY REPORT 1'!H13&lt;0,"0",'UTILITY REPORT 1'!H13)</f>
        <v>0</v>
      </c>
      <c r="L12" s="540">
        <f>'Water-Meter'!K16</f>
        <v>0</v>
      </c>
      <c r="M12" s="541">
        <f>'Water-Meter'!H16</f>
        <v>0</v>
      </c>
      <c r="N12" s="541">
        <f>'Water-Meter'!Q16</f>
        <v>0</v>
      </c>
      <c r="O12" s="540" t="e">
        <f>K12*E12+H12*I12+#REF!*#REF!+J12*L12</f>
        <v>#REF!</v>
      </c>
      <c r="P12" s="547">
        <f>'Water-Meter'!E16</f>
        <v>0</v>
      </c>
      <c r="Q12" s="289">
        <f>IF('Water-Meter'!U16&lt;0,"0",'Water-Meter'!U16)</f>
        <v>0</v>
      </c>
      <c r="R12" s="289">
        <f>IF('Water-Meter'!X16&lt;0,"0",'Water-Meter'!X16)</f>
        <v>0</v>
      </c>
      <c r="S12" s="289">
        <f>IF('Water-Meter'!AA16&lt;0,"0",'Water-Meter'!AA16)</f>
        <v>0</v>
      </c>
      <c r="T12" s="289">
        <f>IF('Water-Meter'!AD16&lt;0,"0",'Water-Meter'!AD16)</f>
        <v>0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0</v>
      </c>
      <c r="X12" s="558">
        <f>Total!K12</f>
        <v>0</v>
      </c>
    </row>
    <row r="13" spans="1:24">
      <c r="A13" s="542" t="s">
        <v>283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0</v>
      </c>
      <c r="G13" s="541">
        <f>'UTILITY REPORT 1'!F14</f>
        <v>0</v>
      </c>
      <c r="H13" s="540">
        <f>IF('Kit report'!F15&lt;0,"0",'Kit report'!F15)</f>
        <v>0</v>
      </c>
      <c r="I13" s="540">
        <f>IF('Kit report'!X15&lt;0,"0",'Kit report'!X15)</f>
        <v>0</v>
      </c>
      <c r="J13" s="540">
        <f>IF('Utility summery'!H17&lt;0,"0",'Utility summery'!H17)</f>
        <v>0</v>
      </c>
      <c r="K13" s="541">
        <f>IF('UTILITY REPORT 1'!H14&lt;0,"0",'UTILITY REPORT 1'!H14)</f>
        <v>0</v>
      </c>
      <c r="L13" s="540">
        <f>'Water-Meter'!K17</f>
        <v>0</v>
      </c>
      <c r="M13" s="541">
        <f>'Water-Meter'!H17</f>
        <v>0</v>
      </c>
      <c r="N13" s="541">
        <f>'Water-Meter'!Q17</f>
        <v>0</v>
      </c>
      <c r="O13" s="540" t="e">
        <f>K13*E13+H13*I13+#REF!*#REF!+J13*L13</f>
        <v>#REF!</v>
      </c>
      <c r="P13" s="547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0</v>
      </c>
      <c r="F14" s="540">
        <f>'UTILITY REPORT 1'!E15</f>
        <v>0</v>
      </c>
      <c r="G14" s="541">
        <f>'UTILITY REPORT 1'!F15</f>
        <v>0</v>
      </c>
      <c r="H14" s="540">
        <f>IF('Kit report'!F16&lt;0,"0",'Kit report'!F16)</f>
        <v>0</v>
      </c>
      <c r="I14" s="540">
        <f>IF('Kit report'!X16&lt;0,"0",'Kit report'!X16)</f>
        <v>0</v>
      </c>
      <c r="J14" s="540">
        <f>IF('Utility summery'!H18&lt;0,"0",'Utility summery'!H18)</f>
        <v>0</v>
      </c>
      <c r="K14" s="541">
        <f>IF('UTILITY REPORT 1'!H15&lt;0,"0",'UTILITY REPORT 1'!H15)</f>
        <v>0</v>
      </c>
      <c r="L14" s="540">
        <f>'Water-Meter'!K18</f>
        <v>0</v>
      </c>
      <c r="M14" s="541">
        <f>'Water-Meter'!H18</f>
        <v>0</v>
      </c>
      <c r="N14" s="541">
        <f>'Water-Meter'!Q18</f>
        <v>0</v>
      </c>
      <c r="O14" s="540" t="e">
        <f>K14*E14+H14*I14+#REF!*#REF!+J14*L14</f>
        <v>#REF!</v>
      </c>
      <c r="P14" s="547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>
        <f>IF('Kit report'!F17&lt;0,"0",'Kit report'!F17)</f>
        <v>0</v>
      </c>
      <c r="I15" s="540">
        <f>IF('Kit report'!X17&lt;0,"0",'Kit report'!X17)</f>
        <v>0</v>
      </c>
      <c r="J15" s="540">
        <f>IF('Utility summery'!H19&lt;0,"0",'Utility summery'!H19)</f>
        <v>0</v>
      </c>
      <c r="K15" s="541">
        <f>IF('UTILITY REPORT 1'!H16&lt;0,"0",'UTILITY REPORT 1'!H16)</f>
        <v>0</v>
      </c>
      <c r="L15" s="540">
        <f>'Water-Meter'!K19</f>
        <v>0</v>
      </c>
      <c r="M15" s="541">
        <f>'Water-Meter'!H19</f>
        <v>0</v>
      </c>
      <c r="N15" s="541">
        <f>'Water-Meter'!Q19</f>
        <v>0</v>
      </c>
      <c r="O15" s="540" t="e">
        <f>K15*E15+H15*I15+#REF!*#REF!+J15*L15</f>
        <v>#REF!</v>
      </c>
      <c r="P15" s="547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9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9" t="s">
        <v>317</v>
      </c>
      <c r="B1" s="769"/>
      <c r="C1" s="769"/>
      <c r="D1" s="769"/>
      <c r="E1" s="769"/>
      <c r="F1" s="769"/>
      <c r="G1" s="769"/>
      <c r="H1" s="769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841.98</v>
      </c>
      <c r="F7" s="471">
        <f>Gen!U15</f>
        <v>2152</v>
      </c>
      <c r="G7" s="471">
        <f>'Water-Meter'!E10</f>
        <v>50</v>
      </c>
      <c r="H7" s="471">
        <f>'Utility report '!AC10</f>
        <v>1</v>
      </c>
      <c r="I7" s="471">
        <f>Gen!AK15</f>
        <v>27.01</v>
      </c>
    </row>
    <row r="8" spans="1:9" ht="13.5">
      <c r="A8" s="468">
        <f>Gen!B16</f>
        <v>44080</v>
      </c>
      <c r="B8" s="470">
        <f>Gen!C16</f>
        <v>9.0899999999999995E-2</v>
      </c>
      <c r="C8" s="471">
        <f>'Summery Report'!E10</f>
        <v>7</v>
      </c>
      <c r="D8" s="472">
        <v>1</v>
      </c>
      <c r="E8" s="471">
        <f>Gen!T16</f>
        <v>938.54</v>
      </c>
      <c r="F8" s="471">
        <f>Gen!U16</f>
        <v>2052</v>
      </c>
      <c r="G8" s="471">
        <f>'Water-Meter'!E11</f>
        <v>52</v>
      </c>
      <c r="H8" s="471">
        <f>'Utility report '!AC11</f>
        <v>68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2.5999999999999999E-2</v>
      </c>
      <c r="C9" s="471">
        <f>'Summery Report'!E11</f>
        <v>3</v>
      </c>
      <c r="D9" s="472">
        <v>1</v>
      </c>
      <c r="E9" s="471">
        <f>Gen!T17</f>
        <v>910.27</v>
      </c>
      <c r="F9" s="471">
        <f>Gen!U17</f>
        <v>2010</v>
      </c>
      <c r="G9" s="471">
        <f>'Water-Meter'!E12</f>
        <v>58</v>
      </c>
      <c r="H9" s="471">
        <f>'Utility report '!AC12</f>
        <v>45</v>
      </c>
      <c r="I9" s="471">
        <f>Gen!AK17</f>
        <v>258.14</v>
      </c>
    </row>
    <row r="10" spans="1:9" ht="13.5">
      <c r="A10" s="468">
        <f>Gen!B18</f>
        <v>44082</v>
      </c>
      <c r="B10" s="470">
        <f>Gen!C18</f>
        <v>3.9E-2</v>
      </c>
      <c r="C10" s="471">
        <f>'Summery Report'!E12</f>
        <v>7</v>
      </c>
      <c r="D10" s="472">
        <v>1</v>
      </c>
      <c r="E10" s="471">
        <f>Gen!T18</f>
        <v>948.21</v>
      </c>
      <c r="F10" s="471">
        <f>Gen!U18</f>
        <v>2245</v>
      </c>
      <c r="G10" s="471">
        <f>'Water-Meter'!E13</f>
        <v>46</v>
      </c>
      <c r="H10" s="471">
        <f>'Utility report '!AC13</f>
        <v>54</v>
      </c>
      <c r="I10" s="471">
        <f>Gen!AK18</f>
        <v>123.3</v>
      </c>
    </row>
    <row r="11" spans="1:9" ht="13.5">
      <c r="A11" s="468">
        <f>Gen!B19</f>
        <v>44083</v>
      </c>
      <c r="B11" s="470">
        <f>Gen!C19</f>
        <v>6.5000000000000002E-2</v>
      </c>
      <c r="C11" s="471">
        <f>'Summery Report'!E13</f>
        <v>5</v>
      </c>
      <c r="D11" s="472">
        <v>1</v>
      </c>
      <c r="E11" s="471">
        <f>Gen!T19</f>
        <v>0</v>
      </c>
      <c r="F11" s="471">
        <f>Gen!U19</f>
        <v>0</v>
      </c>
      <c r="G11" s="471" t="str">
        <f>'Water-Meter'!E14</f>
        <v>0</v>
      </c>
      <c r="H11" s="471">
        <f>'Utility report '!AC14</f>
        <v>-38247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0</v>
      </c>
      <c r="C12" s="471">
        <f>'Summery Report'!E14</f>
        <v>0</v>
      </c>
      <c r="D12" s="472">
        <v>1</v>
      </c>
      <c r="E12" s="471">
        <f>Gen!T20</f>
        <v>0</v>
      </c>
      <c r="F12" s="471">
        <f>Gen!U20</f>
        <v>0</v>
      </c>
      <c r="G12" s="471">
        <f>'Water-Meter'!E15</f>
        <v>0</v>
      </c>
      <c r="H12" s="471">
        <f>'Utility report '!AC15</f>
        <v>0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0</v>
      </c>
      <c r="C13" s="471">
        <f>'Summery Report'!E15</f>
        <v>0</v>
      </c>
      <c r="D13" s="472">
        <v>1</v>
      </c>
      <c r="E13" s="471">
        <f>Gen!T21</f>
        <v>0</v>
      </c>
      <c r="F13" s="471">
        <f>Gen!U21</f>
        <v>0</v>
      </c>
      <c r="G13" s="471">
        <f>'Water-Meter'!E16</f>
        <v>0</v>
      </c>
      <c r="H13" s="471">
        <f>'Utility report '!AC16</f>
        <v>0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0</v>
      </c>
      <c r="F14" s="471">
        <f>Gen!U22</f>
        <v>0</v>
      </c>
      <c r="G14" s="471">
        <f>'Water-Meter'!E17</f>
        <v>0</v>
      </c>
      <c r="H14" s="471">
        <f>'Utility report '!AC17</f>
        <v>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0</v>
      </c>
      <c r="F15" s="471">
        <f>Gen!U23</f>
        <v>0</v>
      </c>
      <c r="G15" s="471">
        <f>'Water-Meter'!E18</f>
        <v>0</v>
      </c>
      <c r="H15" s="471">
        <f>'Utility report '!AC18</f>
        <v>0</v>
      </c>
      <c r="I15" s="471">
        <f>Gen!AK23</f>
        <v>0</v>
      </c>
    </row>
    <row r="16" spans="1:9" ht="13.5">
      <c r="A16" s="468">
        <f>Gen!B24</f>
        <v>44088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44091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44092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44094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44095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44098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44100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70" t="s">
        <v>135</v>
      </c>
      <c r="E4" s="770"/>
      <c r="F4" s="770"/>
      <c r="G4" s="771" t="s">
        <v>20</v>
      </c>
      <c r="H4" s="771"/>
      <c r="I4" s="771"/>
      <c r="J4" s="772" t="s">
        <v>54</v>
      </c>
      <c r="K4" s="772"/>
      <c r="L4" s="772"/>
      <c r="M4" s="772"/>
      <c r="N4" s="773" t="s">
        <v>143</v>
      </c>
      <c r="O4" s="773"/>
      <c r="P4" s="773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78.980000000051234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76.031999999994881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58.607999999966708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66.263999999989764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2152</v>
      </c>
      <c r="D10" s="177">
        <f>Gen!T15</f>
        <v>841.98</v>
      </c>
      <c r="E10" s="177">
        <f>Gen!AK15</f>
        <v>27.01</v>
      </c>
      <c r="F10" s="177">
        <f>Gen!AS15</f>
        <v>868.99</v>
      </c>
      <c r="G10" s="180">
        <f>'Utility report '!AC10</f>
        <v>1</v>
      </c>
      <c r="H10" s="180">
        <f>'Utility report '!AE10</f>
        <v>43</v>
      </c>
      <c r="I10" s="348">
        <f>'Water-Meter'!E10</f>
        <v>50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63.536000000010247</v>
      </c>
      <c r="N10" s="175">
        <f t="shared" si="2"/>
        <v>1178.7719999999999</v>
      </c>
      <c r="O10" s="175">
        <f t="shared" si="2"/>
        <v>37.814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147.34649999999999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7</v>
      </c>
      <c r="C11" s="6">
        <f>Gen!U16</f>
        <v>2052</v>
      </c>
      <c r="D11" s="177">
        <f>Gen!T16</f>
        <v>938.54</v>
      </c>
      <c r="E11" s="177">
        <f>Gen!AK16</f>
        <v>0</v>
      </c>
      <c r="F11" s="177">
        <f>Gen!AS16</f>
        <v>938.54</v>
      </c>
      <c r="G11" s="180">
        <f>'Utility report '!AC11</f>
        <v>68</v>
      </c>
      <c r="H11" s="180">
        <f>'Utility report '!AE11</f>
        <v>35</v>
      </c>
      <c r="I11" s="348">
        <f>'Water-Meter'!E11</f>
        <v>52</v>
      </c>
      <c r="J11" s="182">
        <f>'Lpg (2)'!B15</f>
        <v>85</v>
      </c>
      <c r="K11" s="182">
        <f>'Lpg (2)'!C15</f>
        <v>85</v>
      </c>
      <c r="L11" s="182">
        <f>'Lpg (2)'!D15</f>
        <v>1</v>
      </c>
      <c r="M11" s="528">
        <f>'Lpg (2)'!G15</f>
        <v>50.072000000020495</v>
      </c>
      <c r="N11" s="175">
        <f t="shared" si="2"/>
        <v>1313.9559999999999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187.708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3</v>
      </c>
      <c r="C12" s="6">
        <f>Gen!U17</f>
        <v>2010</v>
      </c>
      <c r="D12" s="177">
        <f>Gen!T17</f>
        <v>910.27</v>
      </c>
      <c r="E12" s="177">
        <f>Gen!AK17</f>
        <v>258.14</v>
      </c>
      <c r="F12" s="177">
        <f>Gen!AS17</f>
        <v>1168.4099999999999</v>
      </c>
      <c r="G12" s="180">
        <f>'Utility report '!AC12</f>
        <v>45</v>
      </c>
      <c r="H12" s="180">
        <f>'Utility report '!AE12</f>
        <v>44</v>
      </c>
      <c r="I12" s="348">
        <f>'Water-Meter'!E12</f>
        <v>58</v>
      </c>
      <c r="J12" s="182">
        <f>'Lpg (2)'!B16</f>
        <v>85</v>
      </c>
      <c r="K12" s="182">
        <f>'Lpg (2)'!C16</f>
        <v>85</v>
      </c>
      <c r="L12" s="182">
        <f>'Lpg (2)'!D16</f>
        <v>0</v>
      </c>
      <c r="M12" s="528">
        <f>'Lpg (2)'!G16</f>
        <v>49.588000000017935</v>
      </c>
      <c r="N12" s="175">
        <f t="shared" si="2"/>
        <v>1274.3779999999999</v>
      </c>
      <c r="O12" s="175">
        <f t="shared" si="2"/>
        <v>361.39599999999996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424.79266666666666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7</v>
      </c>
      <c r="C13" s="6">
        <f>Gen!U18</f>
        <v>2245</v>
      </c>
      <c r="D13" s="177">
        <f>Gen!T18</f>
        <v>948.21</v>
      </c>
      <c r="E13" s="177">
        <f>Gen!AK18</f>
        <v>123.3</v>
      </c>
      <c r="F13" s="177">
        <f>Gen!AS18</f>
        <v>1071.51</v>
      </c>
      <c r="G13" s="180">
        <f>'Utility report '!AC13</f>
        <v>54</v>
      </c>
      <c r="H13" s="180">
        <f>'Utility report '!AE13</f>
        <v>35</v>
      </c>
      <c r="I13" s="348">
        <f>'Water-Meter'!E13</f>
        <v>46</v>
      </c>
      <c r="J13" s="182">
        <f>'Lpg (2)'!B17</f>
        <v>85</v>
      </c>
      <c r="K13" s="182">
        <f>'Lpg (2)'!C17</f>
        <v>81</v>
      </c>
      <c r="L13" s="182">
        <f>'Lpg (2)'!D17</f>
        <v>0</v>
      </c>
      <c r="M13" s="528">
        <f>'Lpg (2)'!G17</f>
        <v>62.567999999941101</v>
      </c>
      <c r="N13" s="175">
        <f t="shared" si="2"/>
        <v>1327.4939999999999</v>
      </c>
      <c r="O13" s="175">
        <f t="shared" si="2"/>
        <v>172.61999999999998</v>
      </c>
      <c r="P13" s="174" t="e">
        <f>'[1]Lpg (2)'!#REF!</f>
        <v>#REF!</v>
      </c>
      <c r="Q13" s="175" t="e">
        <f>'[1]Summery Report'!#REF!</f>
        <v>#REF!</v>
      </c>
      <c r="R13" s="175">
        <f t="shared" si="0"/>
        <v>189.642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5</v>
      </c>
      <c r="C14" s="6">
        <f>Gen!U19</f>
        <v>0</v>
      </c>
      <c r="D14" s="177">
        <f>Gen!T19</f>
        <v>0</v>
      </c>
      <c r="E14" s="177">
        <f>Gen!AK19</f>
        <v>0</v>
      </c>
      <c r="F14" s="177">
        <f>Gen!AS19</f>
        <v>0</v>
      </c>
      <c r="G14" s="180">
        <f>'Utility report '!AC14</f>
        <v>-38247</v>
      </c>
      <c r="H14" s="180">
        <f>'Utility report '!AE14</f>
        <v>-204919</v>
      </c>
      <c r="I14" s="348" t="str">
        <f>'Water-Meter'!E14</f>
        <v>0</v>
      </c>
      <c r="J14" s="182">
        <f>'Lpg (2)'!B18</f>
        <v>85</v>
      </c>
      <c r="K14" s="182">
        <f>'Lpg (2)'!C18</f>
        <v>75</v>
      </c>
      <c r="L14" s="182">
        <f>'Lpg (2)'!D18</f>
        <v>0</v>
      </c>
      <c r="M14" s="528">
        <f>'Lpg (2)'!G18</f>
        <v>-317591.076</v>
      </c>
      <c r="N14" s="175">
        <f t="shared" si="2"/>
        <v>0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0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0</v>
      </c>
      <c r="C15" s="6">
        <f>Gen!U20</f>
        <v>0</v>
      </c>
      <c r="D15" s="177">
        <f>Gen!T20</f>
        <v>0</v>
      </c>
      <c r="E15" s="177">
        <f>Gen!AK20</f>
        <v>0</v>
      </c>
      <c r="F15" s="177">
        <f>Gen!AS20</f>
        <v>0</v>
      </c>
      <c r="G15" s="180">
        <f>'Utility report '!AC15</f>
        <v>0</v>
      </c>
      <c r="H15" s="180">
        <f>'Utility report '!AE15</f>
        <v>0</v>
      </c>
      <c r="I15" s="348">
        <f>'Water-Meter'!E15</f>
        <v>0</v>
      </c>
      <c r="J15" s="182">
        <f>'Lpg (2)'!B19</f>
        <v>0</v>
      </c>
      <c r="K15" s="182">
        <f>'Lpg (2)'!C19</f>
        <v>0</v>
      </c>
      <c r="L15" s="182">
        <f>'Lpg (2)'!D19</f>
        <v>0</v>
      </c>
      <c r="M15" s="528">
        <f>'Lpg (2)'!G19</f>
        <v>0</v>
      </c>
      <c r="N15" s="175">
        <f t="shared" si="2"/>
        <v>0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 t="e">
        <f t="shared" si="0"/>
        <v>#DIV/0!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0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0</v>
      </c>
      <c r="H16" s="180">
        <f>'Utility report '!AE16</f>
        <v>0</v>
      </c>
      <c r="I16" s="348">
        <f>'Water-Meter'!E16</f>
        <v>0</v>
      </c>
      <c r="J16" s="182">
        <f>'Lpg (2)'!B20</f>
        <v>0</v>
      </c>
      <c r="K16" s="182">
        <f>'Lpg (2)'!C20</f>
        <v>0</v>
      </c>
      <c r="L16" s="182">
        <f>'Lpg (2)'!D20</f>
        <v>0</v>
      </c>
      <c r="M16" s="528">
        <f>'Lpg (2)'!G20</f>
        <v>0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 t="e">
        <f t="shared" si="0"/>
        <v>#DIV/0!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8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8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8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46</v>
      </c>
      <c r="C39" s="537">
        <f>SUM(C7:C35)</f>
        <v>15242</v>
      </c>
      <c r="D39" s="537">
        <f>SUM(D7:D35)</f>
        <v>6419.5900000000011</v>
      </c>
      <c r="E39" s="537">
        <f t="shared" ref="E39:S39" si="3">SUM(E7:E35)</f>
        <v>499.12</v>
      </c>
      <c r="F39" s="537">
        <f t="shared" si="3"/>
        <v>6918.71</v>
      </c>
      <c r="G39" s="537">
        <f t="shared" si="3"/>
        <v>-37882</v>
      </c>
      <c r="H39" s="537">
        <f t="shared" si="3"/>
        <v>-204651</v>
      </c>
      <c r="I39" s="537">
        <f t="shared" si="3"/>
        <v>369</v>
      </c>
      <c r="J39" s="537">
        <f t="shared" si="3"/>
        <v>680</v>
      </c>
      <c r="K39" s="537">
        <f t="shared" si="3"/>
        <v>666</v>
      </c>
      <c r="L39" s="537">
        <f t="shared" si="3"/>
        <v>6</v>
      </c>
      <c r="M39" s="537">
        <f t="shared" si="3"/>
        <v>-317164.40800000005</v>
      </c>
      <c r="N39" s="537">
        <f t="shared" si="3"/>
        <v>8987.4259999999995</v>
      </c>
      <c r="O39" s="537">
        <f t="shared" si="3"/>
        <v>698.76799999999992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M1" activePane="topRight" state="frozen"/>
      <selection pane="topRight" activeCell="AB16" sqref="AB1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2" t="s">
        <v>315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4"/>
    </row>
    <row r="2" spans="1:37" ht="61.5" customHeight="1" thickBot="1">
      <c r="A2" s="148" t="s">
        <v>98</v>
      </c>
      <c r="B2" s="785" t="s">
        <v>99</v>
      </c>
      <c r="C2" s="786"/>
      <c r="D2" s="787"/>
      <c r="E2" s="149"/>
      <c r="F2" s="149"/>
      <c r="G2" s="149"/>
      <c r="H2" s="146" t="s">
        <v>124</v>
      </c>
      <c r="I2" s="335" t="s">
        <v>100</v>
      </c>
      <c r="J2" s="790" t="s">
        <v>122</v>
      </c>
      <c r="K2" s="487"/>
      <c r="L2" s="792" t="s">
        <v>123</v>
      </c>
      <c r="M2" s="486" t="s">
        <v>101</v>
      </c>
      <c r="N2" s="790" t="s">
        <v>102</v>
      </c>
      <c r="O2" s="774" t="s">
        <v>103</v>
      </c>
      <c r="P2" s="775"/>
      <c r="Q2" s="775"/>
      <c r="R2" s="775"/>
      <c r="S2" s="775"/>
      <c r="T2" s="775"/>
      <c r="U2" s="775"/>
      <c r="V2" s="775"/>
      <c r="W2" s="775"/>
      <c r="X2" s="775"/>
      <c r="Y2" s="775"/>
      <c r="Z2" s="775"/>
      <c r="AA2" s="336" t="s">
        <v>104</v>
      </c>
      <c r="AB2" s="785" t="s">
        <v>164</v>
      </c>
      <c r="AC2" s="787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8">
        <f>SUM(D3/B3)</f>
        <v>1.3262195121951219</v>
      </c>
      <c r="G3" s="789"/>
      <c r="H3" s="129">
        <f>Gen!D11</f>
        <v>43590.620000000017</v>
      </c>
      <c r="I3" s="139"/>
      <c r="J3" s="790"/>
      <c r="K3" s="487" t="s">
        <v>165</v>
      </c>
      <c r="L3" s="792"/>
      <c r="M3" s="337" t="s">
        <v>111</v>
      </c>
      <c r="N3" s="790"/>
      <c r="O3" s="774" t="s">
        <v>112</v>
      </c>
      <c r="P3" s="775"/>
      <c r="Q3" s="775"/>
      <c r="R3" s="775"/>
      <c r="S3" s="776" t="s">
        <v>113</v>
      </c>
      <c r="T3" s="777"/>
      <c r="U3" s="777"/>
      <c r="V3" s="778"/>
      <c r="W3" s="779" t="s">
        <v>114</v>
      </c>
      <c r="X3" s="780"/>
      <c r="Y3" s="780"/>
      <c r="Z3" s="781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90"/>
      <c r="K4" s="487"/>
      <c r="L4" s="792"/>
      <c r="M4" s="141"/>
      <c r="N4" s="791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43590.620000000017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246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42629.980000000018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41727.410000000018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3"/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114928.56199999999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40627.110000000015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3"/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486722.46007006691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139.58128810975609</v>
      </c>
      <c r="G10" s="497">
        <f t="shared" si="0"/>
        <v>144.05893673780488</v>
      </c>
      <c r="H10" s="496">
        <f>Gen!D15</f>
        <v>39758.720000000016</v>
      </c>
      <c r="I10" s="498">
        <f>Gen!F15</f>
        <v>0</v>
      </c>
      <c r="J10" s="140">
        <f>Gen!T15</f>
        <v>841.98</v>
      </c>
      <c r="K10" s="140">
        <f>Gen!AK15</f>
        <v>27.01</v>
      </c>
      <c r="L10" s="140">
        <f t="shared" si="1"/>
        <v>868.99</v>
      </c>
      <c r="M10" s="527">
        <f>'Water-Meter'!K50</f>
        <v>599.89609502056101</v>
      </c>
      <c r="N10" s="201">
        <f>'Water-Meter'!E10</f>
        <v>50</v>
      </c>
      <c r="O10" s="212"/>
      <c r="P10" s="753"/>
      <c r="Q10" s="499">
        <f t="shared" si="2"/>
        <v>0</v>
      </c>
      <c r="R10" s="500">
        <f t="shared" si="5"/>
        <v>0</v>
      </c>
      <c r="S10" s="446"/>
      <c r="T10" s="565">
        <v>16889.900000000001</v>
      </c>
      <c r="U10" s="499">
        <f t="shared" si="6"/>
        <v>0</v>
      </c>
      <c r="V10" s="501">
        <f t="shared" ref="V10:V16" si="16">SUM(U10*S10)</f>
        <v>0</v>
      </c>
      <c r="W10" s="446"/>
      <c r="X10" s="563">
        <v>24984.47</v>
      </c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>
        <v>38080</v>
      </c>
      <c r="AC10" s="136">
        <f t="shared" si="11"/>
        <v>1</v>
      </c>
      <c r="AD10" s="564">
        <v>204805</v>
      </c>
      <c r="AE10" s="219">
        <f t="shared" si="15"/>
        <v>43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7</v>
      </c>
      <c r="C11" s="156">
        <f>Gen!C16</f>
        <v>9.0899999999999995E-2</v>
      </c>
      <c r="D11" s="495">
        <f>'Summery Report'!E10</f>
        <v>7</v>
      </c>
      <c r="E11" s="496">
        <f t="shared" si="13"/>
        <v>1.3262195121951219</v>
      </c>
      <c r="F11" s="497">
        <f t="shared" si="14"/>
        <v>177.81572299651566</v>
      </c>
      <c r="G11" s="497">
        <f t="shared" si="0"/>
        <v>177.81572299651566</v>
      </c>
      <c r="H11" s="496">
        <f>Gen!D16</f>
        <v>38889.730000000018</v>
      </c>
      <c r="I11" s="498">
        <f>Gen!F16</f>
        <v>0</v>
      </c>
      <c r="J11" s="140">
        <f>Gen!T16</f>
        <v>938.54</v>
      </c>
      <c r="K11" s="140">
        <f>Gen!AK16</f>
        <v>0</v>
      </c>
      <c r="L11" s="140">
        <f t="shared" si="1"/>
        <v>938.54</v>
      </c>
      <c r="M11" s="527">
        <f>'Water-Meter'!K51</f>
        <v>568.30386514140741</v>
      </c>
      <c r="N11" s="201">
        <f>'Water-Meter'!E11</f>
        <v>52</v>
      </c>
      <c r="O11" s="212"/>
      <c r="P11" s="753"/>
      <c r="Q11" s="499">
        <f t="shared" si="2"/>
        <v>0</v>
      </c>
      <c r="R11" s="500">
        <f t="shared" si="5"/>
        <v>0</v>
      </c>
      <c r="S11" s="446">
        <v>2.2000000000000002</v>
      </c>
      <c r="T11" s="565">
        <v>16901.900000000001</v>
      </c>
      <c r="U11" s="499">
        <f t="shared" si="6"/>
        <v>12</v>
      </c>
      <c r="V11" s="501">
        <f t="shared" si="16"/>
        <v>26.400000000000002</v>
      </c>
      <c r="W11" s="446"/>
      <c r="X11" s="563">
        <v>24984.47</v>
      </c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>
        <v>38148</v>
      </c>
      <c r="AC11" s="136">
        <f t="shared" si="11"/>
        <v>68</v>
      </c>
      <c r="AD11" s="564">
        <v>204840</v>
      </c>
      <c r="AE11" s="219">
        <f t="shared" si="15"/>
        <v>35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11.764705882352942</v>
      </c>
      <c r="AI11" s="504">
        <f t="shared" si="12"/>
        <v>5011764.7058823528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3</v>
      </c>
      <c r="C12" s="156">
        <f>Gen!C17</f>
        <v>2.5999999999999999E-2</v>
      </c>
      <c r="D12" s="495">
        <f>'Summery Report'!E11</f>
        <v>3</v>
      </c>
      <c r="E12" s="496">
        <f t="shared" si="13"/>
        <v>1.3262195121951219</v>
      </c>
      <c r="F12" s="497">
        <f t="shared" si="14"/>
        <v>402.40594512195116</v>
      </c>
      <c r="G12" s="497">
        <f t="shared" si="0"/>
        <v>516.52271341463404</v>
      </c>
      <c r="H12" s="496">
        <f>Gen!D17</f>
        <v>37951.190000000017</v>
      </c>
      <c r="I12" s="498">
        <f>Gen!F17</f>
        <v>0</v>
      </c>
      <c r="J12" s="140">
        <f>Gen!T17</f>
        <v>910.27</v>
      </c>
      <c r="K12" s="140">
        <f>Gen!AK17</f>
        <v>258.14</v>
      </c>
      <c r="L12" s="140">
        <f t="shared" si="1"/>
        <v>1168.4099999999999</v>
      </c>
      <c r="M12" s="527">
        <f>'Water-Meter'!K52</f>
        <v>579.92811930397215</v>
      </c>
      <c r="N12" s="201">
        <f>'Water-Meter'!E12</f>
        <v>58</v>
      </c>
      <c r="O12" s="212"/>
      <c r="P12" s="753"/>
      <c r="Q12" s="499">
        <f t="shared" si="2"/>
        <v>0</v>
      </c>
      <c r="R12" s="500">
        <f t="shared" si="5"/>
        <v>0</v>
      </c>
      <c r="S12" s="446">
        <v>2.2000000000000002</v>
      </c>
      <c r="T12" s="565">
        <v>16905</v>
      </c>
      <c r="U12" s="499">
        <f t="shared" si="6"/>
        <v>3.0999999999985448</v>
      </c>
      <c r="V12" s="501">
        <f t="shared" si="16"/>
        <v>6.8199999999967993</v>
      </c>
      <c r="W12" s="446"/>
      <c r="X12" s="563">
        <v>24984.47</v>
      </c>
      <c r="Y12" s="499">
        <f t="shared" si="8"/>
        <v>0</v>
      </c>
      <c r="Z12" s="501">
        <f t="shared" si="9"/>
        <v>0</v>
      </c>
      <c r="AA12" s="501">
        <f t="shared" si="10"/>
        <v>0</v>
      </c>
      <c r="AB12" s="564">
        <v>38193</v>
      </c>
      <c r="AC12" s="136">
        <f t="shared" si="11"/>
        <v>45</v>
      </c>
      <c r="AD12" s="564">
        <v>204884</v>
      </c>
      <c r="AE12" s="219">
        <f t="shared" si="15"/>
        <v>44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0</v>
      </c>
      <c r="AI12" s="504">
        <f t="shared" si="12"/>
        <v>5000000</v>
      </c>
      <c r="AJ12" s="503">
        <f t="shared" si="4"/>
        <v>11764.705882352777</v>
      </c>
      <c r="AK12" s="142"/>
    </row>
    <row r="13" spans="1:37" ht="19.5" thickBot="1">
      <c r="A13" s="94">
        <f>Gen!B18</f>
        <v>44082</v>
      </c>
      <c r="B13" s="494">
        <f>'Summery Report'!E12</f>
        <v>7</v>
      </c>
      <c r="C13" s="156">
        <f>Gen!C18</f>
        <v>3.9E-2</v>
      </c>
      <c r="D13" s="495">
        <f>'Summery Report'!E12</f>
        <v>7</v>
      </c>
      <c r="E13" s="496">
        <f t="shared" si="13"/>
        <v>1.3262195121951219</v>
      </c>
      <c r="F13" s="497">
        <f t="shared" si="14"/>
        <v>179.64780052264808</v>
      </c>
      <c r="G13" s="497">
        <f t="shared" si="0"/>
        <v>203.00820993031357</v>
      </c>
      <c r="H13" s="496">
        <f>Gen!D18</f>
        <v>36782.780000000013</v>
      </c>
      <c r="I13" s="498">
        <f>Gen!F18</f>
        <v>0</v>
      </c>
      <c r="J13" s="140">
        <f>Gen!T18</f>
        <v>948.21</v>
      </c>
      <c r="K13" s="140">
        <f>Gen!AK18</f>
        <v>123.3</v>
      </c>
      <c r="L13" s="140">
        <f t="shared" si="1"/>
        <v>1071.51</v>
      </c>
      <c r="M13" s="527">
        <f>'Water-Meter'!K53</f>
        <v>587.39318657558397</v>
      </c>
      <c r="N13" s="201">
        <f>'Water-Meter'!E13</f>
        <v>46</v>
      </c>
      <c r="O13" s="212"/>
      <c r="P13" s="753"/>
      <c r="Q13" s="499">
        <f t="shared" si="2"/>
        <v>0</v>
      </c>
      <c r="R13" s="500">
        <f t="shared" si="5"/>
        <v>0</v>
      </c>
      <c r="S13" s="446">
        <v>2.2000000000000002</v>
      </c>
      <c r="T13" s="565">
        <v>16909</v>
      </c>
      <c r="U13" s="499">
        <f t="shared" si="6"/>
        <v>4</v>
      </c>
      <c r="V13" s="501">
        <f t="shared" si="16"/>
        <v>8.8000000000000007</v>
      </c>
      <c r="W13" s="446">
        <v>2.2999999999999998</v>
      </c>
      <c r="X13" s="563">
        <v>24998</v>
      </c>
      <c r="Y13" s="499">
        <f t="shared" si="8"/>
        <v>13.529999999998836</v>
      </c>
      <c r="Z13" s="501">
        <f t="shared" si="9"/>
        <v>31.118999999997321</v>
      </c>
      <c r="AA13" s="501">
        <f t="shared" si="10"/>
        <v>0</v>
      </c>
      <c r="AB13" s="564">
        <v>38247</v>
      </c>
      <c r="AC13" s="136">
        <f t="shared" si="11"/>
        <v>54</v>
      </c>
      <c r="AD13" s="564">
        <v>204919</v>
      </c>
      <c r="AE13" s="219">
        <f t="shared" si="15"/>
        <v>35</v>
      </c>
      <c r="AF13" s="314">
        <f>'Lpg (2)'!B17*2000/85</f>
        <v>2000</v>
      </c>
      <c r="AG13" s="315">
        <f>'Lpg (2)'!C17*1000/85</f>
        <v>952.94117647058829</v>
      </c>
      <c r="AH13" s="316">
        <f>'Lpg (2)'!D17*1000/85</f>
        <v>0</v>
      </c>
      <c r="AI13" s="504">
        <f t="shared" si="12"/>
        <v>4952941.176470588</v>
      </c>
      <c r="AJ13" s="503">
        <f t="shared" si="4"/>
        <v>47058.823529412039</v>
      </c>
      <c r="AK13" s="143"/>
    </row>
    <row r="14" spans="1:37" ht="19.5" thickBot="1">
      <c r="A14" s="94">
        <f>Gen!B19</f>
        <v>44083</v>
      </c>
      <c r="B14" s="494">
        <f>'Summery Report'!E13</f>
        <v>5</v>
      </c>
      <c r="C14" s="156">
        <f>Gen!C19</f>
        <v>6.5000000000000002E-2</v>
      </c>
      <c r="D14" s="495">
        <f>'Summery Report'!E13</f>
        <v>5</v>
      </c>
      <c r="E14" s="496">
        <f t="shared" si="13"/>
        <v>1.3262195121951219</v>
      </c>
      <c r="F14" s="497">
        <f t="shared" si="14"/>
        <v>0</v>
      </c>
      <c r="G14" s="497">
        <f t="shared" si="0"/>
        <v>0</v>
      </c>
      <c r="H14" s="496">
        <f>Gen!D19</f>
        <v>35711.270000000011</v>
      </c>
      <c r="I14" s="498">
        <f>Gen!F19</f>
        <v>0</v>
      </c>
      <c r="J14" s="140">
        <f>Gen!T19</f>
        <v>0</v>
      </c>
      <c r="K14" s="140">
        <f>Gen!AK19</f>
        <v>0</v>
      </c>
      <c r="L14" s="140">
        <f t="shared" si="1"/>
        <v>0</v>
      </c>
      <c r="M14" s="527">
        <f>'Water-Meter'!K54</f>
        <v>571.58439774994804</v>
      </c>
      <c r="N14" s="201" t="str">
        <f>'Water-Meter'!E14</f>
        <v>0</v>
      </c>
      <c r="O14" s="212"/>
      <c r="P14" s="753"/>
      <c r="Q14" s="499">
        <f t="shared" si="2"/>
        <v>0</v>
      </c>
      <c r="R14" s="500">
        <f t="shared" si="5"/>
        <v>0</v>
      </c>
      <c r="S14" s="446"/>
      <c r="T14" s="565"/>
      <c r="U14" s="499">
        <f t="shared" si="6"/>
        <v>-16909</v>
      </c>
      <c r="V14" s="501">
        <f t="shared" si="16"/>
        <v>0</v>
      </c>
      <c r="W14" s="446"/>
      <c r="X14" s="563"/>
      <c r="Y14" s="499">
        <f t="shared" si="8"/>
        <v>-24998</v>
      </c>
      <c r="Z14" s="501">
        <f t="shared" si="9"/>
        <v>0</v>
      </c>
      <c r="AA14" s="501">
        <f t="shared" si="10"/>
        <v>0</v>
      </c>
      <c r="AB14" s="564"/>
      <c r="AC14" s="136">
        <f t="shared" si="11"/>
        <v>-38247</v>
      </c>
      <c r="AD14" s="564"/>
      <c r="AE14" s="219">
        <f t="shared" si="15"/>
        <v>-204919</v>
      </c>
      <c r="AF14" s="314">
        <f>'Lpg (2)'!B18*2000/85</f>
        <v>2000</v>
      </c>
      <c r="AG14" s="315">
        <f>'Lpg (2)'!C18*1000/85</f>
        <v>882.35294117647061</v>
      </c>
      <c r="AH14" s="316">
        <f>'Lpg (2)'!D18*1000/85</f>
        <v>0</v>
      </c>
      <c r="AI14" s="504">
        <f t="shared" si="12"/>
        <v>4882352.9411764704</v>
      </c>
      <c r="AJ14" s="503">
        <f t="shared" si="4"/>
        <v>70588.235294117592</v>
      </c>
      <c r="AK14" s="142"/>
    </row>
    <row r="15" spans="1:37" ht="19.5" thickBot="1">
      <c r="A15" s="94">
        <f>Gen!B20</f>
        <v>44084</v>
      </c>
      <c r="B15" s="494">
        <f>'Summery Report'!E14</f>
        <v>0</v>
      </c>
      <c r="C15" s="156">
        <f>Gen!C20</f>
        <v>0</v>
      </c>
      <c r="D15" s="495">
        <f>'Summery Report'!E14</f>
        <v>0</v>
      </c>
      <c r="E15" s="496">
        <f t="shared" si="13"/>
        <v>1.3262195121951219</v>
      </c>
      <c r="F15" s="497" t="e">
        <f t="shared" si="14"/>
        <v>#DIV/0!</v>
      </c>
      <c r="G15" s="497" t="e">
        <f t="shared" si="0"/>
        <v>#DIV/0!</v>
      </c>
      <c r="H15" s="496">
        <f>Gen!D20</f>
        <v>35711.270000000011</v>
      </c>
      <c r="I15" s="498">
        <f>Gen!F20</f>
        <v>0</v>
      </c>
      <c r="J15" s="140">
        <f>Gen!T20</f>
        <v>0</v>
      </c>
      <c r="K15" s="140">
        <f>Gen!AK20</f>
        <v>0</v>
      </c>
      <c r="L15" s="140">
        <f t="shared" si="1"/>
        <v>0</v>
      </c>
      <c r="M15" s="527">
        <f>'Water-Meter'!K55</f>
        <v>0</v>
      </c>
      <c r="N15" s="201">
        <f>'Water-Meter'!E15</f>
        <v>0</v>
      </c>
      <c r="O15" s="212"/>
      <c r="P15" s="753"/>
      <c r="Q15" s="499">
        <f t="shared" si="2"/>
        <v>0</v>
      </c>
      <c r="R15" s="500">
        <f t="shared" si="5"/>
        <v>0</v>
      </c>
      <c r="S15" s="446"/>
      <c r="T15" s="565"/>
      <c r="U15" s="499">
        <f t="shared" si="6"/>
        <v>0</v>
      </c>
      <c r="V15" s="501">
        <f t="shared" si="16"/>
        <v>0</v>
      </c>
      <c r="W15" s="446"/>
      <c r="X15" s="563"/>
      <c r="Y15" s="499">
        <f t="shared" si="8"/>
        <v>0</v>
      </c>
      <c r="Z15" s="501">
        <f t="shared" si="9"/>
        <v>0</v>
      </c>
      <c r="AA15" s="501">
        <f t="shared" si="10"/>
        <v>0</v>
      </c>
      <c r="AB15" s="564"/>
      <c r="AC15" s="136">
        <f t="shared" si="11"/>
        <v>0</v>
      </c>
      <c r="AD15" s="564"/>
      <c r="AE15" s="219">
        <f>AD15-AD14</f>
        <v>0</v>
      </c>
      <c r="AF15" s="314">
        <f>'Lpg (2)'!B19*2000/85</f>
        <v>0</v>
      </c>
      <c r="AG15" s="315">
        <f>'Lpg (2)'!C19*1000/85</f>
        <v>0</v>
      </c>
      <c r="AH15" s="316">
        <f>'Lpg (2)'!D19*1000/85</f>
        <v>0</v>
      </c>
      <c r="AI15" s="504">
        <f t="shared" ref="AI15:AI35" si="17">SUM(AF15*2000)+(AG15*1000)+(AH15*1000)</f>
        <v>0</v>
      </c>
      <c r="AJ15" s="503">
        <f t="shared" si="4"/>
        <v>4882352.9411764704</v>
      </c>
      <c r="AK15" s="142"/>
    </row>
    <row r="16" spans="1:37" ht="19.5" thickBot="1">
      <c r="A16" s="94">
        <f>Gen!B21</f>
        <v>44085</v>
      </c>
      <c r="B16" s="494">
        <f>'Summery Report'!E15</f>
        <v>0</v>
      </c>
      <c r="C16" s="156">
        <f>Gen!C21</f>
        <v>0</v>
      </c>
      <c r="D16" s="495">
        <f>'Summery Report'!E15</f>
        <v>0</v>
      </c>
      <c r="E16" s="496">
        <f t="shared" si="13"/>
        <v>1.3262195121951219</v>
      </c>
      <c r="F16" s="497" t="e">
        <f t="shared" si="14"/>
        <v>#DIV/0!</v>
      </c>
      <c r="G16" s="497" t="e">
        <f t="shared" si="0"/>
        <v>#DIV/0!</v>
      </c>
      <c r="H16" s="496">
        <f>Gen!D21</f>
        <v>35711.270000000011</v>
      </c>
      <c r="I16" s="498">
        <f>Gen!F21</f>
        <v>0</v>
      </c>
      <c r="J16" s="140">
        <f>Gen!T21</f>
        <v>0</v>
      </c>
      <c r="K16" s="140">
        <f>Gen!AK21</f>
        <v>0</v>
      </c>
      <c r="L16" s="140">
        <f t="shared" si="1"/>
        <v>0</v>
      </c>
      <c r="M16" s="527">
        <f>'Water-Meter'!K56</f>
        <v>0</v>
      </c>
      <c r="N16" s="201">
        <f>'Water-Meter'!E16</f>
        <v>0</v>
      </c>
      <c r="O16" s="212"/>
      <c r="P16" s="753"/>
      <c r="Q16" s="499">
        <f t="shared" si="2"/>
        <v>0</v>
      </c>
      <c r="R16" s="500">
        <f t="shared" si="5"/>
        <v>0</v>
      </c>
      <c r="S16" s="446"/>
      <c r="T16" s="565"/>
      <c r="U16" s="499">
        <f t="shared" si="6"/>
        <v>0</v>
      </c>
      <c r="V16" s="501">
        <f t="shared" si="16"/>
        <v>0</v>
      </c>
      <c r="W16" s="446"/>
      <c r="X16" s="563"/>
      <c r="Y16" s="499">
        <f t="shared" si="8"/>
        <v>0</v>
      </c>
      <c r="Z16" s="501">
        <f t="shared" si="9"/>
        <v>0</v>
      </c>
      <c r="AA16" s="501">
        <f t="shared" si="10"/>
        <v>0</v>
      </c>
      <c r="AB16" s="564"/>
      <c r="AC16" s="136">
        <f t="shared" si="11"/>
        <v>0</v>
      </c>
      <c r="AD16" s="564"/>
      <c r="AE16" s="219">
        <f t="shared" si="15"/>
        <v>0</v>
      </c>
      <c r="AF16" s="314">
        <f>'Lpg (2)'!B20*2000/85</f>
        <v>0</v>
      </c>
      <c r="AG16" s="315">
        <f>'Lpg (2)'!C20*1000/85</f>
        <v>0</v>
      </c>
      <c r="AH16" s="316">
        <f>'Lpg (2)'!D20*1000/85</f>
        <v>0</v>
      </c>
      <c r="AI16" s="504">
        <f t="shared" si="17"/>
        <v>0</v>
      </c>
      <c r="AJ16" s="503">
        <f t="shared" si="4"/>
        <v>0</v>
      </c>
      <c r="AK16" s="142"/>
    </row>
    <row r="17" spans="1:37" ht="19.5" thickBot="1">
      <c r="A17" s="94">
        <f>Gen!B22</f>
        <v>44086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35711.270000000011</v>
      </c>
      <c r="I17" s="498">
        <f>Gen!F22</f>
        <v>0</v>
      </c>
      <c r="J17" s="140">
        <f>Gen!T22</f>
        <v>0</v>
      </c>
      <c r="K17" s="140">
        <f>Gen!AK22</f>
        <v>0</v>
      </c>
      <c r="L17" s="140">
        <f t="shared" si="1"/>
        <v>0</v>
      </c>
      <c r="M17" s="527">
        <f>'Water-Meter'!K57</f>
        <v>0</v>
      </c>
      <c r="N17" s="201">
        <f>'Water-Meter'!E17</f>
        <v>0</v>
      </c>
      <c r="O17" s="212"/>
      <c r="P17" s="753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0</v>
      </c>
      <c r="V17" s="501">
        <f t="shared" ref="V17:V36" si="18">SUM(U17*S17)</f>
        <v>0</v>
      </c>
      <c r="W17" s="446"/>
      <c r="X17" s="563"/>
      <c r="Y17" s="499">
        <f t="shared" si="8"/>
        <v>0</v>
      </c>
      <c r="Z17" s="501">
        <f t="shared" si="9"/>
        <v>0</v>
      </c>
      <c r="AA17" s="501">
        <f t="shared" si="10"/>
        <v>0</v>
      </c>
      <c r="AB17" s="564"/>
      <c r="AC17" s="136">
        <f t="shared" si="11"/>
        <v>0</v>
      </c>
      <c r="AD17" s="564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4">
        <f t="shared" si="17"/>
        <v>0</v>
      </c>
      <c r="AJ17" s="503">
        <f t="shared" si="4"/>
        <v>0</v>
      </c>
      <c r="AK17" s="142"/>
    </row>
    <row r="18" spans="1:37" ht="19.5" thickBot="1">
      <c r="A18" s="94">
        <f>Gen!B23</f>
        <v>44087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35711.270000000011</v>
      </c>
      <c r="I18" s="498">
        <f>Gen!F23</f>
        <v>0</v>
      </c>
      <c r="J18" s="140">
        <f>Gen!T23</f>
        <v>0</v>
      </c>
      <c r="K18" s="140">
        <f>Gen!AK23</f>
        <v>0</v>
      </c>
      <c r="L18" s="140">
        <f t="shared" si="1"/>
        <v>0</v>
      </c>
      <c r="M18" s="527">
        <f>'Water-Meter'!K58</f>
        <v>0</v>
      </c>
      <c r="N18" s="201">
        <f>'Water-Meter'!E18</f>
        <v>0</v>
      </c>
      <c r="O18" s="212"/>
      <c r="P18" s="753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/>
      <c r="AC18" s="136">
        <f t="shared" si="11"/>
        <v>0</v>
      </c>
      <c r="AD18" s="564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4">
        <f t="shared" si="17"/>
        <v>0</v>
      </c>
      <c r="AJ18" s="503">
        <f t="shared" si="4"/>
        <v>0</v>
      </c>
      <c r="AK18" s="142"/>
    </row>
    <row r="19" spans="1:37" ht="19.5" thickBot="1">
      <c r="A19" s="94">
        <f>Gen!B24</f>
        <v>44088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35711.270000000011</v>
      </c>
      <c r="I19" s="498">
        <f>Gen!F24</f>
        <v>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0</v>
      </c>
      <c r="N19" s="201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/>
      <c r="AC19" s="136">
        <f t="shared" si="11"/>
        <v>0</v>
      </c>
      <c r="AD19" s="564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4">
        <f t="shared" si="17"/>
        <v>0</v>
      </c>
      <c r="AJ19" s="503">
        <f t="shared" si="4"/>
        <v>0</v>
      </c>
      <c r="AK19" s="142"/>
    </row>
    <row r="20" spans="1:37" ht="19.5" thickBot="1">
      <c r="A20" s="94">
        <f>Gen!B25</f>
        <v>44089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35711.270000000011</v>
      </c>
      <c r="I20" s="498">
        <f>Gen!F25</f>
        <v>18000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0</v>
      </c>
      <c r="AK20" s="142"/>
    </row>
    <row r="21" spans="1:37" ht="19.5" thickBot="1">
      <c r="A21" s="94">
        <f>Gen!B26</f>
        <v>44090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35711.270000000011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44091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35711.270000000011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44092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35711.270000000011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44093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35711.270000000011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44094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35711.270000000011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44095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35711.270000000011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44096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35711.270000000011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44097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35711.270000000011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44098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35711.270000000011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44099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35711.270000000011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44100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35711.270000000011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44101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35711.270000000011</v>
      </c>
      <c r="I32" s="498">
        <f>Gen!F37</f>
        <v>10000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44102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35711.270000000011</v>
      </c>
      <c r="I33" s="498">
        <f>Gen!F38</f>
        <v>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44103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35711.270000000011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44104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35711.270000000011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35711.270000000011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7311.0199999999995</v>
      </c>
      <c r="K37" s="163"/>
      <c r="L37" s="140">
        <f t="shared" si="1"/>
        <v>7311.0199999999995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5" sqref="W1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3" t="s">
        <v>150</v>
      </c>
      <c r="C1" s="794"/>
      <c r="D1" s="794"/>
      <c r="E1" s="794"/>
      <c r="F1" s="795"/>
      <c r="G1" s="187"/>
      <c r="H1" s="793" t="s">
        <v>151</v>
      </c>
      <c r="I1" s="794"/>
      <c r="J1" s="794"/>
      <c r="K1" s="794"/>
      <c r="L1" s="795"/>
      <c r="M1" s="793" t="s">
        <v>170</v>
      </c>
      <c r="N1" s="794"/>
      <c r="O1" s="794"/>
      <c r="P1" s="794"/>
      <c r="Q1" s="795"/>
      <c r="R1" s="187"/>
      <c r="T1" s="793" t="s">
        <v>166</v>
      </c>
      <c r="U1" s="794"/>
      <c r="V1" s="794"/>
      <c r="W1" s="794"/>
      <c r="X1" s="795"/>
      <c r="Y1" s="793" t="s">
        <v>169</v>
      </c>
      <c r="Z1" s="794"/>
      <c r="AA1" s="794"/>
      <c r="AB1" s="794"/>
      <c r="AC1" s="795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44075</v>
      </c>
      <c r="B3" s="796" t="s">
        <v>156</v>
      </c>
      <c r="C3" s="797"/>
      <c r="D3" s="196"/>
      <c r="E3" s="699">
        <v>8794.7000000000007</v>
      </c>
      <c r="F3" s="706" t="s">
        <v>157</v>
      </c>
      <c r="G3" s="707"/>
      <c r="H3" s="796" t="s">
        <v>156</v>
      </c>
      <c r="I3" s="797"/>
      <c r="J3" s="763">
        <f>'Water-Meter'!G5</f>
        <v>38000</v>
      </c>
      <c r="K3" s="708">
        <f>'Water-Meter'!G5</f>
        <v>38000</v>
      </c>
      <c r="L3" s="288"/>
      <c r="M3" s="796" t="s">
        <v>156</v>
      </c>
      <c r="N3" s="797"/>
      <c r="O3" s="196">
        <f>'Water-Meter'!J5</f>
        <v>8021</v>
      </c>
      <c r="P3" s="709">
        <f>'Water-Meter'!J5</f>
        <v>8021</v>
      </c>
      <c r="Q3" s="195"/>
      <c r="R3" s="696"/>
      <c r="S3" s="697"/>
      <c r="T3" s="796" t="s">
        <v>156</v>
      </c>
      <c r="U3" s="797"/>
      <c r="V3" s="196"/>
      <c r="W3" s="700">
        <v>7819.2</v>
      </c>
      <c r="X3" s="710">
        <f t="shared" ref="X3:X35" si="0">(W3-V3)*200</f>
        <v>1563840</v>
      </c>
      <c r="Y3" s="796" t="s">
        <v>156</v>
      </c>
      <c r="Z3" s="797"/>
      <c r="AA3" s="196"/>
      <c r="AB3" s="199"/>
      <c r="AC3" s="200"/>
    </row>
    <row r="4" spans="1:29" ht="19.5" thickBot="1">
      <c r="A4" s="711">
        <f>Gen!C11</f>
        <v>3.9E-2</v>
      </c>
      <c r="B4" s="715">
        <f>Gen!B11</f>
        <v>44075</v>
      </c>
      <c r="C4" s="716"/>
      <c r="D4" s="717">
        <f t="shared" ref="D4:D23" si="1">E3</f>
        <v>8794.7000000000007</v>
      </c>
      <c r="E4" s="699">
        <v>8796.2999999999993</v>
      </c>
      <c r="F4" s="717">
        <f t="shared" ref="F4:F15" si="2">SUM(E4-D4)*120</f>
        <v>191.99999999982538</v>
      </c>
      <c r="G4" s="716"/>
      <c r="H4" s="718">
        <f>B4</f>
        <v>44075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44075</v>
      </c>
      <c r="N4" s="716"/>
      <c r="O4" s="196">
        <f>'Water-Meter'!J6</f>
        <v>8023</v>
      </c>
      <c r="P4" s="728">
        <f>'Water-Meter'!J6</f>
        <v>8023</v>
      </c>
      <c r="Q4" s="740">
        <f>N4-O3</f>
        <v>-8021</v>
      </c>
      <c r="R4" s="744">
        <f t="shared" ref="R4:R20" si="4">SUM(Q4/1615)</f>
        <v>-4.9665634674922599</v>
      </c>
      <c r="S4" s="745">
        <f>Gen!T11</f>
        <v>891.43</v>
      </c>
      <c r="T4" s="742">
        <f>M4</f>
        <v>44075</v>
      </c>
      <c r="U4" s="716"/>
      <c r="V4" s="717">
        <f t="shared" ref="V4:V33" si="5">W3</f>
        <v>7819.2</v>
      </c>
      <c r="W4" s="700">
        <v>7819.6</v>
      </c>
      <c r="X4" s="736">
        <f t="shared" si="0"/>
        <v>80.000000000109139</v>
      </c>
      <c r="Y4" s="727">
        <f>T4</f>
        <v>44075</v>
      </c>
      <c r="Z4" s="716"/>
      <c r="AA4" s="716"/>
      <c r="AB4" s="728">
        <f>'Water-Meter'!P6</f>
        <v>20255</v>
      </c>
      <c r="AC4" s="729">
        <f>AA4-AB3</f>
        <v>0</v>
      </c>
    </row>
    <row r="5" spans="1:29" ht="19.5" thickBot="1">
      <c r="A5" s="712">
        <f>Gen!C12</f>
        <v>3.9E-2</v>
      </c>
      <c r="B5" s="719">
        <f>Gen!B12</f>
        <v>44076</v>
      </c>
      <c r="C5" s="698"/>
      <c r="D5" s="703">
        <f t="shared" si="1"/>
        <v>8796.2999999999993</v>
      </c>
      <c r="E5" s="699">
        <v>8797.9</v>
      </c>
      <c r="F5" s="703">
        <f t="shared" si="2"/>
        <v>192.00000000004366</v>
      </c>
      <c r="G5" s="698"/>
      <c r="H5" s="720">
        <f t="shared" ref="H5:H35" si="6">B5</f>
        <v>44076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44076</v>
      </c>
      <c r="N5" s="698"/>
      <c r="O5" s="196">
        <f>'Water-Meter'!J7</f>
        <v>8024</v>
      </c>
      <c r="P5" s="702">
        <f>'Water-Meter'!J7</f>
        <v>8024</v>
      </c>
      <c r="Q5" s="740">
        <f t="shared" ref="Q5:Q20" si="8">N5-O4</f>
        <v>-8023</v>
      </c>
      <c r="R5" s="746">
        <f t="shared" si="4"/>
        <v>-4.9678018575851395</v>
      </c>
      <c r="S5" s="747">
        <f>Gen!T12</f>
        <v>821.92000000000007</v>
      </c>
      <c r="T5" s="735">
        <f t="shared" ref="T5:T30" si="9">M5</f>
        <v>44076</v>
      </c>
      <c r="U5" s="698"/>
      <c r="V5" s="703">
        <f t="shared" si="5"/>
        <v>7819.6</v>
      </c>
      <c r="W5" s="700">
        <v>7819.7</v>
      </c>
      <c r="X5" s="736">
        <f t="shared" si="0"/>
        <v>19.999999999890861</v>
      </c>
      <c r="Y5" s="730">
        <f t="shared" ref="Y5:Y30" si="10">T5</f>
        <v>44076</v>
      </c>
      <c r="Z5" s="698"/>
      <c r="AA5" s="698"/>
      <c r="AB5" s="728">
        <f>'Water-Meter'!P7</f>
        <v>20257</v>
      </c>
      <c r="AC5" s="729">
        <f t="shared" ref="AC5:AC35" si="11">AA5-AB4</f>
        <v>-20255</v>
      </c>
    </row>
    <row r="6" spans="1:29" ht="19.5" thickBot="1">
      <c r="A6" s="712">
        <f>Gen!C13</f>
        <v>3.9E-2</v>
      </c>
      <c r="B6" s="719">
        <f>Gen!B13</f>
        <v>44077</v>
      </c>
      <c r="C6" s="698"/>
      <c r="D6" s="703">
        <f t="shared" si="1"/>
        <v>8797.9</v>
      </c>
      <c r="E6" s="699">
        <v>8799.6</v>
      </c>
      <c r="F6" s="703">
        <f t="shared" si="2"/>
        <v>204.00000000008731</v>
      </c>
      <c r="G6" s="698"/>
      <c r="H6" s="720">
        <f t="shared" si="6"/>
        <v>44077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44077</v>
      </c>
      <c r="N6" s="698"/>
      <c r="O6" s="196">
        <f>'Water-Meter'!J8</f>
        <v>8025</v>
      </c>
      <c r="P6" s="702">
        <f>'Water-Meter'!J8</f>
        <v>8025</v>
      </c>
      <c r="Q6" s="740">
        <f t="shared" si="8"/>
        <v>-8024</v>
      </c>
      <c r="R6" s="746">
        <f t="shared" si="4"/>
        <v>-4.9684210526315793</v>
      </c>
      <c r="S6" s="747">
        <f>Gen!T13</f>
        <v>1090.28</v>
      </c>
      <c r="T6" s="735">
        <f t="shared" si="9"/>
        <v>44077</v>
      </c>
      <c r="U6" s="698"/>
      <c r="V6" s="703">
        <f t="shared" si="5"/>
        <v>7819.7</v>
      </c>
      <c r="W6" s="700">
        <v>7819.9</v>
      </c>
      <c r="X6" s="736">
        <f t="shared" si="0"/>
        <v>39.99999999996362</v>
      </c>
      <c r="Y6" s="730">
        <f t="shared" si="10"/>
        <v>44077</v>
      </c>
      <c r="Z6" s="698"/>
      <c r="AA6" s="698"/>
      <c r="AB6" s="728">
        <f>'Water-Meter'!P8</f>
        <v>20258</v>
      </c>
      <c r="AC6" s="729">
        <f t="shared" si="11"/>
        <v>-20257</v>
      </c>
    </row>
    <row r="7" spans="1:29" ht="19.5" thickBot="1">
      <c r="A7" s="712">
        <f>Gen!C14</f>
        <v>9.0899999999999995E-2</v>
      </c>
      <c r="B7" s="719">
        <f>Gen!B14</f>
        <v>44078</v>
      </c>
      <c r="C7" s="698"/>
      <c r="D7" s="703">
        <f t="shared" si="1"/>
        <v>8799.6</v>
      </c>
      <c r="E7" s="699">
        <v>8801.4</v>
      </c>
      <c r="F7" s="703">
        <f t="shared" si="2"/>
        <v>215.99999999991269</v>
      </c>
      <c r="G7" s="698"/>
      <c r="H7" s="720">
        <f t="shared" si="6"/>
        <v>44078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44078</v>
      </c>
      <c r="N7" s="698"/>
      <c r="O7" s="196">
        <f>'Water-Meter'!J9</f>
        <v>8026</v>
      </c>
      <c r="P7" s="702">
        <f>'Water-Meter'!J9</f>
        <v>8026</v>
      </c>
      <c r="Q7" s="740">
        <f t="shared" si="8"/>
        <v>-8025</v>
      </c>
      <c r="R7" s="746">
        <f t="shared" si="4"/>
        <v>-4.9690402476780182</v>
      </c>
      <c r="S7" s="747">
        <f>Gen!T14</f>
        <v>868.39</v>
      </c>
      <c r="T7" s="735">
        <f t="shared" si="9"/>
        <v>44078</v>
      </c>
      <c r="U7" s="698"/>
      <c r="V7" s="703">
        <f t="shared" si="5"/>
        <v>7819.9</v>
      </c>
      <c r="W7" s="700">
        <v>7820.4</v>
      </c>
      <c r="X7" s="736">
        <f t="shared" si="0"/>
        <v>100</v>
      </c>
      <c r="Y7" s="730">
        <f t="shared" si="10"/>
        <v>44078</v>
      </c>
      <c r="Z7" s="698"/>
      <c r="AA7" s="698"/>
      <c r="AB7" s="728">
        <f>'Water-Meter'!P9</f>
        <v>20259</v>
      </c>
      <c r="AC7" s="729">
        <f t="shared" si="11"/>
        <v>-20258</v>
      </c>
    </row>
    <row r="8" spans="1:29" ht="19.5" thickBot="1">
      <c r="A8" s="712">
        <f>Gen!C15</f>
        <v>9.0899999999999995E-2</v>
      </c>
      <c r="B8" s="719">
        <f>Gen!B15</f>
        <v>44079</v>
      </c>
      <c r="C8" s="698"/>
      <c r="D8" s="703">
        <f t="shared" si="1"/>
        <v>8801.4</v>
      </c>
      <c r="E8" s="699">
        <v>8803.1</v>
      </c>
      <c r="F8" s="703">
        <f t="shared" si="2"/>
        <v>204.00000000008731</v>
      </c>
      <c r="G8" s="698"/>
      <c r="H8" s="720">
        <f t="shared" si="6"/>
        <v>44079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44079</v>
      </c>
      <c r="N8" s="698"/>
      <c r="O8" s="196">
        <f>'Water-Meter'!J10</f>
        <v>8027</v>
      </c>
      <c r="P8" s="702">
        <f>'Water-Meter'!J10</f>
        <v>8027</v>
      </c>
      <c r="Q8" s="740">
        <f t="shared" si="8"/>
        <v>-8026</v>
      </c>
      <c r="R8" s="746">
        <f t="shared" si="4"/>
        <v>-4.969659442724458</v>
      </c>
      <c r="S8" s="747">
        <f>Gen!T15</f>
        <v>841.98</v>
      </c>
      <c r="T8" s="735">
        <f t="shared" si="9"/>
        <v>44079</v>
      </c>
      <c r="U8" s="698"/>
      <c r="V8" s="703">
        <f t="shared" si="5"/>
        <v>7820.4</v>
      </c>
      <c r="W8" s="700">
        <v>7820.6</v>
      </c>
      <c r="X8" s="736">
        <f t="shared" si="0"/>
        <v>40.000000000145519</v>
      </c>
      <c r="Y8" s="730">
        <f t="shared" si="10"/>
        <v>44079</v>
      </c>
      <c r="Z8" s="698"/>
      <c r="AA8" s="698"/>
      <c r="AB8" s="728">
        <f>'Water-Meter'!P10</f>
        <v>20261</v>
      </c>
      <c r="AC8" s="729">
        <f t="shared" si="11"/>
        <v>-20259</v>
      </c>
    </row>
    <row r="9" spans="1:29" ht="19.5" thickBot="1">
      <c r="A9" s="712">
        <f>Gen!C16</f>
        <v>9.0899999999999995E-2</v>
      </c>
      <c r="B9" s="719">
        <f>Gen!B16</f>
        <v>44080</v>
      </c>
      <c r="C9" s="698"/>
      <c r="D9" s="703">
        <f t="shared" si="1"/>
        <v>8803.1</v>
      </c>
      <c r="E9" s="699">
        <v>8804.2999999999993</v>
      </c>
      <c r="F9" s="703">
        <f t="shared" si="2"/>
        <v>143.99999999986903</v>
      </c>
      <c r="G9" s="698"/>
      <c r="H9" s="720">
        <f t="shared" si="6"/>
        <v>44080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44080</v>
      </c>
      <c r="N9" s="698"/>
      <c r="O9" s="196">
        <f>'Water-Meter'!J11</f>
        <v>8028</v>
      </c>
      <c r="P9" s="702">
        <f>'Water-Meter'!J11</f>
        <v>8028</v>
      </c>
      <c r="Q9" s="740">
        <f t="shared" si="8"/>
        <v>-8027</v>
      </c>
      <c r="R9" s="746">
        <f t="shared" si="4"/>
        <v>-4.9702786377708978</v>
      </c>
      <c r="S9" s="747">
        <f>Gen!T16</f>
        <v>938.54</v>
      </c>
      <c r="T9" s="735">
        <f t="shared" si="9"/>
        <v>44080</v>
      </c>
      <c r="U9" s="698"/>
      <c r="V9" s="703">
        <f t="shared" si="5"/>
        <v>7820.6</v>
      </c>
      <c r="W9" s="700">
        <v>7820.9</v>
      </c>
      <c r="X9" s="736">
        <f t="shared" si="0"/>
        <v>59.999999999854481</v>
      </c>
      <c r="Y9" s="730">
        <f t="shared" si="10"/>
        <v>44080</v>
      </c>
      <c r="Z9" s="698"/>
      <c r="AA9" s="698"/>
      <c r="AB9" s="728">
        <f>'Water-Meter'!P11</f>
        <v>20263</v>
      </c>
      <c r="AC9" s="729">
        <f t="shared" si="11"/>
        <v>-20261</v>
      </c>
    </row>
    <row r="10" spans="1:29" ht="19.5" thickBot="1">
      <c r="A10" s="712">
        <f>Gen!C17</f>
        <v>2.5999999999999999E-2</v>
      </c>
      <c r="B10" s="719">
        <f>Gen!B17</f>
        <v>44081</v>
      </c>
      <c r="C10" s="698"/>
      <c r="D10" s="703">
        <f t="shared" si="1"/>
        <v>8804.2999999999993</v>
      </c>
      <c r="E10" s="699">
        <v>8805.9</v>
      </c>
      <c r="F10" s="703">
        <f t="shared" si="2"/>
        <v>192.00000000004366</v>
      </c>
      <c r="G10" s="698"/>
      <c r="H10" s="720">
        <f t="shared" si="6"/>
        <v>44081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44081</v>
      </c>
      <c r="N10" s="698"/>
      <c r="O10" s="196">
        <f>'Water-Meter'!J12</f>
        <v>8029</v>
      </c>
      <c r="P10" s="702">
        <f>'Water-Meter'!J12</f>
        <v>8029</v>
      </c>
      <c r="Q10" s="740">
        <f t="shared" si="8"/>
        <v>-8028</v>
      </c>
      <c r="R10" s="746">
        <f t="shared" si="4"/>
        <v>-4.9708978328173377</v>
      </c>
      <c r="S10" s="747">
        <f>Gen!T17</f>
        <v>910.27</v>
      </c>
      <c r="T10" s="735">
        <f t="shared" si="9"/>
        <v>44081</v>
      </c>
      <c r="U10" s="698"/>
      <c r="V10" s="703">
        <f t="shared" si="5"/>
        <v>7820.9</v>
      </c>
      <c r="W10" s="700">
        <v>7821.1</v>
      </c>
      <c r="X10" s="736">
        <f t="shared" si="0"/>
        <v>40.000000000145519</v>
      </c>
      <c r="Y10" s="730">
        <f t="shared" si="10"/>
        <v>44081</v>
      </c>
      <c r="Z10" s="698"/>
      <c r="AA10" s="698"/>
      <c r="AB10" s="728">
        <f>'Water-Meter'!P12</f>
        <v>20264</v>
      </c>
      <c r="AC10" s="729">
        <f t="shared" si="11"/>
        <v>-20263</v>
      </c>
    </row>
    <row r="11" spans="1:29" ht="19.5" thickBot="1">
      <c r="A11" s="712">
        <f>Gen!C18</f>
        <v>3.9E-2</v>
      </c>
      <c r="B11" s="719">
        <f>Gen!B18</f>
        <v>44082</v>
      </c>
      <c r="C11" s="698"/>
      <c r="D11" s="703">
        <f t="shared" si="1"/>
        <v>8805.9</v>
      </c>
      <c r="E11" s="699">
        <v>8807.5</v>
      </c>
      <c r="F11" s="703">
        <f t="shared" si="2"/>
        <v>192.00000000004366</v>
      </c>
      <c r="G11" s="698"/>
      <c r="H11" s="720">
        <f t="shared" si="6"/>
        <v>44082</v>
      </c>
      <c r="I11" s="713"/>
      <c r="J11" s="763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44082</v>
      </c>
      <c r="N11" s="698"/>
      <c r="O11" s="196">
        <f>'Water-Meter'!J13</f>
        <v>8030</v>
      </c>
      <c r="P11" s="702">
        <f>'Water-Meter'!J13</f>
        <v>8030</v>
      </c>
      <c r="Q11" s="740">
        <f t="shared" si="8"/>
        <v>-8029</v>
      </c>
      <c r="R11" s="746">
        <f t="shared" si="4"/>
        <v>-4.9715170278637775</v>
      </c>
      <c r="S11" s="747">
        <f>Gen!T18</f>
        <v>948.21</v>
      </c>
      <c r="T11" s="735">
        <f t="shared" si="9"/>
        <v>44082</v>
      </c>
      <c r="U11" s="698"/>
      <c r="V11" s="703">
        <f t="shared" si="5"/>
        <v>7821.1</v>
      </c>
      <c r="W11" s="700">
        <v>7821.4</v>
      </c>
      <c r="X11" s="736">
        <f t="shared" si="0"/>
        <v>59.999999999854481</v>
      </c>
      <c r="Y11" s="730">
        <f t="shared" si="10"/>
        <v>44082</v>
      </c>
      <c r="Z11" s="698"/>
      <c r="AA11" s="698"/>
      <c r="AB11" s="728">
        <f>'Water-Meter'!P13</f>
        <v>20268</v>
      </c>
      <c r="AC11" s="729">
        <f t="shared" si="11"/>
        <v>-20264</v>
      </c>
    </row>
    <row r="12" spans="1:29" ht="19.5" thickBot="1">
      <c r="A12" s="712">
        <f>Gen!C19</f>
        <v>6.5000000000000002E-2</v>
      </c>
      <c r="B12" s="719">
        <f>Gen!B19</f>
        <v>44083</v>
      </c>
      <c r="C12" s="698"/>
      <c r="D12" s="703">
        <f t="shared" si="1"/>
        <v>8807.5</v>
      </c>
      <c r="E12" s="699"/>
      <c r="F12" s="703">
        <f t="shared" si="2"/>
        <v>-1056900</v>
      </c>
      <c r="G12" s="698"/>
      <c r="H12" s="720">
        <f t="shared" si="6"/>
        <v>44083</v>
      </c>
      <c r="I12" s="713"/>
      <c r="J12" s="763">
        <f>'Water-Meter'!G14</f>
        <v>0</v>
      </c>
      <c r="K12" s="739">
        <f>'Water-Meter'!G14</f>
        <v>0</v>
      </c>
      <c r="L12" s="726">
        <f t="shared" si="3"/>
        <v>0</v>
      </c>
      <c r="M12" s="730">
        <f t="shared" si="7"/>
        <v>44083</v>
      </c>
      <c r="N12" s="698"/>
      <c r="O12" s="196">
        <f>'Water-Meter'!J14</f>
        <v>0</v>
      </c>
      <c r="P12" s="702">
        <f>'Water-Meter'!J14</f>
        <v>0</v>
      </c>
      <c r="Q12" s="740">
        <f t="shared" si="8"/>
        <v>-8030</v>
      </c>
      <c r="R12" s="746">
        <f t="shared" si="4"/>
        <v>-4.9721362229102164</v>
      </c>
      <c r="S12" s="747">
        <f>Gen!T19</f>
        <v>0</v>
      </c>
      <c r="T12" s="735">
        <f t="shared" si="9"/>
        <v>44083</v>
      </c>
      <c r="U12" s="698"/>
      <c r="V12" s="703">
        <f t="shared" si="5"/>
        <v>7821.4</v>
      </c>
      <c r="W12" s="700"/>
      <c r="X12" s="736">
        <f t="shared" si="0"/>
        <v>-1564280</v>
      </c>
      <c r="Y12" s="730">
        <f t="shared" si="10"/>
        <v>44083</v>
      </c>
      <c r="Z12" s="698"/>
      <c r="AA12" s="698"/>
      <c r="AB12" s="728">
        <f>'Water-Meter'!P14</f>
        <v>0</v>
      </c>
      <c r="AC12" s="729">
        <f t="shared" si="11"/>
        <v>-20268</v>
      </c>
    </row>
    <row r="13" spans="1:29" ht="19.5" thickBot="1">
      <c r="A13" s="712">
        <f>Gen!C20</f>
        <v>0</v>
      </c>
      <c r="B13" s="719">
        <f>Gen!B20</f>
        <v>44084</v>
      </c>
      <c r="C13" s="698"/>
      <c r="D13" s="703">
        <f t="shared" si="1"/>
        <v>0</v>
      </c>
      <c r="E13" s="699"/>
      <c r="F13" s="703">
        <f t="shared" si="2"/>
        <v>0</v>
      </c>
      <c r="G13" s="698"/>
      <c r="H13" s="720">
        <f t="shared" si="6"/>
        <v>44084</v>
      </c>
      <c r="I13" s="713"/>
      <c r="J13" s="763">
        <f>'Water-Meter'!G15</f>
        <v>0</v>
      </c>
      <c r="K13" s="739">
        <f>'Water-Meter'!G15</f>
        <v>0</v>
      </c>
      <c r="L13" s="726">
        <f t="shared" si="3"/>
        <v>0</v>
      </c>
      <c r="M13" s="730">
        <f t="shared" si="7"/>
        <v>44084</v>
      </c>
      <c r="N13" s="698"/>
      <c r="O13" s="196">
        <f>'Water-Meter'!J15</f>
        <v>0</v>
      </c>
      <c r="P13" s="702">
        <f>'Water-Meter'!J15</f>
        <v>0</v>
      </c>
      <c r="Q13" s="740">
        <f t="shared" si="8"/>
        <v>0</v>
      </c>
      <c r="R13" s="746">
        <f t="shared" si="4"/>
        <v>0</v>
      </c>
      <c r="S13" s="747">
        <f>Gen!T20</f>
        <v>0</v>
      </c>
      <c r="T13" s="735">
        <f t="shared" si="9"/>
        <v>44084</v>
      </c>
      <c r="U13" s="698"/>
      <c r="V13" s="703">
        <f t="shared" si="5"/>
        <v>0</v>
      </c>
      <c r="W13" s="700"/>
      <c r="X13" s="736">
        <f t="shared" si="0"/>
        <v>0</v>
      </c>
      <c r="Y13" s="730">
        <f t="shared" si="10"/>
        <v>44084</v>
      </c>
      <c r="Z13" s="698"/>
      <c r="AA13" s="698"/>
      <c r="AB13" s="728">
        <f>'Water-Meter'!P15</f>
        <v>0</v>
      </c>
      <c r="AC13" s="729">
        <f t="shared" si="11"/>
        <v>0</v>
      </c>
    </row>
    <row r="14" spans="1:29" ht="19.5" thickBot="1">
      <c r="A14" s="712">
        <f>Gen!C21</f>
        <v>0</v>
      </c>
      <c r="B14" s="719">
        <f>Gen!B21</f>
        <v>44085</v>
      </c>
      <c r="C14" s="698"/>
      <c r="D14" s="703">
        <f t="shared" si="1"/>
        <v>0</v>
      </c>
      <c r="E14" s="699"/>
      <c r="F14" s="703">
        <f t="shared" si="2"/>
        <v>0</v>
      </c>
      <c r="G14" s="698"/>
      <c r="H14" s="720">
        <f t="shared" si="6"/>
        <v>44085</v>
      </c>
      <c r="I14" s="713"/>
      <c r="J14" s="763">
        <f>'Water-Meter'!G16</f>
        <v>0</v>
      </c>
      <c r="K14" s="739">
        <f>'Water-Meter'!G16</f>
        <v>0</v>
      </c>
      <c r="L14" s="726">
        <f t="shared" si="3"/>
        <v>0</v>
      </c>
      <c r="M14" s="730">
        <f t="shared" si="7"/>
        <v>44085</v>
      </c>
      <c r="N14" s="698"/>
      <c r="O14" s="196">
        <f>'Water-Meter'!J16</f>
        <v>0</v>
      </c>
      <c r="P14" s="702">
        <f>'Water-Meter'!J16</f>
        <v>0</v>
      </c>
      <c r="Q14" s="740">
        <f t="shared" si="8"/>
        <v>0</v>
      </c>
      <c r="R14" s="746">
        <f t="shared" si="4"/>
        <v>0</v>
      </c>
      <c r="S14" s="747">
        <f>Gen!T21</f>
        <v>0</v>
      </c>
      <c r="T14" s="735">
        <f t="shared" si="9"/>
        <v>44085</v>
      </c>
      <c r="U14" s="698"/>
      <c r="V14" s="703">
        <f t="shared" si="5"/>
        <v>0</v>
      </c>
      <c r="W14" s="700"/>
      <c r="X14" s="736">
        <f t="shared" si="0"/>
        <v>0</v>
      </c>
      <c r="Y14" s="730">
        <f t="shared" si="10"/>
        <v>44085</v>
      </c>
      <c r="Z14" s="698"/>
      <c r="AA14" s="698"/>
      <c r="AB14" s="728">
        <f>'Water-Meter'!P16</f>
        <v>0</v>
      </c>
      <c r="AC14" s="729">
        <f t="shared" si="11"/>
        <v>0</v>
      </c>
    </row>
    <row r="15" spans="1:29" ht="19.5" thickBot="1">
      <c r="A15" s="712">
        <f>Gen!C22</f>
        <v>0</v>
      </c>
      <c r="B15" s="719">
        <f>Gen!B22</f>
        <v>44086</v>
      </c>
      <c r="C15" s="698"/>
      <c r="D15" s="703">
        <f t="shared" si="1"/>
        <v>0</v>
      </c>
      <c r="E15" s="699"/>
      <c r="F15" s="703">
        <f t="shared" si="2"/>
        <v>0</v>
      </c>
      <c r="G15" s="698"/>
      <c r="H15" s="720">
        <f t="shared" si="6"/>
        <v>44086</v>
      </c>
      <c r="I15" s="713"/>
      <c r="J15" s="763">
        <f>'Water-Meter'!G17</f>
        <v>0</v>
      </c>
      <c r="K15" s="739">
        <f>'Water-Meter'!G17</f>
        <v>0</v>
      </c>
      <c r="L15" s="726">
        <f t="shared" si="3"/>
        <v>0</v>
      </c>
      <c r="M15" s="730">
        <f t="shared" si="7"/>
        <v>44086</v>
      </c>
      <c r="N15" s="698"/>
      <c r="O15" s="196">
        <f>'Water-Meter'!J17</f>
        <v>0</v>
      </c>
      <c r="P15" s="702">
        <f>'Water-Meter'!J17</f>
        <v>0</v>
      </c>
      <c r="Q15" s="740">
        <f t="shared" si="8"/>
        <v>0</v>
      </c>
      <c r="R15" s="746">
        <f t="shared" si="4"/>
        <v>0</v>
      </c>
      <c r="S15" s="747">
        <f>Gen!T22</f>
        <v>0</v>
      </c>
      <c r="T15" s="735">
        <f t="shared" si="9"/>
        <v>44086</v>
      </c>
      <c r="U15" s="698"/>
      <c r="V15" s="703">
        <f t="shared" si="5"/>
        <v>0</v>
      </c>
      <c r="W15" s="700"/>
      <c r="X15" s="736">
        <f t="shared" si="0"/>
        <v>0</v>
      </c>
      <c r="Y15" s="730">
        <f t="shared" si="10"/>
        <v>44086</v>
      </c>
      <c r="Z15" s="698"/>
      <c r="AA15" s="698"/>
      <c r="AB15" s="728">
        <f>'Water-Meter'!P17</f>
        <v>0</v>
      </c>
      <c r="AC15" s="729">
        <f t="shared" si="11"/>
        <v>0</v>
      </c>
    </row>
    <row r="16" spans="1:29" ht="19.5" thickBot="1">
      <c r="A16" s="712">
        <f>Gen!C23</f>
        <v>0</v>
      </c>
      <c r="B16" s="719">
        <f>Gen!B23</f>
        <v>44087</v>
      </c>
      <c r="C16" s="698"/>
      <c r="D16" s="703">
        <f t="shared" si="1"/>
        <v>0</v>
      </c>
      <c r="E16" s="699"/>
      <c r="F16" s="703">
        <f>SUM(E16-D16)*120</f>
        <v>0</v>
      </c>
      <c r="G16" s="698"/>
      <c r="H16" s="720">
        <f t="shared" si="6"/>
        <v>44087</v>
      </c>
      <c r="I16" s="713"/>
      <c r="J16" s="763">
        <f>'Water-Meter'!G18</f>
        <v>0</v>
      </c>
      <c r="K16" s="739">
        <f>'Water-Meter'!G18</f>
        <v>0</v>
      </c>
      <c r="L16" s="726">
        <f t="shared" si="3"/>
        <v>0</v>
      </c>
      <c r="M16" s="730">
        <f t="shared" si="7"/>
        <v>44087</v>
      </c>
      <c r="N16" s="698"/>
      <c r="O16" s="196">
        <f>'Water-Meter'!J18</f>
        <v>0</v>
      </c>
      <c r="P16" s="702">
        <f>'Water-Meter'!J18</f>
        <v>0</v>
      </c>
      <c r="Q16" s="740">
        <f t="shared" si="8"/>
        <v>0</v>
      </c>
      <c r="R16" s="746">
        <f t="shared" si="4"/>
        <v>0</v>
      </c>
      <c r="S16" s="747">
        <f>Gen!T23</f>
        <v>0</v>
      </c>
      <c r="T16" s="735">
        <f t="shared" si="9"/>
        <v>44087</v>
      </c>
      <c r="U16" s="698"/>
      <c r="V16" s="703">
        <f t="shared" si="5"/>
        <v>0</v>
      </c>
      <c r="W16" s="700"/>
      <c r="X16" s="736">
        <f t="shared" si="0"/>
        <v>0</v>
      </c>
      <c r="Y16" s="730">
        <f t="shared" si="10"/>
        <v>44087</v>
      </c>
      <c r="Z16" s="698"/>
      <c r="AA16" s="698"/>
      <c r="AB16" s="728">
        <f>'Water-Meter'!P18</f>
        <v>0</v>
      </c>
      <c r="AC16" s="729">
        <f t="shared" si="11"/>
        <v>0</v>
      </c>
    </row>
    <row r="17" spans="1:29" ht="19.5" thickBot="1">
      <c r="A17" s="712">
        <f>Gen!C24</f>
        <v>0</v>
      </c>
      <c r="B17" s="719">
        <f>Gen!B24</f>
        <v>44088</v>
      </c>
      <c r="C17" s="698"/>
      <c r="D17" s="703">
        <f t="shared" si="1"/>
        <v>0</v>
      </c>
      <c r="E17" s="699"/>
      <c r="F17" s="703">
        <f>SUM(E17-D17)*120</f>
        <v>0</v>
      </c>
      <c r="G17" s="698"/>
      <c r="H17" s="720">
        <f t="shared" si="6"/>
        <v>44088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44088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0</v>
      </c>
      <c r="R17" s="746">
        <f t="shared" si="4"/>
        <v>0</v>
      </c>
      <c r="S17" s="747">
        <f>Gen!T24</f>
        <v>0</v>
      </c>
      <c r="T17" s="735">
        <f t="shared" si="9"/>
        <v>44088</v>
      </c>
      <c r="U17" s="698"/>
      <c r="V17" s="703">
        <f t="shared" si="5"/>
        <v>0</v>
      </c>
      <c r="W17" s="700"/>
      <c r="X17" s="736">
        <f t="shared" si="0"/>
        <v>0</v>
      </c>
      <c r="Y17" s="730">
        <f t="shared" si="10"/>
        <v>44088</v>
      </c>
      <c r="Z17" s="698"/>
      <c r="AA17" s="698"/>
      <c r="AB17" s="728">
        <f>'Water-Meter'!P19</f>
        <v>0</v>
      </c>
      <c r="AC17" s="729">
        <f t="shared" si="11"/>
        <v>0</v>
      </c>
    </row>
    <row r="18" spans="1:29" ht="19.5" thickBot="1">
      <c r="A18" s="712">
        <f>Gen!C25</f>
        <v>0</v>
      </c>
      <c r="B18" s="719">
        <f>Gen!B25</f>
        <v>44089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44089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44089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44089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44089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44090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44090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44090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44090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44090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44091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44091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44091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44091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44091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44092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44092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44092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44092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44092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44093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44093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44093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44093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44093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44094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44094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44094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44094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44094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44095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44095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44095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44096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44096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44096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44096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44096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44097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44097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44097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44097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44097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44098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44098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44098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44098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44098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44099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44099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44099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44099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44099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44100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44100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44100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44100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44100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44101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44101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44101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44101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44101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44102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44102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44102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44102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44102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44103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44103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44103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44103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44103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44104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44104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44104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44104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44104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0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0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0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0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0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587.99999999995634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7" sqref="E17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8" t="s">
        <v>316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Gen'!Z6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43590.620000000017</v>
      </c>
      <c r="K5" s="347">
        <f>'Water-Meter'!E6</f>
        <v>56</v>
      </c>
      <c r="L5" s="526">
        <f>'Lpg (2)'!G10</f>
        <v>78.980000000051234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Gen'!Z7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42629.980000000018</v>
      </c>
      <c r="K6" s="347">
        <f>'Water-Meter'!E7</f>
        <v>58</v>
      </c>
      <c r="L6" s="526">
        <f>'Lpg (2)'!G11</f>
        <v>76.031999999994881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Gen'!Z8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41727.410000000018</v>
      </c>
      <c r="K7" s="347">
        <f>'Water-Meter'!E8</f>
        <v>51</v>
      </c>
      <c r="L7" s="526">
        <f>'Lpg (2)'!G12</f>
        <v>58.607999999966708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Gen'!Z9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40627.110000000015</v>
      </c>
      <c r="K8" s="347">
        <f>'Water-Meter'!E9</f>
        <v>54</v>
      </c>
      <c r="L8" s="526">
        <f>'Lpg (2)'!G13</f>
        <v>66.263999999989764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Gen'!Z10</f>
        <v>24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27.01</v>
      </c>
      <c r="I9" s="86">
        <f t="shared" si="1"/>
        <v>1117.29</v>
      </c>
      <c r="J9" s="525">
        <f>Gen!D15</f>
        <v>39758.720000000016</v>
      </c>
      <c r="K9" s="347">
        <f>'Water-Meter'!E10</f>
        <v>50</v>
      </c>
      <c r="L9" s="526">
        <f>'Lpg (2)'!G14</f>
        <v>63.536000000010247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Gen'!Z11</f>
        <v>23</v>
      </c>
      <c r="C10" s="88">
        <f>Gen!C16</f>
        <v>9.0899999999999995E-2</v>
      </c>
      <c r="D10" s="512">
        <f t="shared" si="0"/>
        <v>7</v>
      </c>
      <c r="E10" s="75">
        <v>7</v>
      </c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38889.730000000018</v>
      </c>
      <c r="K10" s="347">
        <f>'Water-Meter'!E11</f>
        <v>52</v>
      </c>
      <c r="L10" s="526">
        <f>'Lpg (2)'!G15</f>
        <v>50.072000000020495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Gen'!Z12</f>
        <v>27</v>
      </c>
      <c r="C11" s="88">
        <f>Gen!C17</f>
        <v>2.5999999999999999E-2</v>
      </c>
      <c r="D11" s="512">
        <f t="shared" si="0"/>
        <v>3</v>
      </c>
      <c r="E11" s="75">
        <v>3</v>
      </c>
      <c r="F11" s="71">
        <f>Gen!U15</f>
        <v>2152</v>
      </c>
      <c r="G11" s="86">
        <f>Gen!T15</f>
        <v>841.98</v>
      </c>
      <c r="H11" s="86">
        <f>Gen!AK17</f>
        <v>258.14</v>
      </c>
      <c r="I11" s="86">
        <f t="shared" si="1"/>
        <v>1100.1199999999999</v>
      </c>
      <c r="J11" s="525">
        <f>Gen!D17</f>
        <v>37951.190000000017</v>
      </c>
      <c r="K11" s="347">
        <f>'Water-Meter'!E12</f>
        <v>58</v>
      </c>
      <c r="L11" s="526">
        <f>'Lpg (2)'!G16</f>
        <v>49.588000000017935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Gen'!Z13</f>
        <v>25</v>
      </c>
      <c r="C12" s="88">
        <f>Gen!C18</f>
        <v>3.9E-2</v>
      </c>
      <c r="D12" s="512">
        <f t="shared" si="0"/>
        <v>7</v>
      </c>
      <c r="E12" s="75">
        <v>7</v>
      </c>
      <c r="F12" s="71">
        <f>Gen!U16</f>
        <v>2052</v>
      </c>
      <c r="G12" s="86">
        <f>Gen!T16</f>
        <v>938.54</v>
      </c>
      <c r="H12" s="86">
        <f>Gen!AK18</f>
        <v>123.3</v>
      </c>
      <c r="I12" s="86">
        <f t="shared" si="1"/>
        <v>1061.8399999999999</v>
      </c>
      <c r="J12" s="525">
        <f>Gen!D18</f>
        <v>36782.780000000013</v>
      </c>
      <c r="K12" s="347">
        <f>'Water-Meter'!E13</f>
        <v>46</v>
      </c>
      <c r="L12" s="526">
        <f>'Lpg (2)'!G17</f>
        <v>62.567999999941101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Gen'!Z14</f>
        <v>-153841</v>
      </c>
      <c r="C13" s="88">
        <f>Gen!C19</f>
        <v>6.5000000000000002E-2</v>
      </c>
      <c r="D13" s="512">
        <f t="shared" si="0"/>
        <v>5</v>
      </c>
      <c r="E13" s="75">
        <v>5</v>
      </c>
      <c r="F13" s="71">
        <f>Gen!U17</f>
        <v>2010</v>
      </c>
      <c r="G13" s="86">
        <f>Gen!T17</f>
        <v>910.27</v>
      </c>
      <c r="H13" s="86">
        <f>Gen!AK19</f>
        <v>0</v>
      </c>
      <c r="I13" s="86">
        <f t="shared" si="1"/>
        <v>910.27</v>
      </c>
      <c r="J13" s="525">
        <f>Gen!D19</f>
        <v>35711.270000000011</v>
      </c>
      <c r="K13" s="347" t="str">
        <f>'Water-Meter'!E14</f>
        <v>0</v>
      </c>
      <c r="L13" s="526">
        <f>'Lpg (2)'!G18</f>
        <v>-317591.076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Gen'!Z15</f>
        <v>0</v>
      </c>
      <c r="C14" s="88">
        <f>Gen!C20</f>
        <v>0</v>
      </c>
      <c r="D14" s="512">
        <f t="shared" si="0"/>
        <v>0</v>
      </c>
      <c r="E14" s="75"/>
      <c r="F14" s="71">
        <f>Gen!U18</f>
        <v>2245</v>
      </c>
      <c r="G14" s="86">
        <f>Gen!T18</f>
        <v>948.21</v>
      </c>
      <c r="H14" s="86">
        <f>Gen!AK20</f>
        <v>0</v>
      </c>
      <c r="I14" s="86">
        <f t="shared" si="1"/>
        <v>948.21</v>
      </c>
      <c r="J14" s="525">
        <f>Gen!D20</f>
        <v>35711.270000000011</v>
      </c>
      <c r="K14" s="347">
        <f>'Water-Meter'!E15</f>
        <v>0</v>
      </c>
      <c r="L14" s="526">
        <f>'Lpg (2)'!G19</f>
        <v>0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Gen'!Z16</f>
        <v>0</v>
      </c>
      <c r="C15" s="88">
        <f>Gen!C21</f>
        <v>0</v>
      </c>
      <c r="D15" s="512">
        <f t="shared" si="0"/>
        <v>0</v>
      </c>
      <c r="E15" s="75"/>
      <c r="F15" s="71">
        <f>Gen!U19</f>
        <v>0</v>
      </c>
      <c r="G15" s="86">
        <f>Gen!T19</f>
        <v>0</v>
      </c>
      <c r="H15" s="86">
        <f>Gen!AK21</f>
        <v>0</v>
      </c>
      <c r="I15" s="86">
        <f t="shared" si="1"/>
        <v>0</v>
      </c>
      <c r="J15" s="525">
        <f>Gen!D21</f>
        <v>35711.270000000011</v>
      </c>
      <c r="K15" s="347">
        <f>'Water-Meter'!E16</f>
        <v>0</v>
      </c>
      <c r="L15" s="526">
        <f>'Lpg (2)'!G20</f>
        <v>0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Gen'!Z17</f>
        <v>0</v>
      </c>
      <c r="C16" s="88">
        <f>Gen!C22</f>
        <v>0</v>
      </c>
      <c r="D16" s="512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525">
        <f>Gen!D22</f>
        <v>35711.270000000011</v>
      </c>
      <c r="K16" s="347">
        <f>'Water-Meter'!E17</f>
        <v>0</v>
      </c>
      <c r="L16" s="526">
        <f>'Lpg (2)'!G21</f>
        <v>0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Gen'!Z18</f>
        <v>0</v>
      </c>
      <c r="C17" s="88">
        <f>Gen!C23</f>
        <v>0</v>
      </c>
      <c r="D17" s="51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5">
        <f>Gen!D23</f>
        <v>35711.270000000011</v>
      </c>
      <c r="K17" s="347">
        <f>'Water-Meter'!E18</f>
        <v>0</v>
      </c>
      <c r="L17" s="526">
        <f>'Lpg (2)'!G22</f>
        <v>0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Gen'!Z19</f>
        <v>0</v>
      </c>
      <c r="C18" s="88">
        <f>Gen!C24</f>
        <v>0</v>
      </c>
      <c r="D18" s="51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5">
        <f>Gen!D24</f>
        <v>35711.270000000011</v>
      </c>
      <c r="K18" s="347">
        <f>'Water-Meter'!E19</f>
        <v>0</v>
      </c>
      <c r="L18" s="526">
        <f>'Lpg (2)'!G23</f>
        <v>0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Gen'!Z20</f>
        <v>0</v>
      </c>
      <c r="C19" s="88">
        <f>Gen!C25</f>
        <v>0</v>
      </c>
      <c r="D19" s="51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5">
        <f>Gen!D25</f>
        <v>35711.270000000011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35711.270000000011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35711.270000000011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35711.270000000011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35711.270000000011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35711.270000000011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35711.270000000011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35711.270000000011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35711.270000000011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35711.270000000011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35711.270000000011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35711.270000000011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35711.270000000011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35711.270000000011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35711.270000000011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35711.270000000011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35711.270000000011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35711.270000000011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C17" sqref="C1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1">
        <f>A6</f>
        <v>44075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20"/>
    </row>
    <row r="2" spans="1:29" ht="12" customHeight="1" thickBo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3" t="s">
        <v>298</v>
      </c>
      <c r="L3" s="804"/>
      <c r="M3" s="805"/>
      <c r="N3" s="803" t="s">
        <v>299</v>
      </c>
      <c r="O3" s="804"/>
      <c r="P3" s="805"/>
      <c r="Q3" s="803" t="s">
        <v>300</v>
      </c>
      <c r="R3" s="804"/>
      <c r="S3" s="805"/>
      <c r="T3" s="803" t="s">
        <v>301</v>
      </c>
      <c r="U3" s="804"/>
      <c r="V3" s="805"/>
      <c r="W3" s="803" t="s">
        <v>302</v>
      </c>
      <c r="X3" s="804"/>
      <c r="Y3" s="805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>
        <v>34999</v>
      </c>
      <c r="M5" s="555"/>
      <c r="N5" s="360"/>
      <c r="O5" s="360">
        <v>30116</v>
      </c>
      <c r="P5" s="391"/>
      <c r="Q5" s="360"/>
      <c r="R5" s="360">
        <v>35490</v>
      </c>
      <c r="S5" s="391"/>
      <c r="T5" s="360"/>
      <c r="U5" s="360">
        <v>32209</v>
      </c>
      <c r="V5" s="391"/>
      <c r="W5" s="360"/>
      <c r="X5" s="360">
        <v>20830</v>
      </c>
      <c r="Y5" s="391"/>
      <c r="Z5" s="391"/>
      <c r="AA5" s="127">
        <v>150</v>
      </c>
      <c r="AB5" s="127">
        <v>74</v>
      </c>
      <c r="AC5" s="391"/>
    </row>
    <row r="6" spans="1:29" ht="20.100000000000001" customHeight="1">
      <c r="A6" s="308">
        <f>Gen!B11</f>
        <v>44075</v>
      </c>
      <c r="B6" s="392">
        <v>3.9E-2</v>
      </c>
      <c r="C6" s="360">
        <v>22190.42</v>
      </c>
      <c r="D6" s="360">
        <v>21400.2</v>
      </c>
      <c r="E6" s="360"/>
      <c r="F6" s="360"/>
      <c r="G6" s="360">
        <v>69.209999999999994</v>
      </c>
      <c r="H6" s="360"/>
      <c r="I6" s="360">
        <v>30924.400000000001</v>
      </c>
      <c r="J6" s="360">
        <v>20515.400000000001</v>
      </c>
      <c r="K6" s="359">
        <f>L5</f>
        <v>34999</v>
      </c>
      <c r="L6" s="360">
        <v>35011</v>
      </c>
      <c r="M6" s="359">
        <f>L6-K6</f>
        <v>12</v>
      </c>
      <c r="N6" s="361">
        <f>O5</f>
        <v>30116</v>
      </c>
      <c r="O6" s="360">
        <v>30116</v>
      </c>
      <c r="P6" s="359">
        <f>O6-N6</f>
        <v>0</v>
      </c>
      <c r="Q6" s="359">
        <f>R5</f>
        <v>35490</v>
      </c>
      <c r="R6" s="360">
        <v>35491</v>
      </c>
      <c r="S6" s="359">
        <f>R6-Q6</f>
        <v>1</v>
      </c>
      <c r="T6" s="359">
        <f>U5</f>
        <v>32209</v>
      </c>
      <c r="U6" s="360">
        <v>32220</v>
      </c>
      <c r="V6" s="359">
        <f>U6-T6</f>
        <v>11</v>
      </c>
      <c r="W6" s="361">
        <f>X5</f>
        <v>20830</v>
      </c>
      <c r="X6" s="360">
        <v>20831</v>
      </c>
      <c r="Y6" s="359">
        <f>X6-W6</f>
        <v>1</v>
      </c>
      <c r="Z6" s="362">
        <f>Y6+V6+S6+P6+M6</f>
        <v>25</v>
      </c>
      <c r="AA6" s="127">
        <v>160</v>
      </c>
      <c r="AB6" s="127">
        <v>100</v>
      </c>
      <c r="AC6" s="312">
        <f>Gen!T11</f>
        <v>891.43</v>
      </c>
    </row>
    <row r="7" spans="1:29" ht="20.100000000000001" customHeight="1">
      <c r="A7" s="308">
        <f>Gen!B12</f>
        <v>44076</v>
      </c>
      <c r="B7" s="392">
        <v>3.9E-2</v>
      </c>
      <c r="C7" s="360">
        <v>21229.78</v>
      </c>
      <c r="D7" s="360">
        <v>21400.2</v>
      </c>
      <c r="E7" s="360"/>
      <c r="F7" s="360"/>
      <c r="G7" s="360">
        <v>80.650000000000006</v>
      </c>
      <c r="H7" s="360"/>
      <c r="I7" s="360">
        <v>30927.7</v>
      </c>
      <c r="J7" s="360">
        <v>20518.099999999999</v>
      </c>
      <c r="K7" s="359">
        <f t="shared" ref="K7:K37" si="0">L6</f>
        <v>35011</v>
      </c>
      <c r="L7" s="360">
        <v>35012</v>
      </c>
      <c r="M7" s="359">
        <f t="shared" ref="M7:M37" si="1">L7-K7</f>
        <v>1</v>
      </c>
      <c r="N7" s="361">
        <f t="shared" ref="N7:N37" si="2">O6</f>
        <v>30116</v>
      </c>
      <c r="O7" s="360">
        <v>30127</v>
      </c>
      <c r="P7" s="359">
        <f t="shared" ref="P7:P37" si="3">O7-N7</f>
        <v>11</v>
      </c>
      <c r="Q7" s="359">
        <f t="shared" ref="Q7:Q37" si="4">R6</f>
        <v>35491</v>
      </c>
      <c r="R7" s="360">
        <v>35503</v>
      </c>
      <c r="S7" s="359">
        <f t="shared" ref="S7:S37" si="5">R7-Q7</f>
        <v>12</v>
      </c>
      <c r="T7" s="359">
        <f t="shared" ref="T7:T37" si="6">U6</f>
        <v>32220</v>
      </c>
      <c r="U7" s="360">
        <v>32220</v>
      </c>
      <c r="V7" s="359">
        <f t="shared" ref="V7:V37" si="7">U7-T7</f>
        <v>0</v>
      </c>
      <c r="W7" s="361">
        <f t="shared" ref="W7:W37" si="8">X6</f>
        <v>20831</v>
      </c>
      <c r="X7" s="360">
        <v>20831</v>
      </c>
      <c r="Y7" s="359">
        <f t="shared" ref="Y7:Y37" si="9">X7-W7</f>
        <v>0</v>
      </c>
      <c r="Z7" s="362">
        <f t="shared" ref="Z7:Z25" si="10">Y7+V7+S7+P7+M7</f>
        <v>24</v>
      </c>
      <c r="AA7" s="127">
        <v>200</v>
      </c>
      <c r="AB7" s="127">
        <v>98</v>
      </c>
      <c r="AC7" s="312">
        <f>Gen!T12</f>
        <v>821.92000000000007</v>
      </c>
    </row>
    <row r="8" spans="1:29" ht="20.100000000000001" customHeight="1">
      <c r="A8" s="308">
        <f>Gen!B13</f>
        <v>44077</v>
      </c>
      <c r="B8" s="392">
        <v>3.9E-2</v>
      </c>
      <c r="C8" s="360">
        <v>20407.86</v>
      </c>
      <c r="D8" s="360">
        <v>21400.2</v>
      </c>
      <c r="E8" s="360"/>
      <c r="F8" s="360"/>
      <c r="G8" s="360">
        <v>10.02</v>
      </c>
      <c r="H8" s="360"/>
      <c r="I8" s="360">
        <v>30931.1</v>
      </c>
      <c r="J8" s="360">
        <v>20520.900000000001</v>
      </c>
      <c r="K8" s="359">
        <f t="shared" si="0"/>
        <v>35012</v>
      </c>
      <c r="L8" s="360">
        <v>35024</v>
      </c>
      <c r="M8" s="359">
        <f t="shared" si="1"/>
        <v>12</v>
      </c>
      <c r="N8" s="361">
        <f t="shared" si="2"/>
        <v>30127</v>
      </c>
      <c r="O8" s="360">
        <v>30127</v>
      </c>
      <c r="P8" s="359">
        <f t="shared" si="3"/>
        <v>0</v>
      </c>
      <c r="Q8" s="359">
        <f t="shared" si="4"/>
        <v>35503</v>
      </c>
      <c r="R8" s="360">
        <v>35504</v>
      </c>
      <c r="S8" s="359">
        <f t="shared" si="5"/>
        <v>1</v>
      </c>
      <c r="T8" s="359">
        <f t="shared" si="6"/>
        <v>32220</v>
      </c>
      <c r="U8" s="360">
        <v>32220</v>
      </c>
      <c r="V8" s="359">
        <f t="shared" si="7"/>
        <v>0</v>
      </c>
      <c r="W8" s="361">
        <f t="shared" si="8"/>
        <v>20831</v>
      </c>
      <c r="X8" s="360">
        <v>20842</v>
      </c>
      <c r="Y8" s="359">
        <f t="shared" si="9"/>
        <v>11</v>
      </c>
      <c r="Z8" s="362">
        <f t="shared" si="10"/>
        <v>24</v>
      </c>
      <c r="AA8" s="127">
        <v>220</v>
      </c>
      <c r="AB8" s="127">
        <v>120</v>
      </c>
      <c r="AC8" s="312">
        <f>Gen!T13</f>
        <v>1090.28</v>
      </c>
    </row>
    <row r="9" spans="1:29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21400.2</v>
      </c>
      <c r="E9" s="360"/>
      <c r="F9" s="360"/>
      <c r="G9" s="360"/>
      <c r="H9" s="360"/>
      <c r="I9" s="360">
        <v>30934.2</v>
      </c>
      <c r="J9" s="360">
        <v>20523.900000000001</v>
      </c>
      <c r="K9" s="359">
        <f t="shared" si="0"/>
        <v>35024</v>
      </c>
      <c r="L9" s="360">
        <v>35024</v>
      </c>
      <c r="M9" s="359">
        <f t="shared" si="1"/>
        <v>0</v>
      </c>
      <c r="N9" s="361">
        <f t="shared" si="2"/>
        <v>30127</v>
      </c>
      <c r="O9" s="360">
        <v>30127</v>
      </c>
      <c r="P9" s="359">
        <f t="shared" si="3"/>
        <v>0</v>
      </c>
      <c r="Q9" s="359">
        <f t="shared" si="4"/>
        <v>35504</v>
      </c>
      <c r="R9" s="360">
        <v>35504</v>
      </c>
      <c r="S9" s="359">
        <f t="shared" si="5"/>
        <v>0</v>
      </c>
      <c r="T9" s="359">
        <f t="shared" si="6"/>
        <v>32220</v>
      </c>
      <c r="U9" s="360">
        <v>32233</v>
      </c>
      <c r="V9" s="359">
        <f t="shared" si="7"/>
        <v>13</v>
      </c>
      <c r="W9" s="361">
        <f t="shared" si="8"/>
        <v>20842</v>
      </c>
      <c r="X9" s="360">
        <v>20854</v>
      </c>
      <c r="Y9" s="359">
        <f t="shared" si="9"/>
        <v>12</v>
      </c>
      <c r="Z9" s="362">
        <f t="shared" si="10"/>
        <v>25</v>
      </c>
      <c r="AA9" s="127">
        <v>180</v>
      </c>
      <c r="AB9" s="127">
        <v>100</v>
      </c>
      <c r="AC9" s="312">
        <f>Gen!T14</f>
        <v>868.39</v>
      </c>
    </row>
    <row r="10" spans="1:29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21400.2</v>
      </c>
      <c r="E10" s="360"/>
      <c r="F10" s="360"/>
      <c r="G10" s="360">
        <v>27.01</v>
      </c>
      <c r="H10" s="360"/>
      <c r="I10" s="360">
        <v>30937.7</v>
      </c>
      <c r="J10" s="360">
        <v>20527.2</v>
      </c>
      <c r="K10" s="359">
        <f t="shared" si="0"/>
        <v>35024</v>
      </c>
      <c r="L10" s="360">
        <v>35036</v>
      </c>
      <c r="M10" s="359">
        <f t="shared" si="1"/>
        <v>12</v>
      </c>
      <c r="N10" s="361">
        <f t="shared" si="2"/>
        <v>30127</v>
      </c>
      <c r="O10" s="360">
        <v>30139</v>
      </c>
      <c r="P10" s="359">
        <f t="shared" si="3"/>
        <v>12</v>
      </c>
      <c r="Q10" s="359">
        <f t="shared" si="4"/>
        <v>35504</v>
      </c>
      <c r="R10" s="360">
        <v>35504</v>
      </c>
      <c r="S10" s="359">
        <f t="shared" si="5"/>
        <v>0</v>
      </c>
      <c r="T10" s="359">
        <f t="shared" si="6"/>
        <v>32233</v>
      </c>
      <c r="U10" s="360">
        <v>32233</v>
      </c>
      <c r="V10" s="359">
        <f t="shared" si="7"/>
        <v>0</v>
      </c>
      <c r="W10" s="361">
        <f t="shared" si="8"/>
        <v>20854</v>
      </c>
      <c r="X10" s="360">
        <v>20854</v>
      </c>
      <c r="Y10" s="359">
        <f t="shared" si="9"/>
        <v>0</v>
      </c>
      <c r="Z10" s="362">
        <f t="shared" si="10"/>
        <v>24</v>
      </c>
      <c r="AA10" s="127">
        <v>130</v>
      </c>
      <c r="AB10" s="127">
        <v>75</v>
      </c>
      <c r="AC10" s="312">
        <f>Gen!T15</f>
        <v>841.98</v>
      </c>
    </row>
    <row r="11" spans="1:29" ht="20.100000000000001" customHeight="1">
      <c r="A11" s="308">
        <f>Gen!B16</f>
        <v>44080</v>
      </c>
      <c r="B11" s="392">
        <v>9.0899999999999995E-2</v>
      </c>
      <c r="C11" s="360">
        <v>17489.53</v>
      </c>
      <c r="D11" s="360">
        <v>21400.2</v>
      </c>
      <c r="E11" s="360"/>
      <c r="F11" s="360"/>
      <c r="G11" s="360"/>
      <c r="H11" s="360"/>
      <c r="I11" s="360">
        <v>30944.1</v>
      </c>
      <c r="J11" s="360">
        <v>20533.099999999999</v>
      </c>
      <c r="K11" s="359">
        <f t="shared" si="0"/>
        <v>35036</v>
      </c>
      <c r="L11" s="360">
        <v>35036</v>
      </c>
      <c r="M11" s="359">
        <f t="shared" si="1"/>
        <v>0</v>
      </c>
      <c r="N11" s="361">
        <f t="shared" si="2"/>
        <v>30139</v>
      </c>
      <c r="O11" s="360">
        <v>30139</v>
      </c>
      <c r="P11" s="359">
        <f t="shared" si="3"/>
        <v>0</v>
      </c>
      <c r="Q11" s="359">
        <f t="shared" si="4"/>
        <v>35504</v>
      </c>
      <c r="R11" s="360">
        <v>35515</v>
      </c>
      <c r="S11" s="359">
        <f t="shared" si="5"/>
        <v>11</v>
      </c>
      <c r="T11" s="359">
        <f t="shared" si="6"/>
        <v>32233</v>
      </c>
      <c r="U11" s="360">
        <v>32245</v>
      </c>
      <c r="V11" s="359">
        <f t="shared" si="7"/>
        <v>12</v>
      </c>
      <c r="W11" s="361">
        <f t="shared" si="8"/>
        <v>20854</v>
      </c>
      <c r="X11" s="360">
        <v>20854</v>
      </c>
      <c r="Y11" s="359">
        <f t="shared" si="9"/>
        <v>0</v>
      </c>
      <c r="Z11" s="362">
        <f t="shared" si="10"/>
        <v>23</v>
      </c>
      <c r="AA11" s="127">
        <v>180</v>
      </c>
      <c r="AB11" s="127">
        <v>99</v>
      </c>
      <c r="AC11" s="312">
        <f>Gen!T16</f>
        <v>938.54</v>
      </c>
    </row>
    <row r="12" spans="1:29" ht="20.100000000000001" customHeight="1">
      <c r="A12" s="308">
        <f>Gen!B17</f>
        <v>44081</v>
      </c>
      <c r="B12" s="392">
        <v>2.5999999999999999E-2</v>
      </c>
      <c r="C12" s="360">
        <v>16550.990000000002</v>
      </c>
      <c r="D12" s="360">
        <v>21400.2</v>
      </c>
      <c r="E12" s="360"/>
      <c r="F12" s="360"/>
      <c r="G12" s="360">
        <v>258.14</v>
      </c>
      <c r="H12" s="360"/>
      <c r="I12" s="360">
        <v>30947.1</v>
      </c>
      <c r="J12" s="360">
        <v>20536.099999999999</v>
      </c>
      <c r="K12" s="359">
        <f t="shared" si="0"/>
        <v>35036</v>
      </c>
      <c r="L12" s="360">
        <v>35049</v>
      </c>
      <c r="M12" s="359">
        <f t="shared" si="1"/>
        <v>13</v>
      </c>
      <c r="N12" s="361">
        <f t="shared" si="2"/>
        <v>30139</v>
      </c>
      <c r="O12" s="360">
        <v>30140</v>
      </c>
      <c r="P12" s="359">
        <f t="shared" si="3"/>
        <v>1</v>
      </c>
      <c r="Q12" s="359">
        <f t="shared" si="4"/>
        <v>35515</v>
      </c>
      <c r="R12" s="360">
        <v>35515</v>
      </c>
      <c r="S12" s="359">
        <f t="shared" si="5"/>
        <v>0</v>
      </c>
      <c r="T12" s="359">
        <f t="shared" si="6"/>
        <v>32245</v>
      </c>
      <c r="U12" s="360">
        <v>32246</v>
      </c>
      <c r="V12" s="359">
        <f t="shared" si="7"/>
        <v>1</v>
      </c>
      <c r="W12" s="361">
        <f t="shared" si="8"/>
        <v>20854</v>
      </c>
      <c r="X12" s="360">
        <v>20866</v>
      </c>
      <c r="Y12" s="359">
        <f t="shared" si="9"/>
        <v>12</v>
      </c>
      <c r="Z12" s="362">
        <f t="shared" si="10"/>
        <v>27</v>
      </c>
      <c r="AA12" s="127">
        <v>200</v>
      </c>
      <c r="AB12" s="127">
        <v>110</v>
      </c>
      <c r="AC12" s="312">
        <f>Gen!T17</f>
        <v>910.27</v>
      </c>
    </row>
    <row r="13" spans="1:29" ht="20.100000000000001" customHeight="1">
      <c r="A13" s="308">
        <f>Gen!B18</f>
        <v>44082</v>
      </c>
      <c r="B13" s="392">
        <v>3.9E-2</v>
      </c>
      <c r="C13" s="360">
        <v>15382.58</v>
      </c>
      <c r="D13" s="360">
        <v>21400.2</v>
      </c>
      <c r="E13" s="360"/>
      <c r="F13" s="360"/>
      <c r="G13" s="360">
        <v>123.3</v>
      </c>
      <c r="H13" s="360"/>
      <c r="I13" s="360">
        <v>30950.3</v>
      </c>
      <c r="J13" s="360">
        <v>20539.099999999999</v>
      </c>
      <c r="K13" s="359">
        <f t="shared" si="0"/>
        <v>35049</v>
      </c>
      <c r="L13" s="360">
        <v>35049</v>
      </c>
      <c r="M13" s="359">
        <f t="shared" si="1"/>
        <v>0</v>
      </c>
      <c r="N13" s="361">
        <f t="shared" si="2"/>
        <v>30140</v>
      </c>
      <c r="O13" s="360">
        <v>30152</v>
      </c>
      <c r="P13" s="359">
        <f t="shared" si="3"/>
        <v>12</v>
      </c>
      <c r="Q13" s="359">
        <f t="shared" si="4"/>
        <v>35515</v>
      </c>
      <c r="R13" s="360">
        <v>35528</v>
      </c>
      <c r="S13" s="359">
        <f t="shared" si="5"/>
        <v>13</v>
      </c>
      <c r="T13" s="359">
        <f t="shared" si="6"/>
        <v>32246</v>
      </c>
      <c r="U13" s="360">
        <v>32246</v>
      </c>
      <c r="V13" s="359">
        <f t="shared" si="7"/>
        <v>0</v>
      </c>
      <c r="W13" s="361">
        <f t="shared" si="8"/>
        <v>20866</v>
      </c>
      <c r="X13" s="360">
        <v>20866</v>
      </c>
      <c r="Y13" s="359">
        <f t="shared" si="9"/>
        <v>0</v>
      </c>
      <c r="Z13" s="362">
        <f t="shared" si="10"/>
        <v>25</v>
      </c>
      <c r="AA13" s="127">
        <v>200</v>
      </c>
      <c r="AB13" s="127">
        <v>100</v>
      </c>
      <c r="AC13" s="312">
        <f>Gen!T18</f>
        <v>948.21</v>
      </c>
    </row>
    <row r="14" spans="1:29" ht="20.100000000000001" customHeight="1">
      <c r="A14" s="308">
        <f>Gen!B19</f>
        <v>44083</v>
      </c>
      <c r="B14" s="392">
        <v>6.5000000000000002E-2</v>
      </c>
      <c r="C14" s="360">
        <v>14311.07</v>
      </c>
      <c r="D14" s="360">
        <v>21400.2</v>
      </c>
      <c r="E14" s="360"/>
      <c r="F14" s="360"/>
      <c r="G14" s="360"/>
      <c r="H14" s="360"/>
      <c r="I14" s="360"/>
      <c r="J14" s="360"/>
      <c r="K14" s="359">
        <f t="shared" si="0"/>
        <v>35049</v>
      </c>
      <c r="L14" s="360"/>
      <c r="M14" s="359">
        <f t="shared" si="1"/>
        <v>-35049</v>
      </c>
      <c r="N14" s="361">
        <f t="shared" si="2"/>
        <v>30152</v>
      </c>
      <c r="O14" s="360"/>
      <c r="P14" s="359">
        <f t="shared" si="3"/>
        <v>-30152</v>
      </c>
      <c r="Q14" s="359">
        <f t="shared" si="4"/>
        <v>35528</v>
      </c>
      <c r="R14" s="360"/>
      <c r="S14" s="359">
        <f t="shared" si="5"/>
        <v>-35528</v>
      </c>
      <c r="T14" s="359">
        <f t="shared" si="6"/>
        <v>32246</v>
      </c>
      <c r="U14" s="360"/>
      <c r="V14" s="359">
        <f t="shared" si="7"/>
        <v>-32246</v>
      </c>
      <c r="W14" s="361">
        <f t="shared" si="8"/>
        <v>20866</v>
      </c>
      <c r="X14" s="360"/>
      <c r="Y14" s="359">
        <f t="shared" si="9"/>
        <v>-20866</v>
      </c>
      <c r="Z14" s="362">
        <f t="shared" si="10"/>
        <v>-153841</v>
      </c>
      <c r="AA14" s="127"/>
      <c r="AB14" s="127"/>
      <c r="AC14" s="312">
        <f>Gen!T19</f>
        <v>0</v>
      </c>
    </row>
    <row r="15" spans="1:29" ht="20.100000000000001" customHeight="1">
      <c r="A15" s="308">
        <f>Gen!B20</f>
        <v>44084</v>
      </c>
      <c r="B15" s="392"/>
      <c r="C15" s="360"/>
      <c r="D15" s="360"/>
      <c r="E15" s="360"/>
      <c r="F15" s="360"/>
      <c r="G15" s="360"/>
      <c r="H15" s="360"/>
      <c r="I15" s="360"/>
      <c r="J15" s="360"/>
      <c r="K15" s="359">
        <f t="shared" si="0"/>
        <v>0</v>
      </c>
      <c r="L15" s="360"/>
      <c r="M15" s="359">
        <f t="shared" si="1"/>
        <v>0</v>
      </c>
      <c r="N15" s="361">
        <f t="shared" si="2"/>
        <v>0</v>
      </c>
      <c r="O15" s="360"/>
      <c r="P15" s="359">
        <f t="shared" si="3"/>
        <v>0</v>
      </c>
      <c r="Q15" s="359">
        <f t="shared" si="4"/>
        <v>0</v>
      </c>
      <c r="R15" s="360"/>
      <c r="S15" s="359">
        <f t="shared" si="5"/>
        <v>0</v>
      </c>
      <c r="T15" s="359">
        <f t="shared" si="6"/>
        <v>0</v>
      </c>
      <c r="U15" s="360"/>
      <c r="V15" s="359">
        <f t="shared" si="7"/>
        <v>0</v>
      </c>
      <c r="W15" s="361">
        <f t="shared" si="8"/>
        <v>0</v>
      </c>
      <c r="X15" s="360"/>
      <c r="Y15" s="359">
        <f t="shared" si="9"/>
        <v>0</v>
      </c>
      <c r="Z15" s="362">
        <f t="shared" si="10"/>
        <v>0</v>
      </c>
      <c r="AA15" s="127"/>
      <c r="AB15" s="127"/>
      <c r="AC15" s="312">
        <f>Gen!T20</f>
        <v>0</v>
      </c>
    </row>
    <row r="16" spans="1:29" ht="20.100000000000001" customHeight="1">
      <c r="A16" s="308">
        <f>Gen!B21</f>
        <v>44085</v>
      </c>
      <c r="B16" s="392"/>
      <c r="C16" s="360"/>
      <c r="D16" s="360"/>
      <c r="E16" s="360"/>
      <c r="F16" s="360"/>
      <c r="G16" s="360"/>
      <c r="H16" s="360"/>
      <c r="I16" s="360"/>
      <c r="J16" s="360"/>
      <c r="K16" s="359">
        <f t="shared" si="0"/>
        <v>0</v>
      </c>
      <c r="L16" s="360"/>
      <c r="M16" s="359">
        <f>L16-K16</f>
        <v>0</v>
      </c>
      <c r="N16" s="361">
        <f t="shared" si="2"/>
        <v>0</v>
      </c>
      <c r="O16" s="360"/>
      <c r="P16" s="359">
        <f t="shared" si="3"/>
        <v>0</v>
      </c>
      <c r="Q16" s="359">
        <f t="shared" si="4"/>
        <v>0</v>
      </c>
      <c r="R16" s="360"/>
      <c r="S16" s="359">
        <f t="shared" si="5"/>
        <v>0</v>
      </c>
      <c r="T16" s="359">
        <f t="shared" si="6"/>
        <v>0</v>
      </c>
      <c r="U16" s="360"/>
      <c r="V16" s="359">
        <f t="shared" si="7"/>
        <v>0</v>
      </c>
      <c r="W16" s="361">
        <f t="shared" si="8"/>
        <v>0</v>
      </c>
      <c r="X16" s="360"/>
      <c r="Y16" s="359">
        <f t="shared" si="9"/>
        <v>0</v>
      </c>
      <c r="Z16" s="362">
        <f t="shared" si="10"/>
        <v>0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44086</v>
      </c>
      <c r="B17" s="392"/>
      <c r="C17" s="360"/>
      <c r="D17" s="360"/>
      <c r="E17" s="585"/>
      <c r="F17" s="360"/>
      <c r="G17" s="360"/>
      <c r="H17" s="360"/>
      <c r="I17" s="360"/>
      <c r="J17" s="360"/>
      <c r="K17" s="359">
        <f>L16</f>
        <v>0</v>
      </c>
      <c r="L17" s="360"/>
      <c r="M17" s="359">
        <f>L17-K17</f>
        <v>0</v>
      </c>
      <c r="N17" s="361">
        <f t="shared" si="2"/>
        <v>0</v>
      </c>
      <c r="O17" s="360"/>
      <c r="P17" s="359">
        <f t="shared" si="3"/>
        <v>0</v>
      </c>
      <c r="Q17" s="359">
        <f t="shared" si="4"/>
        <v>0</v>
      </c>
      <c r="R17" s="360"/>
      <c r="S17" s="359">
        <f t="shared" si="5"/>
        <v>0</v>
      </c>
      <c r="T17" s="359">
        <f t="shared" si="6"/>
        <v>0</v>
      </c>
      <c r="U17" s="360"/>
      <c r="V17" s="359">
        <f t="shared" si="7"/>
        <v>0</v>
      </c>
      <c r="W17" s="361">
        <f t="shared" si="8"/>
        <v>0</v>
      </c>
      <c r="X17" s="360"/>
      <c r="Y17" s="359">
        <f t="shared" si="9"/>
        <v>0</v>
      </c>
      <c r="Z17" s="362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44087</v>
      </c>
      <c r="B18" s="392"/>
      <c r="C18" s="360"/>
      <c r="D18" s="360"/>
      <c r="E18" s="360"/>
      <c r="F18" s="360"/>
      <c r="G18" s="360"/>
      <c r="H18" s="360"/>
      <c r="I18" s="360"/>
      <c r="J18" s="360"/>
      <c r="K18" s="359">
        <f>L17</f>
        <v>0</v>
      </c>
      <c r="L18" s="360"/>
      <c r="M18" s="359">
        <f t="shared" si="1"/>
        <v>0</v>
      </c>
      <c r="N18" s="361">
        <f t="shared" si="2"/>
        <v>0</v>
      </c>
      <c r="O18" s="360"/>
      <c r="P18" s="359">
        <f t="shared" si="3"/>
        <v>0</v>
      </c>
      <c r="Q18" s="359">
        <f t="shared" si="4"/>
        <v>0</v>
      </c>
      <c r="R18" s="360"/>
      <c r="S18" s="359">
        <f t="shared" si="5"/>
        <v>0</v>
      </c>
      <c r="T18" s="359">
        <f t="shared" si="6"/>
        <v>0</v>
      </c>
      <c r="U18" s="360"/>
      <c r="V18" s="359">
        <f t="shared" si="7"/>
        <v>0</v>
      </c>
      <c r="W18" s="361">
        <f t="shared" si="8"/>
        <v>0</v>
      </c>
      <c r="X18" s="360"/>
      <c r="Y18" s="359">
        <f t="shared" si="9"/>
        <v>0</v>
      </c>
      <c r="Z18" s="362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44088</v>
      </c>
      <c r="B19" s="392"/>
      <c r="C19" s="360"/>
      <c r="D19" s="360"/>
      <c r="E19" s="360"/>
      <c r="F19" s="360"/>
      <c r="G19" s="360"/>
      <c r="H19" s="360"/>
      <c r="I19" s="360"/>
      <c r="J19" s="360"/>
      <c r="K19" s="359">
        <f t="shared" si="0"/>
        <v>0</v>
      </c>
      <c r="L19" s="360"/>
      <c r="M19" s="359">
        <f t="shared" si="1"/>
        <v>0</v>
      </c>
      <c r="N19" s="361">
        <f t="shared" si="2"/>
        <v>0</v>
      </c>
      <c r="O19" s="360"/>
      <c r="P19" s="359">
        <f t="shared" si="3"/>
        <v>0</v>
      </c>
      <c r="Q19" s="359">
        <f t="shared" si="4"/>
        <v>0</v>
      </c>
      <c r="R19" s="360"/>
      <c r="S19" s="359">
        <f t="shared" si="5"/>
        <v>0</v>
      </c>
      <c r="T19" s="359">
        <f t="shared" si="6"/>
        <v>0</v>
      </c>
      <c r="U19" s="360"/>
      <c r="V19" s="359">
        <f t="shared" si="7"/>
        <v>0</v>
      </c>
      <c r="W19" s="361">
        <f t="shared" si="8"/>
        <v>0</v>
      </c>
      <c r="X19" s="360"/>
      <c r="Y19" s="359">
        <f t="shared" si="9"/>
        <v>0</v>
      </c>
      <c r="Z19" s="362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44089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0</v>
      </c>
      <c r="L20" s="360"/>
      <c r="M20" s="359">
        <f t="shared" si="1"/>
        <v>0</v>
      </c>
      <c r="N20" s="361">
        <f t="shared" si="2"/>
        <v>0</v>
      </c>
      <c r="O20" s="360"/>
      <c r="P20" s="359">
        <f t="shared" si="3"/>
        <v>0</v>
      </c>
      <c r="Q20" s="359">
        <f t="shared" si="4"/>
        <v>0</v>
      </c>
      <c r="R20" s="360"/>
      <c r="S20" s="359">
        <f t="shared" si="5"/>
        <v>0</v>
      </c>
      <c r="T20" s="359">
        <f t="shared" si="6"/>
        <v>0</v>
      </c>
      <c r="U20" s="360"/>
      <c r="V20" s="359">
        <f t="shared" si="7"/>
        <v>0</v>
      </c>
      <c r="W20" s="361">
        <f t="shared" si="8"/>
        <v>0</v>
      </c>
      <c r="X20" s="360"/>
      <c r="Y20" s="359">
        <f t="shared" si="9"/>
        <v>0</v>
      </c>
      <c r="Z20" s="362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44090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44091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44092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44093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44094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44095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44096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44097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44098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44099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44100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44101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44102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44103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44104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4" zoomScale="110" zoomScaleNormal="110" workbookViewId="0">
      <pane xSplit="2" topLeftCell="C1" activePane="topRight" state="frozen"/>
      <selection pane="topRight" activeCell="N25" sqref="N25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12"/>
      <c r="C1" s="812"/>
    </row>
    <row r="2" spans="2:47" ht="26.25">
      <c r="B2" s="812"/>
      <c r="C2" s="812"/>
      <c r="E2" s="813" t="s">
        <v>320</v>
      </c>
      <c r="F2" s="813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814"/>
      <c r="S2" s="814"/>
      <c r="T2" s="814"/>
      <c r="U2" s="814"/>
      <c r="V2" s="814"/>
      <c r="W2" s="814"/>
      <c r="X2" s="814"/>
      <c r="Y2" s="814"/>
      <c r="Z2" s="814"/>
      <c r="AA2" s="814"/>
      <c r="AB2" s="814"/>
      <c r="AC2" s="814"/>
      <c r="AD2" s="814"/>
      <c r="AE2" s="814"/>
      <c r="AF2" s="814"/>
      <c r="AG2" s="814"/>
      <c r="AH2" s="814"/>
      <c r="AI2" s="814"/>
      <c r="AJ2" s="814"/>
      <c r="AK2" s="814"/>
      <c r="AL2" s="814"/>
      <c r="AM2" s="814"/>
      <c r="AN2" s="814"/>
      <c r="AO2" s="814"/>
      <c r="AP2" s="814"/>
      <c r="AQ2" s="814"/>
      <c r="AR2" s="814"/>
      <c r="AS2" s="814"/>
      <c r="AT2" s="814"/>
      <c r="AU2" s="814"/>
    </row>
    <row r="3" spans="2:47" ht="12.75" customHeight="1">
      <c r="B3" s="812"/>
      <c r="C3" s="812"/>
      <c r="I3" s="830">
        <f>'Daily report Gen'!A6</f>
        <v>44075</v>
      </c>
      <c r="J3" s="830"/>
      <c r="K3" s="830"/>
      <c r="L3" s="224"/>
      <c r="R3" s="224"/>
    </row>
    <row r="4" spans="2:47">
      <c r="B4" s="812"/>
      <c r="C4" s="812"/>
      <c r="I4" s="830"/>
      <c r="J4" s="830"/>
      <c r="K4" s="830"/>
      <c r="L4" s="224"/>
      <c r="R4" s="224"/>
    </row>
    <row r="5" spans="2:47" ht="12" thickBot="1">
      <c r="B5" s="812"/>
      <c r="C5" s="812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12"/>
      <c r="C6" s="812"/>
      <c r="D6" s="229"/>
      <c r="G6" s="821" t="s">
        <v>57</v>
      </c>
      <c r="H6" s="822"/>
      <c r="I6" s="822"/>
      <c r="J6" s="822"/>
      <c r="K6" s="822"/>
      <c r="L6" s="822"/>
      <c r="M6" s="823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5" t="s">
        <v>201</v>
      </c>
      <c r="H7" s="816"/>
      <c r="I7" s="816"/>
      <c r="J7" s="816"/>
      <c r="K7" s="816"/>
      <c r="L7" s="816"/>
      <c r="M7" s="817"/>
      <c r="N7" s="818" t="s">
        <v>40</v>
      </c>
      <c r="O7" s="819"/>
      <c r="P7" s="819"/>
      <c r="Q7" s="819"/>
      <c r="R7" s="819"/>
      <c r="S7" s="820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43590.620000000017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44075</v>
      </c>
      <c r="C11" s="683">
        <v>3.9E-2</v>
      </c>
      <c r="D11" s="691">
        <f>SUM(D9+E11)</f>
        <v>43590.620000000017</v>
      </c>
      <c r="E11" s="269"/>
      <c r="F11" s="690"/>
      <c r="G11" s="351"/>
      <c r="H11" s="665"/>
      <c r="I11" s="250"/>
      <c r="J11" s="251">
        <v>355.12</v>
      </c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70"/>
      <c r="T11" s="678">
        <f t="shared" si="0"/>
        <v>891.43</v>
      </c>
      <c r="U11" s="264">
        <f t="shared" si="1"/>
        <v>2111</v>
      </c>
      <c r="V11" s="679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43590.620000000017</v>
      </c>
    </row>
    <row r="12" spans="2:47" ht="13.5" customHeight="1">
      <c r="B12" s="695">
        <v>44076</v>
      </c>
      <c r="C12" s="683">
        <v>3.9E-2</v>
      </c>
      <c r="D12" s="691">
        <f t="shared" ref="D12:D43" si="6">SUM(D11-AS11+E12)</f>
        <v>42629.980000000018</v>
      </c>
      <c r="E12" s="269"/>
      <c r="F12" s="690"/>
      <c r="G12" s="351"/>
      <c r="H12" s="665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70"/>
      <c r="T12" s="678">
        <f t="shared" si="0"/>
        <v>821.92000000000007</v>
      </c>
      <c r="U12" s="264">
        <f t="shared" si="1"/>
        <v>2147</v>
      </c>
      <c r="V12" s="679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42629.980000000018</v>
      </c>
    </row>
    <row r="13" spans="2:47" ht="13.5" customHeight="1">
      <c r="B13" s="695">
        <v>44077</v>
      </c>
      <c r="C13" s="683">
        <v>3.9E-2</v>
      </c>
      <c r="D13" s="691">
        <f t="shared" si="6"/>
        <v>41727.410000000018</v>
      </c>
      <c r="E13" s="269"/>
      <c r="F13" s="690"/>
      <c r="G13" s="685"/>
      <c r="H13" s="665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70">
        <v>1121</v>
      </c>
      <c r="T13" s="678">
        <f t="shared" si="0"/>
        <v>1090.28</v>
      </c>
      <c r="U13" s="264">
        <f t="shared" si="1"/>
        <v>2188</v>
      </c>
      <c r="V13" s="679">
        <f t="shared" si="4"/>
        <v>0.4982998171846435</v>
      </c>
      <c r="W13" s="257"/>
      <c r="X13" s="265"/>
      <c r="Y13" s="584">
        <v>10.02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41727.410000000018</v>
      </c>
    </row>
    <row r="14" spans="2:47" ht="13.5" customHeight="1">
      <c r="B14" s="695">
        <v>44078</v>
      </c>
      <c r="C14" s="683">
        <v>9.0899999999999995E-2</v>
      </c>
      <c r="D14" s="691">
        <f t="shared" si="6"/>
        <v>40627.110000000015</v>
      </c>
      <c r="E14" s="269"/>
      <c r="F14" s="690"/>
      <c r="G14" s="685"/>
      <c r="H14" s="665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70">
        <v>1164</v>
      </c>
      <c r="T14" s="678">
        <f t="shared" si="0"/>
        <v>868.39</v>
      </c>
      <c r="U14" s="264">
        <f t="shared" si="1"/>
        <v>2448</v>
      </c>
      <c r="V14" s="679">
        <f t="shared" si="4"/>
        <v>0.35473447712418299</v>
      </c>
      <c r="W14" s="257"/>
      <c r="X14" s="265"/>
      <c r="Z14" s="584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40627.110000000015</v>
      </c>
    </row>
    <row r="15" spans="2:47" ht="13.5" customHeight="1">
      <c r="B15" s="695">
        <v>44079</v>
      </c>
      <c r="C15" s="683">
        <v>9.0899999999999995E-2</v>
      </c>
      <c r="D15" s="691">
        <f t="shared" si="6"/>
        <v>39758.720000000016</v>
      </c>
      <c r="E15" s="269"/>
      <c r="F15" s="690"/>
      <c r="G15" s="685"/>
      <c r="H15" s="665">
        <v>507.97</v>
      </c>
      <c r="I15" s="250">
        <v>334.01</v>
      </c>
      <c r="J15" s="270"/>
      <c r="K15" s="250"/>
      <c r="L15" s="250"/>
      <c r="M15" s="351"/>
      <c r="N15" s="350">
        <v>1136</v>
      </c>
      <c r="O15" s="252">
        <v>1016</v>
      </c>
      <c r="P15" s="252"/>
      <c r="Q15" s="252"/>
      <c r="R15" s="252"/>
      <c r="S15" s="670"/>
      <c r="T15" s="678">
        <f t="shared" si="0"/>
        <v>841.98</v>
      </c>
      <c r="U15" s="264">
        <f t="shared" si="1"/>
        <v>2152</v>
      </c>
      <c r="V15" s="679">
        <f t="shared" si="4"/>
        <v>0.39125464684014871</v>
      </c>
      <c r="W15" s="257"/>
      <c r="X15" s="265"/>
      <c r="Y15" s="241">
        <v>27.01</v>
      </c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27.01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868.99</v>
      </c>
      <c r="AT15" s="267">
        <f t="shared" si="7"/>
        <v>0</v>
      </c>
      <c r="AU15" s="334">
        <f t="shared" si="5"/>
        <v>39758.720000000016</v>
      </c>
    </row>
    <row r="16" spans="2:47" ht="13.5" customHeight="1">
      <c r="B16" s="695">
        <v>44080</v>
      </c>
      <c r="C16" s="683">
        <v>9.0899999999999995E-2</v>
      </c>
      <c r="D16" s="691">
        <f t="shared" si="6"/>
        <v>38889.730000000018</v>
      </c>
      <c r="E16" s="269"/>
      <c r="F16" s="690"/>
      <c r="G16" s="685"/>
      <c r="H16" s="665"/>
      <c r="I16" s="250"/>
      <c r="J16" s="270"/>
      <c r="K16" s="250">
        <v>532.58000000000004</v>
      </c>
      <c r="L16" s="250">
        <v>405.96</v>
      </c>
      <c r="M16" s="351"/>
      <c r="N16" s="350"/>
      <c r="O16" s="252"/>
      <c r="P16" s="252"/>
      <c r="Q16" s="252">
        <v>1081</v>
      </c>
      <c r="R16" s="252">
        <v>971</v>
      </c>
      <c r="S16" s="670"/>
      <c r="T16" s="678">
        <f t="shared" si="0"/>
        <v>938.54</v>
      </c>
      <c r="U16" s="264">
        <f t="shared" si="1"/>
        <v>2052</v>
      </c>
      <c r="V16" s="679">
        <f t="shared" si="4"/>
        <v>0.45737816764132549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938.54</v>
      </c>
      <c r="AT16" s="267">
        <f t="shared" si="7"/>
        <v>0</v>
      </c>
      <c r="AU16" s="334">
        <f t="shared" si="5"/>
        <v>38889.730000000018</v>
      </c>
    </row>
    <row r="17" spans="2:47" ht="13.5" customHeight="1">
      <c r="B17" s="695">
        <v>44081</v>
      </c>
      <c r="C17" s="683">
        <v>2.5999999999999999E-2</v>
      </c>
      <c r="D17" s="691">
        <f t="shared" si="6"/>
        <v>37951.190000000017</v>
      </c>
      <c r="E17" s="269"/>
      <c r="F17" s="690"/>
      <c r="G17" s="685"/>
      <c r="H17" s="665">
        <v>394.85</v>
      </c>
      <c r="I17" s="250"/>
      <c r="J17" s="270"/>
      <c r="K17" s="250"/>
      <c r="L17" s="250"/>
      <c r="M17" s="351">
        <v>515.41999999999996</v>
      </c>
      <c r="N17" s="350">
        <v>1017</v>
      </c>
      <c r="O17" s="252"/>
      <c r="P17" s="252"/>
      <c r="Q17" s="252"/>
      <c r="R17" s="252"/>
      <c r="S17" s="670">
        <v>993</v>
      </c>
      <c r="T17" s="678">
        <f t="shared" si="0"/>
        <v>910.27</v>
      </c>
      <c r="U17" s="264">
        <f t="shared" si="1"/>
        <v>2010</v>
      </c>
      <c r="V17" s="679">
        <f t="shared" si="4"/>
        <v>0.45287064676616917</v>
      </c>
      <c r="W17" s="257"/>
      <c r="X17" s="265"/>
      <c r="Y17" s="241">
        <v>27.13</v>
      </c>
      <c r="Z17" s="265"/>
      <c r="AA17" s="250"/>
      <c r="AB17" s="324"/>
      <c r="AC17" s="265"/>
      <c r="AD17" s="265"/>
      <c r="AE17" s="265"/>
      <c r="AF17" s="265"/>
      <c r="AG17" s="265"/>
      <c r="AH17" s="265"/>
      <c r="AI17" s="265">
        <v>146</v>
      </c>
      <c r="AJ17" s="451">
        <v>85.01</v>
      </c>
      <c r="AK17" s="322">
        <f t="shared" si="3"/>
        <v>258.14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1168.4099999999999</v>
      </c>
      <c r="AT17" s="267">
        <f t="shared" si="7"/>
        <v>0</v>
      </c>
      <c r="AU17" s="334">
        <f t="shared" si="5"/>
        <v>37951.190000000017</v>
      </c>
    </row>
    <row r="18" spans="2:47" ht="13.5" customHeight="1">
      <c r="B18" s="695">
        <v>44082</v>
      </c>
      <c r="C18" s="683">
        <v>3.9E-2</v>
      </c>
      <c r="D18" s="691">
        <f t="shared" si="6"/>
        <v>36782.780000000013</v>
      </c>
      <c r="E18" s="269"/>
      <c r="F18" s="690"/>
      <c r="G18" s="685"/>
      <c r="H18" s="665"/>
      <c r="I18" s="250">
        <v>554.04999999999995</v>
      </c>
      <c r="J18" s="270"/>
      <c r="K18" s="250">
        <v>394.16</v>
      </c>
      <c r="L18" s="250"/>
      <c r="M18" s="351"/>
      <c r="N18" s="350"/>
      <c r="O18" s="252">
        <v>1087</v>
      </c>
      <c r="P18" s="252"/>
      <c r="Q18" s="252">
        <v>1158</v>
      </c>
      <c r="R18" s="252"/>
      <c r="S18" s="670"/>
      <c r="T18" s="678">
        <f t="shared" si="0"/>
        <v>948.21</v>
      </c>
      <c r="U18" s="264">
        <f t="shared" si="1"/>
        <v>2245</v>
      </c>
      <c r="V18" s="679">
        <f t="shared" si="4"/>
        <v>0.42236525612472164</v>
      </c>
      <c r="W18" s="257"/>
      <c r="X18" s="265">
        <v>35.659999999999997</v>
      </c>
      <c r="Y18" s="241"/>
      <c r="Z18" s="250"/>
      <c r="AA18" s="250">
        <v>87.64</v>
      </c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123.3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1071.51</v>
      </c>
      <c r="AT18" s="267">
        <f t="shared" si="7"/>
        <v>0</v>
      </c>
      <c r="AU18" s="334">
        <f t="shared" si="5"/>
        <v>36782.780000000013</v>
      </c>
    </row>
    <row r="19" spans="2:47" ht="13.5" customHeight="1">
      <c r="B19" s="695">
        <v>44083</v>
      </c>
      <c r="C19" s="683">
        <v>6.5000000000000002E-2</v>
      </c>
      <c r="D19" s="691">
        <f t="shared" si="6"/>
        <v>35711.270000000011</v>
      </c>
      <c r="E19" s="269"/>
      <c r="F19" s="690"/>
      <c r="G19" s="685"/>
      <c r="H19" s="665"/>
      <c r="I19" s="250"/>
      <c r="J19" s="270"/>
      <c r="K19" s="250"/>
      <c r="L19" s="250"/>
      <c r="M19" s="351"/>
      <c r="N19" s="350"/>
      <c r="O19" s="252"/>
      <c r="P19" s="252"/>
      <c r="Q19" s="252"/>
      <c r="R19" s="252"/>
      <c r="S19" s="670"/>
      <c r="T19" s="678">
        <f t="shared" si="0"/>
        <v>0</v>
      </c>
      <c r="U19" s="264">
        <f t="shared" si="1"/>
        <v>0</v>
      </c>
      <c r="V19" s="679" t="e">
        <f t="shared" si="4"/>
        <v>#DIV/0!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0</v>
      </c>
      <c r="AT19" s="267">
        <f t="shared" si="7"/>
        <v>0</v>
      </c>
      <c r="AU19" s="334">
        <f t="shared" si="5"/>
        <v>35711.270000000011</v>
      </c>
    </row>
    <row r="20" spans="2:47" ht="14.25">
      <c r="B20" s="695">
        <v>44084</v>
      </c>
      <c r="C20" s="683"/>
      <c r="D20" s="691">
        <f t="shared" si="6"/>
        <v>35711.270000000011</v>
      </c>
      <c r="E20" s="269"/>
      <c r="F20" s="690"/>
      <c r="G20" s="685"/>
      <c r="H20" s="665"/>
      <c r="I20" s="265"/>
      <c r="J20" s="270"/>
      <c r="K20" s="250"/>
      <c r="L20" s="250"/>
      <c r="M20" s="628"/>
      <c r="N20" s="350"/>
      <c r="O20" s="252"/>
      <c r="P20" s="252"/>
      <c r="Q20" s="252"/>
      <c r="R20" s="252"/>
      <c r="S20" s="671"/>
      <c r="T20" s="678">
        <f t="shared" si="0"/>
        <v>0</v>
      </c>
      <c r="U20" s="264">
        <f t="shared" si="1"/>
        <v>0</v>
      </c>
      <c r="V20" s="679" t="e">
        <f t="shared" si="4"/>
        <v>#DIV/0!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0</v>
      </c>
      <c r="AT20" s="267">
        <f t="shared" si="7"/>
        <v>0</v>
      </c>
      <c r="AU20" s="334">
        <f t="shared" si="5"/>
        <v>35711.270000000011</v>
      </c>
    </row>
    <row r="21" spans="2:47" ht="14.25">
      <c r="B21" s="695">
        <v>44085</v>
      </c>
      <c r="C21" s="683"/>
      <c r="D21" s="691">
        <f t="shared" si="6"/>
        <v>35711.270000000011</v>
      </c>
      <c r="E21" s="269"/>
      <c r="F21" s="690"/>
      <c r="G21" s="685"/>
      <c r="H21" s="665"/>
      <c r="I21" s="265"/>
      <c r="J21" s="270"/>
      <c r="K21" s="250"/>
      <c r="L21" s="250"/>
      <c r="M21" s="590"/>
      <c r="N21" s="350"/>
      <c r="O21" s="350"/>
      <c r="P21" s="252"/>
      <c r="Q21" s="252"/>
      <c r="R21" s="252"/>
      <c r="S21" s="670"/>
      <c r="T21" s="678">
        <f t="shared" si="0"/>
        <v>0</v>
      </c>
      <c r="U21" s="264">
        <f t="shared" si="1"/>
        <v>0</v>
      </c>
      <c r="V21" s="679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35711.270000000011</v>
      </c>
    </row>
    <row r="22" spans="2:47" ht="14.25">
      <c r="B22" s="695">
        <v>44086</v>
      </c>
      <c r="C22" s="683"/>
      <c r="D22" s="691">
        <f t="shared" si="6"/>
        <v>35711.270000000011</v>
      </c>
      <c r="E22" s="269"/>
      <c r="F22" s="690"/>
      <c r="G22" s="685"/>
      <c r="H22" s="665"/>
      <c r="I22" s="250"/>
      <c r="J22" s="270"/>
      <c r="K22" s="250"/>
      <c r="L22" s="250"/>
      <c r="M22" s="628"/>
      <c r="N22" s="350"/>
      <c r="O22" s="350"/>
      <c r="P22" s="252"/>
      <c r="Q22" s="252"/>
      <c r="R22" s="252"/>
      <c r="S22" s="670"/>
      <c r="T22" s="678">
        <f t="shared" si="0"/>
        <v>0</v>
      </c>
      <c r="U22" s="264">
        <f t="shared" si="1"/>
        <v>0</v>
      </c>
      <c r="V22" s="679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35711.270000000011</v>
      </c>
    </row>
    <row r="23" spans="2:47" ht="14.25">
      <c r="B23" s="695">
        <v>44087</v>
      </c>
      <c r="C23" s="683"/>
      <c r="D23" s="691">
        <f t="shared" si="6"/>
        <v>35711.270000000011</v>
      </c>
      <c r="E23" s="269"/>
      <c r="F23" s="690"/>
      <c r="G23" s="685"/>
      <c r="H23" s="665"/>
      <c r="I23" s="265"/>
      <c r="J23" s="270"/>
      <c r="K23" s="250"/>
      <c r="L23" s="250"/>
      <c r="M23" s="628"/>
      <c r="N23" s="350"/>
      <c r="O23" s="252"/>
      <c r="P23" s="252"/>
      <c r="Q23" s="252"/>
      <c r="R23" s="252"/>
      <c r="S23" s="670"/>
      <c r="T23" s="678">
        <f t="shared" si="0"/>
        <v>0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35711.270000000011</v>
      </c>
    </row>
    <row r="24" spans="2:47" ht="14.25">
      <c r="B24" s="695">
        <v>44088</v>
      </c>
      <c r="C24" s="683"/>
      <c r="D24" s="691">
        <f t="shared" si="6"/>
        <v>35711.270000000011</v>
      </c>
      <c r="E24" s="249"/>
      <c r="F24" s="690"/>
      <c r="G24" s="685"/>
      <c r="H24" s="665"/>
      <c r="I24" s="6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35711.270000000011</v>
      </c>
    </row>
    <row r="25" spans="2:47" ht="14.25">
      <c r="B25" s="695">
        <v>44089</v>
      </c>
      <c r="C25" s="683"/>
      <c r="D25" s="691">
        <f t="shared" si="6"/>
        <v>35711.270000000011</v>
      </c>
      <c r="E25" s="269"/>
      <c r="F25" s="690">
        <v>18000</v>
      </c>
      <c r="G25" s="754" t="s">
        <v>310</v>
      </c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35711.270000000011</v>
      </c>
    </row>
    <row r="26" spans="2:47" ht="14.25">
      <c r="B26" s="695">
        <v>44090</v>
      </c>
      <c r="C26" s="683"/>
      <c r="D26" s="691">
        <f t="shared" si="6"/>
        <v>35711.270000000011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35711.270000000011</v>
      </c>
    </row>
    <row r="27" spans="2:47" ht="14.25">
      <c r="B27" s="695">
        <v>44091</v>
      </c>
      <c r="C27" s="683"/>
      <c r="D27" s="691">
        <f t="shared" si="6"/>
        <v>35711.270000000011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35711.270000000011</v>
      </c>
    </row>
    <row r="28" spans="2:47" ht="14.25">
      <c r="B28" s="695">
        <v>44092</v>
      </c>
      <c r="C28" s="683"/>
      <c r="D28" s="691">
        <f t="shared" si="6"/>
        <v>35711.270000000011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35711.270000000011</v>
      </c>
    </row>
    <row r="29" spans="2:47" ht="14.25">
      <c r="B29" s="695">
        <v>44093</v>
      </c>
      <c r="C29" s="683"/>
      <c r="D29" s="691">
        <f t="shared" si="6"/>
        <v>35711.270000000011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35711.270000000011</v>
      </c>
    </row>
    <row r="30" spans="2:47" ht="14.25">
      <c r="B30" s="695">
        <v>44094</v>
      </c>
      <c r="C30" s="683"/>
      <c r="D30" s="691">
        <f t="shared" si="6"/>
        <v>35711.270000000011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35711.270000000011</v>
      </c>
    </row>
    <row r="31" spans="2:47" ht="14.25">
      <c r="B31" s="695">
        <v>44095</v>
      </c>
      <c r="C31" s="683"/>
      <c r="D31" s="691">
        <f t="shared" si="6"/>
        <v>35711.270000000011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35711.270000000011</v>
      </c>
    </row>
    <row r="32" spans="2:47" ht="14.25">
      <c r="B32" s="695">
        <v>44096</v>
      </c>
      <c r="C32" s="683"/>
      <c r="D32" s="691">
        <f t="shared" si="6"/>
        <v>35711.270000000011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35711.270000000011</v>
      </c>
    </row>
    <row r="33" spans="2:47" ht="14.25">
      <c r="B33" s="695">
        <v>44097</v>
      </c>
      <c r="C33" s="683"/>
      <c r="D33" s="691">
        <f t="shared" si="6"/>
        <v>35711.270000000011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35711.270000000011</v>
      </c>
    </row>
    <row r="34" spans="2:47" ht="14.25">
      <c r="B34" s="695">
        <v>44098</v>
      </c>
      <c r="C34" s="683"/>
      <c r="D34" s="691">
        <f t="shared" si="6"/>
        <v>35711.270000000011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35711.270000000011</v>
      </c>
    </row>
    <row r="35" spans="2:47" ht="14.25">
      <c r="B35" s="695">
        <v>44099</v>
      </c>
      <c r="C35" s="683"/>
      <c r="D35" s="691">
        <f t="shared" si="6"/>
        <v>35711.270000000011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35711.270000000011</v>
      </c>
    </row>
    <row r="36" spans="2:47" ht="14.25">
      <c r="B36" s="695">
        <v>44100</v>
      </c>
      <c r="C36" s="683"/>
      <c r="D36" s="691">
        <f t="shared" si="6"/>
        <v>35711.270000000011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35711.270000000011</v>
      </c>
    </row>
    <row r="37" spans="2:47" ht="14.25">
      <c r="B37" s="695">
        <v>44101</v>
      </c>
      <c r="C37" s="683"/>
      <c r="D37" s="691">
        <f t="shared" si="6"/>
        <v>35711.270000000011</v>
      </c>
      <c r="E37" s="269"/>
      <c r="F37" s="690">
        <v>10000</v>
      </c>
      <c r="G37" s="754" t="s">
        <v>310</v>
      </c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35711.270000000011</v>
      </c>
    </row>
    <row r="38" spans="2:47" ht="14.25">
      <c r="B38" s="695">
        <v>44102</v>
      </c>
      <c r="C38" s="683"/>
      <c r="D38" s="691">
        <f t="shared" si="6"/>
        <v>35711.270000000011</v>
      </c>
      <c r="E38" s="269"/>
      <c r="F38" s="690"/>
      <c r="G38" s="628"/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35711.270000000011</v>
      </c>
    </row>
    <row r="39" spans="2:47" ht="14.25">
      <c r="B39" s="695">
        <v>44103</v>
      </c>
      <c r="C39" s="683"/>
      <c r="D39" s="691">
        <f t="shared" si="6"/>
        <v>35711.270000000011</v>
      </c>
      <c r="E39" s="269"/>
      <c r="F39" s="690"/>
      <c r="G39" s="628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35711.270000000011</v>
      </c>
    </row>
    <row r="40" spans="2:47" ht="14.25">
      <c r="B40" s="695">
        <v>44104</v>
      </c>
      <c r="C40" s="683"/>
      <c r="D40" s="691">
        <f t="shared" si="6"/>
        <v>35711.270000000011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35711.270000000011</v>
      </c>
    </row>
    <row r="41" spans="2:47" ht="14.25">
      <c r="B41" s="695"/>
      <c r="C41" s="683"/>
      <c r="D41" s="691">
        <f t="shared" si="6"/>
        <v>35711.270000000011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35711.270000000011</v>
      </c>
    </row>
    <row r="42" spans="2:47" ht="14.25">
      <c r="B42" s="695"/>
      <c r="C42" s="684"/>
      <c r="D42" s="691">
        <f t="shared" si="6"/>
        <v>35711.270000000011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35711.270000000011</v>
      </c>
    </row>
    <row r="43" spans="2:47" ht="14.25">
      <c r="B43" s="591" t="s">
        <v>25</v>
      </c>
      <c r="C43" s="554">
        <f>AVERAGE(C11:C42)</f>
        <v>5.7744444444444439E-2</v>
      </c>
      <c r="D43" s="689">
        <f t="shared" si="6"/>
        <v>35711.270000000011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35711.270000000011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1397.2800000000002</v>
      </c>
      <c r="I45" s="363">
        <f t="shared" si="8"/>
        <v>1297.6299999999999</v>
      </c>
      <c r="J45" s="368">
        <f t="shared" si="8"/>
        <v>355.12</v>
      </c>
      <c r="K45" s="363">
        <f t="shared" si="8"/>
        <v>1339.0900000000001</v>
      </c>
      <c r="L45" s="368">
        <f t="shared" si="8"/>
        <v>1423.4199999999998</v>
      </c>
      <c r="M45" s="363">
        <f t="shared" si="8"/>
        <v>1498.48</v>
      </c>
      <c r="N45" s="368">
        <f t="shared" si="8"/>
        <v>4222</v>
      </c>
      <c r="O45" s="658">
        <f t="shared" si="8"/>
        <v>3144</v>
      </c>
      <c r="P45" s="368">
        <f t="shared" si="8"/>
        <v>0</v>
      </c>
      <c r="Q45" s="363">
        <f>SUM(Q11:Q43)</f>
        <v>3345</v>
      </c>
      <c r="R45" s="368">
        <f>SUM(R11:R44)</f>
        <v>3364</v>
      </c>
      <c r="S45" s="363">
        <f>SUM(S11:S44)</f>
        <v>3278</v>
      </c>
      <c r="T45" s="655">
        <f t="shared" si="0"/>
        <v>7311.02</v>
      </c>
      <c r="U45" s="363">
        <f>SUM(N45:S45)</f>
        <v>17353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35.659999999999997</v>
      </c>
      <c r="Y45" s="650">
        <f t="shared" si="9"/>
        <v>64.16</v>
      </c>
      <c r="Z45" s="281">
        <f t="shared" si="9"/>
        <v>0</v>
      </c>
      <c r="AA45" s="650">
        <f t="shared" si="9"/>
        <v>237.5</v>
      </c>
      <c r="AB45" s="281">
        <f t="shared" si="9"/>
        <v>0</v>
      </c>
      <c r="AC45" s="650">
        <f t="shared" si="9"/>
        <v>0</v>
      </c>
      <c r="AD45" s="281">
        <f>SUM(AD10:AD44)</f>
        <v>0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146</v>
      </c>
      <c r="AJ45" s="281">
        <f>SUM(AJ9:AJ39)</f>
        <v>85.01</v>
      </c>
      <c r="AK45" s="650">
        <f>SUM(AK9:AK44)</f>
        <v>568.32999999999993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7879.35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456.93874999999997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16925011.300000001</v>
      </c>
      <c r="V47" s="373" t="s">
        <v>244</v>
      </c>
      <c r="AS47" s="618">
        <f>AS45*2143</f>
        <v>16885447.050000001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7394.0634775010922</v>
      </c>
      <c r="V48" s="373" t="s">
        <v>245</v>
      </c>
      <c r="X48" s="234"/>
      <c r="Y48" s="234"/>
      <c r="Z48" s="234"/>
      <c r="AA48" s="234"/>
      <c r="AB48" s="234"/>
      <c r="AS48" s="372">
        <f>AS47/2289</f>
        <v>7376.7789646133688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6" t="s">
        <v>241</v>
      </c>
      <c r="D50" s="807"/>
      <c r="E50" s="807"/>
      <c r="F50" s="807"/>
      <c r="G50" s="808"/>
      <c r="H50" s="629"/>
      <c r="I50" s="809" t="s">
        <v>213</v>
      </c>
      <c r="J50" s="810"/>
      <c r="K50" s="810"/>
      <c r="L50" s="810"/>
      <c r="M50" s="811"/>
      <c r="N50" s="629"/>
      <c r="O50" s="824" t="s">
        <v>309</v>
      </c>
      <c r="P50" s="825"/>
      <c r="Q50" s="825"/>
      <c r="R50" s="825"/>
      <c r="S50" s="826"/>
      <c r="U50" s="827" t="s">
        <v>226</v>
      </c>
      <c r="V50" s="828"/>
      <c r="W50" s="828"/>
      <c r="X50" s="828"/>
      <c r="Y50" s="828"/>
      <c r="Z50" s="829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766" t="s">
        <v>196</v>
      </c>
      <c r="W51" s="768" t="s">
        <v>227</v>
      </c>
      <c r="X51" s="767" t="s">
        <v>212</v>
      </c>
      <c r="Y51" s="406" t="s">
        <v>228</v>
      </c>
      <c r="Z51" s="407" t="s">
        <v>229</v>
      </c>
    </row>
    <row r="52" spans="3:47" ht="11.25" customHeight="1">
      <c r="C52" s="594">
        <v>44081</v>
      </c>
      <c r="D52" s="595" t="s">
        <v>321</v>
      </c>
      <c r="E52" s="596">
        <v>146</v>
      </c>
      <c r="F52" s="595" t="s">
        <v>322</v>
      </c>
      <c r="G52" s="630" t="s">
        <v>323</v>
      </c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>
        <v>44081</v>
      </c>
      <c r="V52" s="635" t="s">
        <v>324</v>
      </c>
      <c r="W52" s="764">
        <v>39</v>
      </c>
      <c r="X52" s="636" t="s">
        <v>325</v>
      </c>
      <c r="Y52" s="636" t="s">
        <v>323</v>
      </c>
      <c r="Z52" s="637" t="s">
        <v>326</v>
      </c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>
        <v>44081</v>
      </c>
      <c r="V53" s="451" t="s">
        <v>327</v>
      </c>
      <c r="W53" s="765">
        <v>46.01</v>
      </c>
      <c r="X53" s="357" t="s">
        <v>328</v>
      </c>
      <c r="Y53" s="357" t="s">
        <v>323</v>
      </c>
      <c r="Z53" s="638" t="s">
        <v>326</v>
      </c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765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765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765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765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765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765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765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765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765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765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765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765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765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765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765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765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765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765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765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765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765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765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764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2" sqref="F22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32"/>
      <c r="D6" s="833"/>
      <c r="E6" s="834"/>
      <c r="F6" s="834"/>
      <c r="G6" s="49" t="s">
        <v>4</v>
      </c>
      <c r="H6" s="47" t="s">
        <v>14</v>
      </c>
      <c r="I6" s="42"/>
      <c r="J6" s="115"/>
    </row>
    <row r="7" spans="1:15" ht="18" customHeight="1">
      <c r="A7" s="835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6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72064.87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72082.820000000007</v>
      </c>
      <c r="G10" s="318">
        <f t="shared" ref="G10:G40" si="0">(F10-F9)*4.4</f>
        <v>78.980000000051234</v>
      </c>
      <c r="H10" s="113">
        <f>Gen!C11</f>
        <v>3.9E-2</v>
      </c>
      <c r="I10" s="6">
        <f>SUM(F10/H10)</f>
        <v>1848277.435897436</v>
      </c>
      <c r="J10" s="118">
        <f t="shared" ref="J10:J40" si="1">SUM(G10/I10)</f>
        <v>4.2731680031413838E-5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72100.100000000006</v>
      </c>
      <c r="G11" s="318">
        <f t="shared" si="0"/>
        <v>76.031999999994881</v>
      </c>
      <c r="H11" s="113">
        <f>Gen!C12</f>
        <v>3.9E-2</v>
      </c>
      <c r="I11" s="6">
        <f t="shared" ref="I11:I28" si="2">SUM(F11/H11)</f>
        <v>1848720.512820513</v>
      </c>
      <c r="J11" s="118">
        <f t="shared" si="1"/>
        <v>4.11268222928928E-5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72113.42</v>
      </c>
      <c r="G12" s="318">
        <f t="shared" si="0"/>
        <v>58.607999999966708</v>
      </c>
      <c r="H12" s="113">
        <f>Gen!C13</f>
        <v>3.9E-2</v>
      </c>
      <c r="I12" s="6">
        <f t="shared" si="2"/>
        <v>1849062.0512820513</v>
      </c>
      <c r="J12" s="118">
        <f t="shared" si="1"/>
        <v>3.1696069885448526E-5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72128.479999999996</v>
      </c>
      <c r="G13" s="318">
        <f t="shared" si="0"/>
        <v>66.263999999989764</v>
      </c>
      <c r="H13" s="113">
        <f>Gen!C14</f>
        <v>9.0899999999999995E-2</v>
      </c>
      <c r="I13" s="6">
        <f t="shared" si="2"/>
        <v>793492.62926292629</v>
      </c>
      <c r="J13" s="118">
        <f t="shared" si="1"/>
        <v>8.3509282325082545E-5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>
        <v>72142.92</v>
      </c>
      <c r="G14" s="318">
        <f t="shared" si="0"/>
        <v>63.536000000010247</v>
      </c>
      <c r="H14" s="113">
        <f>Gen!C15</f>
        <v>9.0899999999999995E-2</v>
      </c>
      <c r="I14" s="6">
        <f t="shared" si="2"/>
        <v>793651.48514851485</v>
      </c>
      <c r="J14" s="118">
        <f t="shared" si="1"/>
        <v>8.0055290248868931E-5</v>
      </c>
      <c r="M14" s="186"/>
      <c r="N14" s="186"/>
    </row>
    <row r="15" spans="1:15" ht="18.75">
      <c r="A15" s="96">
        <f>Gen!B16</f>
        <v>44080</v>
      </c>
      <c r="B15" s="318">
        <v>85</v>
      </c>
      <c r="C15" s="318">
        <v>85</v>
      </c>
      <c r="D15" s="318">
        <v>1</v>
      </c>
      <c r="E15" s="318"/>
      <c r="F15" s="318">
        <v>72154.3</v>
      </c>
      <c r="G15" s="318">
        <f t="shared" si="0"/>
        <v>50.072000000020495</v>
      </c>
      <c r="H15" s="113">
        <f>Gen!C16</f>
        <v>9.0899999999999995E-2</v>
      </c>
      <c r="I15" s="6">
        <f t="shared" si="2"/>
        <v>793776.67766776681</v>
      </c>
      <c r="J15" s="118">
        <f t="shared" si="1"/>
        <v>6.3080714524316124E-5</v>
      </c>
      <c r="M15" s="186"/>
      <c r="N15" s="186"/>
    </row>
    <row r="16" spans="1:15" ht="18.75">
      <c r="A16" s="96">
        <f>Gen!B17</f>
        <v>44081</v>
      </c>
      <c r="B16" s="318">
        <v>85</v>
      </c>
      <c r="C16" s="318">
        <v>85</v>
      </c>
      <c r="D16" s="318">
        <v>0</v>
      </c>
      <c r="E16" s="318"/>
      <c r="F16" s="318">
        <v>72165.570000000007</v>
      </c>
      <c r="G16" s="318">
        <f t="shared" si="0"/>
        <v>49.588000000017935</v>
      </c>
      <c r="H16" s="113">
        <f>Gen!C17</f>
        <v>2.5999999999999999E-2</v>
      </c>
      <c r="I16" s="6">
        <f t="shared" si="2"/>
        <v>2775598.8461538465</v>
      </c>
      <c r="J16" s="118">
        <f t="shared" si="1"/>
        <v>1.7865694125335199E-5</v>
      </c>
      <c r="M16" s="186"/>
      <c r="N16" s="186"/>
    </row>
    <row r="17" spans="1:14" ht="18.75">
      <c r="A17" s="96">
        <f>Gen!B18</f>
        <v>44082</v>
      </c>
      <c r="B17" s="318">
        <v>85</v>
      </c>
      <c r="C17" s="318">
        <v>81</v>
      </c>
      <c r="D17" s="318">
        <v>0</v>
      </c>
      <c r="E17" s="318"/>
      <c r="F17" s="318">
        <v>72179.789999999994</v>
      </c>
      <c r="G17" s="318">
        <f t="shared" si="0"/>
        <v>62.567999999941101</v>
      </c>
      <c r="H17" s="113">
        <f>Gen!C18</f>
        <v>3.9E-2</v>
      </c>
      <c r="I17" s="6">
        <f t="shared" si="2"/>
        <v>1850763.846153846</v>
      </c>
      <c r="J17" s="118">
        <f t="shared" si="1"/>
        <v>3.3806582147131534E-5</v>
      </c>
      <c r="M17" s="186"/>
      <c r="N17" s="186"/>
    </row>
    <row r="18" spans="1:14" ht="18.75">
      <c r="A18" s="96">
        <f>Gen!B19</f>
        <v>44083</v>
      </c>
      <c r="B18" s="318">
        <v>85</v>
      </c>
      <c r="C18" s="318">
        <v>75</v>
      </c>
      <c r="D18" s="318">
        <v>0</v>
      </c>
      <c r="E18" s="318"/>
      <c r="F18" s="318"/>
      <c r="G18" s="318">
        <f t="shared" si="0"/>
        <v>-317591.076</v>
      </c>
      <c r="H18" s="113">
        <f>Gen!C19</f>
        <v>6.5000000000000002E-2</v>
      </c>
      <c r="I18" s="6">
        <f t="shared" si="2"/>
        <v>0</v>
      </c>
      <c r="J18" s="118" t="e">
        <f t="shared" si="1"/>
        <v>#DIV/0!</v>
      </c>
      <c r="M18" s="186"/>
      <c r="N18" s="186"/>
    </row>
    <row r="19" spans="1:14" ht="18.75">
      <c r="A19" s="96">
        <f>Gen!B20</f>
        <v>44084</v>
      </c>
      <c r="B19" s="318"/>
      <c r="C19" s="318"/>
      <c r="D19" s="318"/>
      <c r="E19" s="318"/>
      <c r="F19" s="318"/>
      <c r="G19" s="318">
        <f t="shared" si="0"/>
        <v>0</v>
      </c>
      <c r="H19" s="113">
        <f>Gen!C20</f>
        <v>0</v>
      </c>
      <c r="I19" s="6" t="e">
        <f t="shared" si="2"/>
        <v>#DIV/0!</v>
      </c>
      <c r="J19" s="118" t="e">
        <f t="shared" si="1"/>
        <v>#DIV/0!</v>
      </c>
      <c r="M19" s="186"/>
      <c r="N19" s="186"/>
    </row>
    <row r="20" spans="1:14" ht="18.75">
      <c r="A20" s="96">
        <f>Gen!B21</f>
        <v>44085</v>
      </c>
      <c r="B20" s="318"/>
      <c r="C20" s="318"/>
      <c r="D20" s="318"/>
      <c r="E20" s="318"/>
      <c r="F20" s="318"/>
      <c r="G20" s="318">
        <f t="shared" si="0"/>
        <v>0</v>
      </c>
      <c r="H20" s="113">
        <f>Gen!C21</f>
        <v>0</v>
      </c>
      <c r="I20" s="6" t="e">
        <f t="shared" si="2"/>
        <v>#DIV/0!</v>
      </c>
      <c r="J20" s="118" t="e">
        <f t="shared" si="1"/>
        <v>#DIV/0!</v>
      </c>
    </row>
    <row r="21" spans="1:14" ht="18.75">
      <c r="A21" s="96">
        <f>Gen!B22</f>
        <v>44086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44087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44088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44089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44090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44091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44092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44093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44094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44095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44096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44097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44098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44099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44100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44101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44102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44103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44104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31" t="s">
        <v>6</v>
      </c>
      <c r="D42" s="831"/>
      <c r="E42" s="2">
        <f t="shared" ref="E42:F42" si="4">SUM(E10:E40)</f>
        <v>0</v>
      </c>
      <c r="F42" s="2">
        <f t="shared" si="4"/>
        <v>577067.4</v>
      </c>
      <c r="G42" s="103">
        <f>SUM(G10:G40)</f>
        <v>-317085.42800000001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" zoomScale="94" zoomScaleNormal="94" workbookViewId="0">
      <pane xSplit="1" topLeftCell="R1" activePane="topRight" state="frozen"/>
      <selection pane="topRight" activeCell="Z18" sqref="Z1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1" t="s">
        <v>318</v>
      </c>
      <c r="B1" s="842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2"/>
      <c r="U1" s="842"/>
      <c r="V1" s="842"/>
      <c r="W1" s="842"/>
      <c r="X1" s="842"/>
      <c r="Y1" s="842"/>
      <c r="Z1" s="842"/>
      <c r="AA1" s="842"/>
      <c r="AB1" s="842"/>
      <c r="AC1" s="842"/>
      <c r="AD1" s="842"/>
      <c r="AE1" s="842"/>
      <c r="AF1" s="842"/>
      <c r="AG1" s="842"/>
      <c r="AH1" s="842"/>
      <c r="AI1" s="842"/>
      <c r="AJ1" s="842"/>
      <c r="AK1" s="842"/>
      <c r="AL1" s="842"/>
      <c r="AM1" s="842"/>
      <c r="AN1" s="842"/>
    </row>
    <row r="2" spans="1:40" ht="13.5" customHeight="1" thickTop="1">
      <c r="A2" s="30"/>
      <c r="B2" s="30"/>
      <c r="C2" s="838" t="s">
        <v>52</v>
      </c>
      <c r="D2" s="838"/>
      <c r="E2" s="838"/>
      <c r="F2" s="838" t="s">
        <v>17</v>
      </c>
      <c r="G2" s="838"/>
      <c r="H2" s="838"/>
      <c r="I2" s="838" t="s">
        <v>131</v>
      </c>
      <c r="J2" s="838"/>
      <c r="K2" s="838"/>
      <c r="L2" s="838" t="s">
        <v>134</v>
      </c>
      <c r="M2" s="838"/>
      <c r="N2" s="838"/>
      <c r="O2" s="838" t="s">
        <v>132</v>
      </c>
      <c r="P2" s="838"/>
      <c r="Q2" s="838"/>
      <c r="R2" s="299"/>
      <c r="S2" s="849" t="s">
        <v>181</v>
      </c>
      <c r="T2" s="850"/>
      <c r="U2" s="851"/>
      <c r="V2" s="849" t="s">
        <v>182</v>
      </c>
      <c r="W2" s="850"/>
      <c r="X2" s="851"/>
      <c r="Y2" s="849" t="s">
        <v>183</v>
      </c>
      <c r="Z2" s="850"/>
      <c r="AA2" s="851"/>
      <c r="AB2" s="849" t="s">
        <v>184</v>
      </c>
      <c r="AC2" s="850"/>
      <c r="AD2" s="851"/>
      <c r="AE2" s="843" t="s">
        <v>239</v>
      </c>
      <c r="AF2" s="844"/>
      <c r="AG2" s="855"/>
      <c r="AH2" s="843" t="s">
        <v>243</v>
      </c>
      <c r="AI2" s="844"/>
      <c r="AJ2" s="855"/>
      <c r="AK2" s="843" t="s">
        <v>240</v>
      </c>
      <c r="AL2" s="844"/>
      <c r="AM2" s="844"/>
      <c r="AN2" s="847" t="s">
        <v>189</v>
      </c>
    </row>
    <row r="3" spans="1:40" ht="21.75" customHeight="1" thickBot="1">
      <c r="A3" s="839" t="s">
        <v>7</v>
      </c>
      <c r="B3" s="30"/>
      <c r="C3" s="838" t="s">
        <v>133</v>
      </c>
      <c r="D3" s="838" t="s">
        <v>15</v>
      </c>
      <c r="E3" s="838" t="s">
        <v>16</v>
      </c>
      <c r="F3" s="838" t="s">
        <v>133</v>
      </c>
      <c r="G3" s="838" t="s">
        <v>15</v>
      </c>
      <c r="H3" s="838" t="s">
        <v>16</v>
      </c>
      <c r="I3" s="838" t="s">
        <v>133</v>
      </c>
      <c r="J3" s="838" t="s">
        <v>15</v>
      </c>
      <c r="K3" s="838" t="s">
        <v>16</v>
      </c>
      <c r="L3" s="838" t="s">
        <v>133</v>
      </c>
      <c r="M3" s="838" t="s">
        <v>15</v>
      </c>
      <c r="N3" s="838" t="s">
        <v>16</v>
      </c>
      <c r="O3" s="838" t="s">
        <v>133</v>
      </c>
      <c r="P3" s="838" t="s">
        <v>15</v>
      </c>
      <c r="Q3" s="838" t="s">
        <v>16</v>
      </c>
      <c r="R3" s="857" t="s">
        <v>185</v>
      </c>
      <c r="S3" s="852"/>
      <c r="T3" s="853"/>
      <c r="U3" s="854"/>
      <c r="V3" s="852"/>
      <c r="W3" s="853"/>
      <c r="X3" s="854"/>
      <c r="Y3" s="852"/>
      <c r="Z3" s="853"/>
      <c r="AA3" s="854"/>
      <c r="AB3" s="852"/>
      <c r="AC3" s="853"/>
      <c r="AD3" s="854"/>
      <c r="AE3" s="845"/>
      <c r="AF3" s="846"/>
      <c r="AG3" s="856"/>
      <c r="AH3" s="845"/>
      <c r="AI3" s="846"/>
      <c r="AJ3" s="856"/>
      <c r="AK3" s="845"/>
      <c r="AL3" s="846"/>
      <c r="AM3" s="846"/>
      <c r="AN3" s="848"/>
    </row>
    <row r="4" spans="1:40" ht="15.75" thickTop="1">
      <c r="A4" s="840"/>
      <c r="B4" s="291"/>
      <c r="C4" s="838"/>
      <c r="D4" s="838"/>
      <c r="E4" s="838"/>
      <c r="F4" s="838"/>
      <c r="G4" s="838"/>
      <c r="H4" s="838"/>
      <c r="I4" s="838"/>
      <c r="J4" s="838"/>
      <c r="K4" s="838"/>
      <c r="L4" s="838"/>
      <c r="M4" s="838"/>
      <c r="N4" s="838"/>
      <c r="O4" s="838"/>
      <c r="P4" s="838"/>
      <c r="Q4" s="838"/>
      <c r="R4" s="857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12740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8">
        <v>15108</v>
      </c>
      <c r="AC5" s="293">
        <v>15123</v>
      </c>
      <c r="AD5" s="760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12740</v>
      </c>
      <c r="M6" s="1">
        <v>12745</v>
      </c>
      <c r="N6" s="559">
        <f t="shared" ref="N6:N24" si="8">IF((M6-M5)&lt;0,"0",(M6-M5))</f>
        <v>5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8">
        <f>AC5</f>
        <v>15123</v>
      </c>
      <c r="AC6" s="759">
        <v>15138</v>
      </c>
      <c r="AD6" s="761">
        <f>IF((AC6-AC5)&lt;0,"0",(AC6-AC5))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12745</v>
      </c>
      <c r="M7" s="1">
        <v>12745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8">
        <f t="shared" ref="AB7:AB37" si="21">AC6</f>
        <v>15138</v>
      </c>
      <c r="AC7" s="759">
        <v>15155</v>
      </c>
      <c r="AD7" s="761">
        <f t="shared" ref="AD7:AD37" si="22">IF((AC7-AC6)&lt;0,"0",(AC7-AC6))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12745</v>
      </c>
      <c r="M8" s="1">
        <v>12745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8">
        <f t="shared" si="21"/>
        <v>15155</v>
      </c>
      <c r="AC8" s="759">
        <v>15170</v>
      </c>
      <c r="AD8" s="761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12745</v>
      </c>
      <c r="M9" s="1">
        <v>12750</v>
      </c>
      <c r="N9" s="559">
        <f t="shared" si="8"/>
        <v>5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8">
        <f t="shared" si="21"/>
        <v>15170</v>
      </c>
      <c r="AC9" s="759">
        <v>15185</v>
      </c>
      <c r="AD9" s="761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>
        <v>240242</v>
      </c>
      <c r="E10" s="59">
        <f t="shared" si="3"/>
        <v>50</v>
      </c>
      <c r="F10" s="97">
        <f t="shared" si="4"/>
        <v>38000</v>
      </c>
      <c r="G10" s="452">
        <v>38000</v>
      </c>
      <c r="H10" s="559">
        <f t="shared" si="5"/>
        <v>0</v>
      </c>
      <c r="I10" s="97">
        <f t="shared" si="6"/>
        <v>8026</v>
      </c>
      <c r="J10" s="1">
        <v>8027</v>
      </c>
      <c r="K10" s="559">
        <f t="shared" ref="K10:K27" si="25">IF((J10-J9)&lt;0,"0",(J10-J9))</f>
        <v>1</v>
      </c>
      <c r="L10" s="97">
        <f t="shared" si="7"/>
        <v>12750</v>
      </c>
      <c r="M10" s="1">
        <v>12750</v>
      </c>
      <c r="N10" s="559">
        <f t="shared" si="8"/>
        <v>0</v>
      </c>
      <c r="O10" s="97">
        <f t="shared" si="9"/>
        <v>20259</v>
      </c>
      <c r="P10" s="448">
        <v>20261</v>
      </c>
      <c r="Q10" s="559">
        <f t="shared" si="1"/>
        <v>2</v>
      </c>
      <c r="R10" s="297"/>
      <c r="S10" s="292">
        <f t="shared" si="10"/>
        <v>58509</v>
      </c>
      <c r="T10" s="449">
        <v>58529</v>
      </c>
      <c r="U10" s="560">
        <f t="shared" si="11"/>
        <v>20</v>
      </c>
      <c r="V10" s="292">
        <f t="shared" si="12"/>
        <v>73030</v>
      </c>
      <c r="W10" s="449">
        <v>73030</v>
      </c>
      <c r="X10" s="560">
        <f t="shared" si="13"/>
        <v>0</v>
      </c>
      <c r="Y10" s="292">
        <f t="shared" si="14"/>
        <v>83116</v>
      </c>
      <c r="Z10" s="449">
        <v>83159</v>
      </c>
      <c r="AA10" s="560">
        <f t="shared" si="15"/>
        <v>43</v>
      </c>
      <c r="AB10" s="758">
        <f t="shared" si="21"/>
        <v>15185</v>
      </c>
      <c r="AC10" s="759">
        <v>15201</v>
      </c>
      <c r="AD10" s="761">
        <f t="shared" si="22"/>
        <v>16</v>
      </c>
      <c r="AE10" s="292">
        <f t="shared" si="16"/>
        <v>18300</v>
      </c>
      <c r="AF10" s="450">
        <v>18300</v>
      </c>
      <c r="AG10" s="560">
        <f t="shared" si="17"/>
        <v>0</v>
      </c>
      <c r="AH10" s="292">
        <f t="shared" si="18"/>
        <v>25415</v>
      </c>
      <c r="AI10" s="450">
        <v>25439</v>
      </c>
      <c r="AJ10" s="560">
        <f t="shared" si="19"/>
        <v>24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103</v>
      </c>
    </row>
    <row r="11" spans="1:40" ht="23.1" customHeight="1">
      <c r="A11" s="58">
        <f>Gen!B16</f>
        <v>44080</v>
      </c>
      <c r="B11" s="4"/>
      <c r="C11" s="97">
        <f t="shared" si="0"/>
        <v>240242</v>
      </c>
      <c r="D11" s="1">
        <v>240294</v>
      </c>
      <c r="E11" s="59">
        <f t="shared" si="3"/>
        <v>52</v>
      </c>
      <c r="F11" s="97">
        <f t="shared" si="4"/>
        <v>38000</v>
      </c>
      <c r="G11" s="452">
        <v>38000</v>
      </c>
      <c r="H11" s="559">
        <f t="shared" si="5"/>
        <v>0</v>
      </c>
      <c r="I11" s="97">
        <f t="shared" si="6"/>
        <v>8027</v>
      </c>
      <c r="J11" s="1">
        <v>8028</v>
      </c>
      <c r="K11" s="559">
        <f t="shared" si="25"/>
        <v>1</v>
      </c>
      <c r="L11" s="97">
        <f t="shared" si="7"/>
        <v>12750</v>
      </c>
      <c r="M11" s="1">
        <v>12755</v>
      </c>
      <c r="N11" s="559">
        <f t="shared" si="8"/>
        <v>5</v>
      </c>
      <c r="O11" s="97">
        <f t="shared" si="9"/>
        <v>20261</v>
      </c>
      <c r="P11" s="448">
        <v>20263</v>
      </c>
      <c r="Q11" s="559">
        <f t="shared" si="1"/>
        <v>2</v>
      </c>
      <c r="R11" s="297"/>
      <c r="S11" s="292">
        <f t="shared" si="10"/>
        <v>58529</v>
      </c>
      <c r="T11" s="449">
        <v>58542</v>
      </c>
      <c r="U11" s="560">
        <f t="shared" si="11"/>
        <v>13</v>
      </c>
      <c r="V11" s="292">
        <f t="shared" si="12"/>
        <v>73030</v>
      </c>
      <c r="W11" s="449">
        <v>73030</v>
      </c>
      <c r="X11" s="560">
        <f t="shared" si="13"/>
        <v>0</v>
      </c>
      <c r="Y11" s="292">
        <f t="shared" si="14"/>
        <v>83159</v>
      </c>
      <c r="Z11" s="449">
        <v>83192</v>
      </c>
      <c r="AA11" s="560">
        <f t="shared" si="15"/>
        <v>33</v>
      </c>
      <c r="AB11" s="758">
        <f t="shared" si="21"/>
        <v>15201</v>
      </c>
      <c r="AC11" s="759">
        <v>15216</v>
      </c>
      <c r="AD11" s="761">
        <f t="shared" si="22"/>
        <v>15</v>
      </c>
      <c r="AE11" s="292">
        <f>AF11</f>
        <v>18300</v>
      </c>
      <c r="AF11" s="450">
        <v>18300</v>
      </c>
      <c r="AG11" s="560">
        <f t="shared" si="17"/>
        <v>0</v>
      </c>
      <c r="AH11" s="292">
        <f t="shared" si="18"/>
        <v>25439</v>
      </c>
      <c r="AI11" s="450">
        <v>25461</v>
      </c>
      <c r="AJ11" s="560">
        <f t="shared" si="19"/>
        <v>22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83</v>
      </c>
    </row>
    <row r="12" spans="1:40" ht="23.1" customHeight="1">
      <c r="A12" s="58">
        <f>Gen!B17</f>
        <v>44081</v>
      </c>
      <c r="B12" s="4"/>
      <c r="C12" s="97">
        <f t="shared" si="0"/>
        <v>240294</v>
      </c>
      <c r="D12" s="1">
        <v>240352</v>
      </c>
      <c r="E12" s="59">
        <f t="shared" si="3"/>
        <v>58</v>
      </c>
      <c r="F12" s="97">
        <f t="shared" si="4"/>
        <v>38000</v>
      </c>
      <c r="G12" s="452">
        <v>38000</v>
      </c>
      <c r="H12" s="559">
        <f t="shared" si="5"/>
        <v>0</v>
      </c>
      <c r="I12" s="97">
        <f t="shared" si="6"/>
        <v>8028</v>
      </c>
      <c r="J12" s="1">
        <v>8029</v>
      </c>
      <c r="K12" s="559">
        <f t="shared" si="25"/>
        <v>1</v>
      </c>
      <c r="L12" s="97">
        <f t="shared" si="7"/>
        <v>12755</v>
      </c>
      <c r="M12" s="1">
        <v>12755</v>
      </c>
      <c r="N12" s="559">
        <f t="shared" si="8"/>
        <v>0</v>
      </c>
      <c r="O12" s="97">
        <f t="shared" si="9"/>
        <v>20263</v>
      </c>
      <c r="P12" s="448">
        <v>20264</v>
      </c>
      <c r="Q12" s="559">
        <f t="shared" si="1"/>
        <v>1</v>
      </c>
      <c r="R12" s="297"/>
      <c r="S12" s="292">
        <f t="shared" si="10"/>
        <v>58542</v>
      </c>
      <c r="T12" s="449">
        <v>58563</v>
      </c>
      <c r="U12" s="560">
        <f t="shared" si="11"/>
        <v>21</v>
      </c>
      <c r="V12" s="292">
        <f t="shared" si="12"/>
        <v>73030</v>
      </c>
      <c r="W12" s="449">
        <v>73030</v>
      </c>
      <c r="X12" s="560">
        <f t="shared" si="13"/>
        <v>0</v>
      </c>
      <c r="Y12" s="292">
        <f t="shared" si="14"/>
        <v>83192</v>
      </c>
      <c r="Z12" s="449">
        <v>83235</v>
      </c>
      <c r="AA12" s="560">
        <f t="shared" si="15"/>
        <v>43</v>
      </c>
      <c r="AB12" s="758">
        <f t="shared" si="21"/>
        <v>15216</v>
      </c>
      <c r="AC12" s="759">
        <v>15233</v>
      </c>
      <c r="AD12" s="761">
        <f t="shared" si="22"/>
        <v>17</v>
      </c>
      <c r="AE12" s="292">
        <f t="shared" ref="AE12:AE20" si="26">AF12</f>
        <v>18300</v>
      </c>
      <c r="AF12" s="450">
        <v>18300</v>
      </c>
      <c r="AG12" s="560">
        <f t="shared" si="17"/>
        <v>0</v>
      </c>
      <c r="AH12" s="292">
        <f t="shared" si="18"/>
        <v>25461</v>
      </c>
      <c r="AI12" s="450">
        <v>25486</v>
      </c>
      <c r="AJ12" s="560">
        <f t="shared" si="19"/>
        <v>25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106</v>
      </c>
    </row>
    <row r="13" spans="1:40" ht="23.1" customHeight="1">
      <c r="A13" s="58">
        <f>Gen!B18</f>
        <v>44082</v>
      </c>
      <c r="B13" s="4"/>
      <c r="C13" s="97">
        <f t="shared" si="0"/>
        <v>240352</v>
      </c>
      <c r="D13" s="1">
        <v>240398</v>
      </c>
      <c r="E13" s="59">
        <f t="shared" si="3"/>
        <v>46</v>
      </c>
      <c r="F13" s="97">
        <f t="shared" si="4"/>
        <v>38000</v>
      </c>
      <c r="G13" s="452">
        <v>38000</v>
      </c>
      <c r="H13" s="559">
        <f t="shared" si="5"/>
        <v>0</v>
      </c>
      <c r="I13" s="97">
        <f t="shared" si="6"/>
        <v>8029</v>
      </c>
      <c r="J13" s="1">
        <v>8030</v>
      </c>
      <c r="K13" s="559">
        <f t="shared" si="25"/>
        <v>1</v>
      </c>
      <c r="L13" s="97">
        <f t="shared" si="7"/>
        <v>12755</v>
      </c>
      <c r="M13" s="1">
        <v>12755</v>
      </c>
      <c r="N13" s="559">
        <f t="shared" si="8"/>
        <v>0</v>
      </c>
      <c r="O13" s="97">
        <f t="shared" si="9"/>
        <v>20264</v>
      </c>
      <c r="P13" s="448">
        <v>20268</v>
      </c>
      <c r="Q13" s="559">
        <f t="shared" si="1"/>
        <v>4</v>
      </c>
      <c r="R13" s="297"/>
      <c r="S13" s="292">
        <f t="shared" si="10"/>
        <v>58563</v>
      </c>
      <c r="T13" s="449">
        <v>58625</v>
      </c>
      <c r="U13" s="560">
        <f t="shared" si="11"/>
        <v>62</v>
      </c>
      <c r="V13" s="292">
        <f t="shared" si="12"/>
        <v>73030</v>
      </c>
      <c r="W13" s="449">
        <v>73030</v>
      </c>
      <c r="X13" s="560">
        <f t="shared" si="13"/>
        <v>0</v>
      </c>
      <c r="Y13" s="292">
        <f t="shared" si="14"/>
        <v>83235</v>
      </c>
      <c r="Z13" s="449">
        <v>83273</v>
      </c>
      <c r="AA13" s="560">
        <f t="shared" si="15"/>
        <v>38</v>
      </c>
      <c r="AB13" s="758">
        <f t="shared" si="21"/>
        <v>15233</v>
      </c>
      <c r="AC13" s="759">
        <v>15248</v>
      </c>
      <c r="AD13" s="761">
        <f t="shared" si="22"/>
        <v>15</v>
      </c>
      <c r="AE13" s="292">
        <f t="shared" si="26"/>
        <v>18300</v>
      </c>
      <c r="AF13" s="450">
        <v>18300</v>
      </c>
      <c r="AG13" s="560">
        <f t="shared" si="17"/>
        <v>0</v>
      </c>
      <c r="AH13" s="292">
        <f t="shared" si="18"/>
        <v>25486</v>
      </c>
      <c r="AI13" s="450">
        <v>25509</v>
      </c>
      <c r="AJ13" s="560">
        <f t="shared" si="19"/>
        <v>23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138</v>
      </c>
    </row>
    <row r="14" spans="1:40" ht="23.1" customHeight="1">
      <c r="A14" s="58">
        <f>Gen!B19</f>
        <v>44083</v>
      </c>
      <c r="B14" s="4"/>
      <c r="C14" s="97">
        <f t="shared" si="0"/>
        <v>240398</v>
      </c>
      <c r="D14" s="1"/>
      <c r="E14" s="59" t="str">
        <f t="shared" si="3"/>
        <v>0</v>
      </c>
      <c r="F14" s="97">
        <f t="shared" si="4"/>
        <v>38000</v>
      </c>
      <c r="G14" s="452"/>
      <c r="H14" s="559" t="str">
        <f t="shared" si="5"/>
        <v>0</v>
      </c>
      <c r="I14" s="97">
        <f t="shared" si="6"/>
        <v>8030</v>
      </c>
      <c r="J14" s="1"/>
      <c r="K14" s="559" t="str">
        <f t="shared" si="25"/>
        <v>0</v>
      </c>
      <c r="L14" s="97">
        <f t="shared" si="7"/>
        <v>12755</v>
      </c>
      <c r="M14" s="1"/>
      <c r="N14" s="559" t="str">
        <f t="shared" si="8"/>
        <v>0</v>
      </c>
      <c r="O14" s="97">
        <f t="shared" si="9"/>
        <v>20268</v>
      </c>
      <c r="P14" s="448"/>
      <c r="Q14" s="559" t="str">
        <f t="shared" si="1"/>
        <v>0</v>
      </c>
      <c r="R14" s="297"/>
      <c r="S14" s="292">
        <f t="shared" si="10"/>
        <v>58625</v>
      </c>
      <c r="T14" s="449"/>
      <c r="U14" s="560" t="str">
        <f t="shared" si="11"/>
        <v>0</v>
      </c>
      <c r="V14" s="292">
        <f t="shared" si="12"/>
        <v>73030</v>
      </c>
      <c r="W14" s="449"/>
      <c r="X14" s="560" t="str">
        <f t="shared" si="13"/>
        <v>0</v>
      </c>
      <c r="Y14" s="292">
        <f t="shared" si="14"/>
        <v>83273</v>
      </c>
      <c r="Z14" s="449"/>
      <c r="AA14" s="560" t="str">
        <f t="shared" si="15"/>
        <v>0</v>
      </c>
      <c r="AB14" s="758">
        <f t="shared" si="21"/>
        <v>15248</v>
      </c>
      <c r="AC14" s="762"/>
      <c r="AD14" s="761" t="str">
        <f t="shared" si="22"/>
        <v>0</v>
      </c>
      <c r="AE14" s="292">
        <f t="shared" si="26"/>
        <v>0</v>
      </c>
      <c r="AF14" s="450"/>
      <c r="AG14" s="560" t="str">
        <f t="shared" si="17"/>
        <v>0</v>
      </c>
      <c r="AH14" s="292">
        <f t="shared" si="18"/>
        <v>25509</v>
      </c>
      <c r="AI14" s="450"/>
      <c r="AJ14" s="560" t="str">
        <f t="shared" si="19"/>
        <v>0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0</v>
      </c>
    </row>
    <row r="15" spans="1:40" ht="23.1" customHeight="1">
      <c r="A15" s="58">
        <f>Gen!B20</f>
        <v>44084</v>
      </c>
      <c r="B15" s="4"/>
      <c r="C15" s="97">
        <f t="shared" si="0"/>
        <v>0</v>
      </c>
      <c r="D15" s="1"/>
      <c r="E15" s="59">
        <f t="shared" si="3"/>
        <v>0</v>
      </c>
      <c r="F15" s="97">
        <f t="shared" si="4"/>
        <v>0</v>
      </c>
      <c r="G15" s="452"/>
      <c r="H15" s="559">
        <f t="shared" si="5"/>
        <v>0</v>
      </c>
      <c r="I15" s="97">
        <f t="shared" si="6"/>
        <v>0</v>
      </c>
      <c r="J15" s="1"/>
      <c r="K15" s="559">
        <f t="shared" si="25"/>
        <v>0</v>
      </c>
      <c r="L15" s="97">
        <f t="shared" si="7"/>
        <v>0</v>
      </c>
      <c r="M15" s="1"/>
      <c r="N15" s="559">
        <f t="shared" si="8"/>
        <v>0</v>
      </c>
      <c r="O15" s="97">
        <f t="shared" si="9"/>
        <v>0</v>
      </c>
      <c r="P15" s="448"/>
      <c r="Q15" s="559">
        <f t="shared" si="1"/>
        <v>0</v>
      </c>
      <c r="R15" s="297"/>
      <c r="S15" s="292">
        <f t="shared" si="10"/>
        <v>0</v>
      </c>
      <c r="T15" s="449"/>
      <c r="U15" s="560">
        <f t="shared" si="11"/>
        <v>0</v>
      </c>
      <c r="V15" s="292">
        <f t="shared" si="12"/>
        <v>0</v>
      </c>
      <c r="W15" s="449"/>
      <c r="X15" s="560">
        <f t="shared" si="13"/>
        <v>0</v>
      </c>
      <c r="Y15" s="292">
        <f t="shared" si="14"/>
        <v>0</v>
      </c>
      <c r="Z15" s="449"/>
      <c r="AA15" s="560">
        <f t="shared" si="15"/>
        <v>0</v>
      </c>
      <c r="AB15" s="758">
        <f t="shared" si="21"/>
        <v>0</v>
      </c>
      <c r="AC15" s="762"/>
      <c r="AD15" s="761">
        <f t="shared" si="22"/>
        <v>0</v>
      </c>
      <c r="AE15" s="292">
        <f t="shared" si="26"/>
        <v>0</v>
      </c>
      <c r="AF15" s="450"/>
      <c r="AG15" s="560">
        <f t="shared" si="17"/>
        <v>0</v>
      </c>
      <c r="AH15" s="292">
        <f t="shared" si="18"/>
        <v>0</v>
      </c>
      <c r="AI15" s="450"/>
      <c r="AJ15" s="560">
        <f t="shared" si="19"/>
        <v>0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0</v>
      </c>
    </row>
    <row r="16" spans="1:40" ht="23.1" customHeight="1">
      <c r="A16" s="58">
        <f>Gen!B21</f>
        <v>44085</v>
      </c>
      <c r="B16" s="4"/>
      <c r="C16" s="97">
        <f t="shared" si="0"/>
        <v>0</v>
      </c>
      <c r="D16" s="1"/>
      <c r="E16" s="59">
        <f>IF((D16-D15)&lt;0,"0",(D16-D15))</f>
        <v>0</v>
      </c>
      <c r="F16" s="97">
        <f t="shared" si="4"/>
        <v>0</v>
      </c>
      <c r="G16" s="452"/>
      <c r="H16" s="559">
        <f t="shared" si="5"/>
        <v>0</v>
      </c>
      <c r="I16" s="97">
        <f t="shared" si="6"/>
        <v>0</v>
      </c>
      <c r="J16" s="1"/>
      <c r="K16" s="559">
        <f t="shared" si="25"/>
        <v>0</v>
      </c>
      <c r="L16" s="97">
        <f t="shared" si="7"/>
        <v>0</v>
      </c>
      <c r="M16" s="1"/>
      <c r="N16" s="559">
        <f t="shared" si="8"/>
        <v>0</v>
      </c>
      <c r="O16" s="97">
        <f t="shared" si="9"/>
        <v>0</v>
      </c>
      <c r="P16" s="448"/>
      <c r="Q16" s="559">
        <f t="shared" si="1"/>
        <v>0</v>
      </c>
      <c r="R16" s="297"/>
      <c r="S16" s="292">
        <f t="shared" si="10"/>
        <v>0</v>
      </c>
      <c r="T16" s="449"/>
      <c r="U16" s="560">
        <f t="shared" si="11"/>
        <v>0</v>
      </c>
      <c r="V16" s="292">
        <f t="shared" si="12"/>
        <v>0</v>
      </c>
      <c r="W16" s="449"/>
      <c r="X16" s="560">
        <f t="shared" si="13"/>
        <v>0</v>
      </c>
      <c r="Y16" s="292">
        <f t="shared" si="14"/>
        <v>0</v>
      </c>
      <c r="Z16" s="449"/>
      <c r="AA16" s="560">
        <f t="shared" si="15"/>
        <v>0</v>
      </c>
      <c r="AB16" s="758">
        <f t="shared" si="21"/>
        <v>0</v>
      </c>
      <c r="AC16" s="762"/>
      <c r="AD16" s="761">
        <f t="shared" si="22"/>
        <v>0</v>
      </c>
      <c r="AE16" s="292">
        <f t="shared" si="26"/>
        <v>0</v>
      </c>
      <c r="AF16" s="450"/>
      <c r="AG16" s="560">
        <f t="shared" si="17"/>
        <v>0</v>
      </c>
      <c r="AH16" s="292">
        <f t="shared" si="18"/>
        <v>0</v>
      </c>
      <c r="AI16" s="450"/>
      <c r="AJ16" s="560">
        <f t="shared" si="19"/>
        <v>0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0</v>
      </c>
    </row>
    <row r="17" spans="1:40" ht="23.1" customHeight="1">
      <c r="A17" s="58">
        <f>Gen!B22</f>
        <v>44086</v>
      </c>
      <c r="B17" s="4"/>
      <c r="C17" s="97">
        <f t="shared" si="0"/>
        <v>0</v>
      </c>
      <c r="D17" s="1"/>
      <c r="E17" s="559">
        <f>IF((D17-D16)&lt;0,"0",(D17-D16))</f>
        <v>0</v>
      </c>
      <c r="F17" s="97">
        <f t="shared" si="4"/>
        <v>0</v>
      </c>
      <c r="G17" s="452"/>
      <c r="H17" s="559">
        <f t="shared" si="5"/>
        <v>0</v>
      </c>
      <c r="I17" s="97">
        <f t="shared" si="6"/>
        <v>0</v>
      </c>
      <c r="J17" s="1"/>
      <c r="K17" s="559">
        <f t="shared" si="25"/>
        <v>0</v>
      </c>
      <c r="L17" s="97">
        <f t="shared" si="7"/>
        <v>0</v>
      </c>
      <c r="M17" s="1"/>
      <c r="N17" s="559">
        <f t="shared" si="8"/>
        <v>0</v>
      </c>
      <c r="O17" s="97">
        <f t="shared" si="9"/>
        <v>0</v>
      </c>
      <c r="P17" s="448"/>
      <c r="Q17" s="559">
        <f t="shared" si="1"/>
        <v>0</v>
      </c>
      <c r="R17" s="297"/>
      <c r="S17" s="292">
        <f t="shared" si="10"/>
        <v>0</v>
      </c>
      <c r="T17" s="449"/>
      <c r="U17" s="560">
        <f t="shared" si="11"/>
        <v>0</v>
      </c>
      <c r="V17" s="292">
        <f t="shared" si="12"/>
        <v>0</v>
      </c>
      <c r="W17" s="449"/>
      <c r="X17" s="560">
        <f>IF((W17-W16)&lt;0,"0",(W17-W16))</f>
        <v>0</v>
      </c>
      <c r="Y17" s="292">
        <f t="shared" si="14"/>
        <v>0</v>
      </c>
      <c r="Z17" s="449"/>
      <c r="AA17" s="560">
        <f>IF((Z17-Z16)&lt;0,"0",(Z17-Z16))</f>
        <v>0</v>
      </c>
      <c r="AB17" s="758">
        <f t="shared" si="21"/>
        <v>0</v>
      </c>
      <c r="AC17" s="762"/>
      <c r="AD17" s="761">
        <f t="shared" si="22"/>
        <v>0</v>
      </c>
      <c r="AE17" s="292">
        <f t="shared" si="26"/>
        <v>0</v>
      </c>
      <c r="AF17" s="450"/>
      <c r="AG17" s="560">
        <f t="shared" si="17"/>
        <v>0</v>
      </c>
      <c r="AH17" s="292">
        <f t="shared" si="18"/>
        <v>0</v>
      </c>
      <c r="AI17" s="450"/>
      <c r="AJ17" s="560">
        <f t="shared" si="19"/>
        <v>0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0</v>
      </c>
    </row>
    <row r="18" spans="1:40" ht="23.1" customHeight="1">
      <c r="A18" s="58">
        <f>Gen!B23</f>
        <v>44087</v>
      </c>
      <c r="B18" s="4"/>
      <c r="C18" s="97">
        <f t="shared" si="0"/>
        <v>0</v>
      </c>
      <c r="D18" s="1"/>
      <c r="E18" s="559">
        <f t="shared" ref="E18:E37" si="27">IF((D18-D17)&lt;0,"0",(D18-D17))</f>
        <v>0</v>
      </c>
      <c r="F18" s="97">
        <f t="shared" si="4"/>
        <v>0</v>
      </c>
      <c r="G18" s="452"/>
      <c r="H18" s="559">
        <f t="shared" si="5"/>
        <v>0</v>
      </c>
      <c r="I18" s="97"/>
      <c r="J18" s="1"/>
      <c r="K18" s="559">
        <f t="shared" si="25"/>
        <v>0</v>
      </c>
      <c r="L18" s="97">
        <f t="shared" si="7"/>
        <v>0</v>
      </c>
      <c r="M18" s="1"/>
      <c r="N18" s="559">
        <f t="shared" si="8"/>
        <v>0</v>
      </c>
      <c r="O18" s="97">
        <f t="shared" si="9"/>
        <v>0</v>
      </c>
      <c r="P18" s="448"/>
      <c r="Q18" s="559">
        <f t="shared" si="1"/>
        <v>0</v>
      </c>
      <c r="R18" s="297"/>
      <c r="S18" s="292">
        <f t="shared" si="10"/>
        <v>0</v>
      </c>
      <c r="T18" s="449"/>
      <c r="U18" s="560">
        <f t="shared" si="11"/>
        <v>0</v>
      </c>
      <c r="V18" s="292">
        <f t="shared" si="12"/>
        <v>0</v>
      </c>
      <c r="W18" s="449"/>
      <c r="X18" s="560">
        <f t="shared" si="13"/>
        <v>0</v>
      </c>
      <c r="Y18" s="292">
        <f t="shared" si="14"/>
        <v>0</v>
      </c>
      <c r="Z18" s="449"/>
      <c r="AA18" s="560">
        <f t="shared" si="15"/>
        <v>0</v>
      </c>
      <c r="AB18" s="758">
        <f t="shared" si="21"/>
        <v>0</v>
      </c>
      <c r="AC18" s="762"/>
      <c r="AD18" s="761">
        <f t="shared" si="22"/>
        <v>0</v>
      </c>
      <c r="AE18" s="292">
        <f t="shared" si="26"/>
        <v>0</v>
      </c>
      <c r="AF18" s="450"/>
      <c r="AG18" s="560">
        <f t="shared" si="17"/>
        <v>0</v>
      </c>
      <c r="AH18" s="292">
        <f>AI17</f>
        <v>0</v>
      </c>
      <c r="AI18" s="450"/>
      <c r="AJ18" s="560">
        <f t="shared" si="19"/>
        <v>0</v>
      </c>
      <c r="AK18" s="371">
        <f t="shared" si="2"/>
        <v>0</v>
      </c>
      <c r="AL18" s="449"/>
      <c r="AM18" s="560">
        <f t="shared" ref="AM18:AM26" si="28">IF((AL18-AL17)&lt;0,"0",(AL18-AL17))</f>
        <v>0</v>
      </c>
      <c r="AN18" s="454">
        <f t="shared" si="23"/>
        <v>0</v>
      </c>
    </row>
    <row r="19" spans="1:40" ht="23.1" customHeight="1">
      <c r="A19" s="58">
        <f>Gen!B24</f>
        <v>44088</v>
      </c>
      <c r="B19" s="4"/>
      <c r="C19" s="97">
        <f t="shared" si="0"/>
        <v>0</v>
      </c>
      <c r="D19" s="1"/>
      <c r="E19" s="559">
        <f t="shared" si="27"/>
        <v>0</v>
      </c>
      <c r="F19" s="97">
        <f t="shared" si="4"/>
        <v>0</v>
      </c>
      <c r="G19" s="452"/>
      <c r="H19" s="559">
        <f t="shared" si="5"/>
        <v>0</v>
      </c>
      <c r="I19" s="97">
        <f t="shared" si="6"/>
        <v>0</v>
      </c>
      <c r="J19" s="1"/>
      <c r="K19" s="559">
        <f t="shared" si="25"/>
        <v>0</v>
      </c>
      <c r="L19" s="97">
        <f t="shared" si="7"/>
        <v>0</v>
      </c>
      <c r="M19" s="1"/>
      <c r="N19" s="559">
        <f t="shared" si="8"/>
        <v>0</v>
      </c>
      <c r="O19" s="97">
        <f t="shared" si="9"/>
        <v>0</v>
      </c>
      <c r="P19" s="448"/>
      <c r="Q19" s="559">
        <f t="shared" si="1"/>
        <v>0</v>
      </c>
      <c r="R19" s="297"/>
      <c r="S19" s="292">
        <f t="shared" si="10"/>
        <v>0</v>
      </c>
      <c r="T19" s="449"/>
      <c r="U19" s="560">
        <f t="shared" si="11"/>
        <v>0</v>
      </c>
      <c r="V19" s="292">
        <f t="shared" si="12"/>
        <v>0</v>
      </c>
      <c r="W19" s="449"/>
      <c r="X19" s="560">
        <f t="shared" si="13"/>
        <v>0</v>
      </c>
      <c r="Y19" s="292">
        <f t="shared" si="14"/>
        <v>0</v>
      </c>
      <c r="Z19" s="449"/>
      <c r="AA19" s="560">
        <f t="shared" si="15"/>
        <v>0</v>
      </c>
      <c r="AB19" s="758">
        <f t="shared" si="21"/>
        <v>0</v>
      </c>
      <c r="AC19" s="762"/>
      <c r="AD19" s="761">
        <f t="shared" si="22"/>
        <v>0</v>
      </c>
      <c r="AE19" s="292">
        <f t="shared" si="26"/>
        <v>0</v>
      </c>
      <c r="AF19" s="450"/>
      <c r="AG19" s="560">
        <f t="shared" si="17"/>
        <v>0</v>
      </c>
      <c r="AH19" s="292">
        <f>AI18</f>
        <v>0</v>
      </c>
      <c r="AI19" s="450"/>
      <c r="AJ19" s="560">
        <f t="shared" si="19"/>
        <v>0</v>
      </c>
      <c r="AK19" s="371">
        <f t="shared" si="2"/>
        <v>0</v>
      </c>
      <c r="AL19" s="449"/>
      <c r="AM19" s="560">
        <f t="shared" si="28"/>
        <v>0</v>
      </c>
      <c r="AN19" s="454">
        <f t="shared" si="23"/>
        <v>0</v>
      </c>
    </row>
    <row r="20" spans="1:40" ht="23.1" customHeight="1">
      <c r="A20" s="58">
        <f>Gen!B25</f>
        <v>44089</v>
      </c>
      <c r="B20" s="4"/>
      <c r="C20" s="97">
        <f t="shared" si="0"/>
        <v>0</v>
      </c>
      <c r="D20" s="1"/>
      <c r="E20" s="559">
        <f t="shared" si="27"/>
        <v>0</v>
      </c>
      <c r="F20" s="97">
        <f t="shared" si="4"/>
        <v>0</v>
      </c>
      <c r="G20" s="452"/>
      <c r="H20" s="559">
        <f t="shared" si="5"/>
        <v>0</v>
      </c>
      <c r="I20" s="97">
        <f t="shared" si="6"/>
        <v>0</v>
      </c>
      <c r="J20" s="1"/>
      <c r="K20" s="559">
        <f t="shared" si="25"/>
        <v>0</v>
      </c>
      <c r="L20" s="97">
        <f t="shared" si="7"/>
        <v>0</v>
      </c>
      <c r="M20" s="1"/>
      <c r="N20" s="559">
        <f t="shared" si="8"/>
        <v>0</v>
      </c>
      <c r="O20" s="97">
        <f t="shared" si="9"/>
        <v>0</v>
      </c>
      <c r="P20" s="448"/>
      <c r="Q20" s="559">
        <f t="shared" si="1"/>
        <v>0</v>
      </c>
      <c r="R20" s="297"/>
      <c r="S20" s="292">
        <f t="shared" si="10"/>
        <v>0</v>
      </c>
      <c r="T20" s="449"/>
      <c r="U20" s="560">
        <f t="shared" si="11"/>
        <v>0</v>
      </c>
      <c r="V20" s="292">
        <f t="shared" si="12"/>
        <v>0</v>
      </c>
      <c r="W20" s="449"/>
      <c r="X20" s="560">
        <f t="shared" si="13"/>
        <v>0</v>
      </c>
      <c r="Y20" s="292">
        <f t="shared" si="14"/>
        <v>0</v>
      </c>
      <c r="Z20" s="449"/>
      <c r="AA20" s="560">
        <f t="shared" si="15"/>
        <v>0</v>
      </c>
      <c r="AB20" s="758">
        <f t="shared" si="21"/>
        <v>0</v>
      </c>
      <c r="AC20" s="762"/>
      <c r="AD20" s="761">
        <f t="shared" si="22"/>
        <v>0</v>
      </c>
      <c r="AE20" s="292">
        <f t="shared" si="26"/>
        <v>0</v>
      </c>
      <c r="AF20" s="450"/>
      <c r="AG20" s="560">
        <f t="shared" si="17"/>
        <v>0</v>
      </c>
      <c r="AH20" s="292">
        <f t="shared" si="18"/>
        <v>0</v>
      </c>
      <c r="AI20" s="450"/>
      <c r="AJ20" s="560">
        <f t="shared" si="19"/>
        <v>0</v>
      </c>
      <c r="AK20" s="371">
        <f t="shared" si="2"/>
        <v>0</v>
      </c>
      <c r="AL20" s="449"/>
      <c r="AM20" s="560">
        <f t="shared" si="28"/>
        <v>0</v>
      </c>
      <c r="AN20" s="454">
        <f t="shared" si="23"/>
        <v>0</v>
      </c>
    </row>
    <row r="21" spans="1:40" ht="23.1" customHeight="1">
      <c r="A21" s="58">
        <f>Gen!B26</f>
        <v>44090</v>
      </c>
      <c r="B21" s="4"/>
      <c r="C21" s="97">
        <f t="shared" si="0"/>
        <v>0</v>
      </c>
      <c r="D21" s="1"/>
      <c r="E21" s="559">
        <f t="shared" si="27"/>
        <v>0</v>
      </c>
      <c r="F21" s="97">
        <f t="shared" si="4"/>
        <v>0</v>
      </c>
      <c r="G21" s="452"/>
      <c r="H21" s="559">
        <f t="shared" si="5"/>
        <v>0</v>
      </c>
      <c r="I21" s="97">
        <f t="shared" si="6"/>
        <v>0</v>
      </c>
      <c r="J21" s="1"/>
      <c r="K21" s="559">
        <f t="shared" si="25"/>
        <v>0</v>
      </c>
      <c r="L21" s="97">
        <f t="shared" si="7"/>
        <v>0</v>
      </c>
      <c r="M21" s="1"/>
      <c r="N21" s="559">
        <f t="shared" si="8"/>
        <v>0</v>
      </c>
      <c r="O21" s="97">
        <f t="shared" si="9"/>
        <v>0</v>
      </c>
      <c r="P21" s="448"/>
      <c r="Q21" s="559">
        <f t="shared" si="1"/>
        <v>0</v>
      </c>
      <c r="R21" s="297"/>
      <c r="S21" s="292">
        <f t="shared" si="10"/>
        <v>0</v>
      </c>
      <c r="T21" s="449"/>
      <c r="U21" s="560">
        <f t="shared" si="11"/>
        <v>0</v>
      </c>
      <c r="V21" s="292">
        <f t="shared" ref="V21:V37" si="29">W20</f>
        <v>0</v>
      </c>
      <c r="W21" s="449"/>
      <c r="X21" s="560">
        <f t="shared" si="13"/>
        <v>0</v>
      </c>
      <c r="Y21" s="292">
        <f t="shared" si="14"/>
        <v>0</v>
      </c>
      <c r="Z21" s="449"/>
      <c r="AA21" s="560">
        <f t="shared" si="15"/>
        <v>0</v>
      </c>
      <c r="AB21" s="758">
        <f t="shared" si="21"/>
        <v>0</v>
      </c>
      <c r="AC21" s="762"/>
      <c r="AD21" s="761">
        <f t="shared" si="22"/>
        <v>0</v>
      </c>
      <c r="AE21" s="292">
        <f t="shared" si="16"/>
        <v>0</v>
      </c>
      <c r="AF21" s="450"/>
      <c r="AG21" s="560">
        <f t="shared" si="17"/>
        <v>0</v>
      </c>
      <c r="AH21" s="292">
        <f t="shared" si="18"/>
        <v>0</v>
      </c>
      <c r="AI21" s="450"/>
      <c r="AJ21" s="560">
        <f t="shared" si="19"/>
        <v>0</v>
      </c>
      <c r="AK21" s="371">
        <f t="shared" si="2"/>
        <v>0</v>
      </c>
      <c r="AL21" s="449"/>
      <c r="AM21" s="560">
        <f t="shared" si="28"/>
        <v>0</v>
      </c>
      <c r="AN21" s="454">
        <f t="shared" si="23"/>
        <v>0</v>
      </c>
    </row>
    <row r="22" spans="1:40" ht="23.1" customHeight="1">
      <c r="A22" s="58">
        <f>Gen!B27</f>
        <v>44091</v>
      </c>
      <c r="B22" s="4"/>
      <c r="C22" s="97">
        <f t="shared" si="0"/>
        <v>0</v>
      </c>
      <c r="D22" s="1"/>
      <c r="E22" s="559">
        <f t="shared" si="27"/>
        <v>0</v>
      </c>
      <c r="F22" s="97">
        <f t="shared" si="4"/>
        <v>0</v>
      </c>
      <c r="G22" s="452"/>
      <c r="H22" s="559">
        <f t="shared" si="5"/>
        <v>0</v>
      </c>
      <c r="I22" s="97">
        <f t="shared" si="6"/>
        <v>0</v>
      </c>
      <c r="J22" s="1"/>
      <c r="K22" s="559">
        <f t="shared" si="25"/>
        <v>0</v>
      </c>
      <c r="L22" s="97">
        <f t="shared" si="7"/>
        <v>0</v>
      </c>
      <c r="M22" s="1"/>
      <c r="N22" s="559">
        <f t="shared" si="8"/>
        <v>0</v>
      </c>
      <c r="O22" s="97">
        <f t="shared" si="9"/>
        <v>0</v>
      </c>
      <c r="P22" s="448"/>
      <c r="Q22" s="559">
        <f t="shared" si="1"/>
        <v>0</v>
      </c>
      <c r="R22" s="297"/>
      <c r="S22" s="292">
        <f t="shared" si="10"/>
        <v>0</v>
      </c>
      <c r="T22" s="449"/>
      <c r="U22" s="560">
        <f t="shared" si="11"/>
        <v>0</v>
      </c>
      <c r="V22" s="292">
        <f t="shared" si="29"/>
        <v>0</v>
      </c>
      <c r="W22" s="449"/>
      <c r="X22" s="560">
        <f t="shared" si="13"/>
        <v>0</v>
      </c>
      <c r="Y22" s="292">
        <f t="shared" si="14"/>
        <v>0</v>
      </c>
      <c r="Z22" s="449"/>
      <c r="AA22" s="560">
        <f t="shared" si="15"/>
        <v>0</v>
      </c>
      <c r="AB22" s="758">
        <f t="shared" si="21"/>
        <v>0</v>
      </c>
      <c r="AC22" s="762"/>
      <c r="AD22" s="761">
        <f t="shared" si="22"/>
        <v>0</v>
      </c>
      <c r="AE22" s="292">
        <f t="shared" si="16"/>
        <v>0</v>
      </c>
      <c r="AF22" s="450"/>
      <c r="AG22" s="560">
        <f t="shared" si="17"/>
        <v>0</v>
      </c>
      <c r="AH22" s="292">
        <f t="shared" si="18"/>
        <v>0</v>
      </c>
      <c r="AI22" s="450"/>
      <c r="AJ22" s="560">
        <f t="shared" si="19"/>
        <v>0</v>
      </c>
      <c r="AK22" s="371">
        <f t="shared" si="2"/>
        <v>0</v>
      </c>
      <c r="AL22" s="449"/>
      <c r="AM22" s="560">
        <f t="shared" si="28"/>
        <v>0</v>
      </c>
      <c r="AN22" s="454">
        <f t="shared" si="23"/>
        <v>0</v>
      </c>
    </row>
    <row r="23" spans="1:40" ht="23.1" customHeight="1">
      <c r="A23" s="58">
        <f>Gen!B28</f>
        <v>44092</v>
      </c>
      <c r="B23" s="4"/>
      <c r="C23" s="97">
        <f t="shared" si="0"/>
        <v>0</v>
      </c>
      <c r="D23" s="1"/>
      <c r="E23" s="559">
        <f t="shared" si="27"/>
        <v>0</v>
      </c>
      <c r="F23" s="97">
        <f t="shared" si="4"/>
        <v>0</v>
      </c>
      <c r="G23" s="452"/>
      <c r="H23" s="559">
        <f t="shared" si="5"/>
        <v>0</v>
      </c>
      <c r="I23" s="97">
        <f t="shared" si="6"/>
        <v>0</v>
      </c>
      <c r="J23" s="1"/>
      <c r="K23" s="559">
        <f t="shared" si="25"/>
        <v>0</v>
      </c>
      <c r="L23" s="97">
        <f t="shared" si="7"/>
        <v>0</v>
      </c>
      <c r="M23" s="1"/>
      <c r="N23" s="559">
        <f t="shared" si="8"/>
        <v>0</v>
      </c>
      <c r="O23" s="97">
        <f t="shared" si="9"/>
        <v>0</v>
      </c>
      <c r="P23" s="448"/>
      <c r="Q23" s="559">
        <f t="shared" si="1"/>
        <v>0</v>
      </c>
      <c r="R23" s="297"/>
      <c r="S23" s="292">
        <f t="shared" si="10"/>
        <v>0</v>
      </c>
      <c r="T23" s="449"/>
      <c r="U23" s="560">
        <f t="shared" si="11"/>
        <v>0</v>
      </c>
      <c r="V23" s="292">
        <f t="shared" si="29"/>
        <v>0</v>
      </c>
      <c r="W23" s="449"/>
      <c r="X23" s="560">
        <f t="shared" si="13"/>
        <v>0</v>
      </c>
      <c r="Y23" s="292">
        <f t="shared" si="14"/>
        <v>0</v>
      </c>
      <c r="Z23" s="449"/>
      <c r="AA23" s="560">
        <f t="shared" si="15"/>
        <v>0</v>
      </c>
      <c r="AB23" s="758">
        <f t="shared" si="21"/>
        <v>0</v>
      </c>
      <c r="AC23" s="759"/>
      <c r="AD23" s="761">
        <f t="shared" si="22"/>
        <v>0</v>
      </c>
      <c r="AE23" s="292">
        <f t="shared" si="16"/>
        <v>0</v>
      </c>
      <c r="AF23" s="450"/>
      <c r="AG23" s="560">
        <f t="shared" si="17"/>
        <v>0</v>
      </c>
      <c r="AH23" s="292">
        <f t="shared" si="18"/>
        <v>0</v>
      </c>
      <c r="AI23" s="450"/>
      <c r="AJ23" s="560">
        <f t="shared" si="19"/>
        <v>0</v>
      </c>
      <c r="AK23" s="371">
        <f t="shared" si="2"/>
        <v>0</v>
      </c>
      <c r="AL23" s="449"/>
      <c r="AM23" s="560">
        <f t="shared" si="28"/>
        <v>0</v>
      </c>
      <c r="AN23" s="454">
        <f t="shared" si="23"/>
        <v>0</v>
      </c>
    </row>
    <row r="24" spans="1:40" ht="23.1" customHeight="1">
      <c r="A24" s="58">
        <f>Gen!B29</f>
        <v>44093</v>
      </c>
      <c r="B24" s="4"/>
      <c r="C24" s="97">
        <f t="shared" si="0"/>
        <v>0</v>
      </c>
      <c r="D24" s="1"/>
      <c r="E24" s="559">
        <f t="shared" si="27"/>
        <v>0</v>
      </c>
      <c r="F24" s="97">
        <f t="shared" si="4"/>
        <v>0</v>
      </c>
      <c r="G24" s="452"/>
      <c r="H24" s="559">
        <f t="shared" si="5"/>
        <v>0</v>
      </c>
      <c r="I24" s="97">
        <f t="shared" si="6"/>
        <v>0</v>
      </c>
      <c r="J24" s="1"/>
      <c r="K24" s="559">
        <f t="shared" si="25"/>
        <v>0</v>
      </c>
      <c r="L24" s="97">
        <f t="shared" si="7"/>
        <v>0</v>
      </c>
      <c r="M24" s="1"/>
      <c r="N24" s="559">
        <f t="shared" si="8"/>
        <v>0</v>
      </c>
      <c r="O24" s="97">
        <f t="shared" si="9"/>
        <v>0</v>
      </c>
      <c r="P24" s="448"/>
      <c r="Q24" s="559">
        <f t="shared" si="1"/>
        <v>0</v>
      </c>
      <c r="R24" s="297"/>
      <c r="S24" s="292">
        <f t="shared" si="10"/>
        <v>0</v>
      </c>
      <c r="T24" s="449"/>
      <c r="U24" s="560">
        <f t="shared" si="11"/>
        <v>0</v>
      </c>
      <c r="V24" s="292">
        <f t="shared" si="29"/>
        <v>0</v>
      </c>
      <c r="W24" s="449"/>
      <c r="X24" s="560">
        <f t="shared" si="13"/>
        <v>0</v>
      </c>
      <c r="Y24" s="292">
        <f t="shared" si="14"/>
        <v>0</v>
      </c>
      <c r="Z24" s="449"/>
      <c r="AA24" s="560">
        <f t="shared" si="15"/>
        <v>0</v>
      </c>
      <c r="AB24" s="758">
        <f t="shared" si="21"/>
        <v>0</v>
      </c>
      <c r="AC24" s="759"/>
      <c r="AD24" s="761">
        <f t="shared" si="22"/>
        <v>0</v>
      </c>
      <c r="AE24" s="292">
        <f t="shared" si="16"/>
        <v>0</v>
      </c>
      <c r="AF24" s="450"/>
      <c r="AG24" s="560">
        <f t="shared" si="17"/>
        <v>0</v>
      </c>
      <c r="AH24" s="292">
        <f t="shared" si="18"/>
        <v>0</v>
      </c>
      <c r="AI24" s="450"/>
      <c r="AJ24" s="560">
        <f t="shared" si="19"/>
        <v>0</v>
      </c>
      <c r="AK24" s="371">
        <f t="shared" si="2"/>
        <v>0</v>
      </c>
      <c r="AL24" s="449"/>
      <c r="AM24" s="560">
        <f t="shared" si="28"/>
        <v>0</v>
      </c>
      <c r="AN24" s="454">
        <f t="shared" si="23"/>
        <v>0</v>
      </c>
    </row>
    <row r="25" spans="1:40" ht="23.1" customHeight="1">
      <c r="A25" s="58">
        <f>Gen!B30</f>
        <v>44094</v>
      </c>
      <c r="B25" s="4"/>
      <c r="C25" s="97">
        <f>D24</f>
        <v>0</v>
      </c>
      <c r="D25" s="1"/>
      <c r="E25" s="559">
        <f t="shared" si="27"/>
        <v>0</v>
      </c>
      <c r="F25" s="97">
        <f t="shared" si="4"/>
        <v>0</v>
      </c>
      <c r="G25" s="452"/>
      <c r="H25" s="559">
        <f>IF((G26-G24)&lt;0,"0",(G26-G24))</f>
        <v>0</v>
      </c>
      <c r="I25" s="97">
        <f t="shared" ref="I25:I37" si="30">J24</f>
        <v>0</v>
      </c>
      <c r="J25" s="1"/>
      <c r="K25" s="559">
        <f t="shared" si="25"/>
        <v>0</v>
      </c>
      <c r="L25" s="97">
        <f t="shared" ref="L25:L37" si="31">M24</f>
        <v>0</v>
      </c>
      <c r="M25" s="1"/>
      <c r="N25" s="559">
        <f t="shared" ref="N25:N37" si="32">IF((M25-M24)&lt;0,"0",(M25-M24))</f>
        <v>0</v>
      </c>
      <c r="O25" s="97">
        <f t="shared" si="9"/>
        <v>0</v>
      </c>
      <c r="P25" s="448"/>
      <c r="Q25" s="559">
        <f t="shared" si="1"/>
        <v>0</v>
      </c>
      <c r="R25" s="297"/>
      <c r="S25" s="292">
        <f t="shared" ref="S25:S37" si="33">T24</f>
        <v>0</v>
      </c>
      <c r="T25" s="449"/>
      <c r="U25" s="560">
        <f t="shared" ref="U25:U37" si="34">IF((T25-T24)&lt;0,"0",(T25-T24))</f>
        <v>0</v>
      </c>
      <c r="V25" s="292">
        <f t="shared" si="29"/>
        <v>0</v>
      </c>
      <c r="W25" s="449"/>
      <c r="X25" s="560">
        <f t="shared" si="13"/>
        <v>0</v>
      </c>
      <c r="Y25" s="292">
        <f t="shared" si="14"/>
        <v>0</v>
      </c>
      <c r="Z25" s="449"/>
      <c r="AA25" s="560">
        <f t="shared" si="15"/>
        <v>0</v>
      </c>
      <c r="AB25" s="758">
        <f t="shared" si="21"/>
        <v>0</v>
      </c>
      <c r="AC25" s="759"/>
      <c r="AD25" s="761">
        <f t="shared" si="22"/>
        <v>0</v>
      </c>
      <c r="AE25" s="292">
        <f t="shared" si="16"/>
        <v>0</v>
      </c>
      <c r="AF25" s="450"/>
      <c r="AG25" s="560">
        <f t="shared" si="17"/>
        <v>0</v>
      </c>
      <c r="AH25" s="292">
        <f t="shared" si="18"/>
        <v>0</v>
      </c>
      <c r="AI25" s="450"/>
      <c r="AJ25" s="560">
        <f t="shared" si="19"/>
        <v>0</v>
      </c>
      <c r="AK25" s="371">
        <f t="shared" si="2"/>
        <v>0</v>
      </c>
      <c r="AL25" s="449"/>
      <c r="AM25" s="560">
        <f t="shared" si="28"/>
        <v>0</v>
      </c>
      <c r="AN25" s="454">
        <f t="shared" si="23"/>
        <v>0</v>
      </c>
    </row>
    <row r="26" spans="1:40" ht="23.1" customHeight="1">
      <c r="A26" s="58">
        <f>Gen!B31</f>
        <v>44095</v>
      </c>
      <c r="B26" s="4"/>
      <c r="C26" s="97">
        <f>D25</f>
        <v>0</v>
      </c>
      <c r="D26" s="1"/>
      <c r="E26" s="559">
        <f t="shared" si="27"/>
        <v>0</v>
      </c>
      <c r="F26" s="97">
        <f>G26</f>
        <v>0</v>
      </c>
      <c r="G26" s="452"/>
      <c r="H26" s="559">
        <f t="shared" ref="H26:H27" si="35">IF((G27-G25)&lt;0,"0",(G27-G25))</f>
        <v>0</v>
      </c>
      <c r="I26" s="97">
        <f t="shared" si="30"/>
        <v>0</v>
      </c>
      <c r="J26" s="1"/>
      <c r="K26" s="559">
        <f t="shared" si="25"/>
        <v>0</v>
      </c>
      <c r="L26" s="97">
        <f t="shared" si="31"/>
        <v>0</v>
      </c>
      <c r="M26" s="1"/>
      <c r="N26" s="559">
        <f t="shared" si="32"/>
        <v>0</v>
      </c>
      <c r="O26" s="97">
        <f t="shared" ref="O26:O37" si="36">P25</f>
        <v>0</v>
      </c>
      <c r="P26" s="448"/>
      <c r="Q26" s="559">
        <f t="shared" si="1"/>
        <v>0</v>
      </c>
      <c r="R26" s="297"/>
      <c r="S26" s="292">
        <f t="shared" si="33"/>
        <v>0</v>
      </c>
      <c r="T26" s="449"/>
      <c r="U26" s="560">
        <f t="shared" si="34"/>
        <v>0</v>
      </c>
      <c r="V26" s="292">
        <f t="shared" si="29"/>
        <v>0</v>
      </c>
      <c r="W26" s="449"/>
      <c r="X26" s="560">
        <f t="shared" si="13"/>
        <v>0</v>
      </c>
      <c r="Y26" s="292">
        <f t="shared" si="14"/>
        <v>0</v>
      </c>
      <c r="Z26" s="449"/>
      <c r="AA26" s="560">
        <f t="shared" si="15"/>
        <v>0</v>
      </c>
      <c r="AB26" s="758">
        <f t="shared" si="21"/>
        <v>0</v>
      </c>
      <c r="AC26" s="759"/>
      <c r="AD26" s="761">
        <f t="shared" si="22"/>
        <v>0</v>
      </c>
      <c r="AE26" s="292">
        <f t="shared" si="16"/>
        <v>0</v>
      </c>
      <c r="AF26" s="450"/>
      <c r="AG26" s="560">
        <f t="shared" si="17"/>
        <v>0</v>
      </c>
      <c r="AH26" s="292">
        <f t="shared" si="18"/>
        <v>0</v>
      </c>
      <c r="AI26" s="450"/>
      <c r="AJ26" s="560">
        <f t="shared" si="19"/>
        <v>0</v>
      </c>
      <c r="AK26" s="371">
        <f t="shared" si="2"/>
        <v>0</v>
      </c>
      <c r="AL26" s="449"/>
      <c r="AM26" s="560">
        <f t="shared" si="28"/>
        <v>0</v>
      </c>
      <c r="AN26" s="454">
        <f t="shared" si="23"/>
        <v>0</v>
      </c>
    </row>
    <row r="27" spans="1:40" ht="23.1" customHeight="1">
      <c r="A27" s="58">
        <f>Gen!B32</f>
        <v>44096</v>
      </c>
      <c r="B27" s="4"/>
      <c r="C27" s="97">
        <f>D26</f>
        <v>0</v>
      </c>
      <c r="D27" s="1"/>
      <c r="E27" s="559">
        <f t="shared" si="27"/>
        <v>0</v>
      </c>
      <c r="F27" s="97">
        <f t="shared" ref="F27:F31" si="37">G27</f>
        <v>0</v>
      </c>
      <c r="G27" s="452"/>
      <c r="H27" s="559">
        <f t="shared" si="35"/>
        <v>0</v>
      </c>
      <c r="I27" s="97">
        <f t="shared" si="30"/>
        <v>0</v>
      </c>
      <c r="J27" s="1"/>
      <c r="K27" s="559">
        <f t="shared" si="25"/>
        <v>0</v>
      </c>
      <c r="L27" s="97">
        <f t="shared" si="31"/>
        <v>0</v>
      </c>
      <c r="M27" s="1"/>
      <c r="N27" s="559">
        <f t="shared" si="32"/>
        <v>0</v>
      </c>
      <c r="O27" s="97">
        <f t="shared" si="36"/>
        <v>0</v>
      </c>
      <c r="P27" s="448"/>
      <c r="Q27" s="559">
        <f t="shared" si="1"/>
        <v>0</v>
      </c>
      <c r="R27" s="297"/>
      <c r="S27" s="292">
        <f t="shared" si="33"/>
        <v>0</v>
      </c>
      <c r="T27" s="449"/>
      <c r="U27" s="560">
        <f t="shared" si="34"/>
        <v>0</v>
      </c>
      <c r="V27" s="292">
        <f t="shared" si="29"/>
        <v>0</v>
      </c>
      <c r="W27" s="449"/>
      <c r="X27" s="560">
        <f t="shared" si="13"/>
        <v>0</v>
      </c>
      <c r="Y27" s="292">
        <f t="shared" si="14"/>
        <v>0</v>
      </c>
      <c r="Z27" s="449"/>
      <c r="AA27" s="560">
        <f t="shared" si="15"/>
        <v>0</v>
      </c>
      <c r="AB27" s="758">
        <f t="shared" si="21"/>
        <v>0</v>
      </c>
      <c r="AC27" s="759"/>
      <c r="AD27" s="761">
        <f t="shared" si="22"/>
        <v>0</v>
      </c>
      <c r="AE27" s="292">
        <f t="shared" si="16"/>
        <v>0</v>
      </c>
      <c r="AF27" s="450"/>
      <c r="AG27" s="560">
        <f t="shared" si="17"/>
        <v>0</v>
      </c>
      <c r="AH27" s="292">
        <f t="shared" si="18"/>
        <v>0</v>
      </c>
      <c r="AI27" s="450"/>
      <c r="AJ27" s="560">
        <f t="shared" si="19"/>
        <v>0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0</v>
      </c>
    </row>
    <row r="28" spans="1:40" ht="23.1" customHeight="1">
      <c r="A28" s="58">
        <f>Gen!B33</f>
        <v>44097</v>
      </c>
      <c r="B28" s="4"/>
      <c r="C28" s="97">
        <f t="shared" ref="C28:C37" si="38">D27</f>
        <v>0</v>
      </c>
      <c r="D28" s="1"/>
      <c r="E28" s="559">
        <f t="shared" si="27"/>
        <v>0</v>
      </c>
      <c r="F28" s="97">
        <f t="shared" si="37"/>
        <v>0</v>
      </c>
      <c r="G28" s="452"/>
      <c r="H28" s="559">
        <f t="shared" ref="H28:H37" si="39">IF((G28-G27)&lt;0,"0",(G28-G27))</f>
        <v>0</v>
      </c>
      <c r="I28" s="97">
        <f t="shared" si="30"/>
        <v>0</v>
      </c>
      <c r="J28" s="1"/>
      <c r="K28" s="559">
        <f>IF((J28-J27)&lt;0,"0",(J28-J27))</f>
        <v>0</v>
      </c>
      <c r="L28" s="97">
        <f t="shared" si="31"/>
        <v>0</v>
      </c>
      <c r="M28" s="1"/>
      <c r="N28" s="559">
        <f t="shared" si="32"/>
        <v>0</v>
      </c>
      <c r="O28" s="97">
        <f t="shared" si="36"/>
        <v>0</v>
      </c>
      <c r="P28" s="448"/>
      <c r="Q28" s="559">
        <f t="shared" ref="Q28:Q37" si="40">IF((P28-P27)&lt;0,"0",(P28-P27))</f>
        <v>0</v>
      </c>
      <c r="R28" s="297"/>
      <c r="S28" s="292">
        <f t="shared" si="33"/>
        <v>0</v>
      </c>
      <c r="T28" s="449"/>
      <c r="U28" s="560">
        <f t="shared" si="34"/>
        <v>0</v>
      </c>
      <c r="V28" s="292">
        <f t="shared" si="29"/>
        <v>0</v>
      </c>
      <c r="W28" s="449"/>
      <c r="X28" s="560">
        <f t="shared" si="13"/>
        <v>0</v>
      </c>
      <c r="Y28" s="292">
        <f t="shared" si="14"/>
        <v>0</v>
      </c>
      <c r="Z28" s="449"/>
      <c r="AA28" s="560">
        <f t="shared" si="15"/>
        <v>0</v>
      </c>
      <c r="AB28" s="758">
        <f t="shared" si="21"/>
        <v>0</v>
      </c>
      <c r="AC28" s="759"/>
      <c r="AD28" s="761">
        <f t="shared" si="22"/>
        <v>0</v>
      </c>
      <c r="AE28" s="292">
        <f t="shared" si="16"/>
        <v>0</v>
      </c>
      <c r="AF28" s="450"/>
      <c r="AG28" s="560">
        <f t="shared" si="17"/>
        <v>0</v>
      </c>
      <c r="AH28" s="292">
        <f t="shared" si="18"/>
        <v>0</v>
      </c>
      <c r="AI28" s="450"/>
      <c r="AJ28" s="560">
        <f t="shared" si="19"/>
        <v>0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0</v>
      </c>
    </row>
    <row r="29" spans="1:40" ht="23.1" customHeight="1">
      <c r="A29" s="58">
        <f>Gen!B34</f>
        <v>44098</v>
      </c>
      <c r="B29" s="4"/>
      <c r="C29" s="97">
        <f t="shared" si="38"/>
        <v>0</v>
      </c>
      <c r="D29" s="1"/>
      <c r="E29" s="559">
        <f t="shared" si="27"/>
        <v>0</v>
      </c>
      <c r="F29" s="97">
        <f t="shared" si="37"/>
        <v>0</v>
      </c>
      <c r="G29" s="452"/>
      <c r="H29" s="559">
        <f t="shared" si="39"/>
        <v>0</v>
      </c>
      <c r="I29" s="97">
        <f t="shared" si="30"/>
        <v>0</v>
      </c>
      <c r="J29" s="1"/>
      <c r="K29" s="559">
        <f t="shared" ref="K29:K37" si="41">IF((J29-J28)&lt;0,"0",(J29-J28))</f>
        <v>0</v>
      </c>
      <c r="L29" s="97">
        <f t="shared" si="31"/>
        <v>0</v>
      </c>
      <c r="M29" s="1"/>
      <c r="N29" s="559">
        <f t="shared" si="32"/>
        <v>0</v>
      </c>
      <c r="O29" s="97">
        <f t="shared" si="36"/>
        <v>0</v>
      </c>
      <c r="P29" s="448"/>
      <c r="Q29" s="559">
        <f t="shared" si="40"/>
        <v>0</v>
      </c>
      <c r="R29" s="297"/>
      <c r="S29" s="292">
        <f t="shared" si="33"/>
        <v>0</v>
      </c>
      <c r="T29" s="449"/>
      <c r="U29" s="560">
        <f t="shared" si="34"/>
        <v>0</v>
      </c>
      <c r="V29" s="292">
        <f t="shared" si="29"/>
        <v>0</v>
      </c>
      <c r="W29" s="449"/>
      <c r="X29" s="560">
        <f t="shared" si="13"/>
        <v>0</v>
      </c>
      <c r="Y29" s="292">
        <f t="shared" si="14"/>
        <v>0</v>
      </c>
      <c r="Z29" s="449"/>
      <c r="AA29" s="560">
        <f t="shared" si="15"/>
        <v>0</v>
      </c>
      <c r="AB29" s="758">
        <f t="shared" si="21"/>
        <v>0</v>
      </c>
      <c r="AC29" s="759"/>
      <c r="AD29" s="761">
        <f t="shared" si="22"/>
        <v>0</v>
      </c>
      <c r="AE29" s="292">
        <f t="shared" si="16"/>
        <v>0</v>
      </c>
      <c r="AF29" s="450"/>
      <c r="AG29" s="560">
        <f t="shared" si="17"/>
        <v>0</v>
      </c>
      <c r="AH29" s="292">
        <f t="shared" si="18"/>
        <v>0</v>
      </c>
      <c r="AI29" s="450"/>
      <c r="AJ29" s="560">
        <f t="shared" si="19"/>
        <v>0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0</v>
      </c>
    </row>
    <row r="30" spans="1:40" ht="23.1" customHeight="1">
      <c r="A30" s="58">
        <f>Gen!B35</f>
        <v>44099</v>
      </c>
      <c r="B30" s="4"/>
      <c r="C30" s="97">
        <f t="shared" si="38"/>
        <v>0</v>
      </c>
      <c r="D30" s="1"/>
      <c r="E30" s="559">
        <f t="shared" si="27"/>
        <v>0</v>
      </c>
      <c r="F30" s="97">
        <f t="shared" si="37"/>
        <v>0</v>
      </c>
      <c r="G30" s="452"/>
      <c r="H30" s="559">
        <f t="shared" si="39"/>
        <v>0</v>
      </c>
      <c r="I30" s="97">
        <f t="shared" si="30"/>
        <v>0</v>
      </c>
      <c r="J30" s="1"/>
      <c r="K30" s="559">
        <f t="shared" si="41"/>
        <v>0</v>
      </c>
      <c r="L30" s="97">
        <f t="shared" si="31"/>
        <v>0</v>
      </c>
      <c r="M30" s="1"/>
      <c r="N30" s="559">
        <f t="shared" si="32"/>
        <v>0</v>
      </c>
      <c r="O30" s="97">
        <f t="shared" si="36"/>
        <v>0</v>
      </c>
      <c r="P30" s="448"/>
      <c r="Q30" s="559">
        <f t="shared" si="40"/>
        <v>0</v>
      </c>
      <c r="R30" s="297"/>
      <c r="S30" s="292">
        <f t="shared" si="33"/>
        <v>0</v>
      </c>
      <c r="T30" s="449"/>
      <c r="U30" s="560">
        <f t="shared" si="34"/>
        <v>0</v>
      </c>
      <c r="V30" s="292">
        <f t="shared" si="29"/>
        <v>0</v>
      </c>
      <c r="W30" s="449"/>
      <c r="X30" s="560">
        <f t="shared" si="13"/>
        <v>0</v>
      </c>
      <c r="Y30" s="292">
        <f t="shared" si="14"/>
        <v>0</v>
      </c>
      <c r="Z30" s="449"/>
      <c r="AA30" s="560">
        <f t="shared" si="15"/>
        <v>0</v>
      </c>
      <c r="AB30" s="758">
        <f t="shared" si="21"/>
        <v>0</v>
      </c>
      <c r="AC30" s="759"/>
      <c r="AD30" s="761">
        <f t="shared" si="22"/>
        <v>0</v>
      </c>
      <c r="AE30" s="292">
        <f t="shared" si="16"/>
        <v>0</v>
      </c>
      <c r="AF30" s="450"/>
      <c r="AG30" s="560">
        <f t="shared" si="17"/>
        <v>0</v>
      </c>
      <c r="AH30" s="292">
        <f t="shared" si="18"/>
        <v>0</v>
      </c>
      <c r="AI30" s="450"/>
      <c r="AJ30" s="560">
        <f t="shared" si="19"/>
        <v>0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0</v>
      </c>
    </row>
    <row r="31" spans="1:40" ht="23.1" customHeight="1">
      <c r="A31" s="58">
        <f>Gen!B36</f>
        <v>44100</v>
      </c>
      <c r="B31" s="4"/>
      <c r="C31" s="97">
        <f t="shared" si="38"/>
        <v>0</v>
      </c>
      <c r="D31" s="1"/>
      <c r="E31" s="559">
        <f t="shared" si="27"/>
        <v>0</v>
      </c>
      <c r="F31" s="97">
        <f t="shared" si="37"/>
        <v>0</v>
      </c>
      <c r="G31" s="452"/>
      <c r="H31" s="559">
        <f t="shared" si="39"/>
        <v>0</v>
      </c>
      <c r="I31" s="97">
        <f t="shared" si="30"/>
        <v>0</v>
      </c>
      <c r="J31" s="1"/>
      <c r="K31" s="559">
        <f t="shared" si="41"/>
        <v>0</v>
      </c>
      <c r="L31" s="97">
        <f t="shared" si="31"/>
        <v>0</v>
      </c>
      <c r="M31" s="1"/>
      <c r="N31" s="559">
        <f t="shared" si="32"/>
        <v>0</v>
      </c>
      <c r="O31" s="97">
        <f t="shared" si="36"/>
        <v>0</v>
      </c>
      <c r="P31" s="448"/>
      <c r="Q31" s="559">
        <f t="shared" si="40"/>
        <v>0</v>
      </c>
      <c r="R31" s="297"/>
      <c r="S31" s="292">
        <f t="shared" si="33"/>
        <v>0</v>
      </c>
      <c r="T31" s="449"/>
      <c r="U31" s="560">
        <f t="shared" si="34"/>
        <v>0</v>
      </c>
      <c r="V31" s="292">
        <f t="shared" si="29"/>
        <v>0</v>
      </c>
      <c r="W31" s="449"/>
      <c r="X31" s="560">
        <f t="shared" si="13"/>
        <v>0</v>
      </c>
      <c r="Y31" s="292">
        <f t="shared" si="14"/>
        <v>0</v>
      </c>
      <c r="Z31" s="449"/>
      <c r="AA31" s="560">
        <f t="shared" si="15"/>
        <v>0</v>
      </c>
      <c r="AB31" s="758">
        <f t="shared" si="21"/>
        <v>0</v>
      </c>
      <c r="AC31" s="759"/>
      <c r="AD31" s="761">
        <f t="shared" si="22"/>
        <v>0</v>
      </c>
      <c r="AE31" s="292">
        <f t="shared" si="16"/>
        <v>0</v>
      </c>
      <c r="AF31" s="450"/>
      <c r="AG31" s="560">
        <f t="shared" si="17"/>
        <v>0</v>
      </c>
      <c r="AH31" s="292">
        <f t="shared" si="18"/>
        <v>0</v>
      </c>
      <c r="AI31" s="450"/>
      <c r="AJ31" s="560">
        <f t="shared" si="19"/>
        <v>0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0</v>
      </c>
    </row>
    <row r="32" spans="1:40" ht="23.1" customHeight="1">
      <c r="A32" s="58">
        <f>Gen!B37</f>
        <v>44101</v>
      </c>
      <c r="B32" s="4" t="s">
        <v>27</v>
      </c>
      <c r="C32" s="97">
        <f t="shared" si="38"/>
        <v>0</v>
      </c>
      <c r="D32" s="1"/>
      <c r="E32" s="559">
        <f t="shared" si="27"/>
        <v>0</v>
      </c>
      <c r="F32" s="97">
        <f t="shared" si="4"/>
        <v>0</v>
      </c>
      <c r="G32" s="452"/>
      <c r="H32" s="559">
        <f t="shared" si="39"/>
        <v>0</v>
      </c>
      <c r="I32" s="97">
        <f t="shared" si="30"/>
        <v>0</v>
      </c>
      <c r="J32" s="1"/>
      <c r="K32" s="559">
        <f t="shared" si="41"/>
        <v>0</v>
      </c>
      <c r="L32" s="97">
        <f t="shared" si="31"/>
        <v>0</v>
      </c>
      <c r="M32" s="1"/>
      <c r="N32" s="559">
        <f t="shared" si="32"/>
        <v>0</v>
      </c>
      <c r="O32" s="97">
        <f t="shared" si="36"/>
        <v>0</v>
      </c>
      <c r="P32" s="448"/>
      <c r="Q32" s="559">
        <f t="shared" si="40"/>
        <v>0</v>
      </c>
      <c r="R32" s="297"/>
      <c r="S32" s="292">
        <f t="shared" si="33"/>
        <v>0</v>
      </c>
      <c r="T32" s="449"/>
      <c r="U32" s="560">
        <f t="shared" si="34"/>
        <v>0</v>
      </c>
      <c r="V32" s="292">
        <f t="shared" si="29"/>
        <v>0</v>
      </c>
      <c r="W32" s="449"/>
      <c r="X32" s="560">
        <f t="shared" si="13"/>
        <v>0</v>
      </c>
      <c r="Y32" s="292">
        <f t="shared" si="14"/>
        <v>0</v>
      </c>
      <c r="Z32" s="449"/>
      <c r="AA32" s="560">
        <f t="shared" si="15"/>
        <v>0</v>
      </c>
      <c r="AB32" s="758">
        <f t="shared" si="21"/>
        <v>0</v>
      </c>
      <c r="AC32" s="759"/>
      <c r="AD32" s="761">
        <f t="shared" si="22"/>
        <v>0</v>
      </c>
      <c r="AE32" s="292">
        <f t="shared" si="16"/>
        <v>0</v>
      </c>
      <c r="AF32" s="450"/>
      <c r="AG32" s="560">
        <f t="shared" si="17"/>
        <v>0</v>
      </c>
      <c r="AH32" s="292">
        <f t="shared" si="18"/>
        <v>0</v>
      </c>
      <c r="AI32" s="450"/>
      <c r="AJ32" s="560">
        <f t="shared" si="19"/>
        <v>0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0</v>
      </c>
    </row>
    <row r="33" spans="1:41" ht="23.1" customHeight="1">
      <c r="A33" s="58">
        <f>Gen!B38</f>
        <v>44102</v>
      </c>
      <c r="B33" s="4"/>
      <c r="C33" s="97">
        <f t="shared" si="38"/>
        <v>0</v>
      </c>
      <c r="D33" s="1"/>
      <c r="E33" s="559">
        <f t="shared" si="27"/>
        <v>0</v>
      </c>
      <c r="F33" s="97">
        <f t="shared" si="4"/>
        <v>0</v>
      </c>
      <c r="G33" s="452"/>
      <c r="H33" s="559">
        <f t="shared" si="39"/>
        <v>0</v>
      </c>
      <c r="I33" s="97">
        <f t="shared" si="30"/>
        <v>0</v>
      </c>
      <c r="J33" s="1"/>
      <c r="K33" s="559">
        <f t="shared" si="41"/>
        <v>0</v>
      </c>
      <c r="L33" s="97">
        <f t="shared" si="31"/>
        <v>0</v>
      </c>
      <c r="M33" s="1"/>
      <c r="N33" s="559">
        <f t="shared" si="32"/>
        <v>0</v>
      </c>
      <c r="O33" s="97">
        <f t="shared" si="36"/>
        <v>0</v>
      </c>
      <c r="P33" s="448"/>
      <c r="Q33" s="559">
        <f t="shared" si="40"/>
        <v>0</v>
      </c>
      <c r="R33" s="297"/>
      <c r="S33" s="292">
        <f t="shared" si="33"/>
        <v>0</v>
      </c>
      <c r="T33" s="449"/>
      <c r="U33" s="560">
        <f t="shared" si="34"/>
        <v>0</v>
      </c>
      <c r="V33" s="292">
        <f t="shared" si="29"/>
        <v>0</v>
      </c>
      <c r="W33" s="449"/>
      <c r="X33" s="560">
        <f t="shared" si="13"/>
        <v>0</v>
      </c>
      <c r="Y33" s="292">
        <f t="shared" si="14"/>
        <v>0</v>
      </c>
      <c r="Z33" s="449"/>
      <c r="AA33" s="560">
        <f t="shared" si="15"/>
        <v>0</v>
      </c>
      <c r="AB33" s="758">
        <f t="shared" si="21"/>
        <v>0</v>
      </c>
      <c r="AC33" s="293"/>
      <c r="AD33" s="761">
        <f t="shared" si="22"/>
        <v>0</v>
      </c>
      <c r="AE33" s="292">
        <f t="shared" si="16"/>
        <v>0</v>
      </c>
      <c r="AF33" s="450"/>
      <c r="AG33" s="560">
        <f t="shared" si="17"/>
        <v>0</v>
      </c>
      <c r="AH33" s="292">
        <f t="shared" si="18"/>
        <v>0</v>
      </c>
      <c r="AI33" s="450"/>
      <c r="AJ33" s="560">
        <f t="shared" si="19"/>
        <v>0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0</v>
      </c>
    </row>
    <row r="34" spans="1:41" ht="23.1" customHeight="1">
      <c r="A34" s="58">
        <f>Gen!B39</f>
        <v>44103</v>
      </c>
      <c r="B34" s="169"/>
      <c r="C34" s="97">
        <f t="shared" si="38"/>
        <v>0</v>
      </c>
      <c r="D34" s="1"/>
      <c r="E34" s="559">
        <f t="shared" si="27"/>
        <v>0</v>
      </c>
      <c r="F34" s="97">
        <f t="shared" si="4"/>
        <v>0</v>
      </c>
      <c r="G34" s="452"/>
      <c r="H34" s="559">
        <f t="shared" si="39"/>
        <v>0</v>
      </c>
      <c r="I34" s="97">
        <f t="shared" si="30"/>
        <v>0</v>
      </c>
      <c r="J34" s="1"/>
      <c r="K34" s="559">
        <f t="shared" si="41"/>
        <v>0</v>
      </c>
      <c r="L34" s="97">
        <f t="shared" si="31"/>
        <v>0</v>
      </c>
      <c r="M34" s="1"/>
      <c r="N34" s="559">
        <f t="shared" si="32"/>
        <v>0</v>
      </c>
      <c r="O34" s="97">
        <f t="shared" si="36"/>
        <v>0</v>
      </c>
      <c r="P34" s="448"/>
      <c r="Q34" s="559">
        <f t="shared" si="40"/>
        <v>0</v>
      </c>
      <c r="R34" s="297"/>
      <c r="S34" s="292">
        <f t="shared" si="33"/>
        <v>0</v>
      </c>
      <c r="T34" s="449"/>
      <c r="U34" s="560">
        <f t="shared" si="34"/>
        <v>0</v>
      </c>
      <c r="V34" s="292">
        <f t="shared" si="29"/>
        <v>0</v>
      </c>
      <c r="W34" s="449"/>
      <c r="X34" s="560">
        <f t="shared" si="13"/>
        <v>0</v>
      </c>
      <c r="Y34" s="292">
        <f t="shared" si="14"/>
        <v>0</v>
      </c>
      <c r="Z34" s="449"/>
      <c r="AA34" s="560">
        <f t="shared" si="15"/>
        <v>0</v>
      </c>
      <c r="AB34" s="758">
        <f t="shared" si="21"/>
        <v>0</v>
      </c>
      <c r="AC34" s="293"/>
      <c r="AD34" s="761">
        <f t="shared" si="22"/>
        <v>0</v>
      </c>
      <c r="AE34" s="292">
        <f t="shared" si="16"/>
        <v>0</v>
      </c>
      <c r="AF34" s="450"/>
      <c r="AG34" s="560">
        <f t="shared" si="17"/>
        <v>0</v>
      </c>
      <c r="AH34" s="292">
        <f t="shared" si="18"/>
        <v>0</v>
      </c>
      <c r="AI34" s="450"/>
      <c r="AJ34" s="560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0</v>
      </c>
    </row>
    <row r="35" spans="1:41" ht="23.1" customHeight="1">
      <c r="A35" s="58">
        <f>Gen!B40</f>
        <v>44104</v>
      </c>
      <c r="B35" s="169"/>
      <c r="C35" s="97">
        <f t="shared" si="38"/>
        <v>0</v>
      </c>
      <c r="D35" s="1"/>
      <c r="E35" s="559">
        <f t="shared" si="27"/>
        <v>0</v>
      </c>
      <c r="F35" s="97">
        <f t="shared" si="4"/>
        <v>0</v>
      </c>
      <c r="G35" s="452"/>
      <c r="H35" s="559">
        <f t="shared" si="39"/>
        <v>0</v>
      </c>
      <c r="I35" s="97">
        <f t="shared" si="30"/>
        <v>0</v>
      </c>
      <c r="J35" s="1"/>
      <c r="K35" s="559">
        <f t="shared" si="41"/>
        <v>0</v>
      </c>
      <c r="L35" s="97">
        <f t="shared" si="31"/>
        <v>0</v>
      </c>
      <c r="M35" s="1"/>
      <c r="N35" s="559">
        <f t="shared" si="32"/>
        <v>0</v>
      </c>
      <c r="O35" s="97">
        <f t="shared" si="36"/>
        <v>0</v>
      </c>
      <c r="P35" s="448"/>
      <c r="Q35" s="559">
        <f t="shared" si="40"/>
        <v>0</v>
      </c>
      <c r="R35" s="297"/>
      <c r="S35" s="292">
        <f t="shared" si="33"/>
        <v>0</v>
      </c>
      <c r="T35" s="449"/>
      <c r="U35" s="560">
        <f t="shared" si="34"/>
        <v>0</v>
      </c>
      <c r="V35" s="292">
        <f t="shared" si="29"/>
        <v>0</v>
      </c>
      <c r="W35" s="449"/>
      <c r="X35" s="560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8">
        <f t="shared" si="21"/>
        <v>0</v>
      </c>
      <c r="AC35" s="293"/>
      <c r="AD35" s="761">
        <f t="shared" si="22"/>
        <v>0</v>
      </c>
      <c r="AE35" s="292">
        <f t="shared" si="16"/>
        <v>0</v>
      </c>
      <c r="AF35" s="450"/>
      <c r="AG35" s="560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8"/>
        <v>0</v>
      </c>
      <c r="D36" s="1"/>
      <c r="E36" s="559">
        <f t="shared" si="27"/>
        <v>0</v>
      </c>
      <c r="F36" s="97">
        <f t="shared" si="4"/>
        <v>0</v>
      </c>
      <c r="G36" s="452"/>
      <c r="H36" s="559">
        <f t="shared" si="39"/>
        <v>0</v>
      </c>
      <c r="I36" s="97">
        <f t="shared" si="30"/>
        <v>0</v>
      </c>
      <c r="J36" s="1"/>
      <c r="K36" s="559">
        <f t="shared" si="41"/>
        <v>0</v>
      </c>
      <c r="L36" s="97">
        <f t="shared" si="31"/>
        <v>0</v>
      </c>
      <c r="M36" s="1"/>
      <c r="N36" s="559">
        <f t="shared" si="32"/>
        <v>0</v>
      </c>
      <c r="O36" s="97">
        <f t="shared" si="36"/>
        <v>0</v>
      </c>
      <c r="P36" s="448"/>
      <c r="Q36" s="559">
        <f t="shared" si="40"/>
        <v>0</v>
      </c>
      <c r="R36" s="297"/>
      <c r="S36" s="292">
        <f t="shared" si="33"/>
        <v>0</v>
      </c>
      <c r="T36" s="449"/>
      <c r="U36" s="560">
        <f t="shared" si="34"/>
        <v>0</v>
      </c>
      <c r="V36" s="292">
        <f t="shared" si="29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8">
        <f t="shared" si="21"/>
        <v>0</v>
      </c>
      <c r="AC36" s="293"/>
      <c r="AD36" s="761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8"/>
        <v>0</v>
      </c>
      <c r="D37" s="1"/>
      <c r="E37" s="559">
        <f t="shared" si="27"/>
        <v>0</v>
      </c>
      <c r="F37" s="97">
        <f t="shared" si="4"/>
        <v>0</v>
      </c>
      <c r="G37" s="452"/>
      <c r="H37" s="559">
        <f t="shared" si="39"/>
        <v>0</v>
      </c>
      <c r="I37" s="97">
        <f t="shared" si="30"/>
        <v>0</v>
      </c>
      <c r="J37" s="1"/>
      <c r="K37" s="559">
        <f t="shared" si="41"/>
        <v>0</v>
      </c>
      <c r="L37" s="97">
        <f t="shared" si="31"/>
        <v>0</v>
      </c>
      <c r="M37" s="1"/>
      <c r="N37" s="559">
        <f t="shared" si="32"/>
        <v>0</v>
      </c>
      <c r="O37" s="97">
        <f t="shared" si="36"/>
        <v>0</v>
      </c>
      <c r="P37" s="448"/>
      <c r="Q37" s="559">
        <f t="shared" si="40"/>
        <v>0</v>
      </c>
      <c r="R37" s="297"/>
      <c r="S37" s="292">
        <f t="shared" si="33"/>
        <v>0</v>
      </c>
      <c r="T37" s="449"/>
      <c r="U37" s="560">
        <f t="shared" si="34"/>
        <v>0</v>
      </c>
      <c r="V37" s="292">
        <f t="shared" si="29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8">
        <f t="shared" si="21"/>
        <v>0</v>
      </c>
      <c r="AC37" s="293"/>
      <c r="AD37" s="761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2">U38+X38+AA38+AD38+AG38+AJ38+AM38</f>
        <v>444</v>
      </c>
    </row>
    <row r="38" spans="1:41" ht="18.75">
      <c r="A38" s="58"/>
      <c r="B38" s="22"/>
      <c r="C38" s="837" t="s">
        <v>6</v>
      </c>
      <c r="D38" s="837"/>
      <c r="E38" s="23">
        <f>SUM(E6:E36)</f>
        <v>425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9</v>
      </c>
      <c r="L38" s="168"/>
      <c r="M38" s="168"/>
      <c r="N38" s="29">
        <f t="shared" ref="N38" si="43">M38-M37</f>
        <v>0</v>
      </c>
      <c r="O38" s="27"/>
      <c r="P38" s="294"/>
      <c r="Q38" s="295">
        <f t="shared" ref="Q38" si="44">P38-O38</f>
        <v>0</v>
      </c>
      <c r="R38" s="296">
        <f>E38</f>
        <v>425</v>
      </c>
      <c r="S38" s="294"/>
      <c r="T38" s="294"/>
      <c r="U38" s="304">
        <f>SUM(U6:U37)</f>
        <v>444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5">IF((AI39-AI37)&lt;0,"0",(AI39-AI37))</f>
        <v>0</v>
      </c>
      <c r="AK38" s="294"/>
      <c r="AL38" s="294"/>
      <c r="AM38" s="294"/>
      <c r="AN38" s="300">
        <f t="shared" ref="AN38" si="46">U38+X38+AA38+AD38+AG38+AJ38+AM38</f>
        <v>444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63"/>
      <c r="B42" s="328"/>
      <c r="C42" s="860" t="s">
        <v>222</v>
      </c>
      <c r="D42" s="861"/>
      <c r="E42" s="861"/>
      <c r="F42" s="861"/>
      <c r="G42" s="861"/>
      <c r="H42" s="861"/>
      <c r="I42" s="861"/>
      <c r="J42" s="861"/>
      <c r="K42" s="862"/>
      <c r="R42" s="20"/>
    </row>
    <row r="43" spans="1:41" ht="24.75" customHeight="1">
      <c r="A43" s="864"/>
      <c r="B43" s="20"/>
      <c r="C43" s="866" t="s">
        <v>216</v>
      </c>
      <c r="D43" s="867"/>
      <c r="E43" s="868" t="s">
        <v>237</v>
      </c>
      <c r="F43" s="869"/>
      <c r="G43" s="870" t="s">
        <v>217</v>
      </c>
      <c r="H43" s="871"/>
      <c r="I43" s="870" t="s">
        <v>238</v>
      </c>
      <c r="J43" s="871"/>
      <c r="K43" s="858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64"/>
      <c r="B44" s="20"/>
      <c r="C44" s="872" t="s">
        <v>218</v>
      </c>
      <c r="D44" s="873"/>
      <c r="E44" s="872" t="s">
        <v>219</v>
      </c>
      <c r="F44" s="873"/>
      <c r="G44" s="872" t="s">
        <v>220</v>
      </c>
      <c r="H44" s="873"/>
      <c r="I44" s="872" t="s">
        <v>221</v>
      </c>
      <c r="J44" s="873"/>
      <c r="K44" s="859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65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7">C46*217/300</f>
        <v>206.15</v>
      </c>
      <c r="E46" s="6">
        <v>215</v>
      </c>
      <c r="F46" s="382">
        <f t="shared" ref="F46:F77" si="48">E46*92/305</f>
        <v>64.852459016393439</v>
      </c>
      <c r="G46" s="562">
        <v>205</v>
      </c>
      <c r="H46" s="382">
        <f t="shared" ref="H46:H77" si="49">G46*146/383</f>
        <v>78.146214099216706</v>
      </c>
      <c r="I46" s="6">
        <v>298</v>
      </c>
      <c r="J46" s="382">
        <f t="shared" ref="J46:J77" si="50">I46*213/308</f>
        <v>206.08441558441558</v>
      </c>
      <c r="K46" s="388">
        <f>D46+F46+H46+J46</f>
        <v>555.23308870002575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44076</v>
      </c>
      <c r="B47" s="20"/>
      <c r="C47" s="63">
        <v>245</v>
      </c>
      <c r="D47" s="382">
        <f t="shared" si="47"/>
        <v>177.21666666666667</v>
      </c>
      <c r="E47" s="6">
        <v>200</v>
      </c>
      <c r="F47" s="382">
        <f t="shared" si="48"/>
        <v>60.327868852459019</v>
      </c>
      <c r="G47" s="562">
        <v>300</v>
      </c>
      <c r="H47" s="382">
        <f t="shared" si="49"/>
        <v>114.36031331592689</v>
      </c>
      <c r="I47" s="6">
        <v>298</v>
      </c>
      <c r="J47" s="382">
        <f t="shared" si="50"/>
        <v>206.08441558441558</v>
      </c>
      <c r="K47" s="388">
        <f t="shared" ref="K47:K77" si="51">D47+F47+H47+J47</f>
        <v>557.9892644194681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44077</v>
      </c>
      <c r="B48" s="20"/>
      <c r="C48" s="63">
        <v>300</v>
      </c>
      <c r="D48" s="382">
        <f t="shared" si="47"/>
        <v>217</v>
      </c>
      <c r="E48" s="6">
        <v>295</v>
      </c>
      <c r="F48" s="382">
        <f t="shared" si="48"/>
        <v>88.983606557377044</v>
      </c>
      <c r="G48" s="562">
        <v>185</v>
      </c>
      <c r="H48" s="382">
        <f t="shared" si="49"/>
        <v>70.522193211488258</v>
      </c>
      <c r="I48" s="6">
        <v>308</v>
      </c>
      <c r="J48" s="382">
        <f t="shared" si="50"/>
        <v>213</v>
      </c>
      <c r="K48" s="388">
        <f t="shared" si="51"/>
        <v>589.50579976886524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44078</v>
      </c>
      <c r="B49" s="20"/>
      <c r="C49" s="63">
        <v>295</v>
      </c>
      <c r="D49" s="382">
        <f t="shared" si="47"/>
        <v>213.38333333333333</v>
      </c>
      <c r="E49" s="6">
        <v>260</v>
      </c>
      <c r="F49" s="382">
        <f t="shared" si="48"/>
        <v>78.426229508196727</v>
      </c>
      <c r="G49" s="562">
        <v>280</v>
      </c>
      <c r="H49" s="382">
        <f t="shared" si="49"/>
        <v>106.73629242819844</v>
      </c>
      <c r="I49" s="6">
        <v>298</v>
      </c>
      <c r="J49" s="382">
        <f t="shared" si="50"/>
        <v>206.08441558441558</v>
      </c>
      <c r="K49" s="388">
        <f t="shared" si="51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7"/>
        <v>202.53333333333333</v>
      </c>
      <c r="E50" s="6">
        <v>255</v>
      </c>
      <c r="F50" s="382">
        <f t="shared" si="48"/>
        <v>76.918032786885249</v>
      </c>
      <c r="G50" s="562">
        <v>300</v>
      </c>
      <c r="H50" s="382">
        <f t="shared" si="49"/>
        <v>114.36031331592689</v>
      </c>
      <c r="I50" s="6">
        <v>298</v>
      </c>
      <c r="J50" s="382">
        <f t="shared" si="50"/>
        <v>206.08441558441558</v>
      </c>
      <c r="K50" s="388">
        <f t="shared" si="51"/>
        <v>599.89609502056101</v>
      </c>
    </row>
    <row r="51" spans="1:15" ht="13.5">
      <c r="A51" s="345">
        <f>Gen!B16</f>
        <v>44080</v>
      </c>
      <c r="B51" s="20"/>
      <c r="C51" s="63">
        <v>300</v>
      </c>
      <c r="D51" s="382">
        <f t="shared" si="47"/>
        <v>217</v>
      </c>
      <c r="E51" s="6">
        <v>235</v>
      </c>
      <c r="F51" s="382">
        <f t="shared" si="48"/>
        <v>70.885245901639351</v>
      </c>
      <c r="G51" s="562">
        <v>195</v>
      </c>
      <c r="H51" s="382">
        <f t="shared" si="49"/>
        <v>74.334203655352482</v>
      </c>
      <c r="I51" s="6">
        <v>298</v>
      </c>
      <c r="J51" s="382">
        <f t="shared" si="50"/>
        <v>206.08441558441558</v>
      </c>
      <c r="K51" s="388">
        <f t="shared" si="51"/>
        <v>568.30386514140741</v>
      </c>
    </row>
    <row r="52" spans="1:15" ht="13.5">
      <c r="A52" s="345">
        <f>Gen!B17</f>
        <v>44081</v>
      </c>
      <c r="B52" s="20"/>
      <c r="C52" s="63">
        <v>285</v>
      </c>
      <c r="D52" s="382">
        <f t="shared" si="47"/>
        <v>206.15</v>
      </c>
      <c r="E52" s="6">
        <v>240</v>
      </c>
      <c r="F52" s="382">
        <f t="shared" si="48"/>
        <v>72.393442622950815</v>
      </c>
      <c r="G52" s="562">
        <v>250</v>
      </c>
      <c r="H52" s="382">
        <f t="shared" si="49"/>
        <v>95.300261096605738</v>
      </c>
      <c r="I52" s="6">
        <v>298</v>
      </c>
      <c r="J52" s="382">
        <f t="shared" si="50"/>
        <v>206.08441558441558</v>
      </c>
      <c r="K52" s="388">
        <f t="shared" si="51"/>
        <v>579.92811930397215</v>
      </c>
    </row>
    <row r="53" spans="1:15" ht="13.5">
      <c r="A53" s="345">
        <f>Gen!B18</f>
        <v>44082</v>
      </c>
      <c r="B53" s="20"/>
      <c r="C53" s="63">
        <v>295</v>
      </c>
      <c r="D53" s="382">
        <f t="shared" si="47"/>
        <v>213.38333333333333</v>
      </c>
      <c r="E53" s="6">
        <v>285</v>
      </c>
      <c r="F53" s="382">
        <f t="shared" si="48"/>
        <v>85.967213114754102</v>
      </c>
      <c r="G53" s="562">
        <v>215</v>
      </c>
      <c r="H53" s="382">
        <f t="shared" si="49"/>
        <v>81.958224543080945</v>
      </c>
      <c r="I53" s="6">
        <v>298</v>
      </c>
      <c r="J53" s="382">
        <f t="shared" si="50"/>
        <v>206.08441558441558</v>
      </c>
      <c r="K53" s="388">
        <f t="shared" si="51"/>
        <v>587.39318657558397</v>
      </c>
    </row>
    <row r="54" spans="1:15" ht="13.5">
      <c r="A54" s="345">
        <f>Gen!B19</f>
        <v>44083</v>
      </c>
      <c r="B54" s="20"/>
      <c r="C54" s="63">
        <v>275</v>
      </c>
      <c r="D54" s="382">
        <f t="shared" si="47"/>
        <v>198.91666666666666</v>
      </c>
      <c r="E54" s="6">
        <v>230</v>
      </c>
      <c r="F54" s="382">
        <f t="shared" si="48"/>
        <v>69.377049180327873</v>
      </c>
      <c r="G54" s="562">
        <v>255</v>
      </c>
      <c r="H54" s="382">
        <f t="shared" si="49"/>
        <v>97.206266318537857</v>
      </c>
      <c r="I54" s="6">
        <v>298</v>
      </c>
      <c r="J54" s="382">
        <f t="shared" si="50"/>
        <v>206.08441558441558</v>
      </c>
      <c r="K54" s="388">
        <f t="shared" si="51"/>
        <v>571.58439774994804</v>
      </c>
    </row>
    <row r="55" spans="1:15" ht="13.5">
      <c r="A55" s="345">
        <f>Gen!B20</f>
        <v>44084</v>
      </c>
      <c r="B55" s="20"/>
      <c r="C55" s="63"/>
      <c r="D55" s="382">
        <f t="shared" si="47"/>
        <v>0</v>
      </c>
      <c r="E55" s="6"/>
      <c r="F55" s="382">
        <f t="shared" si="48"/>
        <v>0</v>
      </c>
      <c r="G55" s="562"/>
      <c r="H55" s="382">
        <f t="shared" si="49"/>
        <v>0</v>
      </c>
      <c r="I55" s="6"/>
      <c r="J55" s="382">
        <f t="shared" si="50"/>
        <v>0</v>
      </c>
      <c r="K55" s="388">
        <f t="shared" si="51"/>
        <v>0</v>
      </c>
    </row>
    <row r="56" spans="1:15" ht="13.5">
      <c r="A56" s="345">
        <f>Gen!B21</f>
        <v>44085</v>
      </c>
      <c r="B56" s="20"/>
      <c r="C56" s="63"/>
      <c r="D56" s="382">
        <f t="shared" si="47"/>
        <v>0</v>
      </c>
      <c r="E56" s="6"/>
      <c r="F56" s="382">
        <f t="shared" si="48"/>
        <v>0</v>
      </c>
      <c r="G56" s="562"/>
      <c r="H56" s="382">
        <f t="shared" si="49"/>
        <v>0</v>
      </c>
      <c r="I56" s="6"/>
      <c r="J56" s="382">
        <f t="shared" si="50"/>
        <v>0</v>
      </c>
      <c r="K56" s="388">
        <f t="shared" si="51"/>
        <v>0</v>
      </c>
    </row>
    <row r="57" spans="1:15" ht="13.5">
      <c r="A57" s="345">
        <f>Gen!B22</f>
        <v>44086</v>
      </c>
      <c r="B57" s="20"/>
      <c r="C57" s="63"/>
      <c r="D57" s="382">
        <f t="shared" si="47"/>
        <v>0</v>
      </c>
      <c r="E57" s="6"/>
      <c r="F57" s="382">
        <f t="shared" si="48"/>
        <v>0</v>
      </c>
      <c r="G57" s="562"/>
      <c r="H57" s="382">
        <f t="shared" si="49"/>
        <v>0</v>
      </c>
      <c r="I57" s="6"/>
      <c r="J57" s="382">
        <f t="shared" si="50"/>
        <v>0</v>
      </c>
      <c r="K57" s="388">
        <f t="shared" si="51"/>
        <v>0</v>
      </c>
    </row>
    <row r="58" spans="1:15" ht="13.5">
      <c r="A58" s="345">
        <f>Gen!B23</f>
        <v>44087</v>
      </c>
      <c r="B58" s="20"/>
      <c r="C58" s="63"/>
      <c r="D58" s="382">
        <f t="shared" si="47"/>
        <v>0</v>
      </c>
      <c r="E58" s="6"/>
      <c r="F58" s="382">
        <f t="shared" si="48"/>
        <v>0</v>
      </c>
      <c r="G58" s="562"/>
      <c r="H58" s="382">
        <f t="shared" si="49"/>
        <v>0</v>
      </c>
      <c r="I58" s="6"/>
      <c r="J58" s="382">
        <f t="shared" si="50"/>
        <v>0</v>
      </c>
      <c r="K58" s="388">
        <f t="shared" si="51"/>
        <v>0</v>
      </c>
    </row>
    <row r="59" spans="1:15" ht="13.5">
      <c r="A59" s="345">
        <f>Gen!B24</f>
        <v>44088</v>
      </c>
      <c r="B59" s="20"/>
      <c r="C59" s="63"/>
      <c r="D59" s="382">
        <f t="shared" si="47"/>
        <v>0</v>
      </c>
      <c r="E59" s="6"/>
      <c r="F59" s="382">
        <f t="shared" si="48"/>
        <v>0</v>
      </c>
      <c r="G59" s="562"/>
      <c r="H59" s="382">
        <f t="shared" si="49"/>
        <v>0</v>
      </c>
      <c r="I59" s="6"/>
      <c r="J59" s="382">
        <f t="shared" si="50"/>
        <v>0</v>
      </c>
      <c r="K59" s="388">
        <f t="shared" si="51"/>
        <v>0</v>
      </c>
    </row>
    <row r="60" spans="1:15" ht="13.5">
      <c r="A60" s="345">
        <f>Gen!B25</f>
        <v>44089</v>
      </c>
      <c r="B60" s="20"/>
      <c r="C60" s="63"/>
      <c r="D60" s="382">
        <f t="shared" si="47"/>
        <v>0</v>
      </c>
      <c r="E60" s="6"/>
      <c r="F60" s="382">
        <f t="shared" si="48"/>
        <v>0</v>
      </c>
      <c r="G60" s="562"/>
      <c r="H60" s="382">
        <f t="shared" si="49"/>
        <v>0</v>
      </c>
      <c r="I60" s="6"/>
      <c r="J60" s="382">
        <f t="shared" si="50"/>
        <v>0</v>
      </c>
      <c r="K60" s="388">
        <f t="shared" si="51"/>
        <v>0</v>
      </c>
      <c r="L60" t="s">
        <v>249</v>
      </c>
      <c r="O60" t="s">
        <v>250</v>
      </c>
    </row>
    <row r="61" spans="1:15" ht="13.5">
      <c r="A61" s="345">
        <f>Gen!B26</f>
        <v>44090</v>
      </c>
      <c r="B61" s="20"/>
      <c r="C61" s="63"/>
      <c r="D61" s="382">
        <f t="shared" si="47"/>
        <v>0</v>
      </c>
      <c r="E61" s="6"/>
      <c r="F61" s="382">
        <f t="shared" si="48"/>
        <v>0</v>
      </c>
      <c r="G61" s="562"/>
      <c r="H61" s="382">
        <f t="shared" si="49"/>
        <v>0</v>
      </c>
      <c r="I61" s="6"/>
      <c r="J61" s="382">
        <f t="shared" si="50"/>
        <v>0</v>
      </c>
      <c r="K61" s="388">
        <f t="shared" si="51"/>
        <v>0</v>
      </c>
      <c r="L61" t="s">
        <v>252</v>
      </c>
      <c r="N61" t="s">
        <v>251</v>
      </c>
    </row>
    <row r="62" spans="1:15" ht="13.5">
      <c r="A62" s="345">
        <f>Gen!B27</f>
        <v>44091</v>
      </c>
      <c r="B62" s="20"/>
      <c r="C62" s="63"/>
      <c r="D62" s="382">
        <f t="shared" si="47"/>
        <v>0</v>
      </c>
      <c r="E62" s="6"/>
      <c r="F62" s="382">
        <f t="shared" si="48"/>
        <v>0</v>
      </c>
      <c r="G62" s="562"/>
      <c r="H62" s="382">
        <f t="shared" si="49"/>
        <v>0</v>
      </c>
      <c r="I62" s="6"/>
      <c r="J62" s="382">
        <f t="shared" si="50"/>
        <v>0</v>
      </c>
      <c r="K62" s="388">
        <f t="shared" si="51"/>
        <v>0</v>
      </c>
    </row>
    <row r="63" spans="1:15" ht="13.5">
      <c r="A63" s="345">
        <f>Gen!B28</f>
        <v>44092</v>
      </c>
      <c r="B63" s="20"/>
      <c r="C63" s="63"/>
      <c r="D63" s="382">
        <f t="shared" si="47"/>
        <v>0</v>
      </c>
      <c r="E63" s="6"/>
      <c r="F63" s="382">
        <f t="shared" si="48"/>
        <v>0</v>
      </c>
      <c r="G63" s="562"/>
      <c r="H63" s="382">
        <f t="shared" si="49"/>
        <v>0</v>
      </c>
      <c r="I63" s="6"/>
      <c r="J63" s="382">
        <f t="shared" si="50"/>
        <v>0</v>
      </c>
      <c r="K63" s="388">
        <f t="shared" si="51"/>
        <v>0</v>
      </c>
    </row>
    <row r="64" spans="1:15" ht="13.5">
      <c r="A64" s="345">
        <f>Gen!B29</f>
        <v>44093</v>
      </c>
      <c r="B64" s="20"/>
      <c r="C64" s="63"/>
      <c r="D64" s="382">
        <f t="shared" si="47"/>
        <v>0</v>
      </c>
      <c r="E64" s="6"/>
      <c r="F64" s="382">
        <f t="shared" si="48"/>
        <v>0</v>
      </c>
      <c r="G64" s="562"/>
      <c r="H64" s="382">
        <f t="shared" si="49"/>
        <v>0</v>
      </c>
      <c r="I64" s="6"/>
      <c r="J64" s="382">
        <f t="shared" si="50"/>
        <v>0</v>
      </c>
      <c r="K64" s="388">
        <f t="shared" si="51"/>
        <v>0</v>
      </c>
    </row>
    <row r="65" spans="1:11" ht="13.5">
      <c r="A65" s="345">
        <f>Gen!B30</f>
        <v>44094</v>
      </c>
      <c r="B65" s="20"/>
      <c r="C65" s="63"/>
      <c r="D65" s="382">
        <f t="shared" si="47"/>
        <v>0</v>
      </c>
      <c r="E65" s="6"/>
      <c r="F65" s="382">
        <f t="shared" si="48"/>
        <v>0</v>
      </c>
      <c r="G65" s="562"/>
      <c r="H65" s="382">
        <f t="shared" si="49"/>
        <v>0</v>
      </c>
      <c r="I65" s="6"/>
      <c r="J65" s="382">
        <f t="shared" si="50"/>
        <v>0</v>
      </c>
      <c r="K65" s="388">
        <f t="shared" si="51"/>
        <v>0</v>
      </c>
    </row>
    <row r="66" spans="1:11" ht="13.5">
      <c r="A66" s="345">
        <f>Gen!B31</f>
        <v>44095</v>
      </c>
      <c r="B66" s="20"/>
      <c r="C66" s="63"/>
      <c r="D66" s="382">
        <f t="shared" si="47"/>
        <v>0</v>
      </c>
      <c r="E66" s="6"/>
      <c r="F66" s="382">
        <f t="shared" si="48"/>
        <v>0</v>
      </c>
      <c r="G66" s="562"/>
      <c r="H66" s="382">
        <f t="shared" si="49"/>
        <v>0</v>
      </c>
      <c r="I66" s="6"/>
      <c r="J66" s="382">
        <f t="shared" si="50"/>
        <v>0</v>
      </c>
      <c r="K66" s="388">
        <f t="shared" si="51"/>
        <v>0</v>
      </c>
    </row>
    <row r="67" spans="1:11" ht="13.5">
      <c r="A67" s="345">
        <f>Gen!B32</f>
        <v>44096</v>
      </c>
      <c r="B67" s="20"/>
      <c r="C67" s="63"/>
      <c r="D67" s="382">
        <f t="shared" si="47"/>
        <v>0</v>
      </c>
      <c r="E67" s="6"/>
      <c r="F67" s="382">
        <f t="shared" si="48"/>
        <v>0</v>
      </c>
      <c r="G67" s="562"/>
      <c r="H67" s="382">
        <f t="shared" si="49"/>
        <v>0</v>
      </c>
      <c r="I67" s="6"/>
      <c r="J67" s="382">
        <f t="shared" si="50"/>
        <v>0</v>
      </c>
      <c r="K67" s="388">
        <f t="shared" si="51"/>
        <v>0</v>
      </c>
    </row>
    <row r="68" spans="1:11" ht="13.5">
      <c r="A68" s="345">
        <f>Gen!B33</f>
        <v>44097</v>
      </c>
      <c r="B68" s="20"/>
      <c r="C68" s="63"/>
      <c r="D68" s="382">
        <f t="shared" si="47"/>
        <v>0</v>
      </c>
      <c r="E68" s="6"/>
      <c r="F68" s="382">
        <f t="shared" si="48"/>
        <v>0</v>
      </c>
      <c r="G68" s="562"/>
      <c r="H68" s="382">
        <f t="shared" si="49"/>
        <v>0</v>
      </c>
      <c r="I68" s="6"/>
      <c r="J68" s="382">
        <f t="shared" si="50"/>
        <v>0</v>
      </c>
      <c r="K68" s="388">
        <f t="shared" si="51"/>
        <v>0</v>
      </c>
    </row>
    <row r="69" spans="1:11" ht="13.5">
      <c r="A69" s="345">
        <f>Gen!B34</f>
        <v>44098</v>
      </c>
      <c r="B69" s="20"/>
      <c r="C69" s="63"/>
      <c r="D69" s="382">
        <f t="shared" si="47"/>
        <v>0</v>
      </c>
      <c r="E69" s="6"/>
      <c r="F69" s="382">
        <f t="shared" si="48"/>
        <v>0</v>
      </c>
      <c r="G69" s="562"/>
      <c r="H69" s="382">
        <f t="shared" si="49"/>
        <v>0</v>
      </c>
      <c r="I69" s="6"/>
      <c r="J69" s="382">
        <f t="shared" si="50"/>
        <v>0</v>
      </c>
      <c r="K69" s="388">
        <f t="shared" si="51"/>
        <v>0</v>
      </c>
    </row>
    <row r="70" spans="1:11" ht="13.5">
      <c r="A70" s="345">
        <f>Gen!B35</f>
        <v>44099</v>
      </c>
      <c r="B70" s="20"/>
      <c r="C70" s="63"/>
      <c r="D70" s="382">
        <f t="shared" si="47"/>
        <v>0</v>
      </c>
      <c r="E70" s="6"/>
      <c r="F70" s="382">
        <f t="shared" si="48"/>
        <v>0</v>
      </c>
      <c r="G70" s="562"/>
      <c r="H70" s="382">
        <f t="shared" si="49"/>
        <v>0</v>
      </c>
      <c r="I70" s="6"/>
      <c r="J70" s="382">
        <f t="shared" si="50"/>
        <v>0</v>
      </c>
      <c r="K70" s="388">
        <f t="shared" si="51"/>
        <v>0</v>
      </c>
    </row>
    <row r="71" spans="1:11" ht="13.5">
      <c r="A71" s="345">
        <f>Gen!B36</f>
        <v>44100</v>
      </c>
      <c r="B71" s="20"/>
      <c r="C71" s="63"/>
      <c r="D71" s="382">
        <f t="shared" si="47"/>
        <v>0</v>
      </c>
      <c r="E71" s="6"/>
      <c r="F71" s="382">
        <f t="shared" si="48"/>
        <v>0</v>
      </c>
      <c r="G71" s="562"/>
      <c r="H71" s="382">
        <f t="shared" si="49"/>
        <v>0</v>
      </c>
      <c r="I71" s="6"/>
      <c r="J71" s="382">
        <f t="shared" si="50"/>
        <v>0</v>
      </c>
      <c r="K71" s="388">
        <f t="shared" si="51"/>
        <v>0</v>
      </c>
    </row>
    <row r="72" spans="1:11" ht="13.5">
      <c r="A72" s="345">
        <f>Gen!B37</f>
        <v>44101</v>
      </c>
      <c r="B72" s="20"/>
      <c r="C72" s="63"/>
      <c r="D72" s="382">
        <f t="shared" si="47"/>
        <v>0</v>
      </c>
      <c r="E72" s="6"/>
      <c r="F72" s="382">
        <f t="shared" si="48"/>
        <v>0</v>
      </c>
      <c r="G72" s="562"/>
      <c r="H72" s="382">
        <f t="shared" si="49"/>
        <v>0</v>
      </c>
      <c r="I72" s="6"/>
      <c r="J72" s="382">
        <f t="shared" si="50"/>
        <v>0</v>
      </c>
      <c r="K72" s="388">
        <f t="shared" si="51"/>
        <v>0</v>
      </c>
    </row>
    <row r="73" spans="1:11" ht="13.5">
      <c r="A73" s="345">
        <f>Gen!B38</f>
        <v>44102</v>
      </c>
      <c r="B73" s="20"/>
      <c r="C73" s="63"/>
      <c r="D73" s="382">
        <f t="shared" si="47"/>
        <v>0</v>
      </c>
      <c r="E73" s="6"/>
      <c r="F73" s="382">
        <f t="shared" si="48"/>
        <v>0</v>
      </c>
      <c r="G73" s="562"/>
      <c r="H73" s="382">
        <f t="shared" si="49"/>
        <v>0</v>
      </c>
      <c r="I73" s="6"/>
      <c r="J73" s="382">
        <f t="shared" si="50"/>
        <v>0</v>
      </c>
      <c r="K73" s="388">
        <f t="shared" si="51"/>
        <v>0</v>
      </c>
    </row>
    <row r="74" spans="1:11" ht="13.5">
      <c r="A74" s="345">
        <f>Gen!B39</f>
        <v>44103</v>
      </c>
      <c r="B74" s="20"/>
      <c r="C74" s="63"/>
      <c r="D74" s="382">
        <f t="shared" si="47"/>
        <v>0</v>
      </c>
      <c r="E74" s="6"/>
      <c r="F74" s="382">
        <f t="shared" si="48"/>
        <v>0</v>
      </c>
      <c r="G74" s="562"/>
      <c r="H74" s="382">
        <f t="shared" si="49"/>
        <v>0</v>
      </c>
      <c r="I74" s="6"/>
      <c r="J74" s="382">
        <f t="shared" si="50"/>
        <v>0</v>
      </c>
      <c r="K74" s="388">
        <f t="shared" si="51"/>
        <v>0</v>
      </c>
    </row>
    <row r="75" spans="1:11" ht="14.25" thickBot="1">
      <c r="A75" s="345">
        <f>Gen!B40</f>
        <v>44104</v>
      </c>
      <c r="B75" s="298"/>
      <c r="C75" s="63"/>
      <c r="D75" s="382">
        <f t="shared" si="47"/>
        <v>0</v>
      </c>
      <c r="E75" s="6"/>
      <c r="F75" s="382">
        <f t="shared" si="48"/>
        <v>0</v>
      </c>
      <c r="G75" s="562"/>
      <c r="H75" s="382">
        <f t="shared" si="49"/>
        <v>0</v>
      </c>
      <c r="I75" s="6"/>
      <c r="J75" s="382">
        <f t="shared" si="50"/>
        <v>0</v>
      </c>
      <c r="K75" s="388">
        <f t="shared" si="51"/>
        <v>0</v>
      </c>
    </row>
    <row r="76" spans="1:11" ht="13.5">
      <c r="A76" s="345">
        <f>Gen!B41</f>
        <v>0</v>
      </c>
      <c r="C76" s="63"/>
      <c r="D76" s="382">
        <f t="shared" si="47"/>
        <v>0</v>
      </c>
      <c r="E76" s="6"/>
      <c r="F76" s="382">
        <f t="shared" si="48"/>
        <v>0</v>
      </c>
      <c r="G76" s="562"/>
      <c r="H76" s="382">
        <f t="shared" si="49"/>
        <v>0</v>
      </c>
      <c r="I76" s="6"/>
      <c r="J76" s="382">
        <f t="shared" si="50"/>
        <v>0</v>
      </c>
      <c r="K76" s="388">
        <f t="shared" si="51"/>
        <v>0</v>
      </c>
    </row>
    <row r="77" spans="1:11" ht="14.25" thickBot="1">
      <c r="A77" s="345">
        <f>Gen!B42</f>
        <v>0</v>
      </c>
      <c r="C77" s="63"/>
      <c r="D77" s="382">
        <f t="shared" si="47"/>
        <v>0</v>
      </c>
      <c r="E77" s="6"/>
      <c r="F77" s="382">
        <f t="shared" si="48"/>
        <v>0</v>
      </c>
      <c r="G77" s="562"/>
      <c r="H77" s="382">
        <f t="shared" si="49"/>
        <v>0</v>
      </c>
      <c r="I77" s="6"/>
      <c r="J77" s="382">
        <f t="shared" si="50"/>
        <v>0</v>
      </c>
      <c r="K77" s="389">
        <f t="shared" si="51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8" t="s">
        <v>319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78.980000000051234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97.877361111174608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76.031999999994881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94.223999999993651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58.607999999966708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72.630999999958746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66.263999999989764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82.118833333320651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2152</v>
      </c>
      <c r="G9" s="86">
        <f>Gen!T15</f>
        <v>841.98</v>
      </c>
      <c r="H9" s="86">
        <f>[1]Gen!AJ10</f>
        <v>0</v>
      </c>
      <c r="I9" s="86">
        <f t="shared" si="0"/>
        <v>841.98</v>
      </c>
      <c r="J9" s="86">
        <f>[1]Gen!AT15</f>
        <v>37525.210000000021</v>
      </c>
      <c r="K9" s="70">
        <f>'Water-Meter'!E10</f>
        <v>50</v>
      </c>
      <c r="L9" s="526">
        <f>'Lpg (2)'!G14</f>
        <v>63.536000000010247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1860649.503</v>
      </c>
      <c r="R9" s="77">
        <f t="shared" si="3"/>
        <v>167.82427728703607</v>
      </c>
      <c r="S9" s="516" t="e">
        <f t="shared" si="4"/>
        <v>#DIV/0!</v>
      </c>
      <c r="T9" s="77">
        <f t="shared" si="5"/>
        <v>3.2196969696969697</v>
      </c>
      <c r="U9" s="124">
        <f t="shared" si="6"/>
        <v>78.738111111123814</v>
      </c>
      <c r="V9" s="18">
        <f t="shared" si="7"/>
        <v>1860731.4608080809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9.0899999999999995E-2</v>
      </c>
      <c r="D10" s="512">
        <f t="shared" si="2"/>
        <v>6.9992999999999999</v>
      </c>
      <c r="E10" s="75"/>
      <c r="F10" s="71">
        <f>Gen!U16</f>
        <v>2052</v>
      </c>
      <c r="G10" s="86">
        <f>Gen!T16</f>
        <v>938.54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52</v>
      </c>
      <c r="L10" s="526">
        <f>'Lpg (2)'!G15</f>
        <v>50.072000000020495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3.3484848484848486</v>
      </c>
      <c r="U10" s="124">
        <f t="shared" si="6"/>
        <v>62.052611111136507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2.5999999999999999E-2</v>
      </c>
      <c r="D11" s="512">
        <f t="shared" si="2"/>
        <v>2.0019999999999998</v>
      </c>
      <c r="E11" s="75"/>
      <c r="F11" s="71">
        <f>Gen!U17</f>
        <v>2010</v>
      </c>
      <c r="G11" s="86">
        <f>Gen!T17</f>
        <v>910.27</v>
      </c>
      <c r="H11" s="86">
        <f>[1]Gen!AJ25</f>
        <v>80.56</v>
      </c>
      <c r="I11" s="86">
        <f t="shared" si="0"/>
        <v>990.82999999999993</v>
      </c>
      <c r="J11" s="86">
        <f>[1]Gen!AT17</f>
        <v>47513.140000000029</v>
      </c>
      <c r="K11" s="70">
        <f>'Water-Meter'!E12</f>
        <v>58</v>
      </c>
      <c r="L11" s="526">
        <f>'Lpg (2)'!G16</f>
        <v>49.588000000017935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2189585.6754999999</v>
      </c>
      <c r="R11" s="77">
        <f t="shared" si="3"/>
        <v>690.46662791123015</v>
      </c>
      <c r="S11" s="516" t="e">
        <f t="shared" si="4"/>
        <v>#DIV/0!</v>
      </c>
      <c r="T11" s="77">
        <f t="shared" si="5"/>
        <v>3.7348484848484849</v>
      </c>
      <c r="U11" s="124">
        <f t="shared" si="6"/>
        <v>61.452805555577783</v>
      </c>
      <c r="V11" s="18">
        <f t="shared" si="7"/>
        <v>2189650.8631540402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3.9E-2</v>
      </c>
      <c r="D12" s="512">
        <f t="shared" si="2"/>
        <v>3.0030000000000001</v>
      </c>
      <c r="E12" s="75"/>
      <c r="F12" s="71">
        <f>Gen!U18</f>
        <v>2245</v>
      </c>
      <c r="G12" s="86">
        <f>Gen!T18</f>
        <v>948.21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526">
        <f>'Lpg (2)'!G17</f>
        <v>62.567999999941101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2.9621212121212119</v>
      </c>
      <c r="U12" s="124">
        <f t="shared" si="6"/>
        <v>77.538499999927012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6.5000000000000002E-2</v>
      </c>
      <c r="D13" s="512">
        <f t="shared" si="2"/>
        <v>5.0049999999999999</v>
      </c>
      <c r="E13" s="75"/>
      <c r="F13" s="71">
        <f>Gen!U19</f>
        <v>0</v>
      </c>
      <c r="G13" s="86">
        <f>Gen!T19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 t="str">
        <f>'Water-Meter'!E14</f>
        <v>0</v>
      </c>
      <c r="L13" s="526">
        <f>'Lpg (2)'!G18</f>
        <v>-317591.076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0</v>
      </c>
      <c r="U13" s="124">
        <f t="shared" si="6"/>
        <v>-393580.35491666663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0</v>
      </c>
      <c r="D14" s="512">
        <f t="shared" si="2"/>
        <v>0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526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0</v>
      </c>
      <c r="U14" s="124">
        <f t="shared" si="6"/>
        <v>0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0</v>
      </c>
      <c r="D15" s="512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52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0</v>
      </c>
      <c r="U15" s="124">
        <f t="shared" si="6"/>
        <v>0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425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4" t="s">
        <v>180</v>
      </c>
      <c r="B1" s="875"/>
      <c r="C1" s="875"/>
      <c r="D1" s="875"/>
      <c r="E1" s="875"/>
      <c r="F1" s="875"/>
      <c r="G1" s="876"/>
    </row>
    <row r="2" spans="1:7" ht="13.5" thickBot="1">
      <c r="A2" s="354"/>
      <c r="B2" s="877" t="s">
        <v>175</v>
      </c>
      <c r="C2" s="878"/>
      <c r="D2" s="879"/>
      <c r="E2" s="877" t="s">
        <v>176</v>
      </c>
      <c r="F2" s="878"/>
      <c r="G2" s="879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4" t="s">
        <v>230</v>
      </c>
      <c r="B1" s="875"/>
      <c r="C1" s="875"/>
      <c r="D1" s="875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80"/>
      <c r="C79" s="881"/>
      <c r="D79" s="881"/>
      <c r="E79" s="882"/>
      <c r="H79" s="880"/>
      <c r="I79" s="881"/>
      <c r="J79" s="881"/>
      <c r="K79" s="881"/>
      <c r="L79" s="882"/>
    </row>
    <row r="80" spans="1:12">
      <c r="B80" s="883"/>
      <c r="C80" s="884"/>
      <c r="D80" s="884"/>
      <c r="E80" s="885"/>
      <c r="H80" s="883"/>
      <c r="I80" s="884"/>
      <c r="J80" s="884"/>
      <c r="K80" s="884"/>
      <c r="L80" s="885"/>
    </row>
    <row r="81" spans="2:12">
      <c r="B81" s="883"/>
      <c r="C81" s="884"/>
      <c r="D81" s="884"/>
      <c r="E81" s="885"/>
      <c r="H81" s="883"/>
      <c r="I81" s="884"/>
      <c r="J81" s="884"/>
      <c r="K81" s="884"/>
      <c r="L81" s="885"/>
    </row>
    <row r="82" spans="2:12">
      <c r="B82" s="883"/>
      <c r="C82" s="884"/>
      <c r="D82" s="884"/>
      <c r="E82" s="885"/>
      <c r="H82" s="883"/>
      <c r="I82" s="884"/>
      <c r="J82" s="884"/>
      <c r="K82" s="884"/>
      <c r="L82" s="885"/>
    </row>
    <row r="83" spans="2:12">
      <c r="B83" s="883"/>
      <c r="C83" s="884"/>
      <c r="D83" s="884"/>
      <c r="E83" s="885"/>
      <c r="H83" s="883"/>
      <c r="I83" s="884"/>
      <c r="J83" s="884"/>
      <c r="K83" s="884"/>
      <c r="L83" s="885"/>
    </row>
    <row r="84" spans="2:12">
      <c r="B84" s="883"/>
      <c r="C84" s="884"/>
      <c r="D84" s="884"/>
      <c r="E84" s="885"/>
      <c r="H84" s="883"/>
      <c r="I84" s="884"/>
      <c r="J84" s="884"/>
      <c r="K84" s="884"/>
      <c r="L84" s="885"/>
    </row>
    <row r="85" spans="2:12">
      <c r="B85" s="883"/>
      <c r="C85" s="884"/>
      <c r="D85" s="884"/>
      <c r="E85" s="885"/>
      <c r="H85" s="883"/>
      <c r="I85" s="884"/>
      <c r="J85" s="884"/>
      <c r="K85" s="884"/>
      <c r="L85" s="885"/>
    </row>
    <row r="86" spans="2:12">
      <c r="B86" s="883"/>
      <c r="C86" s="884"/>
      <c r="D86" s="884"/>
      <c r="E86" s="885"/>
      <c r="H86" s="883"/>
      <c r="I86" s="884"/>
      <c r="J86" s="884"/>
      <c r="K86" s="884"/>
      <c r="L86" s="885"/>
    </row>
    <row r="87" spans="2:12">
      <c r="B87" s="883"/>
      <c r="C87" s="884"/>
      <c r="D87" s="884"/>
      <c r="E87" s="885"/>
      <c r="H87" s="883"/>
      <c r="I87" s="884"/>
      <c r="J87" s="884"/>
      <c r="K87" s="884"/>
      <c r="L87" s="885"/>
    </row>
    <row r="88" spans="2:12">
      <c r="B88" s="883"/>
      <c r="C88" s="884"/>
      <c r="D88" s="884"/>
      <c r="E88" s="885"/>
      <c r="H88" s="883"/>
      <c r="I88" s="884"/>
      <c r="J88" s="884"/>
      <c r="K88" s="884"/>
      <c r="L88" s="885"/>
    </row>
    <row r="89" spans="2:12">
      <c r="B89" s="883"/>
      <c r="C89" s="884"/>
      <c r="D89" s="884"/>
      <c r="E89" s="885"/>
      <c r="H89" s="883"/>
      <c r="I89" s="884"/>
      <c r="J89" s="884"/>
      <c r="K89" s="884"/>
      <c r="L89" s="885"/>
    </row>
    <row r="90" spans="2:12">
      <c r="B90" s="883"/>
      <c r="C90" s="884"/>
      <c r="D90" s="884"/>
      <c r="E90" s="885"/>
      <c r="H90" s="883"/>
      <c r="I90" s="884"/>
      <c r="J90" s="884"/>
      <c r="K90" s="884"/>
      <c r="L90" s="885"/>
    </row>
    <row r="91" spans="2:12">
      <c r="B91" s="883"/>
      <c r="C91" s="884"/>
      <c r="D91" s="884"/>
      <c r="E91" s="885"/>
      <c r="H91" s="883"/>
      <c r="I91" s="884"/>
      <c r="J91" s="884"/>
      <c r="K91" s="884"/>
      <c r="L91" s="885"/>
    </row>
    <row r="92" spans="2:12">
      <c r="B92" s="883"/>
      <c r="C92" s="884"/>
      <c r="D92" s="884"/>
      <c r="E92" s="885"/>
      <c r="H92" s="883"/>
      <c r="I92" s="884"/>
      <c r="J92" s="884"/>
      <c r="K92" s="884"/>
      <c r="L92" s="885"/>
    </row>
    <row r="93" spans="2:12" ht="13.5" thickBot="1">
      <c r="B93" s="886"/>
      <c r="C93" s="887"/>
      <c r="D93" s="887"/>
      <c r="E93" s="888"/>
      <c r="H93" s="886"/>
      <c r="I93" s="887"/>
      <c r="J93" s="887"/>
      <c r="K93" s="887"/>
      <c r="L93" s="888"/>
    </row>
    <row r="94" spans="2:12">
      <c r="B94" s="889" t="s">
        <v>313</v>
      </c>
      <c r="C94" s="890"/>
      <c r="D94" s="890"/>
      <c r="E94" s="891"/>
      <c r="H94" s="889" t="s">
        <v>314</v>
      </c>
      <c r="I94" s="890"/>
      <c r="J94" s="890"/>
      <c r="K94" s="890"/>
      <c r="L94" s="891"/>
    </row>
    <row r="95" spans="2:12">
      <c r="B95" s="892"/>
      <c r="C95" s="893"/>
      <c r="D95" s="893"/>
      <c r="E95" s="894"/>
      <c r="H95" s="892"/>
      <c r="I95" s="893"/>
      <c r="J95" s="893"/>
      <c r="K95" s="893"/>
      <c r="L95" s="894"/>
    </row>
    <row r="96" spans="2:12" ht="13.5" thickBot="1">
      <c r="B96" s="895"/>
      <c r="C96" s="896"/>
      <c r="D96" s="896"/>
      <c r="E96" s="897"/>
      <c r="H96" s="895"/>
      <c r="I96" s="896"/>
      <c r="J96" s="896"/>
      <c r="K96" s="896"/>
      <c r="L96" s="897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D15" sqref="D1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8" t="s">
        <v>254</v>
      </c>
      <c r="B1" s="898"/>
      <c r="C1" s="898"/>
      <c r="D1" s="898"/>
      <c r="E1" s="898"/>
      <c r="F1" s="898"/>
      <c r="G1" s="898"/>
      <c r="H1" s="898"/>
      <c r="I1" s="898"/>
      <c r="J1" s="898"/>
    </row>
    <row r="2" spans="1:10" ht="19.5" thickBot="1">
      <c r="A2" s="907">
        <f>A5</f>
        <v>44075</v>
      </c>
      <c r="B2" s="908"/>
      <c r="C2" s="908"/>
      <c r="D2" s="908"/>
      <c r="E2" s="908"/>
      <c r="F2" s="908"/>
      <c r="G2" s="908"/>
      <c r="H2" s="908"/>
      <c r="I2" s="908"/>
      <c r="J2" s="908"/>
    </row>
    <row r="3" spans="1:10" ht="15.75" thickBot="1">
      <c r="A3" s="899" t="s">
        <v>7</v>
      </c>
      <c r="B3" s="901" t="s">
        <v>255</v>
      </c>
      <c r="C3" s="518"/>
      <c r="D3" s="903" t="s">
        <v>256</v>
      </c>
      <c r="E3" s="904"/>
      <c r="F3" s="905" t="s">
        <v>257</v>
      </c>
      <c r="G3" s="906"/>
      <c r="H3" s="904"/>
      <c r="I3" s="905" t="s">
        <v>258</v>
      </c>
      <c r="J3" s="904"/>
    </row>
    <row r="4" spans="1:10" ht="30.75" thickBot="1">
      <c r="A4" s="900"/>
      <c r="B4" s="902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43590.620000000017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42629.980000000018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41727.410000000018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40627.110000000015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27.01</v>
      </c>
      <c r="D9" s="523">
        <f>Gen!T15</f>
        <v>841.98</v>
      </c>
      <c r="E9" s="460">
        <f>Gen!D15</f>
        <v>39758.720000000016</v>
      </c>
      <c r="F9" s="461">
        <f>'Water-Meter'!E10</f>
        <v>50</v>
      </c>
      <c r="G9" s="462">
        <f>'Water-Meter'!AN10</f>
        <v>103</v>
      </c>
      <c r="H9" s="460">
        <f>'Utility report '!AC10</f>
        <v>1</v>
      </c>
      <c r="I9" s="459">
        <f>'Kit report'!F8</f>
        <v>204.00000000008731</v>
      </c>
      <c r="J9" s="460">
        <f>'Kit report'!X8</f>
        <v>40.000000000145519</v>
      </c>
    </row>
    <row r="10" spans="1:10" ht="17.100000000000001" customHeight="1">
      <c r="A10" s="263">
        <f>Gen!B16</f>
        <v>44080</v>
      </c>
      <c r="B10" s="464">
        <f>Gen!C16</f>
        <v>9.0899999999999995E-2</v>
      </c>
      <c r="C10" s="522">
        <f>Gen!AK16</f>
        <v>0</v>
      </c>
      <c r="D10" s="523">
        <f>Gen!T16</f>
        <v>938.54</v>
      </c>
      <c r="E10" s="460">
        <f>Gen!D16</f>
        <v>38889.730000000018</v>
      </c>
      <c r="F10" s="461">
        <f>'Water-Meter'!E11</f>
        <v>52</v>
      </c>
      <c r="G10" s="462">
        <f>'Water-Meter'!AN11</f>
        <v>83</v>
      </c>
      <c r="H10" s="460">
        <f>'Utility report '!AC11</f>
        <v>68</v>
      </c>
      <c r="I10" s="459">
        <f>'Kit report'!F9</f>
        <v>143.99999999986903</v>
      </c>
      <c r="J10" s="460">
        <f>'Kit report'!X9</f>
        <v>59.999999999854481</v>
      </c>
    </row>
    <row r="11" spans="1:10" ht="17.100000000000001" customHeight="1">
      <c r="A11" s="263">
        <f>Gen!B17</f>
        <v>44081</v>
      </c>
      <c r="B11" s="464">
        <f>Gen!C17</f>
        <v>2.5999999999999999E-2</v>
      </c>
      <c r="C11" s="522">
        <f>Gen!AK17</f>
        <v>258.14</v>
      </c>
      <c r="D11" s="523">
        <f>Gen!T17</f>
        <v>910.27</v>
      </c>
      <c r="E11" s="460">
        <f>Gen!D17</f>
        <v>37951.190000000017</v>
      </c>
      <c r="F11" s="461">
        <f>'Water-Meter'!E12</f>
        <v>58</v>
      </c>
      <c r="G11" s="462">
        <f>'Water-Meter'!AN12</f>
        <v>106</v>
      </c>
      <c r="H11" s="460">
        <f>'Utility report '!AC12</f>
        <v>45</v>
      </c>
      <c r="I11" s="459">
        <f>'Kit report'!F10</f>
        <v>192.00000000004366</v>
      </c>
      <c r="J11" s="460">
        <f>'Kit report'!X10</f>
        <v>40.000000000145519</v>
      </c>
    </row>
    <row r="12" spans="1:10" ht="17.100000000000001" customHeight="1">
      <c r="A12" s="263">
        <f>Gen!B18</f>
        <v>44082</v>
      </c>
      <c r="B12" s="464">
        <f>Gen!C18</f>
        <v>3.9E-2</v>
      </c>
      <c r="C12" s="522">
        <f>Gen!AK18</f>
        <v>123.3</v>
      </c>
      <c r="D12" s="523">
        <f>Gen!T18</f>
        <v>948.21</v>
      </c>
      <c r="E12" s="460">
        <f>Gen!D18</f>
        <v>36782.780000000013</v>
      </c>
      <c r="F12" s="461">
        <f>'Water-Meter'!E13</f>
        <v>46</v>
      </c>
      <c r="G12" s="462">
        <f>'Water-Meter'!AN13</f>
        <v>138</v>
      </c>
      <c r="H12" s="460">
        <f>'Utility report '!AC13</f>
        <v>54</v>
      </c>
      <c r="I12" s="459">
        <f>'Kit report'!F11</f>
        <v>192.00000000004366</v>
      </c>
      <c r="J12" s="460">
        <f>'Kit report'!X11</f>
        <v>59.999999999854481</v>
      </c>
    </row>
    <row r="13" spans="1:10" ht="17.100000000000001" customHeight="1">
      <c r="A13" s="263">
        <f>Gen!B19</f>
        <v>44083</v>
      </c>
      <c r="B13" s="464">
        <f>Gen!C19</f>
        <v>6.5000000000000002E-2</v>
      </c>
      <c r="C13" s="522">
        <f>Gen!AK19</f>
        <v>0</v>
      </c>
      <c r="D13" s="523">
        <f>Gen!T19</f>
        <v>0</v>
      </c>
      <c r="E13" s="460">
        <f>Gen!D19</f>
        <v>35711.270000000011</v>
      </c>
      <c r="F13" s="461" t="str">
        <f>'Water-Meter'!E14</f>
        <v>0</v>
      </c>
      <c r="G13" s="462">
        <f>'Water-Meter'!AN14</f>
        <v>0</v>
      </c>
      <c r="H13" s="460">
        <f>'Utility report '!AC14</f>
        <v>-38247</v>
      </c>
      <c r="I13" s="459">
        <f>'Kit report'!F12</f>
        <v>-1056900</v>
      </c>
      <c r="J13" s="460">
        <f>'Kit report'!X12</f>
        <v>-1564280</v>
      </c>
    </row>
    <row r="14" spans="1:10" ht="17.100000000000001" customHeight="1">
      <c r="A14" s="263">
        <f>Gen!B20</f>
        <v>44084</v>
      </c>
      <c r="B14" s="464">
        <f>Gen!C20</f>
        <v>0</v>
      </c>
      <c r="C14" s="522">
        <f>Gen!AK20</f>
        <v>0</v>
      </c>
      <c r="D14" s="523">
        <f>Gen!T20</f>
        <v>0</v>
      </c>
      <c r="E14" s="460">
        <f>Gen!D20</f>
        <v>35711.270000000011</v>
      </c>
      <c r="F14" s="461">
        <f>'Water-Meter'!E15</f>
        <v>0</v>
      </c>
      <c r="G14" s="462">
        <f>'Water-Meter'!AN15</f>
        <v>0</v>
      </c>
      <c r="H14" s="460">
        <f>'Utility report '!AC15</f>
        <v>0</v>
      </c>
      <c r="I14" s="459">
        <f>'Kit report'!F13</f>
        <v>0</v>
      </c>
      <c r="J14" s="460">
        <f>'Kit report'!X13</f>
        <v>0</v>
      </c>
    </row>
    <row r="15" spans="1:10" ht="17.100000000000001" customHeight="1">
      <c r="A15" s="263">
        <f>Gen!B21</f>
        <v>44085</v>
      </c>
      <c r="B15" s="464">
        <f>Gen!C21</f>
        <v>0</v>
      </c>
      <c r="C15" s="522">
        <f>Gen!AK21</f>
        <v>0</v>
      </c>
      <c r="D15" s="523">
        <f>Gen!T21</f>
        <v>0</v>
      </c>
      <c r="E15" s="460">
        <f>Gen!D21</f>
        <v>35711.270000000011</v>
      </c>
      <c r="F15" s="461">
        <f>'Water-Meter'!E16</f>
        <v>0</v>
      </c>
      <c r="G15" s="462">
        <f>'Water-Meter'!AN16</f>
        <v>0</v>
      </c>
      <c r="H15" s="460">
        <f>'Utility report '!AC16</f>
        <v>0</v>
      </c>
      <c r="I15" s="459">
        <f>'Kit report'!F14</f>
        <v>0</v>
      </c>
      <c r="J15" s="460">
        <f>'Kit report'!X14</f>
        <v>0</v>
      </c>
    </row>
    <row r="16" spans="1:10" ht="17.100000000000001" customHeight="1">
      <c r="A16" s="263">
        <f>Gen!B22</f>
        <v>44086</v>
      </c>
      <c r="B16" s="464">
        <f>Gen!C22</f>
        <v>0</v>
      </c>
      <c r="C16" s="522">
        <f>Gen!AK22</f>
        <v>0</v>
      </c>
      <c r="D16" s="523">
        <f>Gen!T22</f>
        <v>0</v>
      </c>
      <c r="E16" s="460">
        <f>Gen!D22</f>
        <v>35711.270000000011</v>
      </c>
      <c r="F16" s="461">
        <f>'Water-Meter'!E17</f>
        <v>0</v>
      </c>
      <c r="G16" s="462">
        <f>'Water-Meter'!AN17</f>
        <v>0</v>
      </c>
      <c r="H16" s="460">
        <f>'Utility report '!AC17</f>
        <v>0</v>
      </c>
      <c r="I16" s="459">
        <f>'Kit report'!F15</f>
        <v>0</v>
      </c>
      <c r="J16" s="460">
        <f>'Kit report'!X15</f>
        <v>0</v>
      </c>
    </row>
    <row r="17" spans="1:10" ht="17.100000000000001" customHeight="1">
      <c r="A17" s="263">
        <f>Gen!B23</f>
        <v>44087</v>
      </c>
      <c r="B17" s="464">
        <f>Gen!C23</f>
        <v>0</v>
      </c>
      <c r="C17" s="522">
        <f>Gen!AK23</f>
        <v>0</v>
      </c>
      <c r="D17" s="523">
        <f>Gen!T23</f>
        <v>0</v>
      </c>
      <c r="E17" s="460">
        <f>Gen!D23</f>
        <v>35711.270000000011</v>
      </c>
      <c r="F17" s="461">
        <f>'Water-Meter'!E18</f>
        <v>0</v>
      </c>
      <c r="G17" s="462">
        <f>'Water-Meter'!AN18</f>
        <v>0</v>
      </c>
      <c r="H17" s="460">
        <f>'Utility report '!AC18</f>
        <v>0</v>
      </c>
      <c r="I17" s="459">
        <f>'Kit report'!F16</f>
        <v>0</v>
      </c>
      <c r="J17" s="460">
        <f>'Kit report'!X16</f>
        <v>0</v>
      </c>
    </row>
    <row r="18" spans="1:10" ht="17.100000000000001" customHeight="1">
      <c r="A18" s="263">
        <f>Gen!B24</f>
        <v>44088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35711.270000000011</v>
      </c>
      <c r="F18" s="461">
        <f>'Water-Meter'!E19</f>
        <v>0</v>
      </c>
      <c r="G18" s="462">
        <f>'Water-Meter'!AN19</f>
        <v>0</v>
      </c>
      <c r="H18" s="460">
        <f>'Utility report '!AC19</f>
        <v>0</v>
      </c>
      <c r="I18" s="459">
        <f>'Kit report'!F17</f>
        <v>0</v>
      </c>
      <c r="J18" s="460">
        <f>'Kit report'!X17</f>
        <v>0</v>
      </c>
    </row>
    <row r="19" spans="1:10" ht="17.100000000000001" customHeight="1">
      <c r="A19" s="263">
        <f>Gen!B25</f>
        <v>44089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35711.270000000011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44090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35711.270000000011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44091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35711.270000000011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44092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35711.270000000011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44093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35711.270000000011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44094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35711.270000000011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44095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35711.270000000011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44096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35711.270000000011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35711.270000000011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44098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35711.270000000011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44099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35711.270000000011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44100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35711.270000000011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44101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35711.270000000011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44102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35711.270000000011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44103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35711.270000000011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44104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35711.270000000011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35711.270000000011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35711.270000000011</v>
      </c>
      <c r="F36" s="461">
        <f>'Water-Meter'!E37</f>
        <v>0</v>
      </c>
      <c r="G36" s="462">
        <f>'Water-Meter'!AN37</f>
        <v>444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2020-09-09T05:25:14Z</dcterms:modified>
</cp:coreProperties>
</file>