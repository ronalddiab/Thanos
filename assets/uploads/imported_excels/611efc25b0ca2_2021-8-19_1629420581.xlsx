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Engineering\Omar Saber\"/>
    </mc:Choice>
  </mc:AlternateContent>
  <bookViews>
    <workbookView xWindow="0" yWindow="0" windowWidth="24000" windowHeight="9600" tabRatio="598" activeTab="1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</workbook>
</file>

<file path=xl/calcChain.xml><?xml version="1.0" encoding="utf-8"?>
<calcChain xmlns="http://schemas.openxmlformats.org/spreadsheetml/2006/main">
  <c r="T12" i="2" l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8" i="2" s="1"/>
  <c r="P9" i="2" s="1"/>
  <c r="P10" i="2" s="1"/>
  <c r="P11" i="2" s="1"/>
  <c r="P12" i="2" s="1"/>
  <c r="P13" i="2" s="1"/>
  <c r="P14" i="2" s="1"/>
  <c r="P15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2" i="2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2" i="2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2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2" i="2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2" i="2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2" i="2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V13" i="4"/>
  <c r="V14" i="4" s="1"/>
  <c r="R13" i="4"/>
  <c r="R14" i="4" s="1"/>
  <c r="P13" i="4"/>
  <c r="P14" i="4" s="1"/>
  <c r="N13" i="4"/>
  <c r="N14" i="4" s="1"/>
  <c r="L13" i="4"/>
  <c r="L14" i="4" s="1"/>
  <c r="G13" i="4"/>
  <c r="G14" i="4" s="1"/>
  <c r="Z2" i="4"/>
  <c r="X2" i="4"/>
  <c r="I2" i="4"/>
  <c r="H6" i="3"/>
  <c r="D4" i="3"/>
  <c r="D6" i="3" s="1"/>
  <c r="D3" i="3"/>
  <c r="D14" i="4" l="1"/>
  <c r="Y2" i="4"/>
  <c r="Q5" i="1"/>
  <c r="N5" i="1"/>
  <c r="K5" i="1"/>
  <c r="H5" i="1"/>
  <c r="E5" i="1"/>
  <c r="B5" i="1"/>
  <c r="D15" i="4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D24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4" i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31" i="4" s="1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<sst xmlns="http://schemas.openxmlformats.org/spreadsheetml/2006/main" count="441" uniqueCount="144">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</sst>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75534.599736000004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14677.184196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122150.629772</v>
      </c>
      <c r="F6" s="146">
        <v>1.27</v>
      </c>
      <c r="G6" s="42">
        <f>Gas!C7*0.9147</f>
        <v>1908.9788999999998</v>
      </c>
      <c r="H6" s="147">
        <v>3.65</v>
      </c>
      <c r="I6" s="149">
        <f>Submetering!H6+Submetering!AD6+Submetering!AE6</f>
        <v>976</v>
      </c>
      <c r="J6" s="149">
        <v>10.029999999999999</v>
      </c>
      <c r="K6" s="42">
        <f>ELECT.!B7</f>
        <v>250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75301.434267999997</v>
      </c>
      <c r="F7" s="146">
        <v>1.27</v>
      </c>
      <c r="G7" s="42">
        <f>Gas!C8*0.9147</f>
        <v>2451.3959999999997</v>
      </c>
      <c r="H7" s="147">
        <v>3.65</v>
      </c>
      <c r="I7" s="149">
        <f>Submetering!H7+Submetering!AD7+Submetering!AE7</f>
        <v>1066</v>
      </c>
      <c r="J7" s="149">
        <v>10.029999999999999</v>
      </c>
      <c r="K7" s="42">
        <f>ELECT.!B8</f>
        <v>255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56387.613003999992</v>
      </c>
      <c r="F8" s="146">
        <v>1.27</v>
      </c>
      <c r="G8" s="42">
        <f>Gas!C9*0.9147</f>
        <v>1880.6232</v>
      </c>
      <c r="H8" s="147">
        <v>3.65</v>
      </c>
      <c r="I8" s="149">
        <f>Submetering!H8+Submetering!AD8+Submetering!AE8</f>
        <v>896</v>
      </c>
      <c r="J8" s="149">
        <v>10.029999999999999</v>
      </c>
      <c r="K8" s="42">
        <f>ELECT.!B9</f>
        <v>204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81339.287308000014</v>
      </c>
      <c r="F9" s="146">
        <v>1.27</v>
      </c>
      <c r="G9" s="42">
        <f>Gas!C10*0.9147</f>
        <v>1948.3109999999999</v>
      </c>
      <c r="H9" s="147">
        <v>3.65</v>
      </c>
      <c r="I9" s="149">
        <f>Submetering!H9+Submetering!AD9+Submetering!AE9</f>
        <v>1245.9999999999998</v>
      </c>
      <c r="J9" s="149">
        <v>10.029999999999999</v>
      </c>
      <c r="K9" s="42">
        <f>ELECT.!B10</f>
        <v>213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170148.85151199999</v>
      </c>
      <c r="F10" s="146">
        <v>1.27</v>
      </c>
      <c r="G10" s="42">
        <f>Gas!C11*0.9147</f>
        <v>2146.8008999999997</v>
      </c>
      <c r="H10" s="147">
        <v>3.65</v>
      </c>
      <c r="I10" s="149">
        <f>Submetering!H10+Submetering!AD10+Submetering!AE10</f>
        <v>885.99999999999989</v>
      </c>
      <c r="J10" s="149">
        <v>10.029999999999999</v>
      </c>
      <c r="K10" s="42">
        <f>ELECT.!B11</f>
        <v>210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85706.904896000007</v>
      </c>
      <c r="F11" s="146">
        <v>1.27</v>
      </c>
      <c r="G11" s="42">
        <f>Gas!C12*0.9147</f>
        <v>2012.34</v>
      </c>
      <c r="H11" s="147">
        <v>3.65</v>
      </c>
      <c r="I11" s="149">
        <f>Submetering!H11+Submetering!AD11+Submetering!AE11</f>
        <v>1036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9499.8176000000003</v>
      </c>
      <c r="F12" s="146">
        <v>1.27</v>
      </c>
      <c r="G12" s="42">
        <f>Gas!C13*0.9147</f>
        <v>2058.0749999999998</v>
      </c>
      <c r="H12" s="147">
        <v>3.65</v>
      </c>
      <c r="I12" s="149">
        <f>Submetering!H12+Submetering!AD12+Submetering!AE12</f>
        <v>1026</v>
      </c>
      <c r="J12" s="149">
        <v>10.029999999999999</v>
      </c>
      <c r="K12" s="42">
        <f>ELECT.!B13</f>
        <v>225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17727.113600000001</v>
      </c>
      <c r="F13" s="146">
        <v>1.27</v>
      </c>
      <c r="G13" s="42">
        <f>Gas!C14*0.9147</f>
        <v>1883.3672999999999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216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73581.148331999997</v>
      </c>
      <c r="F14" s="146">
        <v>1.27</v>
      </c>
      <c r="G14" s="42">
        <f>Gas!C15*0.9147</f>
        <v>1860.4997999999998</v>
      </c>
      <c r="H14" s="147">
        <v>3.65</v>
      </c>
      <c r="I14" s="149">
        <f>Submetering!H14+Submetering!AD14+Submetering!AE14</f>
        <v>3486</v>
      </c>
      <c r="J14" s="149">
        <v>10.029999999999999</v>
      </c>
      <c r="K14" s="42">
        <f>ELECT.!B15</f>
        <v>222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44622.876983999995</v>
      </c>
      <c r="F15" s="146">
        <v>1.27</v>
      </c>
      <c r="G15" s="42">
        <f>Gas!C16*0.9147</f>
        <v>2100.1511999999998</v>
      </c>
      <c r="H15" s="147">
        <v>3.65</v>
      </c>
      <c r="I15" s="149">
        <f>Submetering!H15+Submetering!AD15+Submetering!AE15</f>
        <v>955.99999999999989</v>
      </c>
      <c r="J15" s="149">
        <v>10.029999999999999</v>
      </c>
      <c r="K15" s="42">
        <f>ELECT.!B16</f>
        <v>299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201562.180808</v>
      </c>
      <c r="F16" s="146">
        <v>1.27</v>
      </c>
      <c r="G16" s="42">
        <f>Gas!C17*0.9147</f>
        <v>1916.2964999999999</v>
      </c>
      <c r="H16" s="147">
        <v>3.65</v>
      </c>
      <c r="I16" s="149">
        <f>Submetering!H16+Submetering!AD16+Submetering!AE16</f>
        <v>945.99999999999989</v>
      </c>
      <c r="J16" s="149">
        <v>10.029999999999999</v>
      </c>
      <c r="K16" s="42">
        <f>ELECT.!B17</f>
        <v>260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74886.413811999999</v>
      </c>
      <c r="F17" s="146">
        <v>1.27</v>
      </c>
      <c r="G17" s="42">
        <f>Gas!C18*0.9147</f>
        <v>2871.2433000000001</v>
      </c>
      <c r="H17" s="147">
        <v>3.65</v>
      </c>
      <c r="I17" s="149">
        <f>Submetering!H17+Submetering!AD17+Submetering!AE17</f>
        <v>985.99999999999989</v>
      </c>
      <c r="J17" s="149">
        <v>10.029999999999999</v>
      </c>
      <c r="K17" s="42">
        <f>ELECT.!B18</f>
        <v>278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53365.814280000013</v>
      </c>
      <c r="F18" s="146">
        <v>1.27</v>
      </c>
      <c r="G18" s="42">
        <f>Gas!C19*0.9147</f>
        <v>1795.5561</v>
      </c>
      <c r="H18" s="147">
        <v>3.65</v>
      </c>
      <c r="I18" s="149">
        <f>Submetering!H18+Submetering!AD18+Submetering!AE18</f>
        <v>886</v>
      </c>
      <c r="J18" s="149">
        <v>10.029999999999999</v>
      </c>
      <c r="K18" s="42">
        <f>ELECT.!B19</f>
        <v>277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72757.661427999992</v>
      </c>
      <c r="F19" s="146">
        <v>1.27</v>
      </c>
      <c r="G19" s="42">
        <f>Gas!C20*0.9147</f>
        <v>2198.0241000000001</v>
      </c>
      <c r="H19" s="147">
        <v>3.65</v>
      </c>
      <c r="I19" s="149">
        <f>Submetering!H19+Submetering!AD19+Submetering!AE19</f>
        <v>1166</v>
      </c>
      <c r="J19" s="149">
        <v>10.029999999999999</v>
      </c>
      <c r="K19" s="42">
        <f>ELECT.!B20</f>
        <v>271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75107.859319999989</v>
      </c>
      <c r="F20" s="146">
        <v>1.27</v>
      </c>
      <c r="G20" s="42">
        <f>Gas!C21*0.9147</f>
        <v>1923.6141</v>
      </c>
      <c r="H20" s="147">
        <v>3.65</v>
      </c>
      <c r="I20" s="149">
        <f>Submetering!H20+Submetering!AD20+Submetering!AE20</f>
        <v>975.99999999999989</v>
      </c>
      <c r="J20" s="149">
        <v>10.029999999999999</v>
      </c>
      <c r="K20" s="42">
        <f>ELECT.!B21</f>
        <v>261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abSelected="1" topLeftCell="L1"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1110</v>
      </c>
      <c r="K5" s="42">
        <f>ELECT.!K6</f>
        <v>4868</v>
      </c>
      <c r="L5" s="42">
        <f>ELECT.!M6</f>
        <v>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-42124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1170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20809</v>
      </c>
      <c r="J6" s="42">
        <f>ELECT.!H7</f>
        <v>105703</v>
      </c>
      <c r="K6" s="42">
        <f>ELECT.!K7</f>
        <v>22787</v>
      </c>
      <c r="L6" s="42">
        <f>ELECT.!M7</f>
        <v>766</v>
      </c>
      <c r="M6" s="42">
        <f>ELECT.!O7</f>
        <v>14052</v>
      </c>
      <c r="N6" s="42">
        <f>ELECT.!Q7</f>
        <v>15941</v>
      </c>
      <c r="O6" s="42">
        <f>ELECT.!S7</f>
        <v>12293</v>
      </c>
      <c r="P6" s="42">
        <f>ELECT.!W7*2</f>
        <v>26540</v>
      </c>
      <c r="Q6" s="42">
        <f>ELECT.!D7</f>
        <v>960</v>
      </c>
      <c r="R6" s="43">
        <f>BTU!C7</f>
        <v>17.934000000001106</v>
      </c>
      <c r="S6" s="43">
        <f>BTU!F7</f>
        <v>4.0599999999999454</v>
      </c>
      <c r="T6" s="43">
        <f>BTU!I7</f>
        <v>9</v>
      </c>
      <c r="U6" s="43">
        <f>BTU!O7</f>
        <v>1.7670000000002801</v>
      </c>
      <c r="V6" s="43">
        <f>BTU!L7</f>
        <v>4.25</v>
      </c>
      <c r="W6" s="43">
        <f>BTU!R7</f>
        <v>4.2199999999993452</v>
      </c>
      <c r="X6" s="40">
        <f>ELECT.!B7</f>
        <v>250</v>
      </c>
      <c r="Y6" s="40">
        <f t="shared" si="0"/>
        <v>34133</v>
      </c>
      <c r="Z6">
        <f>'Mall, Citadel, Rotana'!C7+'Mall, Citadel, Rotana'!E7+'Mall, Citadel, Rotana'!G7+'Mall, Citadel, Rotana'!I7</f>
        <v>1386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0">
        <f t="shared" si="1"/>
        <v>128.63679999999999</v>
      </c>
      <c r="AE6" s="40">
        <f t="shared" si="2"/>
        <v>847.36320000000001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1260</v>
      </c>
      <c r="F7" s="42">
        <f>Water!E8</f>
        <v>0</v>
      </c>
      <c r="G7" s="42">
        <f>Water!G8</f>
        <v>1544.4</v>
      </c>
      <c r="H7" s="42">
        <f>Water!I8</f>
        <v>7.452</v>
      </c>
      <c r="I7" s="42">
        <f>ELECT.!F8</f>
        <v>19460</v>
      </c>
      <c r="J7" s="42">
        <f>ELECT.!H8</f>
        <v>58893</v>
      </c>
      <c r="K7" s="42">
        <f>ELECT.!K8</f>
        <v>315</v>
      </c>
      <c r="L7" s="42">
        <f>ELECT.!M8</f>
        <v>11544</v>
      </c>
      <c r="M7" s="42">
        <f>ELECT.!O8</f>
        <v>13424</v>
      </c>
      <c r="N7" s="42">
        <f>ELECT.!Q8</f>
        <v>15436</v>
      </c>
      <c r="O7" s="42">
        <f>ELECT.!S8</f>
        <v>11519</v>
      </c>
      <c r="P7" s="42">
        <f>ELECT.!W8*2</f>
        <v>24858</v>
      </c>
      <c r="Q7" s="42">
        <f>ELECT.!D8</f>
        <v>1120</v>
      </c>
      <c r="R7" s="43">
        <f>BTU!C8</f>
        <v>14.621999999999389</v>
      </c>
      <c r="S7" s="43">
        <f>BTU!F8</f>
        <v>1.7339999999999236</v>
      </c>
      <c r="T7" s="43">
        <f>BTU!I8</f>
        <v>7</v>
      </c>
      <c r="U7" s="43">
        <f>BTU!O8</f>
        <v>1.3039999999996326</v>
      </c>
      <c r="V7" s="43">
        <f>BTU!L8</f>
        <v>3.4499999999989086</v>
      </c>
      <c r="W7" s="43">
        <f>BTU!R8</f>
        <v>3.2800000000006548</v>
      </c>
      <c r="X7" s="40">
        <f>ELECT.!B8</f>
        <v>255</v>
      </c>
      <c r="Y7" s="40">
        <f t="shared" si="0"/>
        <v>1257</v>
      </c>
      <c r="Z7">
        <f>'Mall, Citadel, Rotana'!C8+'Mall, Citadel, Rotana'!E8+'Mall, Citadel, Rotana'!G8+'Mall, Citadel, Rotana'!I8</f>
        <v>1411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139.51662640000001</v>
      </c>
      <c r="AE7" s="40">
        <f t="shared" si="2"/>
        <v>919.03137360000005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1090</v>
      </c>
      <c r="F8" s="42">
        <f>Water!E9</f>
        <v>189</v>
      </c>
      <c r="G8" s="42">
        <f>Water!G9</f>
        <v>666.9</v>
      </c>
      <c r="H8" s="42">
        <f>Water!I9</f>
        <v>4.7519999999999998</v>
      </c>
      <c r="I8" s="42">
        <f>ELECT.!F9</f>
        <v>14223</v>
      </c>
      <c r="J8" s="42">
        <f>ELECT.!H9</f>
        <v>44997</v>
      </c>
      <c r="K8" s="42">
        <f>ELECT.!K9</f>
        <v>804</v>
      </c>
      <c r="L8" s="42">
        <f>ELECT.!M9</f>
        <v>4358</v>
      </c>
      <c r="M8" s="42">
        <f>ELECT.!O9</f>
        <v>9760</v>
      </c>
      <c r="N8" s="42">
        <f>ELECT.!Q9</f>
        <v>11714</v>
      </c>
      <c r="O8" s="42">
        <f>ELECT.!S9</f>
        <v>8835</v>
      </c>
      <c r="P8" s="42">
        <f>ELECT.!W9*2</f>
        <v>19146</v>
      </c>
      <c r="Q8" s="42">
        <f>ELECT.!D9</f>
        <v>960</v>
      </c>
      <c r="R8" s="43">
        <f>BTU!C9</f>
        <v>20.802999999999884</v>
      </c>
      <c r="S8" s="43">
        <f>BTU!F9</f>
        <v>2.8519999999998618</v>
      </c>
      <c r="T8" s="43">
        <f>BTU!I9</f>
        <v>11</v>
      </c>
      <c r="U8" s="43">
        <f>BTU!O9</f>
        <v>1.8270000000002256</v>
      </c>
      <c r="V8" s="43">
        <f>BTU!L9</f>
        <v>4.6900000000005093</v>
      </c>
      <c r="W8" s="43">
        <f>BTU!R9</f>
        <v>4.3899999999994179</v>
      </c>
      <c r="X8" s="40">
        <f>ELECT.!B9</f>
        <v>204</v>
      </c>
      <c r="Y8" s="40">
        <f t="shared" si="0"/>
        <v>4603</v>
      </c>
      <c r="Z8">
        <f>'Mall, Citadel, Rotana'!C9+'Mall, Citadel, Rotana'!E9+'Mall, Citadel, Rotana'!G9+'Mall, Citadel, Rotana'!I9</f>
        <v>1377</v>
      </c>
      <c r="AA8">
        <f>'Mall, Citadel, Rotana'!K9+'Mall, Citadel, Rotana'!M9</f>
        <v>480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117.46648640000001</v>
      </c>
      <c r="AE8" s="40">
        <f t="shared" si="2"/>
        <v>773.78151360000004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1440</v>
      </c>
      <c r="F9" s="42">
        <f>Water!E10</f>
        <v>0</v>
      </c>
      <c r="G9" s="42">
        <f>Water!G10</f>
        <v>793.8</v>
      </c>
      <c r="H9" s="42">
        <f>Water!I10</f>
        <v>3.6720000000000002</v>
      </c>
      <c r="I9" s="42">
        <f>ELECT.!F10</f>
        <v>19603</v>
      </c>
      <c r="J9" s="42">
        <f>ELECT.!H10</f>
        <v>65615</v>
      </c>
      <c r="K9" s="42">
        <f>ELECT.!K10</f>
        <v>352</v>
      </c>
      <c r="L9" s="42">
        <f>ELECT.!M10</f>
        <v>385</v>
      </c>
      <c r="M9" s="42">
        <f>ELECT.!O10</f>
        <v>12962</v>
      </c>
      <c r="N9" s="42">
        <f>ELECT.!Q10</f>
        <v>16820</v>
      </c>
      <c r="O9" s="42">
        <f>ELECT.!S10</f>
        <v>12623</v>
      </c>
      <c r="P9" s="42">
        <f>ELECT.!W10*2</f>
        <v>27914</v>
      </c>
      <c r="Q9" s="42">
        <f>ELECT.!D10</f>
        <v>1120</v>
      </c>
      <c r="R9" s="43">
        <f>BTU!C10</f>
        <v>19.854999999999563</v>
      </c>
      <c r="S9" s="43">
        <f>BTU!F10</f>
        <v>4.0410000000001673</v>
      </c>
      <c r="T9" s="43">
        <f>BTU!I10</f>
        <v>10</v>
      </c>
      <c r="U9" s="43">
        <f>BTU!O10</f>
        <v>2.0679999999997563</v>
      </c>
      <c r="V9" s="43">
        <f>BTU!L10</f>
        <v>3.2100000000009459</v>
      </c>
      <c r="W9" s="43">
        <f>BTU!R10</f>
        <v>3.7600000000002183</v>
      </c>
      <c r="X9" s="40">
        <f>ELECT.!B10</f>
        <v>213</v>
      </c>
      <c r="Y9" s="40">
        <f t="shared" si="0"/>
        <v>14162</v>
      </c>
      <c r="Z9">
        <f>'Mall, Citadel, Rotana'!C10+'Mall, Citadel, Rotana'!E10+'Mall, Citadel, Rotana'!G10+'Mall, Citadel, Rotana'!I10</f>
        <v>1581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163.73883039999998</v>
      </c>
      <c r="AE9" s="40">
        <f t="shared" si="2"/>
        <v>1078.5891695999999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1080</v>
      </c>
      <c r="F10" s="42">
        <f>Water!E11</f>
        <v>0</v>
      </c>
      <c r="G10" s="42">
        <f>Water!G11</f>
        <v>623.70000000000005</v>
      </c>
      <c r="H10" s="42">
        <f>Water!I11</f>
        <v>2.7</v>
      </c>
      <c r="I10" s="42">
        <f>ELECT.!F11</f>
        <v>12834</v>
      </c>
      <c r="J10" s="42">
        <f>ELECT.!H11</f>
        <v>159574</v>
      </c>
      <c r="K10" s="42">
        <f>ELECT.!K11</f>
        <v>15521</v>
      </c>
      <c r="L10" s="42">
        <f>ELECT.!M11</f>
        <v>21641</v>
      </c>
      <c r="M10" s="42">
        <f>ELECT.!O11</f>
        <v>31548</v>
      </c>
      <c r="N10" s="42">
        <f>ELECT.!Q11</f>
        <v>40752</v>
      </c>
      <c r="O10" s="42">
        <f>ELECT.!S11</f>
        <v>31150</v>
      </c>
      <c r="P10" s="42">
        <f>ELECT.!W11*2</f>
        <v>67868</v>
      </c>
      <c r="Q10" s="42">
        <f>ELECT.!D11</f>
        <v>18612</v>
      </c>
      <c r="R10" s="43">
        <f>BTU!C11</f>
        <v>17.752000000000407</v>
      </c>
      <c r="S10" s="43">
        <f>BTU!F11</f>
        <v>3.8299999999999272</v>
      </c>
      <c r="T10" s="43">
        <f>BTU!I11</f>
        <v>10</v>
      </c>
      <c r="U10" s="43">
        <f>BTU!O11</f>
        <v>1.706000000000131</v>
      </c>
      <c r="V10" s="43">
        <f>BTU!L11</f>
        <v>4.1099999999987631</v>
      </c>
      <c r="W10" s="43">
        <f>BTU!R11</f>
        <v>3.6999999999998181</v>
      </c>
      <c r="X10" s="40">
        <f>ELECT.!B11</f>
        <v>210</v>
      </c>
      <c r="Y10" s="40">
        <f t="shared" si="0"/>
        <v>-36072</v>
      </c>
      <c r="Z10">
        <f>'Mall, Citadel, Rotana'!C11+'Mall, Citadel, Rotana'!E11+'Mall, Citadel, Rotana'!G11+'Mall, Citadel, Rotana'!I11</f>
        <v>2300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116.41893999999999</v>
      </c>
      <c r="AE10" s="40">
        <f t="shared" si="2"/>
        <v>766.88105999999993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1230</v>
      </c>
      <c r="F11" s="42">
        <f>Water!E12</f>
        <v>0</v>
      </c>
      <c r="G11" s="42">
        <f>Water!G12</f>
        <v>726.3</v>
      </c>
      <c r="H11" s="42">
        <f>Water!I12</f>
        <v>2.9159999999999999</v>
      </c>
      <c r="I11" s="42">
        <f>ELECT.!F12</f>
        <v>20981</v>
      </c>
      <c r="J11" s="42">
        <f>ELECT.!H12</f>
        <v>65999</v>
      </c>
      <c r="K11" s="42">
        <f>ELECT.!K12</f>
        <v>6248</v>
      </c>
      <c r="L11" s="42">
        <f>ELECT.!M12</f>
        <v>6408</v>
      </c>
      <c r="M11" s="42">
        <f>ELECT.!O12</f>
        <v>13390</v>
      </c>
      <c r="N11" s="42">
        <f>ELECT.!Q12</f>
        <v>16936</v>
      </c>
      <c r="O11" s="42">
        <f>ELECT.!S12</f>
        <v>13142</v>
      </c>
      <c r="P11" s="42">
        <f>ELECT.!W12*2</f>
        <v>28202</v>
      </c>
      <c r="Q11" s="42">
        <f>ELECT.!D12</f>
        <v>1280</v>
      </c>
      <c r="R11" s="43">
        <f>BTU!C12</f>
        <v>16.130000000001019</v>
      </c>
      <c r="S11" s="43">
        <f>BTU!F12</f>
        <v>3.4659999999998945</v>
      </c>
      <c r="T11" s="43">
        <f>BTU!I12</f>
        <v>8</v>
      </c>
      <c r="U11" s="43">
        <f>BTU!O12</f>
        <v>1.6269999999999527</v>
      </c>
      <c r="V11" s="43">
        <f>BTU!L12</f>
        <v>3.6700000000000728</v>
      </c>
      <c r="W11" s="43">
        <f>BTU!R12</f>
        <v>3.9000000000005457</v>
      </c>
      <c r="X11" s="40">
        <f>ELECT.!B12</f>
        <v>220</v>
      </c>
      <c r="Y11" s="40">
        <f t="shared" si="0"/>
        <v>2654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136.16047120000002</v>
      </c>
      <c r="AE11" s="40">
        <f t="shared" si="2"/>
        <v>896.92352879999999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1220</v>
      </c>
      <c r="F12" s="42">
        <f>Water!E13</f>
        <v>0</v>
      </c>
      <c r="G12" s="42">
        <f>Water!G13</f>
        <v>683.1</v>
      </c>
      <c r="H12" s="42">
        <f>Water!I13</f>
        <v>3.7530000000000001</v>
      </c>
      <c r="I12" s="42">
        <f>ELECT.!F13</f>
        <v>13832</v>
      </c>
      <c r="J12" s="42">
        <f>ELECT.!H13</f>
        <v>0</v>
      </c>
      <c r="K12" s="42" t="str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800</v>
      </c>
      <c r="R12" s="43">
        <f>BTU!C13</f>
        <v>13.004000000000815</v>
      </c>
      <c r="S12" s="43">
        <f>BTU!F13</f>
        <v>2.9460000000003674</v>
      </c>
      <c r="T12" s="43">
        <f>BTU!I13</f>
        <v>8</v>
      </c>
      <c r="U12" s="43">
        <f>BTU!O13</f>
        <v>1.2420000000001892</v>
      </c>
      <c r="V12" s="43">
        <f>BTU!L13</f>
        <v>3</v>
      </c>
      <c r="W12" s="43">
        <f>BTU!R13</f>
        <v>2.7599999999993088</v>
      </c>
      <c r="X12" s="40">
        <f>ELECT.!B13</f>
        <v>225</v>
      </c>
      <c r="Y12" s="40">
        <f t="shared" si="0"/>
        <v>13832</v>
      </c>
      <c r="Z12">
        <f>'Mall, Citadel, Rotana'!C13+'Mall, Citadel, Rotana'!E13+'Mall, Citadel, Rotana'!G13+'Mall, Citadel, Rotana'!I13</f>
        <v>2706</v>
      </c>
      <c r="AA12">
        <f>'Mall, Citadel, Rotana'!K13+'Mall, Citadel, Rotana'!M13</f>
        <v>1280</v>
      </c>
      <c r="AB12">
        <f>'Mall, Citadel, Rotana'!O13</f>
        <v>6</v>
      </c>
      <c r="AC12">
        <f>'Mall, Citadel, Rotana'!Q13+'Mall, Citadel, Rotana'!S13</f>
        <v>0</v>
      </c>
      <c r="AD12" s="40">
        <f t="shared" si="1"/>
        <v>134.7321546</v>
      </c>
      <c r="AE12" s="40">
        <f t="shared" si="2"/>
        <v>887.51484540000001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19992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960</v>
      </c>
      <c r="R13" s="43">
        <f>BTU!C14</f>
        <v>14.362999999997555</v>
      </c>
      <c r="S13" s="43">
        <f>BTU!F14</f>
        <v>1.5879999999997381</v>
      </c>
      <c r="T13" s="43">
        <f>BTU!I14</f>
        <v>7</v>
      </c>
      <c r="U13" s="43">
        <f>BTU!O14</f>
        <v>1.3719999999998436</v>
      </c>
      <c r="V13" s="43">
        <f>BTU!L14</f>
        <v>3.3700000000008004</v>
      </c>
      <c r="W13" s="43">
        <f>BTU!R14</f>
        <v>3.4800000000004729</v>
      </c>
      <c r="X13" s="40">
        <f>ELECT.!B14</f>
        <v>216</v>
      </c>
      <c r="Y13" s="40">
        <f t="shared" si="0"/>
        <v>19992</v>
      </c>
      <c r="Z13">
        <f>'Mall, Citadel, Rotana'!C14+'Mall, Citadel, Rotana'!E14+'Mall, Citadel, Rotana'!G14+'Mall, Citadel, Rotana'!I14</f>
        <v>1261</v>
      </c>
      <c r="AA13">
        <f>'Mall, Citadel, Rotana'!K14+'Mall, Citadel, Rotana'!M14</f>
        <v>480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3680</v>
      </c>
      <c r="F14" s="42">
        <f>Water!E15</f>
        <v>0</v>
      </c>
      <c r="G14" s="42">
        <f>Water!G15</f>
        <v>1201.5</v>
      </c>
      <c r="H14" s="42">
        <f>Water!I15</f>
        <v>6.8849999999999998</v>
      </c>
      <c r="I14" s="42">
        <f>ELECT.!F15</f>
        <v>16726</v>
      </c>
      <c r="J14" s="42">
        <f>ELECT.!H15</f>
        <v>56685</v>
      </c>
      <c r="K14" s="42">
        <f>ELECT.!K15</f>
        <v>74210</v>
      </c>
      <c r="L14" s="42">
        <f>ELECT.!M15</f>
        <v>4956</v>
      </c>
      <c r="M14" s="42">
        <f>ELECT.!O15</f>
        <v>11580</v>
      </c>
      <c r="N14" s="42">
        <f>ELECT.!Q15</f>
        <v>14607</v>
      </c>
      <c r="O14" s="42">
        <f>ELECT.!S15</f>
        <v>11641</v>
      </c>
      <c r="P14" s="42">
        <f>ELECT.!W15*2</f>
        <v>23832</v>
      </c>
      <c r="Q14" s="42">
        <f>ELECT.!D15</f>
        <v>1120</v>
      </c>
      <c r="R14" s="43">
        <f>BTU!C15</f>
        <v>17.558000000000902</v>
      </c>
      <c r="S14" s="43">
        <f>BTU!F15</f>
        <v>1.5390000000002146</v>
      </c>
      <c r="T14" s="43">
        <f>BTU!I15</f>
        <v>7</v>
      </c>
      <c r="U14" s="43">
        <f>BTU!O15</f>
        <v>1.4729999999999563</v>
      </c>
      <c r="V14" s="43">
        <f>BTU!L15</f>
        <v>2.5100000000002183</v>
      </c>
      <c r="W14" s="43">
        <f>BTU!R15</f>
        <v>2.3900000000003274</v>
      </c>
      <c r="X14" s="40">
        <f>ELECT.!B15</f>
        <v>222</v>
      </c>
      <c r="Y14" s="40">
        <f t="shared" si="0"/>
        <v>-67415</v>
      </c>
      <c r="Z14">
        <f>'Mall, Citadel, Rotana'!C15+'Mall, Citadel, Rotana'!E15+'Mall, Citadel, Rotana'!G15+'Mall, Citadel, Rotana'!I15</f>
        <v>565</v>
      </c>
      <c r="AA14">
        <f>'Mall, Citadel, Rotana'!K15+'Mall, Citadel, Rotana'!M15</f>
        <v>480</v>
      </c>
      <c r="AB14">
        <f>'Mall, Citadel, Rotana'!O15</f>
        <v>4</v>
      </c>
      <c r="AC14">
        <f>'Mall, Citadel, Rotana'!Q15+'Mall, Citadel, Rotana'!S15</f>
        <v>0</v>
      </c>
      <c r="AD14" s="40">
        <f t="shared" si="1"/>
        <v>458.54735699999998</v>
      </c>
      <c r="AE14" s="40">
        <f t="shared" si="2"/>
        <v>3020.5676429999999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1150</v>
      </c>
      <c r="F15" s="42">
        <f>Water!E16</f>
        <v>0</v>
      </c>
      <c r="G15" s="42">
        <f>Water!G16</f>
        <v>656.1</v>
      </c>
      <c r="H15" s="42">
        <f>Water!I16</f>
        <v>1.323</v>
      </c>
      <c r="I15" s="42">
        <f>ELECT.!F16</f>
        <v>11688</v>
      </c>
      <c r="J15" s="42">
        <f>ELECT.!H16</f>
        <v>38693</v>
      </c>
      <c r="K15" s="42">
        <f>ELECT.!K16</f>
        <v>3736</v>
      </c>
      <c r="L15" s="42">
        <f>ELECT.!M16</f>
        <v>3672</v>
      </c>
      <c r="M15" s="42">
        <f>ELECT.!O16</f>
        <v>7864</v>
      </c>
      <c r="N15" s="42">
        <f>ELECT.!Q16</f>
        <v>9924</v>
      </c>
      <c r="O15" s="42">
        <f>ELECT.!S16</f>
        <v>8006</v>
      </c>
      <c r="P15" s="42">
        <f>ELECT.!W16*2</f>
        <v>16320</v>
      </c>
      <c r="Q15" s="42">
        <f>ELECT.!D16</f>
        <v>960</v>
      </c>
      <c r="R15" s="43">
        <f>BTU!C16</f>
        <v>18.555000000000291</v>
      </c>
      <c r="S15" s="43">
        <f>BTU!F16</f>
        <v>2.7829999999999018</v>
      </c>
      <c r="T15" s="43">
        <f>BTU!I16</f>
        <v>9</v>
      </c>
      <c r="U15" s="43">
        <f>BTU!O16</f>
        <v>1.5960000000000036</v>
      </c>
      <c r="V15" s="43">
        <f>BTU!L16</f>
        <v>3.8400000000001455</v>
      </c>
      <c r="W15" s="43">
        <f>BTU!R16</f>
        <v>3.839999999999236</v>
      </c>
      <c r="X15" s="40">
        <f>ELECT.!B16</f>
        <v>299</v>
      </c>
      <c r="Y15" s="40">
        <f t="shared" si="0"/>
        <v>859</v>
      </c>
      <c r="Z15">
        <f>'Mall, Citadel, Rotana'!C16+'Mall, Citadel, Rotana'!E16+'Mall, Citadel, Rotana'!G16+'Mall, Citadel, Rotana'!I16</f>
        <v>1395</v>
      </c>
      <c r="AA15">
        <f>'Mall, Citadel, Rotana'!K16+'Mall, Citadel, Rotana'!M16</f>
        <v>320</v>
      </c>
      <c r="AB15">
        <f>'Mall, Citadel, Rotana'!O16</f>
        <v>3</v>
      </c>
      <c r="AC15">
        <f>'Mall, Citadel, Rotana'!Q16+'Mall, Citadel, Rotana'!S16</f>
        <v>3347</v>
      </c>
      <c r="AD15" s="40">
        <f t="shared" si="1"/>
        <v>125.82642859999999</v>
      </c>
      <c r="AE15" s="40">
        <f t="shared" si="2"/>
        <v>828.85057139999992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1140</v>
      </c>
      <c r="F16" s="42">
        <f>Water!E17</f>
        <v>0</v>
      </c>
      <c r="G16" s="42">
        <f>Water!G17</f>
        <v>634.5</v>
      </c>
      <c r="H16" s="42">
        <f>Water!I17</f>
        <v>1.5660000000000001</v>
      </c>
      <c r="I16" s="42">
        <f>ELECT.!F17</f>
        <v>20320</v>
      </c>
      <c r="J16" s="42">
        <f>ELECT.!H17</f>
        <v>67189</v>
      </c>
      <c r="K16" s="42">
        <f>ELECT.!K17</f>
        <v>6626</v>
      </c>
      <c r="L16" s="42">
        <f>ELECT.!M17</f>
        <v>6676</v>
      </c>
      <c r="M16" s="42">
        <f>ELECT.!O17</f>
        <v>13416</v>
      </c>
      <c r="N16" s="42">
        <f>ELECT.!Q17</f>
        <v>17202</v>
      </c>
      <c r="O16" s="42">
        <f>ELECT.!S17</f>
        <v>13620</v>
      </c>
      <c r="P16" s="42">
        <f>ELECT.!W17*2</f>
        <v>28342</v>
      </c>
      <c r="Q16" s="42">
        <f>ELECT.!D17</f>
        <v>960</v>
      </c>
      <c r="R16" s="43">
        <f>BTU!C17</f>
        <v>15.944999999999709</v>
      </c>
      <c r="S16" s="43">
        <f>BTU!F17</f>
        <v>3.3659999999999854</v>
      </c>
      <c r="T16" s="43">
        <f>BTU!I17</f>
        <v>7</v>
      </c>
      <c r="U16" s="43">
        <f>BTU!O17</f>
        <v>1.3930000000000291</v>
      </c>
      <c r="V16" s="43">
        <f>BTU!L17</f>
        <v>4.2699999999986176</v>
      </c>
      <c r="W16" s="43">
        <f>BTU!R17</f>
        <v>3.9200000000000728</v>
      </c>
      <c r="X16" s="40">
        <f>ELECT.!B17</f>
        <v>260</v>
      </c>
      <c r="Y16" s="40">
        <f t="shared" si="0"/>
        <v>1627</v>
      </c>
      <c r="Z16">
        <f>'Mall, Citadel, Rotana'!C17+'Mall, Citadel, Rotana'!E17+'Mall, Citadel, Rotana'!G17+'Mall, Citadel, Rotana'!I17</f>
        <v>1419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-117417</v>
      </c>
      <c r="AD16" s="40">
        <f t="shared" si="1"/>
        <v>124.4764012</v>
      </c>
      <c r="AE16" s="40">
        <f t="shared" si="2"/>
        <v>819.95759879999991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1180</v>
      </c>
      <c r="F17" s="42">
        <f>Water!E18</f>
        <v>0</v>
      </c>
      <c r="G17" s="42">
        <f>Water!G18</f>
        <v>639.9</v>
      </c>
      <c r="H17" s="42">
        <f>Water!I18</f>
        <v>2.7</v>
      </c>
      <c r="I17" s="42">
        <f>ELECT.!F18</f>
        <v>18246</v>
      </c>
      <c r="J17" s="42">
        <f>ELECT.!H18</f>
        <v>60113</v>
      </c>
      <c r="K17" s="42">
        <f>ELECT.!K18</f>
        <v>6270</v>
      </c>
      <c r="L17" s="42">
        <f>ELECT.!M18</f>
        <v>5899</v>
      </c>
      <c r="M17" s="42">
        <f>ELECT.!O18</f>
        <v>12154</v>
      </c>
      <c r="N17" s="42">
        <f>ELECT.!Q18</f>
        <v>15123</v>
      </c>
      <c r="O17" s="42">
        <f>ELECT.!S18</f>
        <v>11701</v>
      </c>
      <c r="P17" s="42">
        <f>ELECT.!W18*2</f>
        <v>25742</v>
      </c>
      <c r="Q17" s="42">
        <f>ELECT.!D18</f>
        <v>1120</v>
      </c>
      <c r="R17" s="43">
        <f>BTU!C18</f>
        <v>18.117999999998574</v>
      </c>
      <c r="S17" s="43">
        <f>BTU!F18</f>
        <v>4.2899999999999636</v>
      </c>
      <c r="T17" s="43">
        <f>BTU!I18</f>
        <v>10</v>
      </c>
      <c r="U17" s="43">
        <f>BTU!O18</f>
        <v>1.9090000000001055</v>
      </c>
      <c r="V17" s="43">
        <f>BTU!L18</f>
        <v>3.7200000000011642</v>
      </c>
      <c r="W17" s="43">
        <f>BTU!R18</f>
        <v>4.1500000000005457</v>
      </c>
      <c r="X17" s="40">
        <f>ELECT.!B18</f>
        <v>278</v>
      </c>
      <c r="Y17" s="40">
        <f t="shared" si="0"/>
        <v>1470</v>
      </c>
      <c r="Z17">
        <f>'Mall, Citadel, Rotana'!C18+'Mall, Citadel, Rotana'!E18+'Mall, Citadel, Rotana'!G18+'Mall, Citadel, Rotana'!I18</f>
        <v>1548</v>
      </c>
      <c r="AA17">
        <f>'Mall, Citadel, Rotana'!K18+'Mall, Citadel, Rotana'!M18</f>
        <v>800</v>
      </c>
      <c r="AB17">
        <f>'Mall, Citadel, Rotana'!O18</f>
        <v>3</v>
      </c>
      <c r="AC17">
        <f>'Mall, Citadel, Rotana'!Q18+'Mall, Citadel, Rotana'!S18</f>
        <v>0</v>
      </c>
      <c r="AD17" s="40">
        <f t="shared" si="1"/>
        <v>129.59894</v>
      </c>
      <c r="AE17" s="40">
        <f t="shared" si="2"/>
        <v>853.70105999999987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1080</v>
      </c>
      <c r="F18" s="42">
        <f>Water!E19</f>
        <v>0</v>
      </c>
      <c r="G18" s="42">
        <f>Water!G19</f>
        <v>580.5</v>
      </c>
      <c r="H18" s="42">
        <f>Water!I19</f>
        <v>3.105</v>
      </c>
      <c r="I18" s="42">
        <f>ELECT.!F19</f>
        <v>13199</v>
      </c>
      <c r="J18" s="42">
        <f>ELECT.!H19</f>
        <v>43051</v>
      </c>
      <c r="K18" s="42">
        <f>ELECT.!K19</f>
        <v>4595</v>
      </c>
      <c r="L18" s="42">
        <f>ELECT.!M19</f>
        <v>4349</v>
      </c>
      <c r="M18" s="42">
        <f>ELECT.!O19</f>
        <v>8690</v>
      </c>
      <c r="N18" s="42">
        <f>ELECT.!Q19</f>
        <v>10608</v>
      </c>
      <c r="O18" s="42" t="str">
        <f>ELECT.!S19</f>
        <v>0</v>
      </c>
      <c r="P18" s="42">
        <f>ELECT.!W19*2</f>
        <v>18470</v>
      </c>
      <c r="Q18" s="42">
        <f>ELECT.!D19</f>
        <v>960</v>
      </c>
      <c r="R18" s="43">
        <f>BTU!C19</f>
        <v>15.224000000001979</v>
      </c>
      <c r="S18" s="43">
        <f>BTU!F19</f>
        <v>3.80600000000004</v>
      </c>
      <c r="T18" s="43">
        <f>BTU!I19</f>
        <v>9</v>
      </c>
      <c r="U18" s="43">
        <f>BTU!O19</f>
        <v>1.6999999999998181</v>
      </c>
      <c r="V18" s="43">
        <f>BTU!L19</f>
        <v>4.3400000000001455</v>
      </c>
      <c r="W18" s="43">
        <f>BTU!R19</f>
        <v>3.6599999999998545</v>
      </c>
      <c r="X18" s="40">
        <f>ELECT.!B19</f>
        <v>277</v>
      </c>
      <c r="Y18" s="40">
        <f t="shared" si="0"/>
        <v>9538</v>
      </c>
      <c r="Z18">
        <f>'Mall, Citadel, Rotana'!C19+'Mall, Citadel, Rotana'!E19+'Mall, Citadel, Rotana'!G19+'Mall, Citadel, Rotana'!I19</f>
        <v>1261</v>
      </c>
      <c r="AA18">
        <f>'Mall, Citadel, Rotana'!K19+'Mall, Citadel, Rotana'!M19</f>
        <v>640</v>
      </c>
      <c r="AB18">
        <f>'Mall, Citadel, Rotana'!O19</f>
        <v>4</v>
      </c>
      <c r="AC18">
        <f>'Mall, Citadel, Rotana'!Q19+'Mall, Citadel, Rotana'!S19</f>
        <v>0</v>
      </c>
      <c r="AD18" s="40">
        <f t="shared" si="1"/>
        <v>116.365561</v>
      </c>
      <c r="AE18" s="40">
        <f t="shared" si="2"/>
        <v>766.52943900000002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1360</v>
      </c>
      <c r="F19" s="42">
        <f>Water!E20</f>
        <v>0</v>
      </c>
      <c r="G19" s="42">
        <f>Water!G20</f>
        <v>691.2</v>
      </c>
      <c r="H19" s="42">
        <f>Water!I20</f>
        <v>2.835</v>
      </c>
      <c r="I19" s="42">
        <f>ELECT.!F20</f>
        <v>21593</v>
      </c>
      <c r="J19" s="42">
        <f>ELECT.!H20</f>
        <v>53197</v>
      </c>
      <c r="K19" s="42">
        <f>ELECT.!K20</f>
        <v>6280</v>
      </c>
      <c r="L19" s="42">
        <f>ELECT.!M20</f>
        <v>5825</v>
      </c>
      <c r="M19" s="42">
        <f>ELECT.!O20</f>
        <v>15548</v>
      </c>
      <c r="N19" s="42">
        <f>ELECT.!Q20</f>
        <v>8548</v>
      </c>
      <c r="O19" s="42">
        <f>ELECT.!S20</f>
        <v>61995</v>
      </c>
      <c r="P19" s="42">
        <f>ELECT.!W20*2</f>
        <v>25172</v>
      </c>
      <c r="Q19" s="42">
        <f>ELECT.!D20</f>
        <v>800</v>
      </c>
      <c r="R19" s="43">
        <f>BTU!C20</f>
        <v>10.972999999998137</v>
      </c>
      <c r="S19" s="43">
        <f>BTU!F20</f>
        <v>2.3159999999998035</v>
      </c>
      <c r="T19" s="43">
        <f>BTU!I20</f>
        <v>7</v>
      </c>
      <c r="U19" s="43">
        <f>BTU!O20</f>
        <v>0.6020000000003165</v>
      </c>
      <c r="V19" s="43">
        <f>BTU!L20</f>
        <v>1.9799999999995634</v>
      </c>
      <c r="W19" s="43">
        <f>BTU!R20</f>
        <v>3.0199999999995271</v>
      </c>
      <c r="X19" s="40">
        <f>ELECT.!B20</f>
        <v>271</v>
      </c>
      <c r="Y19" s="40">
        <f t="shared" si="0"/>
        <v>-48578</v>
      </c>
      <c r="Z19">
        <f>'Mall, Citadel, Rotana'!C20+'Mall, Citadel, Rotana'!E20+'Mall, Citadel, Rotana'!G20+'Mall, Citadel, Rotana'!I20</f>
        <v>1544</v>
      </c>
      <c r="AA19">
        <f>'Mall, Citadel, Rotana'!K20+'Mall, Citadel, Rotana'!M20</f>
        <v>640</v>
      </c>
      <c r="AB19">
        <f>'Mall, Citadel, Rotana'!O20</f>
        <v>3</v>
      </c>
      <c r="AC19">
        <f>'Mall, Citadel, Rotana'!Q20+'Mall, Citadel, Rotana'!S20</f>
        <v>0</v>
      </c>
      <c r="AD19" s="40">
        <f t="shared" si="1"/>
        <v>153.30514700000001</v>
      </c>
      <c r="AE19" s="40">
        <f t="shared" si="2"/>
        <v>1009.8598529999999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1170</v>
      </c>
      <c r="F20" s="42">
        <f>Water!E21</f>
        <v>0</v>
      </c>
      <c r="G20" s="42">
        <f>Water!G21</f>
        <v>618.29999999999995</v>
      </c>
      <c r="H20" s="42">
        <f>Water!I21</f>
        <v>3.2669999999999999</v>
      </c>
      <c r="I20" s="42">
        <f>ELECT.!F21</f>
        <v>26242</v>
      </c>
      <c r="J20" s="42">
        <f>ELECT.!H21</f>
        <v>51983</v>
      </c>
      <c r="K20" s="42">
        <f>ELECT.!K21</f>
        <v>6263</v>
      </c>
      <c r="L20" s="42">
        <f>ELECT.!M21</f>
        <v>5805</v>
      </c>
      <c r="M20" s="42">
        <f>ELECT.!O21</f>
        <v>14086</v>
      </c>
      <c r="N20" s="42">
        <f>ELECT.!Q21</f>
        <v>3874</v>
      </c>
      <c r="O20" s="42">
        <f>ELECT.!S21</f>
        <v>13010</v>
      </c>
      <c r="P20" s="42">
        <f>ELECT.!W21*2</f>
        <v>26820</v>
      </c>
      <c r="Q20" s="42">
        <f>ELECT.!D21</f>
        <v>800</v>
      </c>
      <c r="R20" s="43">
        <f>BTU!C21</f>
        <v>14.25</v>
      </c>
      <c r="S20" s="43">
        <f>BTU!F21</f>
        <v>3.3170000000000073</v>
      </c>
      <c r="T20" s="43">
        <f>BTU!I21</f>
        <v>8</v>
      </c>
      <c r="U20" s="43">
        <f>BTU!O21</f>
        <v>2.0919999999996435</v>
      </c>
      <c r="V20" s="43">
        <f>BTU!L21</f>
        <v>2.430000000000291</v>
      </c>
      <c r="W20" s="43">
        <f>BTU!R21</f>
        <v>2.6199999999998909</v>
      </c>
      <c r="X20" s="40">
        <f>ELECT.!B21</f>
        <v>261</v>
      </c>
      <c r="Y20" s="40">
        <f t="shared" si="0"/>
        <v>8367</v>
      </c>
      <c r="Z20">
        <f>'Mall, Citadel, Rotana'!C21+'Mall, Citadel, Rotana'!E21+'Mall, Citadel, Rotana'!G21+'Mall, Citadel, Rotana'!I21</f>
        <v>1364</v>
      </c>
      <c r="AA20">
        <f>'Mall, Citadel, Rotana'!K21+'Mall, Citadel, Rotana'!M21</f>
        <v>640</v>
      </c>
      <c r="AB20">
        <f>'Mall, Citadel, Rotana'!O21</f>
        <v>3</v>
      </c>
      <c r="AC20">
        <f>'Mall, Citadel, Rotana'!Q21+'Mall, Citadel, Rotana'!S21</f>
        <v>0</v>
      </c>
      <c r="AD20" s="40">
        <f t="shared" si="1"/>
        <v>128.20620940000001</v>
      </c>
      <c r="AE20" s="40">
        <f t="shared" si="2"/>
        <v>844.52679059999991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 t="str">
        <f>ELECT.!F22</f>
        <v>0</v>
      </c>
      <c r="J21" s="42" t="str">
        <f>ELECT.!H22</f>
        <v>0</v>
      </c>
      <c r="K21" s="42" t="str">
        <f>ELECT.!K22</f>
        <v>0</v>
      </c>
      <c r="L21" s="42" t="str">
        <f>ELECT.!M22</f>
        <v>0</v>
      </c>
      <c r="M21" s="42">
        <f>ELECT.!O22</f>
        <v>0</v>
      </c>
      <c r="N21" s="42" t="str">
        <f>ELECT.!Q22</f>
        <v>0</v>
      </c>
      <c r="O21" s="42" t="str">
        <f>ELECT.!S22</f>
        <v>0</v>
      </c>
      <c r="P21" s="42">
        <f>ELECT.!W22*2</f>
        <v>0</v>
      </c>
      <c r="Q21" s="42">
        <f>ELECT.!D22</f>
        <v>0</v>
      </c>
      <c r="R21" s="43" t="str">
        <f>BTU!C22</f>
        <v>0</v>
      </c>
      <c r="S21" s="43" t="str">
        <f>BTU!F22</f>
        <v>0</v>
      </c>
      <c r="T21" s="43" t="str">
        <f>BTU!I22</f>
        <v>0</v>
      </c>
      <c r="U21" s="43" t="str">
        <f>BTU!O22</f>
        <v>0</v>
      </c>
      <c r="V21" s="43" t="str">
        <f>BTU!L22</f>
        <v>0</v>
      </c>
      <c r="W21" s="43" t="str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E1" zoomScale="110" zoomScaleNormal="110" workbookViewId="0">
      <pane ySplit="1" topLeftCell="A11" activePane="bottomLeft" state="frozen"/>
      <selection pane="bottomLeft" activeCell="T21" sqref="T21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25219</v>
      </c>
      <c r="M5" s="16">
        <f t="shared" si="5"/>
        <v>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25222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v>45685</v>
      </c>
      <c r="C7" s="16">
        <f t="shared" si="0"/>
        <v>800</v>
      </c>
      <c r="D7" s="37">
        <v>39736</v>
      </c>
      <c r="E7" s="16">
        <f t="shared" si="1"/>
        <v>480</v>
      </c>
      <c r="F7" s="37">
        <v>20644</v>
      </c>
      <c r="G7" s="16">
        <f t="shared" si="2"/>
        <v>60</v>
      </c>
      <c r="H7" s="37">
        <v>246585</v>
      </c>
      <c r="I7" s="16">
        <f t="shared" si="3"/>
        <v>46</v>
      </c>
      <c r="J7" s="37">
        <v>303517</v>
      </c>
      <c r="K7" s="16">
        <f t="shared" si="4"/>
        <v>0</v>
      </c>
      <c r="L7" s="37">
        <v>25226</v>
      </c>
      <c r="M7" s="16">
        <f t="shared" si="5"/>
        <v>640</v>
      </c>
      <c r="N7" s="37">
        <v>215752</v>
      </c>
      <c r="O7" s="16">
        <f t="shared" si="6"/>
        <v>3</v>
      </c>
      <c r="P7" s="37"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v>3725</v>
      </c>
      <c r="U7" s="16">
        <f t="shared" si="9"/>
        <v>320</v>
      </c>
    </row>
    <row r="8" spans="1:24" ht="13.5" thickBot="1" x14ac:dyDescent="0.25">
      <c r="A8" s="10">
        <v>44414</v>
      </c>
      <c r="B8" s="37">
        <v>45691</v>
      </c>
      <c r="C8" s="16">
        <f t="shared" si="0"/>
        <v>960</v>
      </c>
      <c r="D8" s="37">
        <v>39738</v>
      </c>
      <c r="E8" s="16">
        <f t="shared" si="1"/>
        <v>320</v>
      </c>
      <c r="F8" s="37">
        <v>20648</v>
      </c>
      <c r="G8" s="16">
        <f t="shared" si="2"/>
        <v>80</v>
      </c>
      <c r="H8" s="37">
        <v>246636</v>
      </c>
      <c r="I8" s="16">
        <f t="shared" si="3"/>
        <v>51</v>
      </c>
      <c r="J8" s="37">
        <v>303517</v>
      </c>
      <c r="K8" s="16">
        <f t="shared" si="4"/>
        <v>0</v>
      </c>
      <c r="L8" s="37">
        <v>25229</v>
      </c>
      <c r="M8" s="16">
        <f t="shared" si="5"/>
        <v>480</v>
      </c>
      <c r="N8" s="37">
        <v>215755</v>
      </c>
      <c r="O8" s="16">
        <f t="shared" si="6"/>
        <v>3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v>3726</v>
      </c>
      <c r="U8" s="16">
        <f t="shared" si="9"/>
        <v>160</v>
      </c>
    </row>
    <row r="9" spans="1:24" ht="13.5" thickBot="1" x14ac:dyDescent="0.25">
      <c r="A9" s="10">
        <v>44415</v>
      </c>
      <c r="B9" s="37">
        <v>45696</v>
      </c>
      <c r="C9" s="16">
        <f t="shared" si="0"/>
        <v>800</v>
      </c>
      <c r="D9" s="37">
        <v>39741</v>
      </c>
      <c r="E9" s="16">
        <f t="shared" si="1"/>
        <v>480</v>
      </c>
      <c r="F9" s="37">
        <v>20651</v>
      </c>
      <c r="G9" s="16">
        <f t="shared" si="2"/>
        <v>60</v>
      </c>
      <c r="H9" s="37">
        <v>246673</v>
      </c>
      <c r="I9" s="16">
        <f t="shared" si="3"/>
        <v>37</v>
      </c>
      <c r="J9" s="37">
        <v>303517</v>
      </c>
      <c r="K9" s="16">
        <f t="shared" si="4"/>
        <v>0</v>
      </c>
      <c r="L9" s="37">
        <v>25232</v>
      </c>
      <c r="M9" s="16">
        <f t="shared" si="5"/>
        <v>480</v>
      </c>
      <c r="N9" s="37">
        <v>215758</v>
      </c>
      <c r="O9" s="16">
        <f t="shared" si="6"/>
        <v>3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v>3727</v>
      </c>
      <c r="U9" s="16">
        <f t="shared" si="9"/>
        <v>160</v>
      </c>
    </row>
    <row r="10" spans="1:24" ht="13.5" thickBot="1" x14ac:dyDescent="0.25">
      <c r="A10" s="10">
        <v>44416</v>
      </c>
      <c r="B10" s="37">
        <v>45702</v>
      </c>
      <c r="C10" s="16">
        <f t="shared" si="0"/>
        <v>960</v>
      </c>
      <c r="D10" s="37">
        <v>39744</v>
      </c>
      <c r="E10" s="16">
        <f t="shared" si="1"/>
        <v>480</v>
      </c>
      <c r="F10" s="37">
        <v>20655</v>
      </c>
      <c r="G10" s="16">
        <f t="shared" si="2"/>
        <v>80</v>
      </c>
      <c r="H10" s="37">
        <v>246734</v>
      </c>
      <c r="I10" s="16">
        <f t="shared" si="3"/>
        <v>61</v>
      </c>
      <c r="J10" s="37">
        <v>303517</v>
      </c>
      <c r="K10" s="16">
        <f t="shared" si="4"/>
        <v>0</v>
      </c>
      <c r="L10" s="37">
        <v>25236</v>
      </c>
      <c r="M10" s="16">
        <f t="shared" si="5"/>
        <v>640</v>
      </c>
      <c r="N10" s="37">
        <v>215762</v>
      </c>
      <c r="O10" s="16">
        <f t="shared" si="6"/>
        <v>4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v>3728</v>
      </c>
      <c r="U10" s="16">
        <f t="shared" si="9"/>
        <v>160</v>
      </c>
    </row>
    <row r="11" spans="1:24" ht="13.5" thickBot="1" x14ac:dyDescent="0.25">
      <c r="A11" s="10">
        <v>44417</v>
      </c>
      <c r="B11" s="37">
        <v>45708</v>
      </c>
      <c r="C11" s="16">
        <f t="shared" si="0"/>
        <v>960</v>
      </c>
      <c r="D11" s="37">
        <v>39746</v>
      </c>
      <c r="E11" s="16">
        <f t="shared" si="1"/>
        <v>320</v>
      </c>
      <c r="F11" s="37">
        <v>20658</v>
      </c>
      <c r="G11" s="16">
        <f t="shared" si="2"/>
        <v>60</v>
      </c>
      <c r="H11" s="37">
        <v>247694</v>
      </c>
      <c r="I11" s="16">
        <f t="shared" si="3"/>
        <v>960</v>
      </c>
      <c r="J11" s="37">
        <v>303517</v>
      </c>
      <c r="K11" s="16">
        <f t="shared" si="4"/>
        <v>0</v>
      </c>
      <c r="L11" s="37">
        <v>25240</v>
      </c>
      <c r="M11" s="16">
        <f t="shared" si="5"/>
        <v>640</v>
      </c>
      <c r="N11" s="37">
        <v>215765</v>
      </c>
      <c r="O11" s="16">
        <f t="shared" si="6"/>
        <v>3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v>3729</v>
      </c>
      <c r="U11" s="16">
        <f t="shared" si="9"/>
        <v>160</v>
      </c>
    </row>
    <row r="12" spans="1:24" ht="13.5" thickBot="1" x14ac:dyDescent="0.25">
      <c r="A12" s="10">
        <v>44418</v>
      </c>
      <c r="B12" s="37">
        <f t="shared" ref="B12:B33" si="11">B11</f>
        <v>45708</v>
      </c>
      <c r="C12" s="16">
        <f t="shared" si="0"/>
        <v>0</v>
      </c>
      <c r="D12" s="37">
        <f t="shared" ref="D12:D33" si="12">D11</f>
        <v>39746</v>
      </c>
      <c r="E12" s="16">
        <f t="shared" si="1"/>
        <v>0</v>
      </c>
      <c r="F12" s="37">
        <f t="shared" ref="F12:F33" si="13">F11</f>
        <v>20658</v>
      </c>
      <c r="G12" s="16">
        <f t="shared" si="2"/>
        <v>0</v>
      </c>
      <c r="H12" s="37">
        <f t="shared" ref="H12:H33" si="14">H11</f>
        <v>247694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ref="L12:L33" si="15">L11</f>
        <v>25240</v>
      </c>
      <c r="M12" s="16">
        <f t="shared" si="5"/>
        <v>0</v>
      </c>
      <c r="N12" s="37">
        <f t="shared" ref="N12:N33" si="16">N11</f>
        <v>215765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ref="T12:T33" si="17">T11</f>
        <v>3729</v>
      </c>
      <c r="U12" s="16">
        <f t="shared" si="9"/>
        <v>0</v>
      </c>
    </row>
    <row r="13" spans="1:24" ht="13.5" thickBot="1" x14ac:dyDescent="0.25">
      <c r="A13" s="10">
        <v>44419</v>
      </c>
      <c r="B13" s="37">
        <v>45718</v>
      </c>
      <c r="C13" s="16">
        <f t="shared" si="0"/>
        <v>1600</v>
      </c>
      <c r="D13" s="37">
        <v>39752</v>
      </c>
      <c r="E13" s="16">
        <f t="shared" si="1"/>
        <v>960</v>
      </c>
      <c r="F13" s="37">
        <v>20665</v>
      </c>
      <c r="G13" s="16">
        <f t="shared" si="2"/>
        <v>140</v>
      </c>
      <c r="H13" s="37">
        <v>247700</v>
      </c>
      <c r="I13" s="16">
        <f t="shared" si="3"/>
        <v>6</v>
      </c>
      <c r="J13" s="37">
        <v>303517</v>
      </c>
      <c r="K13" s="16">
        <f t="shared" si="4"/>
        <v>0</v>
      </c>
      <c r="L13" s="37">
        <v>25248</v>
      </c>
      <c r="M13" s="16">
        <f t="shared" si="5"/>
        <v>1280</v>
      </c>
      <c r="N13" s="37">
        <v>215771</v>
      </c>
      <c r="O13" s="16">
        <f t="shared" si="6"/>
        <v>6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v>3732</v>
      </c>
      <c r="U13" s="16">
        <f t="shared" si="9"/>
        <v>480</v>
      </c>
    </row>
    <row r="14" spans="1:24" ht="13.5" thickBot="1" x14ac:dyDescent="0.25">
      <c r="A14" s="10">
        <v>44420</v>
      </c>
      <c r="B14" s="37">
        <v>45722</v>
      </c>
      <c r="C14" s="16">
        <f t="shared" si="0"/>
        <v>640</v>
      </c>
      <c r="D14" s="37">
        <v>39754</v>
      </c>
      <c r="E14" s="16">
        <f t="shared" si="1"/>
        <v>320</v>
      </c>
      <c r="F14" s="37">
        <v>20668</v>
      </c>
      <c r="G14" s="16">
        <f t="shared" si="2"/>
        <v>60</v>
      </c>
      <c r="H14" s="37">
        <v>247941</v>
      </c>
      <c r="I14" s="16">
        <f t="shared" si="3"/>
        <v>241</v>
      </c>
      <c r="J14" s="37">
        <v>303517</v>
      </c>
      <c r="K14" s="16">
        <f t="shared" si="4"/>
        <v>0</v>
      </c>
      <c r="L14" s="37">
        <v>25251</v>
      </c>
      <c r="M14" s="16">
        <f t="shared" si="5"/>
        <v>480</v>
      </c>
      <c r="N14" s="37">
        <v>215774</v>
      </c>
      <c r="O14" s="16">
        <f t="shared" si="6"/>
        <v>3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v>3732</v>
      </c>
      <c r="U14" s="16">
        <f>(T14-T13)*800/5</f>
        <v>0</v>
      </c>
    </row>
    <row r="15" spans="1:24" ht="13.5" thickBot="1" x14ac:dyDescent="0.25">
      <c r="A15" s="10">
        <v>44421</v>
      </c>
      <c r="B15" s="37">
        <v>45728</v>
      </c>
      <c r="C15" s="16">
        <f t="shared" si="0"/>
        <v>960</v>
      </c>
      <c r="D15" s="37">
        <v>39757</v>
      </c>
      <c r="E15" s="16">
        <f t="shared" si="1"/>
        <v>480</v>
      </c>
      <c r="F15" s="37">
        <v>20672</v>
      </c>
      <c r="G15" s="16">
        <f t="shared" si="2"/>
        <v>80</v>
      </c>
      <c r="H15" s="37">
        <v>246986</v>
      </c>
      <c r="I15" s="16">
        <f t="shared" si="3"/>
        <v>-955</v>
      </c>
      <c r="J15" s="37">
        <v>303517</v>
      </c>
      <c r="K15" s="16">
        <f t="shared" si="4"/>
        <v>0</v>
      </c>
      <c r="L15" s="37">
        <v>25254</v>
      </c>
      <c r="M15" s="16">
        <f t="shared" si="5"/>
        <v>480</v>
      </c>
      <c r="N15" s="37">
        <v>215778</v>
      </c>
      <c r="O15" s="16">
        <f t="shared" si="6"/>
        <v>4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v>3733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44422</v>
      </c>
      <c r="B16" s="37">
        <v>45734</v>
      </c>
      <c r="C16" s="16">
        <f t="shared" si="0"/>
        <v>960</v>
      </c>
      <c r="D16" s="37">
        <v>39759</v>
      </c>
      <c r="E16" s="16">
        <f t="shared" si="1"/>
        <v>320</v>
      </c>
      <c r="F16" s="37">
        <v>20675</v>
      </c>
      <c r="G16" s="16">
        <f t="shared" si="2"/>
        <v>60</v>
      </c>
      <c r="H16" s="37">
        <v>247041</v>
      </c>
      <c r="I16" s="16">
        <f t="shared" si="3"/>
        <v>55</v>
      </c>
      <c r="J16" s="37">
        <v>303517</v>
      </c>
      <c r="K16" s="16">
        <f t="shared" si="4"/>
        <v>0</v>
      </c>
      <c r="L16" s="37">
        <v>25256</v>
      </c>
      <c r="M16" s="16">
        <f t="shared" si="5"/>
        <v>320</v>
      </c>
      <c r="N16" s="37">
        <v>215781</v>
      </c>
      <c r="O16" s="16">
        <f t="shared" si="6"/>
        <v>3</v>
      </c>
      <c r="P16" s="37">
        <v>117417</v>
      </c>
      <c r="Q16" s="16">
        <f t="shared" si="7"/>
        <v>3347</v>
      </c>
      <c r="R16" s="1">
        <v>55047</v>
      </c>
      <c r="S16" s="16">
        <f t="shared" si="8"/>
        <v>0</v>
      </c>
      <c r="T16" s="37">
        <v>3734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44423</v>
      </c>
      <c r="B17" s="37">
        <v>45739</v>
      </c>
      <c r="C17" s="16">
        <f t="shared" si="0"/>
        <v>800</v>
      </c>
      <c r="D17" s="37">
        <v>39762</v>
      </c>
      <c r="E17" s="16">
        <f t="shared" si="1"/>
        <v>480</v>
      </c>
      <c r="F17" s="37">
        <v>20679</v>
      </c>
      <c r="G17" s="16">
        <f t="shared" si="2"/>
        <v>80</v>
      </c>
      <c r="H17" s="37">
        <v>247100</v>
      </c>
      <c r="I17" s="16">
        <f t="shared" si="3"/>
        <v>59</v>
      </c>
      <c r="J17" s="37">
        <v>303517</v>
      </c>
      <c r="K17" s="16">
        <f t="shared" si="4"/>
        <v>0</v>
      </c>
      <c r="L17" s="37">
        <v>25260</v>
      </c>
      <c r="M17" s="16">
        <f t="shared" si="5"/>
        <v>640</v>
      </c>
      <c r="N17" s="37">
        <v>215784</v>
      </c>
      <c r="O17" s="16">
        <f t="shared" si="6"/>
        <v>3</v>
      </c>
      <c r="P17" s="37"/>
      <c r="Q17" s="16">
        <f t="shared" si="7"/>
        <v>-117417</v>
      </c>
      <c r="R17" s="1">
        <v>55047</v>
      </c>
      <c r="S17" s="16">
        <f>S16</f>
        <v>0</v>
      </c>
      <c r="T17" s="37">
        <v>3736</v>
      </c>
      <c r="U17" s="16">
        <f t="shared" si="9"/>
        <v>320</v>
      </c>
    </row>
    <row r="18" spans="1:23" ht="13.5" thickBot="1" x14ac:dyDescent="0.25">
      <c r="A18" s="10">
        <v>44424</v>
      </c>
      <c r="B18" s="37">
        <v>45745</v>
      </c>
      <c r="C18" s="16">
        <f t="shared" si="0"/>
        <v>960</v>
      </c>
      <c r="D18" s="37">
        <v>39765</v>
      </c>
      <c r="E18" s="16">
        <f t="shared" si="1"/>
        <v>480</v>
      </c>
      <c r="F18" s="37">
        <v>20682</v>
      </c>
      <c r="G18" s="16">
        <f t="shared" si="2"/>
        <v>60</v>
      </c>
      <c r="H18" s="37">
        <v>247148</v>
      </c>
      <c r="I18" s="16">
        <f t="shared" si="3"/>
        <v>48</v>
      </c>
      <c r="J18" s="37">
        <v>303517</v>
      </c>
      <c r="K18" s="16">
        <f t="shared" si="4"/>
        <v>0</v>
      </c>
      <c r="L18" s="37">
        <v>25265</v>
      </c>
      <c r="M18" s="16">
        <f t="shared" si="5"/>
        <v>800</v>
      </c>
      <c r="N18" s="37">
        <v>215787</v>
      </c>
      <c r="O18" s="16">
        <f t="shared" si="6"/>
        <v>3</v>
      </c>
      <c r="P18" s="37">
        <f t="shared" si="10"/>
        <v>0</v>
      </c>
      <c r="Q18" s="16">
        <f t="shared" si="7"/>
        <v>0</v>
      </c>
      <c r="R18" s="1">
        <v>55047</v>
      </c>
      <c r="S18" s="16">
        <f t="shared" si="8"/>
        <v>0</v>
      </c>
      <c r="T18" s="37">
        <v>3737</v>
      </c>
      <c r="U18" s="16">
        <f t="shared" si="9"/>
        <v>160</v>
      </c>
    </row>
    <row r="19" spans="1:23" ht="13.5" thickBot="1" x14ac:dyDescent="0.25">
      <c r="A19" s="10">
        <v>44425</v>
      </c>
      <c r="B19" s="37">
        <v>45750</v>
      </c>
      <c r="C19" s="16">
        <f t="shared" si="0"/>
        <v>800</v>
      </c>
      <c r="D19" s="37">
        <v>39767</v>
      </c>
      <c r="E19" s="16">
        <f t="shared" si="1"/>
        <v>320</v>
      </c>
      <c r="F19" s="37">
        <v>20686</v>
      </c>
      <c r="G19" s="16">
        <f t="shared" si="2"/>
        <v>80</v>
      </c>
      <c r="H19" s="37">
        <v>247209</v>
      </c>
      <c r="I19" s="16">
        <f t="shared" si="3"/>
        <v>61</v>
      </c>
      <c r="J19" s="37">
        <v>303517</v>
      </c>
      <c r="K19" s="16">
        <f t="shared" si="4"/>
        <v>0</v>
      </c>
      <c r="L19" s="37">
        <v>25269</v>
      </c>
      <c r="M19" s="16">
        <f t="shared" si="5"/>
        <v>640</v>
      </c>
      <c r="N19" s="37">
        <v>215791</v>
      </c>
      <c r="O19" s="16">
        <f t="shared" si="6"/>
        <v>4</v>
      </c>
      <c r="P19" s="37">
        <f t="shared" si="10"/>
        <v>0</v>
      </c>
      <c r="Q19" s="16">
        <f t="shared" si="7"/>
        <v>0</v>
      </c>
      <c r="R19" s="1">
        <v>55047</v>
      </c>
      <c r="S19" s="16">
        <f t="shared" si="8"/>
        <v>0</v>
      </c>
      <c r="T19" s="37">
        <v>3738</v>
      </c>
      <c r="U19" s="16">
        <f t="shared" si="9"/>
        <v>160</v>
      </c>
      <c r="W19" t="s">
        <v>12</v>
      </c>
    </row>
    <row r="20" spans="1:23" ht="13.5" thickBot="1" x14ac:dyDescent="0.25">
      <c r="A20" s="10">
        <v>44426</v>
      </c>
      <c r="B20" s="37">
        <v>45756</v>
      </c>
      <c r="C20" s="16">
        <f t="shared" si="0"/>
        <v>960</v>
      </c>
      <c r="D20" s="37">
        <v>39770</v>
      </c>
      <c r="E20" s="16">
        <f t="shared" si="1"/>
        <v>480</v>
      </c>
      <c r="F20" s="37">
        <v>20689</v>
      </c>
      <c r="G20" s="16">
        <f t="shared" si="2"/>
        <v>60</v>
      </c>
      <c r="H20" s="37">
        <v>247253</v>
      </c>
      <c r="I20" s="16">
        <f t="shared" si="3"/>
        <v>44</v>
      </c>
      <c r="J20" s="37">
        <v>303517</v>
      </c>
      <c r="K20" s="16">
        <v>0</v>
      </c>
      <c r="L20" s="37">
        <v>25273</v>
      </c>
      <c r="M20" s="16">
        <f t="shared" si="5"/>
        <v>640</v>
      </c>
      <c r="N20" s="37">
        <v>215794</v>
      </c>
      <c r="O20" s="16">
        <f t="shared" si="6"/>
        <v>3</v>
      </c>
      <c r="P20" s="37">
        <f t="shared" si="10"/>
        <v>0</v>
      </c>
      <c r="Q20" s="16">
        <f t="shared" si="7"/>
        <v>0</v>
      </c>
      <c r="R20" s="1">
        <v>55047</v>
      </c>
      <c r="S20" s="16">
        <f t="shared" si="8"/>
        <v>0</v>
      </c>
      <c r="T20" s="37">
        <v>3740</v>
      </c>
      <c r="U20" s="16">
        <f t="shared" si="9"/>
        <v>320</v>
      </c>
    </row>
    <row r="21" spans="1:23" ht="13.5" thickBot="1" x14ac:dyDescent="0.25">
      <c r="A21" s="10">
        <v>44427</v>
      </c>
      <c r="B21" s="37">
        <v>45761</v>
      </c>
      <c r="C21" s="16">
        <f t="shared" si="0"/>
        <v>800</v>
      </c>
      <c r="D21" s="37">
        <v>39773</v>
      </c>
      <c r="E21" s="16">
        <f t="shared" si="1"/>
        <v>480</v>
      </c>
      <c r="F21" s="37">
        <v>20691</v>
      </c>
      <c r="G21" s="16">
        <f t="shared" si="2"/>
        <v>40</v>
      </c>
      <c r="H21" s="37">
        <v>247297</v>
      </c>
      <c r="I21" s="16">
        <f t="shared" si="3"/>
        <v>44</v>
      </c>
      <c r="J21" s="37">
        <v>303517</v>
      </c>
      <c r="K21" s="16">
        <f t="shared" si="4"/>
        <v>0</v>
      </c>
      <c r="L21" s="37">
        <v>25277</v>
      </c>
      <c r="M21" s="16">
        <f t="shared" si="5"/>
        <v>640</v>
      </c>
      <c r="N21" s="37">
        <v>215797</v>
      </c>
      <c r="O21" s="16">
        <f t="shared" si="6"/>
        <v>3</v>
      </c>
      <c r="P21" s="37">
        <f t="shared" si="10"/>
        <v>0</v>
      </c>
      <c r="Q21" s="16">
        <f t="shared" si="7"/>
        <v>0</v>
      </c>
      <c r="R21" s="1">
        <v>55047</v>
      </c>
      <c r="S21" s="16">
        <f t="shared" si="8"/>
        <v>0</v>
      </c>
      <c r="T21" s="37">
        <v>3741</v>
      </c>
      <c r="U21" s="16">
        <f t="shared" si="9"/>
        <v>160</v>
      </c>
    </row>
    <row r="22" spans="1:23" ht="13.5" thickBot="1" x14ac:dyDescent="0.25">
      <c r="A22" s="10">
        <v>44428</v>
      </c>
      <c r="B22" s="37">
        <f t="shared" si="11"/>
        <v>45761</v>
      </c>
      <c r="C22" s="16">
        <f t="shared" si="0"/>
        <v>0</v>
      </c>
      <c r="D22" s="37">
        <f t="shared" si="12"/>
        <v>39773</v>
      </c>
      <c r="E22" s="16">
        <f t="shared" si="1"/>
        <v>0</v>
      </c>
      <c r="F22" s="37">
        <f t="shared" si="13"/>
        <v>20691</v>
      </c>
      <c r="G22" s="16">
        <f t="shared" si="2"/>
        <v>0</v>
      </c>
      <c r="H22" s="37">
        <f t="shared" si="14"/>
        <v>247297</v>
      </c>
      <c r="I22" s="16">
        <f t="shared" si="3"/>
        <v>0</v>
      </c>
      <c r="J22" s="37">
        <v>303517</v>
      </c>
      <c r="K22" s="16">
        <f t="shared" si="4"/>
        <v>0</v>
      </c>
      <c r="L22" s="37">
        <f t="shared" si="15"/>
        <v>25277</v>
      </c>
      <c r="M22" s="16">
        <f t="shared" si="5"/>
        <v>0</v>
      </c>
      <c r="N22" s="37">
        <f t="shared" si="16"/>
        <v>215797</v>
      </c>
      <c r="O22" s="16">
        <f t="shared" si="6"/>
        <v>0</v>
      </c>
      <c r="P22" s="37">
        <f t="shared" si="10"/>
        <v>0</v>
      </c>
      <c r="Q22" s="16">
        <f>P22-P21</f>
        <v>0</v>
      </c>
      <c r="R22" s="1">
        <v>55047</v>
      </c>
      <c r="S22" s="16">
        <f t="shared" si="8"/>
        <v>0</v>
      </c>
      <c r="T22" s="37">
        <f t="shared" si="17"/>
        <v>3741</v>
      </c>
      <c r="U22" s="16">
        <f t="shared" si="9"/>
        <v>0</v>
      </c>
    </row>
    <row r="23" spans="1:23" ht="13.5" thickBot="1" x14ac:dyDescent="0.25">
      <c r="A23" s="10">
        <v>44429</v>
      </c>
      <c r="B23" s="37">
        <f t="shared" si="11"/>
        <v>45761</v>
      </c>
      <c r="C23" s="16">
        <f t="shared" si="0"/>
        <v>0</v>
      </c>
      <c r="D23" s="37">
        <f t="shared" si="12"/>
        <v>39773</v>
      </c>
      <c r="E23" s="16">
        <f t="shared" si="1"/>
        <v>0</v>
      </c>
      <c r="F23" s="37">
        <f t="shared" si="13"/>
        <v>20691</v>
      </c>
      <c r="G23" s="16">
        <f t="shared" si="2"/>
        <v>0</v>
      </c>
      <c r="H23" s="37">
        <f t="shared" si="14"/>
        <v>247297</v>
      </c>
      <c r="I23" s="16">
        <f t="shared" si="3"/>
        <v>0</v>
      </c>
      <c r="J23" s="37">
        <v>303517</v>
      </c>
      <c r="K23" s="16">
        <f t="shared" si="4"/>
        <v>0</v>
      </c>
      <c r="L23" s="37">
        <f t="shared" si="15"/>
        <v>25277</v>
      </c>
      <c r="M23" s="16">
        <f t="shared" si="5"/>
        <v>0</v>
      </c>
      <c r="N23" s="37">
        <f t="shared" si="16"/>
        <v>215797</v>
      </c>
      <c r="O23" s="16">
        <f t="shared" si="6"/>
        <v>0</v>
      </c>
      <c r="P23" s="37">
        <f t="shared" si="10"/>
        <v>0</v>
      </c>
      <c r="Q23" s="16">
        <f t="shared" si="7"/>
        <v>0</v>
      </c>
      <c r="R23" s="1">
        <v>55047</v>
      </c>
      <c r="S23" s="16">
        <f t="shared" si="8"/>
        <v>0</v>
      </c>
      <c r="T23" s="37">
        <f t="shared" si="17"/>
        <v>3741</v>
      </c>
      <c r="U23" s="16">
        <f t="shared" si="9"/>
        <v>0</v>
      </c>
    </row>
    <row r="24" spans="1:23" s="138" customFormat="1" ht="13.5" thickBot="1" x14ac:dyDescent="0.25">
      <c r="A24" s="10">
        <v>44430</v>
      </c>
      <c r="B24" s="37">
        <f t="shared" si="11"/>
        <v>45761</v>
      </c>
      <c r="C24" s="16">
        <f t="shared" si="0"/>
        <v>0</v>
      </c>
      <c r="D24" s="37">
        <f t="shared" si="12"/>
        <v>39773</v>
      </c>
      <c r="E24" s="16">
        <f t="shared" si="1"/>
        <v>0</v>
      </c>
      <c r="F24" s="37">
        <f t="shared" si="13"/>
        <v>20691</v>
      </c>
      <c r="G24" s="16">
        <f t="shared" si="2"/>
        <v>0</v>
      </c>
      <c r="H24" s="37">
        <f t="shared" si="14"/>
        <v>247297</v>
      </c>
      <c r="I24" s="16">
        <f t="shared" si="3"/>
        <v>0</v>
      </c>
      <c r="J24" s="37">
        <v>303517</v>
      </c>
      <c r="K24" s="16">
        <f t="shared" si="4"/>
        <v>0</v>
      </c>
      <c r="L24" s="37">
        <f t="shared" si="15"/>
        <v>25277</v>
      </c>
      <c r="M24" s="16">
        <f t="shared" si="5"/>
        <v>0</v>
      </c>
      <c r="N24" s="37">
        <f t="shared" si="16"/>
        <v>215797</v>
      </c>
      <c r="O24" s="16">
        <f t="shared" si="6"/>
        <v>0</v>
      </c>
      <c r="P24" s="37">
        <f t="shared" si="10"/>
        <v>0</v>
      </c>
      <c r="Q24" s="16">
        <f t="shared" si="7"/>
        <v>0</v>
      </c>
      <c r="R24" s="1">
        <v>55047</v>
      </c>
      <c r="S24" s="16">
        <f t="shared" si="8"/>
        <v>0</v>
      </c>
      <c r="T24" s="37">
        <f t="shared" si="17"/>
        <v>3741</v>
      </c>
      <c r="U24" s="16">
        <f t="shared" si="9"/>
        <v>0</v>
      </c>
    </row>
    <row r="25" spans="1:23" ht="13.5" thickBot="1" x14ac:dyDescent="0.25">
      <c r="A25" s="10">
        <v>44431</v>
      </c>
      <c r="B25" s="37">
        <f t="shared" si="11"/>
        <v>45761</v>
      </c>
      <c r="C25" s="16">
        <f t="shared" si="0"/>
        <v>0</v>
      </c>
      <c r="D25" s="37">
        <f t="shared" si="12"/>
        <v>39773</v>
      </c>
      <c r="E25" s="16">
        <f t="shared" si="1"/>
        <v>0</v>
      </c>
      <c r="F25" s="37">
        <f t="shared" si="13"/>
        <v>20691</v>
      </c>
      <c r="G25" s="16">
        <f t="shared" si="2"/>
        <v>0</v>
      </c>
      <c r="H25" s="37">
        <f t="shared" si="14"/>
        <v>247297</v>
      </c>
      <c r="I25" s="16">
        <f t="shared" si="3"/>
        <v>0</v>
      </c>
      <c r="J25" s="37">
        <v>303517</v>
      </c>
      <c r="K25" s="16">
        <f t="shared" si="4"/>
        <v>0</v>
      </c>
      <c r="L25" s="37">
        <f t="shared" si="15"/>
        <v>25277</v>
      </c>
      <c r="M25" s="16">
        <f t="shared" si="5"/>
        <v>0</v>
      </c>
      <c r="N25" s="37">
        <f t="shared" si="16"/>
        <v>215797</v>
      </c>
      <c r="O25" s="16">
        <f t="shared" si="6"/>
        <v>0</v>
      </c>
      <c r="P25" s="37">
        <f t="shared" si="10"/>
        <v>0</v>
      </c>
      <c r="Q25" s="16">
        <f t="shared" si="7"/>
        <v>0</v>
      </c>
      <c r="R25" s="1">
        <v>55047</v>
      </c>
      <c r="S25" s="16">
        <f t="shared" si="8"/>
        <v>0</v>
      </c>
      <c r="T25" s="37">
        <f t="shared" si="17"/>
        <v>3741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44432</v>
      </c>
      <c r="B26" s="37">
        <f t="shared" si="11"/>
        <v>45761</v>
      </c>
      <c r="C26" s="16">
        <f t="shared" si="0"/>
        <v>0</v>
      </c>
      <c r="D26" s="37">
        <f t="shared" si="12"/>
        <v>39773</v>
      </c>
      <c r="E26" s="16">
        <f t="shared" si="1"/>
        <v>0</v>
      </c>
      <c r="F26" s="37">
        <f t="shared" si="13"/>
        <v>20691</v>
      </c>
      <c r="G26" s="16">
        <f t="shared" si="2"/>
        <v>0</v>
      </c>
      <c r="H26" s="37">
        <f t="shared" si="14"/>
        <v>247297</v>
      </c>
      <c r="I26" s="16">
        <f t="shared" si="3"/>
        <v>0</v>
      </c>
      <c r="J26" s="37">
        <v>303517</v>
      </c>
      <c r="K26" s="16">
        <f t="shared" si="4"/>
        <v>0</v>
      </c>
      <c r="L26" s="37">
        <f t="shared" si="15"/>
        <v>25277</v>
      </c>
      <c r="M26" s="16">
        <f t="shared" si="5"/>
        <v>0</v>
      </c>
      <c r="N26" s="37">
        <f t="shared" si="16"/>
        <v>215797</v>
      </c>
      <c r="O26" s="16">
        <f t="shared" si="6"/>
        <v>0</v>
      </c>
      <c r="P26" s="37">
        <f t="shared" si="10"/>
        <v>0</v>
      </c>
      <c r="Q26" s="16">
        <f t="shared" si="7"/>
        <v>0</v>
      </c>
      <c r="R26" s="1">
        <v>55047</v>
      </c>
      <c r="S26" s="16">
        <f t="shared" si="8"/>
        <v>0</v>
      </c>
      <c r="T26" s="37">
        <f t="shared" si="17"/>
        <v>3741</v>
      </c>
      <c r="U26" s="16">
        <f t="shared" si="9"/>
        <v>0</v>
      </c>
      <c r="W26" t="s">
        <v>12</v>
      </c>
    </row>
    <row r="27" spans="1:23" ht="13.5" thickBot="1" x14ac:dyDescent="0.25">
      <c r="A27" s="10">
        <v>44433</v>
      </c>
      <c r="B27" s="37">
        <f t="shared" si="11"/>
        <v>45761</v>
      </c>
      <c r="C27" s="16">
        <f t="shared" si="0"/>
        <v>0</v>
      </c>
      <c r="D27" s="37">
        <f t="shared" si="12"/>
        <v>39773</v>
      </c>
      <c r="E27" s="16">
        <f t="shared" si="1"/>
        <v>0</v>
      </c>
      <c r="F27" s="37">
        <f t="shared" si="13"/>
        <v>20691</v>
      </c>
      <c r="G27" s="16">
        <f t="shared" si="2"/>
        <v>0</v>
      </c>
      <c r="H27" s="37">
        <f t="shared" si="14"/>
        <v>247297</v>
      </c>
      <c r="I27" s="16">
        <f t="shared" si="3"/>
        <v>0</v>
      </c>
      <c r="J27" s="37">
        <v>303517</v>
      </c>
      <c r="K27" s="16">
        <f t="shared" si="4"/>
        <v>0</v>
      </c>
      <c r="L27" s="37">
        <f t="shared" si="15"/>
        <v>25277</v>
      </c>
      <c r="M27" s="16">
        <f t="shared" si="5"/>
        <v>0</v>
      </c>
      <c r="N27" s="37">
        <f t="shared" si="16"/>
        <v>215797</v>
      </c>
      <c r="O27" s="16">
        <f t="shared" si="6"/>
        <v>0</v>
      </c>
      <c r="P27" s="37">
        <f t="shared" si="10"/>
        <v>0</v>
      </c>
      <c r="Q27" s="16">
        <f t="shared" si="7"/>
        <v>0</v>
      </c>
      <c r="R27" s="1">
        <v>55047</v>
      </c>
      <c r="S27" s="16">
        <f t="shared" si="8"/>
        <v>0</v>
      </c>
      <c r="T27" s="37">
        <f t="shared" si="17"/>
        <v>3741</v>
      </c>
      <c r="U27" s="16">
        <f t="shared" si="9"/>
        <v>0</v>
      </c>
    </row>
    <row r="28" spans="1:23" ht="13.5" thickBot="1" x14ac:dyDescent="0.25">
      <c r="A28" s="10">
        <v>44434</v>
      </c>
      <c r="B28" s="37">
        <f t="shared" si="11"/>
        <v>45761</v>
      </c>
      <c r="C28" s="16">
        <f t="shared" si="0"/>
        <v>0</v>
      </c>
      <c r="D28" s="37">
        <f t="shared" si="12"/>
        <v>39773</v>
      </c>
      <c r="E28" s="16">
        <f t="shared" si="1"/>
        <v>0</v>
      </c>
      <c r="F28" s="37">
        <f t="shared" si="13"/>
        <v>20691</v>
      </c>
      <c r="G28" s="16">
        <f t="shared" si="2"/>
        <v>0</v>
      </c>
      <c r="H28" s="37">
        <f t="shared" si="14"/>
        <v>247297</v>
      </c>
      <c r="I28" s="16">
        <f t="shared" si="3"/>
        <v>0</v>
      </c>
      <c r="J28" s="37">
        <v>303517</v>
      </c>
      <c r="K28" s="16">
        <f t="shared" si="4"/>
        <v>0</v>
      </c>
      <c r="L28" s="37">
        <f t="shared" si="15"/>
        <v>25277</v>
      </c>
      <c r="M28" s="16">
        <f t="shared" si="5"/>
        <v>0</v>
      </c>
      <c r="N28" s="37">
        <f t="shared" si="16"/>
        <v>215797</v>
      </c>
      <c r="O28" s="16">
        <f t="shared" si="6"/>
        <v>0</v>
      </c>
      <c r="P28" s="37">
        <f t="shared" si="10"/>
        <v>0</v>
      </c>
      <c r="Q28" s="17">
        <f t="shared" si="7"/>
        <v>0</v>
      </c>
      <c r="R28" s="1">
        <v>55047</v>
      </c>
      <c r="S28" s="17">
        <f t="shared" si="8"/>
        <v>0</v>
      </c>
      <c r="T28" s="37">
        <f t="shared" si="17"/>
        <v>3741</v>
      </c>
      <c r="U28" s="16">
        <f t="shared" si="9"/>
        <v>0</v>
      </c>
    </row>
    <row r="29" spans="1:23" ht="13.5" thickBot="1" x14ac:dyDescent="0.25">
      <c r="A29" s="10">
        <v>44435</v>
      </c>
      <c r="B29" s="37">
        <f t="shared" si="11"/>
        <v>45761</v>
      </c>
      <c r="C29" s="16">
        <f t="shared" si="0"/>
        <v>0</v>
      </c>
      <c r="D29" s="37">
        <f t="shared" si="12"/>
        <v>39773</v>
      </c>
      <c r="E29" s="16">
        <f t="shared" si="1"/>
        <v>0</v>
      </c>
      <c r="F29" s="37">
        <f t="shared" si="13"/>
        <v>20691</v>
      </c>
      <c r="G29" s="16">
        <f t="shared" si="2"/>
        <v>0</v>
      </c>
      <c r="H29" s="37">
        <f t="shared" si="14"/>
        <v>247297</v>
      </c>
      <c r="I29" s="16">
        <f t="shared" si="3"/>
        <v>0</v>
      </c>
      <c r="J29" s="37">
        <v>303517</v>
      </c>
      <c r="K29" s="16">
        <f t="shared" si="4"/>
        <v>0</v>
      </c>
      <c r="L29" s="37">
        <f t="shared" si="15"/>
        <v>25277</v>
      </c>
      <c r="M29" s="16">
        <f t="shared" si="5"/>
        <v>0</v>
      </c>
      <c r="N29" s="37">
        <f t="shared" si="16"/>
        <v>215797</v>
      </c>
      <c r="O29" s="16">
        <f t="shared" si="6"/>
        <v>0</v>
      </c>
      <c r="P29" s="37">
        <f t="shared" si="10"/>
        <v>0</v>
      </c>
      <c r="Q29" s="16">
        <f t="shared" si="7"/>
        <v>0</v>
      </c>
      <c r="R29" s="1">
        <v>55047</v>
      </c>
      <c r="S29" s="16">
        <f t="shared" si="8"/>
        <v>0</v>
      </c>
      <c r="T29" s="37">
        <f t="shared" si="17"/>
        <v>3741</v>
      </c>
      <c r="U29" s="16">
        <f t="shared" si="9"/>
        <v>0</v>
      </c>
    </row>
    <row r="30" spans="1:23" ht="13.5" thickBot="1" x14ac:dyDescent="0.25">
      <c r="A30" s="10">
        <v>44436</v>
      </c>
      <c r="B30" s="37">
        <f t="shared" si="11"/>
        <v>45761</v>
      </c>
      <c r="C30" s="16">
        <f t="shared" si="0"/>
        <v>0</v>
      </c>
      <c r="D30" s="37">
        <f t="shared" si="12"/>
        <v>39773</v>
      </c>
      <c r="E30" s="16">
        <f t="shared" si="1"/>
        <v>0</v>
      </c>
      <c r="F30" s="37">
        <f t="shared" si="13"/>
        <v>20691</v>
      </c>
      <c r="G30" s="16">
        <f t="shared" si="2"/>
        <v>0</v>
      </c>
      <c r="H30" s="37">
        <f t="shared" si="14"/>
        <v>247297</v>
      </c>
      <c r="I30" s="16">
        <f t="shared" si="3"/>
        <v>0</v>
      </c>
      <c r="J30" s="37">
        <v>303517</v>
      </c>
      <c r="K30" s="16">
        <f t="shared" si="4"/>
        <v>0</v>
      </c>
      <c r="L30" s="37">
        <f t="shared" si="15"/>
        <v>25277</v>
      </c>
      <c r="M30" s="16">
        <f t="shared" si="5"/>
        <v>0</v>
      </c>
      <c r="N30" s="37">
        <f t="shared" si="16"/>
        <v>215797</v>
      </c>
      <c r="O30" s="16">
        <f t="shared" si="6"/>
        <v>0</v>
      </c>
      <c r="P30" s="37">
        <f t="shared" si="10"/>
        <v>0</v>
      </c>
      <c r="Q30" s="16">
        <f t="shared" si="7"/>
        <v>0</v>
      </c>
      <c r="R30" s="1">
        <v>55047</v>
      </c>
      <c r="S30" s="16">
        <f t="shared" si="8"/>
        <v>0</v>
      </c>
      <c r="T30" s="37">
        <f t="shared" si="17"/>
        <v>3741</v>
      </c>
      <c r="U30" s="16">
        <f t="shared" si="9"/>
        <v>0</v>
      </c>
    </row>
    <row r="31" spans="1:23" ht="13.5" thickBot="1" x14ac:dyDescent="0.25">
      <c r="A31" s="10">
        <v>44437</v>
      </c>
      <c r="B31" s="37">
        <f t="shared" si="11"/>
        <v>45761</v>
      </c>
      <c r="C31" s="16">
        <f t="shared" si="0"/>
        <v>0</v>
      </c>
      <c r="D31" s="37">
        <f t="shared" si="12"/>
        <v>39773</v>
      </c>
      <c r="E31" s="16">
        <f t="shared" si="1"/>
        <v>0</v>
      </c>
      <c r="F31" s="37">
        <f t="shared" si="13"/>
        <v>20691</v>
      </c>
      <c r="G31" s="16">
        <f t="shared" si="2"/>
        <v>0</v>
      </c>
      <c r="H31" s="37">
        <f t="shared" si="14"/>
        <v>247297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5"/>
        <v>25277</v>
      </c>
      <c r="M31" s="16">
        <f t="shared" si="5"/>
        <v>0</v>
      </c>
      <c r="N31" s="37">
        <f t="shared" si="16"/>
        <v>215797</v>
      </c>
      <c r="O31" s="16">
        <f t="shared" si="6"/>
        <v>0</v>
      </c>
      <c r="P31" s="37">
        <f t="shared" si="10"/>
        <v>0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3741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1"/>
        <v>45761</v>
      </c>
      <c r="C32" s="16">
        <f t="shared" si="0"/>
        <v>0</v>
      </c>
      <c r="D32" s="37">
        <f t="shared" si="12"/>
        <v>39773</v>
      </c>
      <c r="E32" s="16">
        <f t="shared" si="1"/>
        <v>0</v>
      </c>
      <c r="F32" s="37">
        <f t="shared" si="13"/>
        <v>20691</v>
      </c>
      <c r="G32" s="16">
        <f t="shared" si="2"/>
        <v>0</v>
      </c>
      <c r="H32" s="37">
        <f t="shared" si="14"/>
        <v>247297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25277</v>
      </c>
      <c r="M32" s="16">
        <f t="shared" si="5"/>
        <v>0</v>
      </c>
      <c r="N32" s="37">
        <f t="shared" si="16"/>
        <v>215797</v>
      </c>
      <c r="O32" s="16">
        <f t="shared" si="6"/>
        <v>0</v>
      </c>
      <c r="P32" s="37">
        <f t="shared" si="10"/>
        <v>0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3741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45761</v>
      </c>
      <c r="C33" s="16">
        <f t="shared" si="0"/>
        <v>0</v>
      </c>
      <c r="D33" s="37">
        <f t="shared" si="12"/>
        <v>39773</v>
      </c>
      <c r="E33" s="16">
        <f t="shared" si="1"/>
        <v>0</v>
      </c>
      <c r="F33" s="37">
        <f t="shared" si="13"/>
        <v>20691</v>
      </c>
      <c r="G33" s="16">
        <f t="shared" si="2"/>
        <v>0</v>
      </c>
      <c r="H33" s="37">
        <f t="shared" si="14"/>
        <v>247297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25277</v>
      </c>
      <c r="M33" s="16">
        <f t="shared" si="5"/>
        <v>0</v>
      </c>
      <c r="N33" s="37">
        <f t="shared" si="16"/>
        <v>215797</v>
      </c>
      <c r="O33" s="16">
        <f t="shared" si="6"/>
        <v>0</v>
      </c>
      <c r="P33" s="37">
        <f t="shared" si="10"/>
        <v>0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3741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16800</v>
      </c>
      <c r="D34" s="13"/>
      <c r="E34" s="11">
        <f>SUM(E3:E33)</f>
        <v>8160</v>
      </c>
      <c r="F34" s="13"/>
      <c r="G34" s="11">
        <f>SUM(G3:G33)</f>
        <v>1280</v>
      </c>
      <c r="H34" s="13"/>
      <c r="I34" s="11">
        <f>SUM(I3:I33)</f>
        <v>951</v>
      </c>
      <c r="J34" s="13"/>
      <c r="K34" s="11">
        <f>SUM(K3:K33)</f>
        <v>0</v>
      </c>
      <c r="L34" s="13"/>
      <c r="M34" s="11">
        <f>SUM(M3:M33)</f>
        <v>11360</v>
      </c>
      <c r="N34" s="38"/>
      <c r="O34" s="11">
        <f>SUM(O3:O33)</f>
        <v>61</v>
      </c>
      <c r="P34" s="13"/>
      <c r="Q34" s="11">
        <f>SUM(Q3:Q33)</f>
        <v>-113851</v>
      </c>
      <c r="R34" s="1"/>
      <c r="S34" s="11">
        <f>SUM(S3:S33)</f>
        <v>0</v>
      </c>
      <c r="T34" s="1"/>
      <c r="U34" s="11">
        <f>SUM(U3:U33)</f>
        <v>3680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7"/>
  <sheetViews>
    <sheetView zoomScaleNormal="100" zoomScaleSheetLayoutView="110" workbookViewId="0">
      <pane ySplit="1" topLeftCell="A9" activePane="bottomLeft" state="frozen"/>
      <selection pane="bottomLeft" activeCell="Z22" sqref="Z22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>K2+M2+O2+Q2+S2+U2+W2</f>
        <v>0</v>
      </c>
      <c r="Y2" s="159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>IF((C3-C2)&lt;0,"0",(C3-C2))*160</f>
        <v>800</v>
      </c>
      <c r="E3" s="154">
        <v>27128544</v>
      </c>
      <c r="F3" s="44">
        <f>IF((E3-E2)&lt;0,"0",(E3-E2))</f>
        <v>19392</v>
      </c>
      <c r="G3" s="155">
        <v>86024768</v>
      </c>
      <c r="H3" s="44">
        <f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>IF((P3-P2)&lt;0,"0",(P3-P2))</f>
        <v>13073</v>
      </c>
      <c r="R3" s="154">
        <v>18178816</v>
      </c>
      <c r="S3" s="44">
        <f>IF((R3-R2)&lt;0,"0",(R3-R2))</f>
        <v>9239</v>
      </c>
      <c r="T3" s="154">
        <v>0</v>
      </c>
      <c r="U3" s="158"/>
      <c r="V3" s="154">
        <v>5922184</v>
      </c>
      <c r="W3" s="44">
        <f>IF((V3-V2)&lt;0,"0",(V3-V2))</f>
        <v>10452</v>
      </c>
      <c r="X3" s="22">
        <f>K3+M3+O3+Q3+S3+U3+W3</f>
        <v>57259</v>
      </c>
      <c r="Y3" s="159">
        <f>I3-X3</f>
        <v>11946</v>
      </c>
      <c r="Z3" s="3">
        <f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0">IF((C4-C3)&lt;0,"0",(C4-C3))*160</f>
        <v>800</v>
      </c>
      <c r="E4" s="154">
        <v>27149734</v>
      </c>
      <c r="F4" s="44">
        <f t="shared" ref="F4:F33" si="1">IF((E4-E3)&lt;0,"0",(E4-E3))</f>
        <v>21190</v>
      </c>
      <c r="G4" s="155">
        <v>86087086</v>
      </c>
      <c r="H4" s="44">
        <f t="shared" ref="H4:H33" si="2">IF((G4-G3)&lt;0,"0",(G4-G3))</f>
        <v>62318</v>
      </c>
      <c r="I4" s="156">
        <f t="shared" ref="I4:I31" si="3">F4+H4</f>
        <v>83508</v>
      </c>
      <c r="J4" s="154">
        <v>8449510</v>
      </c>
      <c r="K4" s="44">
        <f t="shared" ref="K4:K33" si="4">IF((J4-J3)&lt;0,"0",(J4-J3))</f>
        <v>6507</v>
      </c>
      <c r="L4" s="157">
        <v>8416116</v>
      </c>
      <c r="M4" s="44">
        <f t="shared" ref="M4:M33" si="5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6">IF((P4-P3)&lt;0,"0",(P4-P3))</f>
        <v>16265</v>
      </c>
      <c r="R4" s="154">
        <v>18190491</v>
      </c>
      <c r="S4" s="44">
        <f t="shared" ref="S4:S33" si="7">IF((R4-R3)&lt;0,"0",(R4-R3))</f>
        <v>11675</v>
      </c>
      <c r="T4" s="154">
        <v>0</v>
      </c>
      <c r="U4" s="158"/>
      <c r="V4" s="154">
        <v>5935488</v>
      </c>
      <c r="W4" s="44">
        <f t="shared" ref="W4:W33" si="8">IF((V4-V3)&lt;0,"0",(V4-V3))</f>
        <v>13304</v>
      </c>
      <c r="X4" s="22">
        <f t="shared" ref="X4:X33" si="9">K4+M4+O4+Q4+S4+U4+W4</f>
        <v>68795</v>
      </c>
      <c r="Y4" s="159">
        <f t="shared" ref="Y4:Y33" si="10">I4-X4</f>
        <v>14713</v>
      </c>
      <c r="Z4" s="3">
        <f t="shared" ref="Z4:Z33" si="11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0"/>
        <v>1920</v>
      </c>
      <c r="E5" s="154">
        <v>27169462</v>
      </c>
      <c r="F5" s="44">
        <f t="shared" si="1"/>
        <v>19728</v>
      </c>
      <c r="G5" s="155">
        <v>86146630</v>
      </c>
      <c r="H5" s="44">
        <f t="shared" si="2"/>
        <v>59544</v>
      </c>
      <c r="I5" s="156">
        <f t="shared" si="3"/>
        <v>79272</v>
      </c>
      <c r="J5" s="154">
        <v>8455726</v>
      </c>
      <c r="K5" s="44">
        <f t="shared" si="4"/>
        <v>6216</v>
      </c>
      <c r="L5" s="157">
        <v>8422122</v>
      </c>
      <c r="M5" s="44">
        <f t="shared" si="5"/>
        <v>6006</v>
      </c>
      <c r="N5" s="154">
        <v>5542316</v>
      </c>
      <c r="O5" s="44">
        <f t="shared" ref="O5:O33" si="12">(IF((N5-N4)&lt;0,"0",(N5-N4)))*2</f>
        <v>13432</v>
      </c>
      <c r="P5" s="157">
        <v>4388670</v>
      </c>
      <c r="Q5" s="44">
        <f t="shared" si="6"/>
        <v>15749</v>
      </c>
      <c r="R5" s="154">
        <v>18201869</v>
      </c>
      <c r="S5" s="44">
        <f t="shared" si="7"/>
        <v>11378</v>
      </c>
      <c r="T5" s="154">
        <v>0</v>
      </c>
      <c r="U5" s="158"/>
      <c r="V5" s="154">
        <v>5947876</v>
      </c>
      <c r="W5" s="44">
        <f t="shared" si="8"/>
        <v>12388</v>
      </c>
      <c r="X5" s="22">
        <f t="shared" si="9"/>
        <v>65169</v>
      </c>
      <c r="Y5" s="159">
        <f t="shared" si="10"/>
        <v>14103</v>
      </c>
      <c r="Z5" s="3">
        <f t="shared" si="11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0"/>
        <v>800</v>
      </c>
      <c r="E6" s="154">
        <v>27184328</v>
      </c>
      <c r="F6" s="44">
        <f t="shared" si="1"/>
        <v>14866</v>
      </c>
      <c r="G6" s="155">
        <v>86147740</v>
      </c>
      <c r="H6" s="44">
        <f t="shared" si="2"/>
        <v>1110</v>
      </c>
      <c r="I6" s="156">
        <f t="shared" si="3"/>
        <v>15976</v>
      </c>
      <c r="J6" s="154">
        <v>8460594</v>
      </c>
      <c r="K6" s="44">
        <f t="shared" si="4"/>
        <v>4868</v>
      </c>
      <c r="L6" s="157">
        <v>8426832</v>
      </c>
      <c r="M6" s="44">
        <f t="shared" si="5"/>
        <v>4710</v>
      </c>
      <c r="N6" s="154">
        <v>5547338</v>
      </c>
      <c r="O6" s="44">
        <f t="shared" si="12"/>
        <v>10044</v>
      </c>
      <c r="P6" s="157">
        <v>4400029</v>
      </c>
      <c r="Q6" s="44">
        <f t="shared" si="6"/>
        <v>11359</v>
      </c>
      <c r="R6" s="154">
        <v>18210598</v>
      </c>
      <c r="S6" s="44">
        <f t="shared" si="7"/>
        <v>8729</v>
      </c>
      <c r="T6" s="154">
        <v>0</v>
      </c>
      <c r="U6" s="158"/>
      <c r="V6" s="154">
        <v>5957071</v>
      </c>
      <c r="W6" s="44">
        <f t="shared" si="8"/>
        <v>9195</v>
      </c>
      <c r="X6" s="22">
        <f t="shared" si="9"/>
        <v>48905</v>
      </c>
      <c r="Y6" s="159">
        <f t="shared" si="10"/>
        <v>-32929</v>
      </c>
      <c r="Z6" s="3">
        <f t="shared" si="11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>
        <v>250</v>
      </c>
      <c r="C7" s="153">
        <v>18587</v>
      </c>
      <c r="D7" s="44">
        <f t="shared" si="0"/>
        <v>960</v>
      </c>
      <c r="E7" s="154">
        <v>27205137</v>
      </c>
      <c r="F7" s="44">
        <f t="shared" si="1"/>
        <v>20809</v>
      </c>
      <c r="G7" s="155">
        <v>86253443</v>
      </c>
      <c r="H7" s="44">
        <f t="shared" si="2"/>
        <v>105703</v>
      </c>
      <c r="I7" s="156">
        <f t="shared" si="3"/>
        <v>126512</v>
      </c>
      <c r="J7" s="154">
        <v>8483381</v>
      </c>
      <c r="K7" s="44">
        <f t="shared" si="4"/>
        <v>22787</v>
      </c>
      <c r="L7" s="157">
        <v>8427598</v>
      </c>
      <c r="M7" s="44">
        <f t="shared" si="5"/>
        <v>766</v>
      </c>
      <c r="N7" s="154">
        <v>5554364</v>
      </c>
      <c r="O7" s="44">
        <f t="shared" si="12"/>
        <v>14052</v>
      </c>
      <c r="P7" s="157">
        <v>4415970</v>
      </c>
      <c r="Q7" s="44">
        <f t="shared" si="6"/>
        <v>15941</v>
      </c>
      <c r="R7" s="154">
        <v>18222891</v>
      </c>
      <c r="S7" s="44">
        <f t="shared" si="7"/>
        <v>12293</v>
      </c>
      <c r="T7" s="154">
        <v>0</v>
      </c>
      <c r="U7" s="158"/>
      <c r="V7" s="154">
        <v>5970341</v>
      </c>
      <c r="W7" s="44">
        <f t="shared" si="8"/>
        <v>13270</v>
      </c>
      <c r="X7" s="22">
        <f t="shared" si="9"/>
        <v>79109</v>
      </c>
      <c r="Y7" s="159">
        <f t="shared" si="10"/>
        <v>47403</v>
      </c>
      <c r="Z7" s="3">
        <f t="shared" si="11"/>
        <v>10546.5552816</v>
      </c>
      <c r="AA7" s="3">
        <f t="shared" ref="AA7:AA33" si="13">SUM(Z4:Z7)</f>
        <v>38443.774886399995</v>
      </c>
    </row>
    <row r="8" spans="1:27" ht="16.5" thickBot="1" x14ac:dyDescent="0.3">
      <c r="A8" s="10">
        <v>44414</v>
      </c>
      <c r="B8" s="44">
        <v>255</v>
      </c>
      <c r="C8" s="153">
        <v>18594</v>
      </c>
      <c r="D8" s="44">
        <f t="shared" si="0"/>
        <v>1120</v>
      </c>
      <c r="E8" s="154">
        <v>27224597</v>
      </c>
      <c r="F8" s="44">
        <f t="shared" si="1"/>
        <v>19460</v>
      </c>
      <c r="G8" s="155">
        <v>86312336</v>
      </c>
      <c r="H8" s="44">
        <f t="shared" si="2"/>
        <v>58893</v>
      </c>
      <c r="I8" s="156">
        <f t="shared" si="3"/>
        <v>78353</v>
      </c>
      <c r="J8" s="154">
        <v>8483696</v>
      </c>
      <c r="K8" s="44">
        <f t="shared" si="4"/>
        <v>315</v>
      </c>
      <c r="L8" s="157">
        <v>8439142</v>
      </c>
      <c r="M8" s="44">
        <f t="shared" si="5"/>
        <v>11544</v>
      </c>
      <c r="N8" s="154">
        <v>5561076</v>
      </c>
      <c r="O8" s="44">
        <f t="shared" si="12"/>
        <v>13424</v>
      </c>
      <c r="P8" s="157">
        <v>4431406</v>
      </c>
      <c r="Q8" s="44">
        <f t="shared" si="6"/>
        <v>15436</v>
      </c>
      <c r="R8" s="154">
        <v>18234410</v>
      </c>
      <c r="S8" s="44">
        <f t="shared" si="7"/>
        <v>11519</v>
      </c>
      <c r="T8" s="154">
        <v>0</v>
      </c>
      <c r="U8" s="158"/>
      <c r="V8" s="154">
        <v>5982770</v>
      </c>
      <c r="W8" s="44">
        <f t="shared" si="8"/>
        <v>12429</v>
      </c>
      <c r="X8" s="22">
        <f t="shared" si="9"/>
        <v>64667</v>
      </c>
      <c r="Y8" s="159">
        <f t="shared" si="10"/>
        <v>13686</v>
      </c>
      <c r="Z8" s="3">
        <f t="shared" si="11"/>
        <v>9990.5480896000008</v>
      </c>
      <c r="AA8" s="3">
        <f t="shared" si="13"/>
        <v>37978.844571199996</v>
      </c>
    </row>
    <row r="9" spans="1:27" ht="16.5" thickBot="1" x14ac:dyDescent="0.3">
      <c r="A9" s="10">
        <v>44415</v>
      </c>
      <c r="B9" s="44">
        <v>204</v>
      </c>
      <c r="C9" s="153">
        <v>18600</v>
      </c>
      <c r="D9" s="44">
        <f t="shared" si="0"/>
        <v>960</v>
      </c>
      <c r="E9" s="154">
        <v>27238820</v>
      </c>
      <c r="F9" s="44">
        <f t="shared" si="1"/>
        <v>14223</v>
      </c>
      <c r="G9" s="155">
        <v>86357333</v>
      </c>
      <c r="H9" s="44">
        <f t="shared" si="2"/>
        <v>44997</v>
      </c>
      <c r="I9" s="156">
        <f t="shared" si="3"/>
        <v>59220</v>
      </c>
      <c r="J9" s="154">
        <v>8484500</v>
      </c>
      <c r="K9" s="44">
        <f t="shared" si="4"/>
        <v>804</v>
      </c>
      <c r="L9" s="157">
        <v>8443500</v>
      </c>
      <c r="M9" s="44">
        <f t="shared" si="5"/>
        <v>4358</v>
      </c>
      <c r="N9" s="154">
        <v>5565956</v>
      </c>
      <c r="O9" s="44">
        <f t="shared" si="12"/>
        <v>9760</v>
      </c>
      <c r="P9" s="157">
        <v>4443120</v>
      </c>
      <c r="Q9" s="44">
        <f t="shared" si="6"/>
        <v>11714</v>
      </c>
      <c r="R9" s="154">
        <v>18243245</v>
      </c>
      <c r="S9" s="44">
        <f t="shared" si="7"/>
        <v>8835</v>
      </c>
      <c r="T9" s="154">
        <v>0</v>
      </c>
      <c r="U9" s="158"/>
      <c r="V9" s="154">
        <v>5992343</v>
      </c>
      <c r="W9" s="44">
        <f t="shared" si="8"/>
        <v>9573</v>
      </c>
      <c r="X9" s="22">
        <f t="shared" si="9"/>
        <v>45044</v>
      </c>
      <c r="Y9" s="159">
        <f t="shared" si="10"/>
        <v>14176</v>
      </c>
      <c r="Z9" s="3">
        <f t="shared" si="11"/>
        <v>7576.6494336000005</v>
      </c>
      <c r="AA9" s="3">
        <f t="shared" si="13"/>
        <v>35562.6495536</v>
      </c>
    </row>
    <row r="10" spans="1:27" ht="16.5" thickBot="1" x14ac:dyDescent="0.3">
      <c r="A10" s="10">
        <v>44416</v>
      </c>
      <c r="B10" s="44">
        <v>213</v>
      </c>
      <c r="C10" s="153">
        <v>18607</v>
      </c>
      <c r="D10" s="44">
        <f t="shared" si="0"/>
        <v>1120</v>
      </c>
      <c r="E10" s="154">
        <v>27258423</v>
      </c>
      <c r="F10" s="44">
        <f t="shared" si="1"/>
        <v>19603</v>
      </c>
      <c r="G10" s="155">
        <v>86422948</v>
      </c>
      <c r="H10" s="44">
        <f t="shared" si="2"/>
        <v>65615</v>
      </c>
      <c r="I10" s="156">
        <f t="shared" si="3"/>
        <v>85218</v>
      </c>
      <c r="J10" s="154">
        <v>8484852</v>
      </c>
      <c r="K10" s="44">
        <f t="shared" si="4"/>
        <v>352</v>
      </c>
      <c r="L10" s="157">
        <v>8443885</v>
      </c>
      <c r="M10" s="44">
        <f t="shared" si="5"/>
        <v>385</v>
      </c>
      <c r="N10" s="154">
        <v>5572437</v>
      </c>
      <c r="O10" s="44">
        <f t="shared" si="12"/>
        <v>12962</v>
      </c>
      <c r="P10" s="157">
        <v>4459940</v>
      </c>
      <c r="Q10" s="44">
        <f t="shared" si="6"/>
        <v>16820</v>
      </c>
      <c r="R10" s="154">
        <v>18255868</v>
      </c>
      <c r="S10" s="44">
        <f t="shared" si="7"/>
        <v>12623</v>
      </c>
      <c r="T10" s="154">
        <v>0</v>
      </c>
      <c r="U10" s="158"/>
      <c r="V10" s="154">
        <v>6006300</v>
      </c>
      <c r="W10" s="44">
        <f t="shared" si="8"/>
        <v>13957</v>
      </c>
      <c r="X10" s="22">
        <f t="shared" si="9"/>
        <v>57099</v>
      </c>
      <c r="Y10" s="159">
        <f t="shared" si="10"/>
        <v>28119</v>
      </c>
      <c r="Z10" s="3">
        <f t="shared" si="11"/>
        <v>10762.850591999999</v>
      </c>
      <c r="AA10" s="3">
        <f t="shared" si="13"/>
        <v>38876.603396799997</v>
      </c>
    </row>
    <row r="11" spans="1:27" ht="15.75" customHeight="1" thickBot="1" x14ac:dyDescent="0.3">
      <c r="A11" s="10">
        <v>44417</v>
      </c>
      <c r="B11" s="44">
        <v>210</v>
      </c>
      <c r="C11" s="153">
        <v>18612</v>
      </c>
      <c r="D11" s="44">
        <v>18612</v>
      </c>
      <c r="E11" s="154">
        <v>27271257</v>
      </c>
      <c r="F11" s="44">
        <f t="shared" si="1"/>
        <v>12834</v>
      </c>
      <c r="G11" s="155">
        <v>86582522</v>
      </c>
      <c r="H11" s="44">
        <f t="shared" si="2"/>
        <v>159574</v>
      </c>
      <c r="I11" s="156">
        <f t="shared" si="3"/>
        <v>172408</v>
      </c>
      <c r="J11" s="154">
        <v>8500373</v>
      </c>
      <c r="K11" s="44">
        <f t="shared" si="4"/>
        <v>15521</v>
      </c>
      <c r="L11" s="157">
        <v>8465526</v>
      </c>
      <c r="M11" s="44">
        <f t="shared" si="5"/>
        <v>21641</v>
      </c>
      <c r="N11" s="154">
        <v>5588211</v>
      </c>
      <c r="O11" s="44">
        <f t="shared" si="12"/>
        <v>31548</v>
      </c>
      <c r="P11" s="157">
        <v>4500692</v>
      </c>
      <c r="Q11" s="44">
        <f t="shared" si="6"/>
        <v>40752</v>
      </c>
      <c r="R11" s="154">
        <v>18287018</v>
      </c>
      <c r="S11" s="44">
        <f t="shared" si="7"/>
        <v>31150</v>
      </c>
      <c r="T11" s="154">
        <v>0</v>
      </c>
      <c r="U11" s="158"/>
      <c r="V11" s="154">
        <v>6040234</v>
      </c>
      <c r="W11" s="44">
        <f t="shared" si="8"/>
        <v>33934</v>
      </c>
      <c r="X11" s="22">
        <f t="shared" si="9"/>
        <v>174546</v>
      </c>
      <c r="Y11" s="159">
        <f t="shared" si="10"/>
        <v>-2138</v>
      </c>
      <c r="Z11" s="3">
        <f t="shared" si="11"/>
        <v>26263.602476800002</v>
      </c>
      <c r="AA11" s="3">
        <f t="shared" si="13"/>
        <v>54593.650592000005</v>
      </c>
    </row>
    <row r="12" spans="1:27" ht="16.5" thickBot="1" x14ac:dyDescent="0.3">
      <c r="A12" s="10">
        <v>44418</v>
      </c>
      <c r="B12" s="44">
        <v>220</v>
      </c>
      <c r="C12" s="153">
        <v>18620</v>
      </c>
      <c r="D12" s="44">
        <f t="shared" si="0"/>
        <v>1280</v>
      </c>
      <c r="E12" s="154">
        <v>27292238</v>
      </c>
      <c r="F12" s="44">
        <f t="shared" si="1"/>
        <v>20981</v>
      </c>
      <c r="G12" s="155">
        <v>86648521</v>
      </c>
      <c r="H12" s="44">
        <f t="shared" si="2"/>
        <v>65999</v>
      </c>
      <c r="I12" s="156">
        <f t="shared" si="3"/>
        <v>86980</v>
      </c>
      <c r="J12" s="154">
        <v>8506621</v>
      </c>
      <c r="K12" s="44">
        <f t="shared" si="4"/>
        <v>6248</v>
      </c>
      <c r="L12" s="157">
        <v>8471934</v>
      </c>
      <c r="M12" s="44">
        <f t="shared" si="5"/>
        <v>6408</v>
      </c>
      <c r="N12" s="154">
        <v>5594906</v>
      </c>
      <c r="O12" s="44">
        <f t="shared" si="12"/>
        <v>13390</v>
      </c>
      <c r="P12" s="157">
        <v>4517628</v>
      </c>
      <c r="Q12" s="44">
        <f t="shared" si="6"/>
        <v>16936</v>
      </c>
      <c r="R12" s="154">
        <v>18300160</v>
      </c>
      <c r="S12" s="44">
        <f t="shared" si="7"/>
        <v>13142</v>
      </c>
      <c r="T12" s="154">
        <v>0</v>
      </c>
      <c r="U12" s="158"/>
      <c r="V12" s="154">
        <v>6054335</v>
      </c>
      <c r="W12" s="44">
        <f t="shared" si="8"/>
        <v>14101</v>
      </c>
      <c r="X12" s="22">
        <f t="shared" si="9"/>
        <v>70225</v>
      </c>
      <c r="Y12" s="159">
        <f t="shared" si="10"/>
        <v>16755</v>
      </c>
      <c r="Z12" s="3">
        <f t="shared" si="11"/>
        <v>11002.524561599999</v>
      </c>
      <c r="AA12" s="3">
        <f t="shared" si="13"/>
        <v>55605.627064</v>
      </c>
    </row>
    <row r="13" spans="1:27" ht="16.5" thickBot="1" x14ac:dyDescent="0.3">
      <c r="A13" s="10">
        <v>44419</v>
      </c>
      <c r="B13" s="44">
        <v>225</v>
      </c>
      <c r="C13" s="153">
        <v>18625</v>
      </c>
      <c r="D13" s="44">
        <f t="shared" si="0"/>
        <v>800</v>
      </c>
      <c r="E13" s="154">
        <v>27306070</v>
      </c>
      <c r="F13" s="44">
        <f t="shared" si="1"/>
        <v>13832</v>
      </c>
      <c r="G13" s="155">
        <f t="shared" ref="G13:G14" si="14">G12</f>
        <v>86648521</v>
      </c>
      <c r="H13" s="44">
        <f t="shared" si="2"/>
        <v>0</v>
      </c>
      <c r="I13" s="156">
        <f t="shared" si="3"/>
        <v>13832</v>
      </c>
      <c r="J13" s="154">
        <v>8437636</v>
      </c>
      <c r="K13" s="44" t="str">
        <f t="shared" si="4"/>
        <v>0</v>
      </c>
      <c r="L13" s="157">
        <f t="shared" ref="L13:L14" si="15">L12</f>
        <v>8471934</v>
      </c>
      <c r="M13" s="44">
        <f t="shared" si="5"/>
        <v>0</v>
      </c>
      <c r="N13" s="154">
        <f t="shared" ref="N13:N14" si="16">N12</f>
        <v>5594906</v>
      </c>
      <c r="O13" s="44">
        <f t="shared" si="12"/>
        <v>0</v>
      </c>
      <c r="P13" s="157">
        <f t="shared" ref="P13:P14" si="17">P12</f>
        <v>4517628</v>
      </c>
      <c r="Q13" s="44">
        <f t="shared" si="6"/>
        <v>0</v>
      </c>
      <c r="R13" s="154">
        <f t="shared" ref="R13:R14" si="18">R12</f>
        <v>18300160</v>
      </c>
      <c r="S13" s="44">
        <f>IF((R13-R12)&lt;0,"0",(R13-R12))</f>
        <v>0</v>
      </c>
      <c r="T13" s="154">
        <v>0</v>
      </c>
      <c r="U13" s="158"/>
      <c r="V13" s="154">
        <f t="shared" ref="V13:V14" si="19">V12</f>
        <v>6054335</v>
      </c>
      <c r="W13" s="44">
        <f t="shared" si="8"/>
        <v>0</v>
      </c>
      <c r="X13" s="22">
        <f t="shared" si="9"/>
        <v>0</v>
      </c>
      <c r="Y13" s="159">
        <f t="shared" si="10"/>
        <v>13832</v>
      </c>
      <c r="Z13" s="3">
        <f t="shared" si="11"/>
        <v>0</v>
      </c>
      <c r="AA13" s="3">
        <f t="shared" si="13"/>
        <v>48028.977630399997</v>
      </c>
    </row>
    <row r="14" spans="1:27" ht="16.5" thickBot="1" x14ac:dyDescent="0.3">
      <c r="A14" s="10">
        <v>44420</v>
      </c>
      <c r="B14" s="44">
        <v>216</v>
      </c>
      <c r="C14" s="153">
        <v>18631</v>
      </c>
      <c r="D14" s="44">
        <f t="shared" si="0"/>
        <v>960</v>
      </c>
      <c r="E14" s="154">
        <v>27326062</v>
      </c>
      <c r="F14" s="44">
        <f>IF((E14-E13)&lt;0,"0",(E14-E13))</f>
        <v>19992</v>
      </c>
      <c r="G14" s="155">
        <f t="shared" si="14"/>
        <v>86648521</v>
      </c>
      <c r="H14" s="44">
        <f t="shared" si="2"/>
        <v>0</v>
      </c>
      <c r="I14" s="156">
        <f t="shared" si="3"/>
        <v>19992</v>
      </c>
      <c r="J14" s="154">
        <v>8437636</v>
      </c>
      <c r="K14" s="44">
        <f t="shared" si="4"/>
        <v>0</v>
      </c>
      <c r="L14" s="157">
        <f t="shared" si="15"/>
        <v>8471934</v>
      </c>
      <c r="M14" s="44">
        <f t="shared" si="5"/>
        <v>0</v>
      </c>
      <c r="N14" s="154">
        <f t="shared" si="16"/>
        <v>5594906</v>
      </c>
      <c r="O14" s="44">
        <f t="shared" si="12"/>
        <v>0</v>
      </c>
      <c r="P14" s="157">
        <f t="shared" si="17"/>
        <v>4517628</v>
      </c>
      <c r="Q14" s="44">
        <f t="shared" si="6"/>
        <v>0</v>
      </c>
      <c r="R14" s="154">
        <f t="shared" si="18"/>
        <v>18300160</v>
      </c>
      <c r="S14" s="44">
        <f>IF((R14-R13)&lt;0,"0",(R14-R13))</f>
        <v>0</v>
      </c>
      <c r="T14" s="154">
        <v>0</v>
      </c>
      <c r="U14" s="158"/>
      <c r="V14" s="154">
        <f t="shared" si="19"/>
        <v>6054335</v>
      </c>
      <c r="W14" s="44">
        <f t="shared" si="8"/>
        <v>0</v>
      </c>
      <c r="X14" s="22">
        <f t="shared" si="9"/>
        <v>0</v>
      </c>
      <c r="Y14" s="159">
        <f t="shared" si="10"/>
        <v>19992</v>
      </c>
      <c r="Z14" s="3">
        <f t="shared" si="11"/>
        <v>0</v>
      </c>
      <c r="AA14" s="3">
        <f t="shared" si="13"/>
        <v>37266.127038400002</v>
      </c>
    </row>
    <row r="15" spans="1:27" ht="16.5" thickBot="1" x14ac:dyDescent="0.3">
      <c r="A15" s="10">
        <v>44421</v>
      </c>
      <c r="B15" s="44">
        <v>222</v>
      </c>
      <c r="C15" s="153">
        <v>18638</v>
      </c>
      <c r="D15" s="44">
        <f t="shared" si="0"/>
        <v>1120</v>
      </c>
      <c r="E15" s="154">
        <v>27342788</v>
      </c>
      <c r="F15" s="44">
        <f>IF((E15-E14)&lt;0,"0",(E15-E14))</f>
        <v>16726</v>
      </c>
      <c r="G15" s="155">
        <v>86705206</v>
      </c>
      <c r="H15" s="44">
        <f t="shared" si="2"/>
        <v>56685</v>
      </c>
      <c r="I15" s="156">
        <f t="shared" si="3"/>
        <v>73411</v>
      </c>
      <c r="J15" s="154">
        <v>8511846</v>
      </c>
      <c r="K15" s="44">
        <f t="shared" si="4"/>
        <v>74210</v>
      </c>
      <c r="L15" s="157">
        <v>8476890</v>
      </c>
      <c r="M15" s="44">
        <f t="shared" si="5"/>
        <v>4956</v>
      </c>
      <c r="N15" s="154">
        <v>5600696</v>
      </c>
      <c r="O15" s="44">
        <f t="shared" si="12"/>
        <v>11580</v>
      </c>
      <c r="P15" s="157">
        <v>4532235</v>
      </c>
      <c r="Q15" s="44">
        <f t="shared" si="6"/>
        <v>14607</v>
      </c>
      <c r="R15" s="154">
        <v>18311801</v>
      </c>
      <c r="S15" s="44">
        <f>IF((R15-R14)&lt;0,"0",(R15-R14))</f>
        <v>11641</v>
      </c>
      <c r="T15" s="154">
        <v>0</v>
      </c>
      <c r="U15" s="158"/>
      <c r="V15" s="154">
        <v>6066251</v>
      </c>
      <c r="W15" s="44">
        <f t="shared" si="8"/>
        <v>11916</v>
      </c>
      <c r="X15" s="22">
        <f t="shared" si="9"/>
        <v>128910</v>
      </c>
      <c r="Y15" s="159">
        <f t="shared" si="10"/>
        <v>-55499</v>
      </c>
      <c r="Z15" s="3">
        <f t="shared" si="11"/>
        <v>9508.6815824000005</v>
      </c>
      <c r="AA15" s="3">
        <f t="shared" si="13"/>
        <v>20511.206144</v>
      </c>
    </row>
    <row r="16" spans="1:27" ht="16.5" thickBot="1" x14ac:dyDescent="0.3">
      <c r="A16" s="10">
        <v>44422</v>
      </c>
      <c r="B16" s="44">
        <v>299</v>
      </c>
      <c r="C16" s="153">
        <v>18644</v>
      </c>
      <c r="D16" s="44">
        <f t="shared" si="0"/>
        <v>960</v>
      </c>
      <c r="E16" s="154">
        <v>27354476</v>
      </c>
      <c r="F16" s="44">
        <f>IF((E16-E15)&lt;0,"0",(E16-E15))</f>
        <v>11688</v>
      </c>
      <c r="G16" s="155">
        <v>86743899</v>
      </c>
      <c r="H16" s="44">
        <f t="shared" si="2"/>
        <v>38693</v>
      </c>
      <c r="I16" s="156">
        <f t="shared" si="3"/>
        <v>50381</v>
      </c>
      <c r="J16" s="154">
        <v>8515582</v>
      </c>
      <c r="K16" s="44">
        <f t="shared" si="4"/>
        <v>3736</v>
      </c>
      <c r="L16" s="157">
        <v>8480562</v>
      </c>
      <c r="M16" s="44">
        <f t="shared" si="5"/>
        <v>3672</v>
      </c>
      <c r="N16" s="154">
        <v>5604628</v>
      </c>
      <c r="O16" s="44">
        <f t="shared" si="12"/>
        <v>7864</v>
      </c>
      <c r="P16" s="157">
        <v>4542159</v>
      </c>
      <c r="Q16" s="44">
        <f t="shared" si="6"/>
        <v>9924</v>
      </c>
      <c r="R16" s="154">
        <v>18319807</v>
      </c>
      <c r="S16" s="44">
        <f t="shared" si="7"/>
        <v>8006</v>
      </c>
      <c r="T16" s="154">
        <v>0</v>
      </c>
      <c r="U16" s="158"/>
      <c r="V16" s="154">
        <v>6074411</v>
      </c>
      <c r="W16" s="44">
        <f t="shared" si="8"/>
        <v>8160</v>
      </c>
      <c r="X16" s="22">
        <f t="shared" si="9"/>
        <v>41362</v>
      </c>
      <c r="Y16" s="159">
        <f t="shared" si="10"/>
        <v>9019</v>
      </c>
      <c r="Z16" s="3">
        <f t="shared" si="11"/>
        <v>6498.8671071999997</v>
      </c>
      <c r="AA16" s="3">
        <f t="shared" si="13"/>
        <v>16007.5486896</v>
      </c>
    </row>
    <row r="17" spans="1:27" s="136" customFormat="1" ht="16.5" thickBot="1" x14ac:dyDescent="0.3">
      <c r="A17" s="10">
        <v>44423</v>
      </c>
      <c r="B17" s="135">
        <v>260</v>
      </c>
      <c r="C17" s="153">
        <v>18650</v>
      </c>
      <c r="D17" s="44">
        <f t="shared" si="0"/>
        <v>960</v>
      </c>
      <c r="E17" s="154">
        <v>27374796</v>
      </c>
      <c r="F17" s="135">
        <f t="shared" si="1"/>
        <v>20320</v>
      </c>
      <c r="G17" s="155">
        <v>86811088</v>
      </c>
      <c r="H17" s="44">
        <f t="shared" si="2"/>
        <v>67189</v>
      </c>
      <c r="I17" s="160">
        <f t="shared" si="3"/>
        <v>87509</v>
      </c>
      <c r="J17" s="154">
        <v>8522208</v>
      </c>
      <c r="K17" s="135">
        <f t="shared" si="4"/>
        <v>6626</v>
      </c>
      <c r="L17" s="157">
        <v>8487238</v>
      </c>
      <c r="M17" s="135">
        <f t="shared" si="5"/>
        <v>6676</v>
      </c>
      <c r="N17" s="154">
        <v>5611336</v>
      </c>
      <c r="O17" s="135">
        <f t="shared" si="12"/>
        <v>13416</v>
      </c>
      <c r="P17" s="157">
        <v>4559361</v>
      </c>
      <c r="Q17" s="135">
        <f t="shared" si="6"/>
        <v>17202</v>
      </c>
      <c r="R17" s="154">
        <v>18333427</v>
      </c>
      <c r="S17" s="135">
        <f t="shared" si="7"/>
        <v>13620</v>
      </c>
      <c r="T17" s="161">
        <v>0</v>
      </c>
      <c r="U17" s="158"/>
      <c r="V17" s="154">
        <v>6088582</v>
      </c>
      <c r="W17" s="135">
        <f t="shared" si="8"/>
        <v>14171</v>
      </c>
      <c r="X17" s="22">
        <f t="shared" si="9"/>
        <v>71711</v>
      </c>
      <c r="Y17" s="162">
        <f t="shared" si="10"/>
        <v>15798</v>
      </c>
      <c r="Z17" s="163">
        <f t="shared" si="11"/>
        <v>11177.8047472</v>
      </c>
      <c r="AA17" s="163">
        <f t="shared" si="13"/>
        <v>27185.3534368</v>
      </c>
    </row>
    <row r="18" spans="1:27" s="136" customFormat="1" ht="16.5" thickBot="1" x14ac:dyDescent="0.3">
      <c r="A18" s="10">
        <v>44424</v>
      </c>
      <c r="B18" s="135">
        <v>278</v>
      </c>
      <c r="C18" s="153">
        <v>18657</v>
      </c>
      <c r="D18" s="44">
        <f t="shared" si="0"/>
        <v>1120</v>
      </c>
      <c r="E18" s="154">
        <v>27393042</v>
      </c>
      <c r="F18" s="135">
        <f t="shared" si="1"/>
        <v>18246</v>
      </c>
      <c r="G18" s="155">
        <v>86871201</v>
      </c>
      <c r="H18" s="44">
        <f t="shared" si="2"/>
        <v>60113</v>
      </c>
      <c r="I18" s="160">
        <f t="shared" si="3"/>
        <v>78359</v>
      </c>
      <c r="J18" s="154">
        <v>8528478</v>
      </c>
      <c r="K18" s="135">
        <f t="shared" si="4"/>
        <v>6270</v>
      </c>
      <c r="L18" s="157">
        <v>8493137</v>
      </c>
      <c r="M18" s="135">
        <f t="shared" si="5"/>
        <v>5899</v>
      </c>
      <c r="N18" s="154">
        <v>5617413</v>
      </c>
      <c r="O18" s="135">
        <f t="shared" si="12"/>
        <v>12154</v>
      </c>
      <c r="P18" s="157">
        <v>4574484</v>
      </c>
      <c r="Q18" s="135">
        <f t="shared" si="6"/>
        <v>15123</v>
      </c>
      <c r="R18" s="154">
        <v>18345128</v>
      </c>
      <c r="S18" s="135">
        <f t="shared" si="7"/>
        <v>11701</v>
      </c>
      <c r="T18" s="161">
        <v>0</v>
      </c>
      <c r="U18" s="158"/>
      <c r="V18" s="154">
        <v>6101453</v>
      </c>
      <c r="W18" s="135">
        <f t="shared" si="8"/>
        <v>12871</v>
      </c>
      <c r="X18" s="22">
        <f t="shared" si="9"/>
        <v>64018</v>
      </c>
      <c r="Y18" s="162">
        <f t="shared" si="10"/>
        <v>14341</v>
      </c>
      <c r="Z18" s="163">
        <f t="shared" si="11"/>
        <v>9912.8346303999988</v>
      </c>
      <c r="AA18" s="163">
        <f t="shared" si="13"/>
        <v>37098.188067199997</v>
      </c>
    </row>
    <row r="19" spans="1:27" s="136" customFormat="1" ht="16.5" thickBot="1" x14ac:dyDescent="0.3">
      <c r="A19" s="10">
        <v>44425</v>
      </c>
      <c r="B19" s="135">
        <v>277</v>
      </c>
      <c r="C19" s="153">
        <v>18663</v>
      </c>
      <c r="D19" s="44">
        <f>IF((C19-C18)&lt;0,"0",(C19-C18))*160</f>
        <v>960</v>
      </c>
      <c r="E19" s="154">
        <v>27406241</v>
      </c>
      <c r="F19" s="135">
        <f t="shared" si="1"/>
        <v>13199</v>
      </c>
      <c r="G19" s="155">
        <v>86914252</v>
      </c>
      <c r="H19" s="44">
        <f t="shared" si="2"/>
        <v>43051</v>
      </c>
      <c r="I19" s="160">
        <f t="shared" si="3"/>
        <v>56250</v>
      </c>
      <c r="J19" s="154">
        <v>8533073</v>
      </c>
      <c r="K19" s="135">
        <f t="shared" si="4"/>
        <v>4595</v>
      </c>
      <c r="L19" s="157">
        <v>8497486</v>
      </c>
      <c r="M19" s="135">
        <f t="shared" si="5"/>
        <v>4349</v>
      </c>
      <c r="N19" s="154">
        <v>5621758</v>
      </c>
      <c r="O19" s="135">
        <f t="shared" si="12"/>
        <v>8690</v>
      </c>
      <c r="P19" s="157">
        <v>4585092</v>
      </c>
      <c r="Q19" s="135">
        <f t="shared" si="6"/>
        <v>10608</v>
      </c>
      <c r="R19" s="154">
        <v>18303597</v>
      </c>
      <c r="S19" s="135" t="str">
        <f t="shared" si="7"/>
        <v>0</v>
      </c>
      <c r="T19" s="161">
        <v>0</v>
      </c>
      <c r="U19" s="158"/>
      <c r="V19" s="154">
        <v>6110688</v>
      </c>
      <c r="W19" s="135">
        <f t="shared" si="8"/>
        <v>9235</v>
      </c>
      <c r="X19" s="22">
        <f t="shared" si="9"/>
        <v>37477</v>
      </c>
      <c r="Y19" s="162">
        <f t="shared" si="10"/>
        <v>18773</v>
      </c>
      <c r="Z19" s="163">
        <f t="shared" si="11"/>
        <v>5035.2077359999994</v>
      </c>
      <c r="AA19" s="163">
        <f t="shared" si="13"/>
        <v>32624.714220799997</v>
      </c>
    </row>
    <row r="20" spans="1:27" s="136" customFormat="1" ht="16.5" thickBot="1" x14ac:dyDescent="0.3">
      <c r="A20" s="10">
        <v>44426</v>
      </c>
      <c r="B20" s="135">
        <v>271</v>
      </c>
      <c r="C20" s="153">
        <v>18668</v>
      </c>
      <c r="D20" s="44">
        <f>IF((C20-C19)&lt;0,"0",(C20-C19))*160</f>
        <v>800</v>
      </c>
      <c r="E20" s="154">
        <v>27427834</v>
      </c>
      <c r="F20" s="135">
        <f t="shared" si="1"/>
        <v>21593</v>
      </c>
      <c r="G20" s="155">
        <v>86967449</v>
      </c>
      <c r="H20" s="44">
        <f t="shared" si="2"/>
        <v>53197</v>
      </c>
      <c r="I20" s="160">
        <f t="shared" si="3"/>
        <v>74790</v>
      </c>
      <c r="J20" s="154">
        <v>8539353</v>
      </c>
      <c r="K20" s="135">
        <f t="shared" si="4"/>
        <v>6280</v>
      </c>
      <c r="L20" s="157">
        <v>8503311</v>
      </c>
      <c r="M20" s="135">
        <f t="shared" si="5"/>
        <v>5825</v>
      </c>
      <c r="N20" s="154">
        <v>5629532</v>
      </c>
      <c r="O20" s="135">
        <f t="shared" si="12"/>
        <v>15548</v>
      </c>
      <c r="P20" s="157">
        <v>4593640</v>
      </c>
      <c r="Q20" s="135">
        <f t="shared" si="6"/>
        <v>8548</v>
      </c>
      <c r="R20" s="154">
        <v>18365592</v>
      </c>
      <c r="S20" s="135">
        <f t="shared" si="7"/>
        <v>61995</v>
      </c>
      <c r="T20" s="161">
        <v>0</v>
      </c>
      <c r="U20" s="158"/>
      <c r="V20" s="154">
        <v>6123274</v>
      </c>
      <c r="W20" s="135">
        <f t="shared" si="8"/>
        <v>12586</v>
      </c>
      <c r="X20" s="22">
        <f t="shared" si="9"/>
        <v>110782</v>
      </c>
      <c r="Y20" s="162">
        <f t="shared" si="10"/>
        <v>-35992</v>
      </c>
      <c r="Z20" s="163">
        <f t="shared" si="11"/>
        <v>21590.272059200001</v>
      </c>
      <c r="AA20" s="163">
        <f t="shared" si="13"/>
        <v>47716.119172799998</v>
      </c>
    </row>
    <row r="21" spans="1:27" s="136" customFormat="1" ht="16.5" thickBot="1" x14ac:dyDescent="0.3">
      <c r="A21" s="10">
        <v>44427</v>
      </c>
      <c r="B21" s="135">
        <v>261</v>
      </c>
      <c r="C21" s="153">
        <v>18673</v>
      </c>
      <c r="D21" s="44">
        <f>IF((C21-C20)&lt;0,"0",(C21-C20))*160</f>
        <v>800</v>
      </c>
      <c r="E21" s="154">
        <v>27454076</v>
      </c>
      <c r="F21" s="135">
        <f t="shared" si="1"/>
        <v>26242</v>
      </c>
      <c r="G21" s="155">
        <v>87019432</v>
      </c>
      <c r="H21" s="44">
        <f t="shared" si="2"/>
        <v>51983</v>
      </c>
      <c r="I21" s="160">
        <f t="shared" si="3"/>
        <v>78225</v>
      </c>
      <c r="J21" s="154">
        <v>8545616</v>
      </c>
      <c r="K21" s="135">
        <f t="shared" si="4"/>
        <v>6263</v>
      </c>
      <c r="L21" s="157">
        <v>8509116</v>
      </c>
      <c r="M21" s="135">
        <f t="shared" si="5"/>
        <v>5805</v>
      </c>
      <c r="N21" s="154">
        <v>5636575</v>
      </c>
      <c r="O21" s="135">
        <f t="shared" si="12"/>
        <v>14086</v>
      </c>
      <c r="P21" s="157">
        <v>4597514</v>
      </c>
      <c r="Q21" s="135">
        <f t="shared" si="6"/>
        <v>3874</v>
      </c>
      <c r="R21" s="154">
        <v>18378602</v>
      </c>
      <c r="S21" s="135">
        <f t="shared" si="7"/>
        <v>13010</v>
      </c>
      <c r="T21" s="161">
        <v>0</v>
      </c>
      <c r="U21" s="158"/>
      <c r="V21" s="154">
        <v>6136684</v>
      </c>
      <c r="W21" s="135">
        <f t="shared" si="8"/>
        <v>13410</v>
      </c>
      <c r="X21" s="22">
        <f t="shared" si="9"/>
        <v>56448</v>
      </c>
      <c r="Y21" s="162">
        <f t="shared" si="10"/>
        <v>21777</v>
      </c>
      <c r="Z21" s="163">
        <f t="shared" si="11"/>
        <v>9012.5688640000008</v>
      </c>
      <c r="AA21" s="163">
        <f t="shared" si="13"/>
        <v>45550.883289599995</v>
      </c>
    </row>
    <row r="22" spans="1:27" ht="16.5" thickBot="1" x14ac:dyDescent="0.3">
      <c r="A22" s="10">
        <v>44428</v>
      </c>
      <c r="B22" s="44"/>
      <c r="C22" s="153"/>
      <c r="D22" s="44">
        <f t="shared" si="0"/>
        <v>0</v>
      </c>
      <c r="E22" s="154"/>
      <c r="F22" s="44" t="str">
        <f t="shared" si="1"/>
        <v>0</v>
      </c>
      <c r="G22" s="155"/>
      <c r="H22" s="44" t="str">
        <f t="shared" si="2"/>
        <v>0</v>
      </c>
      <c r="I22" s="156">
        <f t="shared" si="3"/>
        <v>0</v>
      </c>
      <c r="J22" s="154"/>
      <c r="K22" s="44" t="str">
        <f t="shared" si="4"/>
        <v>0</v>
      </c>
      <c r="L22" s="157"/>
      <c r="M22" s="44" t="str">
        <f t="shared" si="5"/>
        <v>0</v>
      </c>
      <c r="N22" s="154"/>
      <c r="O22" s="44">
        <f t="shared" si="12"/>
        <v>0</v>
      </c>
      <c r="P22" s="157"/>
      <c r="Q22" s="44" t="str">
        <f t="shared" si="6"/>
        <v>0</v>
      </c>
      <c r="R22" s="154"/>
      <c r="S22" s="44" t="str">
        <f t="shared" si="7"/>
        <v>0</v>
      </c>
      <c r="T22" s="154">
        <v>0</v>
      </c>
      <c r="U22" s="158"/>
      <c r="V22" s="154"/>
      <c r="W22" s="44" t="str">
        <f t="shared" si="8"/>
        <v>0</v>
      </c>
      <c r="X22" s="22">
        <f t="shared" si="9"/>
        <v>0</v>
      </c>
      <c r="Y22" s="159">
        <f t="shared" si="10"/>
        <v>0</v>
      </c>
      <c r="Z22" s="3">
        <f t="shared" si="11"/>
        <v>0</v>
      </c>
      <c r="AA22" s="3">
        <f t="shared" si="13"/>
        <v>35638.048659200002</v>
      </c>
    </row>
    <row r="23" spans="1:27" ht="16.5" thickBot="1" x14ac:dyDescent="0.3">
      <c r="A23" s="10">
        <v>44429</v>
      </c>
      <c r="B23" s="44"/>
      <c r="C23" s="153"/>
      <c r="D23" s="44">
        <f t="shared" si="0"/>
        <v>0</v>
      </c>
      <c r="E23" s="154"/>
      <c r="F23" s="44">
        <f t="shared" si="1"/>
        <v>0</v>
      </c>
      <c r="G23" s="155"/>
      <c r="H23" s="44">
        <f t="shared" si="2"/>
        <v>0</v>
      </c>
      <c r="I23" s="156">
        <f t="shared" si="3"/>
        <v>0</v>
      </c>
      <c r="J23" s="154"/>
      <c r="K23" s="44">
        <f t="shared" si="4"/>
        <v>0</v>
      </c>
      <c r="L23" s="157"/>
      <c r="M23" s="44">
        <f t="shared" si="5"/>
        <v>0</v>
      </c>
      <c r="N23" s="154"/>
      <c r="O23" s="44">
        <f t="shared" si="12"/>
        <v>0</v>
      </c>
      <c r="P23" s="157"/>
      <c r="Q23" s="44">
        <f t="shared" si="6"/>
        <v>0</v>
      </c>
      <c r="R23" s="154"/>
      <c r="S23" s="44">
        <f t="shared" si="7"/>
        <v>0</v>
      </c>
      <c r="T23" s="154">
        <v>0</v>
      </c>
      <c r="U23" s="158"/>
      <c r="V23" s="154"/>
      <c r="W23" s="44">
        <f t="shared" si="8"/>
        <v>0</v>
      </c>
      <c r="X23" s="22">
        <f t="shared" si="9"/>
        <v>0</v>
      </c>
      <c r="Y23" s="159">
        <f t="shared" si="10"/>
        <v>0</v>
      </c>
      <c r="Z23" s="3">
        <f t="shared" si="11"/>
        <v>0</v>
      </c>
      <c r="AA23" s="3">
        <f t="shared" si="13"/>
        <v>30602.840923200001</v>
      </c>
    </row>
    <row r="24" spans="1:27" ht="16.5" thickBot="1" x14ac:dyDescent="0.3">
      <c r="A24" s="10">
        <v>44430</v>
      </c>
      <c r="B24" s="44"/>
      <c r="C24" s="153"/>
      <c r="D24" s="44">
        <f t="shared" si="0"/>
        <v>0</v>
      </c>
      <c r="E24" s="154"/>
      <c r="F24" s="44">
        <f t="shared" si="1"/>
        <v>0</v>
      </c>
      <c r="G24" s="155"/>
      <c r="H24" s="44">
        <f t="shared" si="2"/>
        <v>0</v>
      </c>
      <c r="I24" s="156">
        <f t="shared" si="3"/>
        <v>0</v>
      </c>
      <c r="J24" s="154"/>
      <c r="K24" s="44">
        <f t="shared" si="4"/>
        <v>0</v>
      </c>
      <c r="L24" s="157"/>
      <c r="M24" s="44">
        <f t="shared" si="5"/>
        <v>0</v>
      </c>
      <c r="N24" s="154"/>
      <c r="O24" s="44">
        <f t="shared" si="12"/>
        <v>0</v>
      </c>
      <c r="P24" s="157"/>
      <c r="Q24" s="44">
        <f t="shared" si="6"/>
        <v>0</v>
      </c>
      <c r="R24" s="154"/>
      <c r="S24" s="44">
        <f t="shared" si="7"/>
        <v>0</v>
      </c>
      <c r="T24" s="154">
        <v>0</v>
      </c>
      <c r="U24" s="158"/>
      <c r="V24" s="154"/>
      <c r="W24" s="44">
        <f t="shared" si="8"/>
        <v>0</v>
      </c>
      <c r="X24" s="22">
        <f t="shared" si="9"/>
        <v>0</v>
      </c>
      <c r="Y24" s="159">
        <f t="shared" si="10"/>
        <v>0</v>
      </c>
      <c r="Z24" s="3">
        <f t="shared" si="11"/>
        <v>0</v>
      </c>
      <c r="AA24" s="3">
        <f t="shared" si="13"/>
        <v>9012.5688640000008</v>
      </c>
    </row>
    <row r="25" spans="1:27" ht="16.5" thickBot="1" x14ac:dyDescent="0.3">
      <c r="A25" s="10">
        <v>44431</v>
      </c>
      <c r="B25" s="44"/>
      <c r="C25" s="153"/>
      <c r="D25" s="44">
        <f t="shared" si="0"/>
        <v>0</v>
      </c>
      <c r="E25" s="154"/>
      <c r="F25" s="44">
        <f t="shared" si="1"/>
        <v>0</v>
      </c>
      <c r="G25" s="155"/>
      <c r="H25" s="44">
        <f t="shared" si="2"/>
        <v>0</v>
      </c>
      <c r="I25" s="156">
        <f t="shared" si="3"/>
        <v>0</v>
      </c>
      <c r="J25" s="154"/>
      <c r="K25" s="44">
        <f t="shared" si="4"/>
        <v>0</v>
      </c>
      <c r="L25" s="157"/>
      <c r="M25" s="44">
        <f t="shared" si="5"/>
        <v>0</v>
      </c>
      <c r="N25" s="154"/>
      <c r="O25" s="44">
        <f t="shared" si="12"/>
        <v>0</v>
      </c>
      <c r="P25" s="157"/>
      <c r="Q25" s="44">
        <f t="shared" si="6"/>
        <v>0</v>
      </c>
      <c r="R25" s="154"/>
      <c r="S25" s="44">
        <f t="shared" si="7"/>
        <v>0</v>
      </c>
      <c r="T25" s="154">
        <v>0</v>
      </c>
      <c r="U25" s="158"/>
      <c r="V25" s="154"/>
      <c r="W25" s="44">
        <f t="shared" si="8"/>
        <v>0</v>
      </c>
      <c r="X25" s="22">
        <f t="shared" si="9"/>
        <v>0</v>
      </c>
      <c r="Y25" s="159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44432</v>
      </c>
      <c r="B26" s="44"/>
      <c r="C26" s="153"/>
      <c r="D26" s="44">
        <f t="shared" si="0"/>
        <v>0</v>
      </c>
      <c r="E26" s="154"/>
      <c r="F26" s="44">
        <f t="shared" si="1"/>
        <v>0</v>
      </c>
      <c r="G26" s="155"/>
      <c r="H26" s="44">
        <f t="shared" si="2"/>
        <v>0</v>
      </c>
      <c r="I26" s="156">
        <f t="shared" si="3"/>
        <v>0</v>
      </c>
      <c r="J26" s="154"/>
      <c r="K26" s="44">
        <f t="shared" si="4"/>
        <v>0</v>
      </c>
      <c r="L26" s="157"/>
      <c r="M26" s="44">
        <f t="shared" si="5"/>
        <v>0</v>
      </c>
      <c r="N26" s="154"/>
      <c r="O26" s="44">
        <f t="shared" si="12"/>
        <v>0</v>
      </c>
      <c r="P26" s="157"/>
      <c r="Q26" s="44">
        <f t="shared" si="6"/>
        <v>0</v>
      </c>
      <c r="R26" s="154"/>
      <c r="S26" s="44">
        <f t="shared" si="7"/>
        <v>0</v>
      </c>
      <c r="T26" s="154">
        <v>0</v>
      </c>
      <c r="U26" s="158"/>
      <c r="V26" s="154"/>
      <c r="W26" s="44">
        <f t="shared" si="8"/>
        <v>0</v>
      </c>
      <c r="X26" s="22">
        <f t="shared" si="9"/>
        <v>0</v>
      </c>
      <c r="Y26" s="159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44433</v>
      </c>
      <c r="B27" s="44"/>
      <c r="C27" s="153"/>
      <c r="D27" s="44">
        <f t="shared" si="0"/>
        <v>0</v>
      </c>
      <c r="E27" s="154"/>
      <c r="F27" s="44">
        <f t="shared" si="1"/>
        <v>0</v>
      </c>
      <c r="G27" s="155"/>
      <c r="H27" s="44">
        <f t="shared" si="2"/>
        <v>0</v>
      </c>
      <c r="I27" s="156">
        <f t="shared" si="3"/>
        <v>0</v>
      </c>
      <c r="J27" s="154"/>
      <c r="K27" s="44">
        <f t="shared" si="4"/>
        <v>0</v>
      </c>
      <c r="L27" s="157"/>
      <c r="M27" s="44">
        <f t="shared" si="5"/>
        <v>0</v>
      </c>
      <c r="N27" s="154"/>
      <c r="O27" s="44">
        <f t="shared" si="12"/>
        <v>0</v>
      </c>
      <c r="P27" s="157"/>
      <c r="Q27" s="44">
        <f t="shared" si="6"/>
        <v>0</v>
      </c>
      <c r="R27" s="154"/>
      <c r="S27" s="44">
        <f t="shared" si="7"/>
        <v>0</v>
      </c>
      <c r="T27" s="154">
        <v>0</v>
      </c>
      <c r="U27" s="158"/>
      <c r="V27" s="154"/>
      <c r="W27" s="44">
        <f t="shared" si="8"/>
        <v>0</v>
      </c>
      <c r="X27" s="22">
        <f t="shared" si="9"/>
        <v>0</v>
      </c>
      <c r="Y27" s="159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44434</v>
      </c>
      <c r="B28" s="44"/>
      <c r="C28" s="153"/>
      <c r="D28" s="44">
        <f t="shared" si="0"/>
        <v>0</v>
      </c>
      <c r="E28" s="154"/>
      <c r="F28" s="44">
        <f t="shared" si="1"/>
        <v>0</v>
      </c>
      <c r="G28" s="155"/>
      <c r="H28" s="44">
        <f t="shared" si="2"/>
        <v>0</v>
      </c>
      <c r="I28" s="156">
        <f t="shared" si="3"/>
        <v>0</v>
      </c>
      <c r="J28" s="154"/>
      <c r="K28" s="44">
        <f t="shared" si="4"/>
        <v>0</v>
      </c>
      <c r="L28" s="157"/>
      <c r="M28" s="44">
        <f t="shared" si="5"/>
        <v>0</v>
      </c>
      <c r="N28" s="154"/>
      <c r="O28" s="44">
        <f t="shared" si="12"/>
        <v>0</v>
      </c>
      <c r="P28" s="157"/>
      <c r="Q28" s="44">
        <f t="shared" si="6"/>
        <v>0</v>
      </c>
      <c r="R28" s="154"/>
      <c r="S28" s="44">
        <f t="shared" si="7"/>
        <v>0</v>
      </c>
      <c r="T28" s="154">
        <v>0</v>
      </c>
      <c r="U28" s="158"/>
      <c r="V28" s="154"/>
      <c r="W28" s="44">
        <f t="shared" si="8"/>
        <v>0</v>
      </c>
      <c r="X28" s="22">
        <f t="shared" si="9"/>
        <v>0</v>
      </c>
      <c r="Y28" s="159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44435</v>
      </c>
      <c r="B29" s="44"/>
      <c r="C29" s="153"/>
      <c r="D29" s="44">
        <f t="shared" si="0"/>
        <v>0</v>
      </c>
      <c r="E29" s="154"/>
      <c r="F29" s="44">
        <f t="shared" si="1"/>
        <v>0</v>
      </c>
      <c r="G29" s="155"/>
      <c r="H29" s="44">
        <f t="shared" si="2"/>
        <v>0</v>
      </c>
      <c r="I29" s="156">
        <f t="shared" si="3"/>
        <v>0</v>
      </c>
      <c r="J29" s="154"/>
      <c r="K29" s="44">
        <f t="shared" si="4"/>
        <v>0</v>
      </c>
      <c r="L29" s="157"/>
      <c r="M29" s="44">
        <f t="shared" si="5"/>
        <v>0</v>
      </c>
      <c r="N29" s="154"/>
      <c r="O29" s="44">
        <f t="shared" si="12"/>
        <v>0</v>
      </c>
      <c r="P29" s="157"/>
      <c r="Q29" s="44">
        <f t="shared" si="6"/>
        <v>0</v>
      </c>
      <c r="R29" s="154"/>
      <c r="S29" s="44">
        <f t="shared" si="7"/>
        <v>0</v>
      </c>
      <c r="T29" s="154">
        <v>0</v>
      </c>
      <c r="U29" s="158"/>
      <c r="V29" s="154"/>
      <c r="W29" s="44">
        <f t="shared" si="8"/>
        <v>0</v>
      </c>
      <c r="X29" s="22">
        <f t="shared" si="9"/>
        <v>0</v>
      </c>
      <c r="Y29" s="159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44436</v>
      </c>
      <c r="B30" s="44"/>
      <c r="C30" s="153"/>
      <c r="D30" s="44">
        <f t="shared" si="0"/>
        <v>0</v>
      </c>
      <c r="E30" s="154"/>
      <c r="F30" s="44">
        <f t="shared" si="1"/>
        <v>0</v>
      </c>
      <c r="G30" s="155"/>
      <c r="H30" s="44">
        <f t="shared" si="2"/>
        <v>0</v>
      </c>
      <c r="I30" s="156">
        <f t="shared" si="3"/>
        <v>0</v>
      </c>
      <c r="J30" s="154"/>
      <c r="K30" s="44">
        <f t="shared" si="4"/>
        <v>0</v>
      </c>
      <c r="L30" s="157"/>
      <c r="M30" s="44">
        <f t="shared" si="5"/>
        <v>0</v>
      </c>
      <c r="N30" s="154"/>
      <c r="O30" s="44">
        <f t="shared" si="12"/>
        <v>0</v>
      </c>
      <c r="P30" s="157"/>
      <c r="Q30" s="44">
        <f t="shared" si="6"/>
        <v>0</v>
      </c>
      <c r="R30" s="154"/>
      <c r="S30" s="44">
        <f t="shared" si="7"/>
        <v>0</v>
      </c>
      <c r="T30" s="154">
        <v>0</v>
      </c>
      <c r="U30" s="158"/>
      <c r="V30" s="154"/>
      <c r="W30" s="44">
        <f t="shared" si="8"/>
        <v>0</v>
      </c>
      <c r="X30" s="22">
        <f t="shared" si="9"/>
        <v>0</v>
      </c>
      <c r="Y30" s="159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44437</v>
      </c>
      <c r="B31" s="44"/>
      <c r="C31" s="153"/>
      <c r="D31" s="44">
        <f t="shared" si="0"/>
        <v>0</v>
      </c>
      <c r="E31" s="154"/>
      <c r="F31" s="44">
        <f t="shared" si="1"/>
        <v>0</v>
      </c>
      <c r="G31" s="155"/>
      <c r="H31" s="44">
        <f t="shared" si="2"/>
        <v>0</v>
      </c>
      <c r="I31" s="156">
        <f t="shared" si="3"/>
        <v>0</v>
      </c>
      <c r="J31" s="154"/>
      <c r="K31" s="44">
        <f t="shared" si="4"/>
        <v>0</v>
      </c>
      <c r="L31" s="157"/>
      <c r="M31" s="44">
        <f t="shared" si="5"/>
        <v>0</v>
      </c>
      <c r="N31" s="154"/>
      <c r="O31" s="44">
        <f t="shared" si="12"/>
        <v>0</v>
      </c>
      <c r="P31" s="157"/>
      <c r="Q31" s="44">
        <f t="shared" si="6"/>
        <v>0</v>
      </c>
      <c r="R31" s="154"/>
      <c r="S31" s="44">
        <f t="shared" si="7"/>
        <v>0</v>
      </c>
      <c r="T31" s="154">
        <v>0</v>
      </c>
      <c r="U31" s="11"/>
      <c r="V31" s="154"/>
      <c r="W31" s="44">
        <f t="shared" si="8"/>
        <v>0</v>
      </c>
      <c r="X31" s="22">
        <f t="shared" si="9"/>
        <v>0</v>
      </c>
      <c r="Y31" s="159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44438</v>
      </c>
      <c r="B32" s="44"/>
      <c r="C32" s="153"/>
      <c r="D32" s="44">
        <f t="shared" si="0"/>
        <v>0</v>
      </c>
      <c r="E32" s="154"/>
      <c r="F32" s="44">
        <f t="shared" si="1"/>
        <v>0</v>
      </c>
      <c r="G32" s="155"/>
      <c r="H32" s="44">
        <f t="shared" si="2"/>
        <v>0</v>
      </c>
      <c r="I32" s="22">
        <f>F32+H32</f>
        <v>0</v>
      </c>
      <c r="J32" s="154"/>
      <c r="K32" s="44">
        <f t="shared" si="4"/>
        <v>0</v>
      </c>
      <c r="L32" s="157"/>
      <c r="M32" s="44">
        <f t="shared" si="5"/>
        <v>0</v>
      </c>
      <c r="N32" s="154"/>
      <c r="O32" s="44">
        <f t="shared" si="12"/>
        <v>0</v>
      </c>
      <c r="P32" s="157"/>
      <c r="Q32" s="44">
        <f t="shared" si="6"/>
        <v>0</v>
      </c>
      <c r="R32" s="154"/>
      <c r="S32" s="44">
        <f t="shared" si="7"/>
        <v>0</v>
      </c>
      <c r="T32" s="154">
        <v>0</v>
      </c>
      <c r="U32" s="11"/>
      <c r="V32" s="154"/>
      <c r="W32" s="44">
        <f t="shared" si="8"/>
        <v>0</v>
      </c>
      <c r="X32" s="22">
        <f t="shared" si="9"/>
        <v>0</v>
      </c>
      <c r="Y32" s="159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>
        <v>44439</v>
      </c>
      <c r="B33" s="44"/>
      <c r="C33" s="153"/>
      <c r="D33" s="44">
        <f t="shared" si="0"/>
        <v>0</v>
      </c>
      <c r="E33" s="154"/>
      <c r="F33" s="44">
        <f t="shared" si="1"/>
        <v>0</v>
      </c>
      <c r="G33" s="155"/>
      <c r="H33" s="44">
        <f t="shared" si="2"/>
        <v>0</v>
      </c>
      <c r="I33" s="22">
        <f>F33+H33</f>
        <v>0</v>
      </c>
      <c r="J33" s="154"/>
      <c r="K33" s="44">
        <f t="shared" si="4"/>
        <v>0</v>
      </c>
      <c r="L33" s="157"/>
      <c r="M33" s="44">
        <f t="shared" si="5"/>
        <v>0</v>
      </c>
      <c r="N33" s="154"/>
      <c r="O33" s="44">
        <f t="shared" si="12"/>
        <v>0</v>
      </c>
      <c r="P33" s="157"/>
      <c r="Q33" s="44">
        <f t="shared" si="6"/>
        <v>0</v>
      </c>
      <c r="R33" s="154"/>
      <c r="S33" s="44">
        <f t="shared" si="7"/>
        <v>0</v>
      </c>
      <c r="T33" s="154">
        <v>0</v>
      </c>
      <c r="U33" s="11"/>
      <c r="V33" s="154"/>
      <c r="W33" s="44">
        <f t="shared" si="8"/>
        <v>0</v>
      </c>
      <c r="X33" s="22">
        <f t="shared" si="9"/>
        <v>0</v>
      </c>
      <c r="Y33" s="159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4936</v>
      </c>
      <c r="C34" s="144"/>
      <c r="D34" s="144">
        <f>SUM(D2:D33)</f>
        <v>36852</v>
      </c>
      <c r="E34" s="61">
        <v>0</v>
      </c>
      <c r="F34" s="61">
        <f>SUM(F2:F33)</f>
        <v>344924</v>
      </c>
      <c r="G34" s="61">
        <v>0</v>
      </c>
      <c r="H34" s="61">
        <f>SUM(H2:H33)</f>
        <v>1044477</v>
      </c>
      <c r="I34" s="61">
        <f>SUM(I5:I33)</f>
        <v>1236688</v>
      </c>
      <c r="J34" s="61">
        <v>0</v>
      </c>
      <c r="K34" s="61">
        <f>SUM(K2:K33)</f>
        <v>176965</v>
      </c>
      <c r="L34" s="61">
        <v>0</v>
      </c>
      <c r="M34" s="61">
        <f>SUM(M2:M33)</f>
        <v>105772</v>
      </c>
      <c r="N34" s="61">
        <v>0</v>
      </c>
      <c r="O34" s="61">
        <f>SUM(O2:O33)</f>
        <v>229350</v>
      </c>
      <c r="P34" s="61">
        <v>0</v>
      </c>
      <c r="Q34" s="61">
        <f>SUM(Q2:Q33)</f>
        <v>253931</v>
      </c>
      <c r="R34" s="61">
        <v>0</v>
      </c>
      <c r="S34" s="61">
        <f>SUM(S2:S33)</f>
        <v>250556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224952</v>
      </c>
      <c r="X34" s="61">
        <f>SUM(X5:X33)</f>
        <v>1115472</v>
      </c>
      <c r="Y34" s="61">
        <f>SUM(Y2:Y33)</f>
        <v>147875</v>
      </c>
      <c r="Z34" s="61">
        <f>SUM(Z2:Z33)</f>
        <v>185376.64312960001</v>
      </c>
      <c r="AA34" s="61">
        <f>SUM(AA2:AA33)</f>
        <v>732906.11615519994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5" activePane="bottomLeft" state="frozen"/>
      <selection pane="bottomLeft" activeCell="F24" sqref="F24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:C8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>C3+E3+G3+I3</f>
        <v>1817.5139999999999</v>
      </c>
      <c r="K3" s="23">
        <f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si="0"/>
        <v>1400</v>
      </c>
      <c r="D4" s="3">
        <f>D3</f>
        <v>4377000</v>
      </c>
      <c r="E4" s="44">
        <f t="shared" ref="E4:E33" si="1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2">C4+E4+G4+I4</f>
        <v>2123.33</v>
      </c>
      <c r="K4" s="23">
        <f t="shared" ref="K4:K33" si="3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0"/>
        <v>1530</v>
      </c>
      <c r="D5" s="3">
        <v>4377000</v>
      </c>
      <c r="E5" s="44">
        <f t="shared" si="1"/>
        <v>0</v>
      </c>
      <c r="F5" s="3">
        <v>4535100</v>
      </c>
      <c r="G5" s="44">
        <f t="shared" ref="G5:G33" si="4">(IF((F5-F4)&lt;0,"0",(F5-F4)))*0.027</f>
        <v>750.6</v>
      </c>
      <c r="H5" s="3">
        <v>741812</v>
      </c>
      <c r="I5" s="49">
        <f t="shared" ref="I5:I33" si="5">(IF((H5-H4)&lt;0,"0",(H5-H4)))*0.027</f>
        <v>2.9430000000000001</v>
      </c>
      <c r="J5" s="22">
        <f t="shared" si="2"/>
        <v>2283.5430000000001</v>
      </c>
      <c r="K5" s="23">
        <f t="shared" si="3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0"/>
        <v>1490</v>
      </c>
      <c r="D6" s="3">
        <f>D5</f>
        <v>4377000</v>
      </c>
      <c r="E6" s="44">
        <f t="shared" si="1"/>
        <v>0</v>
      </c>
      <c r="F6" s="3">
        <v>4564400</v>
      </c>
      <c r="G6" s="44">
        <f t="shared" si="4"/>
        <v>791.1</v>
      </c>
      <c r="H6" s="3">
        <f>H5</f>
        <v>741812</v>
      </c>
      <c r="I6" s="49">
        <f t="shared" si="5"/>
        <v>0</v>
      </c>
      <c r="J6" s="22">
        <f t="shared" si="2"/>
        <v>2281.1</v>
      </c>
      <c r="K6" s="23">
        <f t="shared" si="3"/>
        <v>13367.246000000001</v>
      </c>
    </row>
    <row r="7" spans="1:14" ht="16.5" thickBot="1" x14ac:dyDescent="0.3">
      <c r="A7" s="10">
        <v>44413</v>
      </c>
      <c r="B7" s="3">
        <v>420404</v>
      </c>
      <c r="C7" s="44">
        <f t="shared" si="0"/>
        <v>1170</v>
      </c>
      <c r="D7" s="3">
        <v>4377000</v>
      </c>
      <c r="E7" s="44">
        <f t="shared" si="1"/>
        <v>0</v>
      </c>
      <c r="F7" s="3">
        <v>4564400</v>
      </c>
      <c r="G7" s="44">
        <f t="shared" si="4"/>
        <v>0</v>
      </c>
      <c r="H7" s="3">
        <v>741812</v>
      </c>
      <c r="I7" s="49">
        <f t="shared" si="5"/>
        <v>0</v>
      </c>
      <c r="J7" s="22">
        <f t="shared" si="2"/>
        <v>1170</v>
      </c>
      <c r="K7" s="23">
        <f t="shared" si="3"/>
        <v>6856.2000000000007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v>420530</v>
      </c>
      <c r="C8" s="44">
        <f t="shared" si="0"/>
        <v>1260</v>
      </c>
      <c r="D8" s="3">
        <v>4370000</v>
      </c>
      <c r="E8" s="44">
        <f t="shared" si="1"/>
        <v>0</v>
      </c>
      <c r="F8" s="3">
        <v>4621600</v>
      </c>
      <c r="G8" s="44">
        <f t="shared" si="4"/>
        <v>1544.4</v>
      </c>
      <c r="H8" s="3">
        <v>742088</v>
      </c>
      <c r="I8" s="49">
        <f t="shared" si="5"/>
        <v>7.452</v>
      </c>
      <c r="J8" s="22">
        <f t="shared" si="2"/>
        <v>2811.8520000000003</v>
      </c>
      <c r="K8" s="23">
        <f t="shared" si="3"/>
        <v>16477.452720000001</v>
      </c>
    </row>
    <row r="9" spans="1:14" ht="16.5" thickBot="1" x14ac:dyDescent="0.3">
      <c r="A9" s="10">
        <v>44415</v>
      </c>
      <c r="B9" s="3">
        <v>420639</v>
      </c>
      <c r="C9" s="44">
        <f t="shared" ref="C9:C33" si="6">(IF((B9-B8)&lt;0,"0",(B9-B8)))*10</f>
        <v>1090</v>
      </c>
      <c r="D9" s="3">
        <v>4377000</v>
      </c>
      <c r="E9" s="44">
        <f t="shared" si="1"/>
        <v>189</v>
      </c>
      <c r="F9" s="3">
        <v>4646300</v>
      </c>
      <c r="G9" s="44">
        <f t="shared" si="4"/>
        <v>666.9</v>
      </c>
      <c r="H9" s="3">
        <v>742264</v>
      </c>
      <c r="I9" s="49">
        <f t="shared" si="5"/>
        <v>4.7519999999999998</v>
      </c>
      <c r="J9" s="22">
        <f t="shared" si="2"/>
        <v>1950.652</v>
      </c>
      <c r="K9" s="23">
        <f t="shared" si="3"/>
        <v>11430.820720000002</v>
      </c>
    </row>
    <row r="10" spans="1:14" ht="16.5" thickBot="1" x14ac:dyDescent="0.3">
      <c r="A10" s="10">
        <v>44416</v>
      </c>
      <c r="B10" s="3">
        <v>420783</v>
      </c>
      <c r="C10" s="44">
        <f>(IF((B10-B9)&lt;0,"0",(B10-B9)))*10</f>
        <v>1440</v>
      </c>
      <c r="D10" s="3">
        <v>4377000</v>
      </c>
      <c r="E10" s="44">
        <f t="shared" si="1"/>
        <v>0</v>
      </c>
      <c r="F10" s="3">
        <v>4675700</v>
      </c>
      <c r="G10" s="44">
        <f t="shared" si="4"/>
        <v>793.8</v>
      </c>
      <c r="H10" s="3">
        <v>742400</v>
      </c>
      <c r="I10" s="49">
        <f t="shared" si="5"/>
        <v>3.6720000000000002</v>
      </c>
      <c r="J10" s="22">
        <f t="shared" si="2"/>
        <v>2237.4720000000002</v>
      </c>
      <c r="K10" s="23">
        <f t="shared" si="3"/>
        <v>13111.585920000001</v>
      </c>
    </row>
    <row r="11" spans="1:14" ht="16.5" thickBot="1" x14ac:dyDescent="0.3">
      <c r="A11" s="10">
        <v>44417</v>
      </c>
      <c r="B11" s="3">
        <v>420891</v>
      </c>
      <c r="C11" s="44">
        <f t="shared" si="6"/>
        <v>1080</v>
      </c>
      <c r="D11" s="3">
        <v>4377000</v>
      </c>
      <c r="E11" s="44">
        <f t="shared" si="1"/>
        <v>0</v>
      </c>
      <c r="F11" s="3">
        <v>4698800</v>
      </c>
      <c r="G11" s="44">
        <f t="shared" si="4"/>
        <v>623.70000000000005</v>
      </c>
      <c r="H11" s="3">
        <v>742500</v>
      </c>
      <c r="I11" s="49">
        <f t="shared" si="5"/>
        <v>2.7</v>
      </c>
      <c r="J11" s="22">
        <f t="shared" si="2"/>
        <v>1706.4</v>
      </c>
      <c r="K11" s="23">
        <f t="shared" si="3"/>
        <v>9999.5040000000008</v>
      </c>
      <c r="N11" t="s">
        <v>12</v>
      </c>
    </row>
    <row r="12" spans="1:14" ht="16.5" thickBot="1" x14ac:dyDescent="0.3">
      <c r="A12" s="10">
        <v>44418</v>
      </c>
      <c r="B12" s="3">
        <v>421014</v>
      </c>
      <c r="C12" s="44">
        <f t="shared" si="6"/>
        <v>1230</v>
      </c>
      <c r="D12" s="3">
        <v>4377000</v>
      </c>
      <c r="E12" s="44">
        <f t="shared" si="1"/>
        <v>0</v>
      </c>
      <c r="F12" s="3">
        <v>4725700</v>
      </c>
      <c r="G12" s="44">
        <f t="shared" si="4"/>
        <v>726.3</v>
      </c>
      <c r="H12" s="3">
        <v>742608</v>
      </c>
      <c r="I12" s="49">
        <f t="shared" si="5"/>
        <v>2.9159999999999999</v>
      </c>
      <c r="J12" s="22">
        <f t="shared" si="2"/>
        <v>1959.2159999999999</v>
      </c>
      <c r="K12" s="23">
        <f t="shared" si="3"/>
        <v>11481.00576</v>
      </c>
    </row>
    <row r="13" spans="1:14" ht="16.5" thickBot="1" x14ac:dyDescent="0.3">
      <c r="A13" s="10">
        <v>44419</v>
      </c>
      <c r="B13" s="3">
        <v>421136</v>
      </c>
      <c r="C13" s="44">
        <f t="shared" si="6"/>
        <v>1220</v>
      </c>
      <c r="D13" s="3">
        <v>4377000</v>
      </c>
      <c r="E13" s="44">
        <f t="shared" si="1"/>
        <v>0</v>
      </c>
      <c r="F13" s="3">
        <v>4751000</v>
      </c>
      <c r="G13" s="44">
        <f t="shared" si="4"/>
        <v>683.1</v>
      </c>
      <c r="H13" s="3">
        <v>742747</v>
      </c>
      <c r="I13" s="49">
        <f t="shared" si="5"/>
        <v>3.7530000000000001</v>
      </c>
      <c r="J13" s="22">
        <f t="shared" si="2"/>
        <v>1906.8529999999998</v>
      </c>
      <c r="K13" s="23">
        <f t="shared" si="3"/>
        <v>11174.158579999999</v>
      </c>
    </row>
    <row r="14" spans="1:14" ht="16.5" thickBot="1" x14ac:dyDescent="0.3">
      <c r="A14" s="10">
        <v>44420</v>
      </c>
      <c r="B14" s="3">
        <v>421014</v>
      </c>
      <c r="C14" s="44">
        <f t="shared" si="6"/>
        <v>0</v>
      </c>
      <c r="D14" s="3">
        <v>4377000</v>
      </c>
      <c r="E14" s="44">
        <f t="shared" si="1"/>
        <v>0</v>
      </c>
      <c r="F14" s="3">
        <v>4757000</v>
      </c>
      <c r="G14" s="44">
        <v>0</v>
      </c>
      <c r="H14" s="3">
        <v>742608</v>
      </c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44421</v>
      </c>
      <c r="B15" s="3">
        <v>421382</v>
      </c>
      <c r="C15" s="44">
        <f t="shared" si="6"/>
        <v>3680</v>
      </c>
      <c r="D15" s="3">
        <v>4377000</v>
      </c>
      <c r="E15" s="44">
        <f t="shared" si="1"/>
        <v>0</v>
      </c>
      <c r="F15" s="3">
        <v>4801500</v>
      </c>
      <c r="G15" s="44">
        <f t="shared" si="4"/>
        <v>1201.5</v>
      </c>
      <c r="H15" s="3">
        <v>742863</v>
      </c>
      <c r="I15" s="49">
        <f t="shared" si="5"/>
        <v>6.8849999999999998</v>
      </c>
      <c r="J15" s="22">
        <f t="shared" si="2"/>
        <v>4888.3850000000002</v>
      </c>
      <c r="K15" s="23">
        <f t="shared" si="3"/>
        <v>28645.936100000003</v>
      </c>
    </row>
    <row r="16" spans="1:14" ht="16.5" thickBot="1" x14ac:dyDescent="0.3">
      <c r="A16" s="10">
        <v>44422</v>
      </c>
      <c r="B16" s="3">
        <v>421497</v>
      </c>
      <c r="C16" s="44">
        <f t="shared" si="6"/>
        <v>1150</v>
      </c>
      <c r="D16" s="3">
        <v>4377000</v>
      </c>
      <c r="E16" s="44">
        <f t="shared" si="1"/>
        <v>0</v>
      </c>
      <c r="F16" s="3">
        <v>4825800</v>
      </c>
      <c r="G16" s="44">
        <f t="shared" si="4"/>
        <v>656.1</v>
      </c>
      <c r="H16" s="3">
        <v>742912</v>
      </c>
      <c r="I16" s="49">
        <f t="shared" si="5"/>
        <v>1.323</v>
      </c>
      <c r="J16" s="22">
        <f t="shared" si="2"/>
        <v>1807.423</v>
      </c>
      <c r="K16" s="23">
        <f t="shared" si="3"/>
        <v>10591.49878</v>
      </c>
    </row>
    <row r="17" spans="1:25" ht="16.5" thickBot="1" x14ac:dyDescent="0.3">
      <c r="A17" s="10">
        <v>44423</v>
      </c>
      <c r="B17" s="3">
        <v>421611</v>
      </c>
      <c r="C17" s="44">
        <f t="shared" si="6"/>
        <v>1140</v>
      </c>
      <c r="D17" s="3">
        <v>4377000</v>
      </c>
      <c r="E17" s="44">
        <f t="shared" si="1"/>
        <v>0</v>
      </c>
      <c r="F17" s="3">
        <v>4849300</v>
      </c>
      <c r="G17" s="44">
        <f t="shared" si="4"/>
        <v>634.5</v>
      </c>
      <c r="H17" s="3">
        <v>742970</v>
      </c>
      <c r="I17" s="49">
        <f t="shared" si="5"/>
        <v>1.5660000000000001</v>
      </c>
      <c r="J17" s="22">
        <f t="shared" si="2"/>
        <v>1776.066</v>
      </c>
      <c r="K17" s="23">
        <f t="shared" si="3"/>
        <v>10407.74676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>
        <v>421729</v>
      </c>
      <c r="C18" s="44">
        <f t="shared" si="6"/>
        <v>1180</v>
      </c>
      <c r="D18" s="3">
        <v>4377000</v>
      </c>
      <c r="E18" s="44">
        <f t="shared" si="1"/>
        <v>0</v>
      </c>
      <c r="F18" s="3">
        <v>4873000</v>
      </c>
      <c r="G18" s="44">
        <f t="shared" si="4"/>
        <v>639.9</v>
      </c>
      <c r="H18" s="3">
        <v>743070</v>
      </c>
      <c r="I18" s="49">
        <f t="shared" si="5"/>
        <v>2.7</v>
      </c>
      <c r="J18" s="22">
        <f t="shared" si="2"/>
        <v>1822.6000000000001</v>
      </c>
      <c r="K18" s="23">
        <f t="shared" si="3"/>
        <v>10680.436000000002</v>
      </c>
      <c r="Q18" t="s">
        <v>43</v>
      </c>
    </row>
    <row r="19" spans="1:25" ht="16.5" thickBot="1" x14ac:dyDescent="0.3">
      <c r="A19" s="10">
        <v>44425</v>
      </c>
      <c r="B19" s="3">
        <v>421837</v>
      </c>
      <c r="C19" s="44">
        <f t="shared" si="6"/>
        <v>1080</v>
      </c>
      <c r="D19" s="3">
        <v>4377000</v>
      </c>
      <c r="E19" s="44">
        <f t="shared" si="1"/>
        <v>0</v>
      </c>
      <c r="F19" s="3">
        <v>4894500</v>
      </c>
      <c r="G19" s="44">
        <f t="shared" si="4"/>
        <v>580.5</v>
      </c>
      <c r="H19" s="3">
        <v>743185</v>
      </c>
      <c r="I19" s="49">
        <f t="shared" si="5"/>
        <v>3.105</v>
      </c>
      <c r="J19" s="22">
        <f t="shared" si="2"/>
        <v>1663.605</v>
      </c>
      <c r="K19" s="23">
        <f t="shared" si="3"/>
        <v>9748.7253000000001</v>
      </c>
      <c r="Q19" t="s">
        <v>12</v>
      </c>
    </row>
    <row r="20" spans="1:25" ht="16.5" thickBot="1" x14ac:dyDescent="0.3">
      <c r="A20" s="10">
        <v>44426</v>
      </c>
      <c r="B20" s="3">
        <v>421973</v>
      </c>
      <c r="C20" s="44">
        <f t="shared" si="6"/>
        <v>1360</v>
      </c>
      <c r="D20" s="3">
        <v>4377000</v>
      </c>
      <c r="E20" s="44">
        <f t="shared" si="1"/>
        <v>0</v>
      </c>
      <c r="F20" s="3">
        <v>4920100</v>
      </c>
      <c r="G20" s="44">
        <f t="shared" si="4"/>
        <v>691.2</v>
      </c>
      <c r="H20" s="3">
        <v>743290</v>
      </c>
      <c r="I20" s="49">
        <f t="shared" si="5"/>
        <v>2.835</v>
      </c>
      <c r="J20" s="22">
        <f t="shared" si="2"/>
        <v>2054.0349999999999</v>
      </c>
      <c r="K20" s="23">
        <f t="shared" si="3"/>
        <v>12036.6451</v>
      </c>
    </row>
    <row r="21" spans="1:25" ht="16.5" thickBot="1" x14ac:dyDescent="0.3">
      <c r="A21" s="10">
        <v>44427</v>
      </c>
      <c r="B21" s="3">
        <v>422090</v>
      </c>
      <c r="C21" s="44">
        <f t="shared" si="6"/>
        <v>1170</v>
      </c>
      <c r="D21" s="3">
        <v>4377000</v>
      </c>
      <c r="E21" s="44">
        <f t="shared" si="1"/>
        <v>0</v>
      </c>
      <c r="F21" s="3">
        <v>4943000</v>
      </c>
      <c r="G21" s="44">
        <f t="shared" si="4"/>
        <v>618.29999999999995</v>
      </c>
      <c r="H21" s="3">
        <v>743411</v>
      </c>
      <c r="I21" s="49">
        <f t="shared" si="5"/>
        <v>3.2669999999999999</v>
      </c>
      <c r="J21" s="22">
        <f t="shared" si="2"/>
        <v>1791.567</v>
      </c>
      <c r="K21" s="23">
        <f t="shared" si="3"/>
        <v>10498.582620000001</v>
      </c>
    </row>
    <row r="22" spans="1:25" ht="16.5" thickBot="1" x14ac:dyDescent="0.3">
      <c r="A22" s="10">
        <v>44428</v>
      </c>
      <c r="B22" s="3"/>
      <c r="C22" s="44">
        <f t="shared" si="6"/>
        <v>0</v>
      </c>
      <c r="D22" s="3"/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/>
      <c r="C23" s="44">
        <f t="shared" si="6"/>
        <v>0</v>
      </c>
      <c r="D23" s="3"/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44430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44431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44432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44433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44434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44435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44436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44437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44438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>
        <v>44439</v>
      </c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24840</v>
      </c>
      <c r="D34" s="3"/>
      <c r="E34" s="61">
        <f>SUM(E3:E33)</f>
        <v>189</v>
      </c>
      <c r="F34" s="3"/>
      <c r="G34" s="61">
        <f>SUM(G3:G33)</f>
        <v>12968.099999999999</v>
      </c>
      <c r="H34" s="3"/>
      <c r="I34" s="61">
        <f>SUM(I3:I33)</f>
        <v>54.513000000000005</v>
      </c>
      <c r="J34" s="61">
        <f>SUM(J3:J33)</f>
        <v>38051.613000000005</v>
      </c>
      <c r="K34" s="61">
        <f>SUM(K3:K33)</f>
        <v>222982.45217999999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opLeftCell="A10" zoomScale="80" zoomScaleNormal="55" zoomScaleSheetLayoutView="80" workbookViewId="0">
      <pane xSplit="1" topLeftCell="B1" activePane="topRight" state="frozen"/>
      <selection pane="topRight" activeCell="B21" sqref="B21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>
        <v>17514232</v>
      </c>
      <c r="C7" s="50">
        <f>IF((B7-B6)&lt;0,"0",(B7-B6))</f>
        <v>2087</v>
      </c>
    </row>
    <row r="8" spans="1:9" ht="24" thickBot="1" x14ac:dyDescent="0.4">
      <c r="A8" s="10">
        <v>44414</v>
      </c>
      <c r="B8" s="139">
        <v>17516912</v>
      </c>
      <c r="C8" s="50">
        <f>IF((B8-B7)&lt;0,"0",(B8-B7))</f>
        <v>2680</v>
      </c>
    </row>
    <row r="9" spans="1:9" ht="24" thickBot="1" x14ac:dyDescent="0.4">
      <c r="A9" s="10">
        <v>44415</v>
      </c>
      <c r="B9" s="139">
        <v>17518968</v>
      </c>
      <c r="C9" s="50">
        <f t="shared" si="0"/>
        <v>2056</v>
      </c>
    </row>
    <row r="10" spans="1:9" ht="24" thickBot="1" x14ac:dyDescent="0.4">
      <c r="A10" s="10">
        <v>44416</v>
      </c>
      <c r="B10" s="139">
        <v>17521098</v>
      </c>
      <c r="C10" s="50">
        <f t="shared" si="0"/>
        <v>2130</v>
      </c>
    </row>
    <row r="11" spans="1:9" ht="24" thickBot="1" x14ac:dyDescent="0.4">
      <c r="A11" s="10">
        <v>44417</v>
      </c>
      <c r="B11" s="139">
        <v>17523445</v>
      </c>
      <c r="C11" s="50">
        <f>IF((B11-B10)&lt;0,"0",(B11-B10))</f>
        <v>2347</v>
      </c>
    </row>
    <row r="12" spans="1:9" ht="24" thickBot="1" x14ac:dyDescent="0.4">
      <c r="A12" s="10">
        <v>44418</v>
      </c>
      <c r="B12" s="139">
        <v>17525645</v>
      </c>
      <c r="C12" s="50">
        <f t="shared" si="0"/>
        <v>2200</v>
      </c>
    </row>
    <row r="13" spans="1:9" ht="24" thickBot="1" x14ac:dyDescent="0.4">
      <c r="A13" s="10">
        <v>44419</v>
      </c>
      <c r="B13" s="139">
        <v>17527895</v>
      </c>
      <c r="C13" s="50">
        <f t="shared" si="0"/>
        <v>2250</v>
      </c>
    </row>
    <row r="14" spans="1:9" ht="24" thickBot="1" x14ac:dyDescent="0.4">
      <c r="A14" s="10">
        <v>44420</v>
      </c>
      <c r="B14" s="139">
        <v>17529954</v>
      </c>
      <c r="C14" s="50">
        <f t="shared" si="0"/>
        <v>2059</v>
      </c>
    </row>
    <row r="15" spans="1:9" ht="24" thickBot="1" x14ac:dyDescent="0.4">
      <c r="A15" s="10">
        <v>44421</v>
      </c>
      <c r="B15" s="139">
        <v>17531988</v>
      </c>
      <c r="C15" s="50">
        <f t="shared" si="0"/>
        <v>2034</v>
      </c>
      <c r="I15" t="s">
        <v>12</v>
      </c>
    </row>
    <row r="16" spans="1:9" ht="26.25" customHeight="1" thickBot="1" x14ac:dyDescent="0.4">
      <c r="A16" s="10">
        <v>44422</v>
      </c>
      <c r="B16" s="139">
        <v>17534284</v>
      </c>
      <c r="C16" s="50">
        <f t="shared" si="0"/>
        <v>2296</v>
      </c>
    </row>
    <row r="17" spans="1:9" ht="25.5" customHeight="1" thickBot="1" x14ac:dyDescent="0.4">
      <c r="A17" s="10">
        <v>44423</v>
      </c>
      <c r="B17" s="139">
        <v>17536379</v>
      </c>
      <c r="C17" s="50">
        <f t="shared" si="0"/>
        <v>2095</v>
      </c>
      <c r="F17" s="137"/>
    </row>
    <row r="18" spans="1:9" ht="24" thickBot="1" x14ac:dyDescent="0.4">
      <c r="A18" s="10">
        <v>44424</v>
      </c>
      <c r="B18" s="139">
        <v>17539518</v>
      </c>
      <c r="C18" s="50">
        <f t="shared" si="0"/>
        <v>3139</v>
      </c>
    </row>
    <row r="19" spans="1:9" ht="24" thickBot="1" x14ac:dyDescent="0.4">
      <c r="A19" s="10">
        <v>44425</v>
      </c>
      <c r="B19" s="139">
        <v>17541481</v>
      </c>
      <c r="C19" s="50">
        <f t="shared" si="0"/>
        <v>1963</v>
      </c>
    </row>
    <row r="20" spans="1:9" ht="24" thickBot="1" x14ac:dyDescent="0.4">
      <c r="A20" s="10">
        <v>44426</v>
      </c>
      <c r="B20" s="139">
        <v>17543884</v>
      </c>
      <c r="C20" s="50">
        <f t="shared" si="0"/>
        <v>2403</v>
      </c>
    </row>
    <row r="21" spans="1:9" ht="24" thickBot="1" x14ac:dyDescent="0.4">
      <c r="A21" s="10">
        <v>44427</v>
      </c>
      <c r="B21" s="139">
        <v>17545987</v>
      </c>
      <c r="C21" s="50">
        <f t="shared" si="0"/>
        <v>2103</v>
      </c>
    </row>
    <row r="22" spans="1:9" ht="24" thickBot="1" x14ac:dyDescent="0.4">
      <c r="A22" s="10">
        <v>44428</v>
      </c>
      <c r="B22" s="139"/>
      <c r="C22" s="50" t="str">
        <f t="shared" si="0"/>
        <v>0</v>
      </c>
    </row>
    <row r="23" spans="1:9" ht="24" thickBot="1" x14ac:dyDescent="0.4">
      <c r="A23" s="10">
        <v>44429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44430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44431</v>
      </c>
      <c r="B25" s="139"/>
      <c r="C25" s="50">
        <f t="shared" si="0"/>
        <v>0</v>
      </c>
    </row>
    <row r="26" spans="1:9" ht="24" thickBot="1" x14ac:dyDescent="0.4">
      <c r="A26" s="10">
        <v>44432</v>
      </c>
      <c r="B26" s="139"/>
      <c r="C26" s="50">
        <f t="shared" si="0"/>
        <v>0</v>
      </c>
    </row>
    <row r="27" spans="1:9" ht="24" thickBot="1" x14ac:dyDescent="0.4">
      <c r="A27" s="10">
        <v>44433</v>
      </c>
      <c r="B27" s="139"/>
      <c r="C27" s="50">
        <f t="shared" si="0"/>
        <v>0</v>
      </c>
    </row>
    <row r="28" spans="1:9" ht="24" thickBot="1" x14ac:dyDescent="0.4">
      <c r="A28" s="10">
        <v>44434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44435</v>
      </c>
      <c r="B29" s="139"/>
      <c r="C29" s="50">
        <f t="shared" si="0"/>
        <v>0</v>
      </c>
    </row>
    <row r="30" spans="1:9" ht="24" thickBot="1" x14ac:dyDescent="0.4">
      <c r="A30" s="10">
        <v>44436</v>
      </c>
      <c r="B30" s="139"/>
      <c r="C30" s="50">
        <f t="shared" si="0"/>
        <v>0</v>
      </c>
    </row>
    <row r="31" spans="1:9" ht="24" thickBot="1" x14ac:dyDescent="0.4">
      <c r="A31" s="10">
        <v>44437</v>
      </c>
      <c r="B31" s="139"/>
      <c r="C31" s="50">
        <f>IF((B31-B30)&lt;0,"0",(B31-B30))</f>
        <v>0</v>
      </c>
    </row>
    <row r="32" spans="1:9" ht="24" thickBot="1" x14ac:dyDescent="0.4">
      <c r="A32" s="10">
        <v>44438</v>
      </c>
      <c r="B32" s="139"/>
      <c r="C32" s="50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42812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M18" sqref="M18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>B4</f>
        <v>21547.655999999999</v>
      </c>
      <c r="C5" s="49">
        <f t="shared" si="10"/>
        <v>0</v>
      </c>
      <c r="D5" s="33">
        <f t="shared" si="0"/>
        <v>0</v>
      </c>
      <c r="E5" s="1">
        <f>E4</f>
        <v>3785.748</v>
      </c>
      <c r="F5" s="49">
        <f t="shared" si="1"/>
        <v>0</v>
      </c>
      <c r="G5" s="33">
        <f t="shared" si="2"/>
        <v>0</v>
      </c>
      <c r="H5" s="1">
        <f>H4</f>
        <v>3665</v>
      </c>
      <c r="I5" s="49">
        <f t="shared" si="3"/>
        <v>0</v>
      </c>
      <c r="J5" s="33">
        <f t="shared" si="4"/>
        <v>0</v>
      </c>
      <c r="K5" s="7">
        <f>K4</f>
        <v>13587.37</v>
      </c>
      <c r="L5" s="49">
        <f t="shared" si="11"/>
        <v>0</v>
      </c>
      <c r="M5" s="33">
        <f t="shared" si="5"/>
        <v>0</v>
      </c>
      <c r="N5" s="7">
        <f>N4</f>
        <v>3150.9769999999999</v>
      </c>
      <c r="O5" s="49">
        <f t="shared" si="6"/>
        <v>0</v>
      </c>
      <c r="P5" s="33">
        <f t="shared" si="7"/>
        <v>0</v>
      </c>
      <c r="Q5" s="7">
        <f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3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>
        <v>21581.895</v>
      </c>
      <c r="C7" s="49">
        <f t="shared" si="10"/>
        <v>17.934000000001106</v>
      </c>
      <c r="D7" s="33">
        <f t="shared" si="0"/>
        <v>34074.600000002101</v>
      </c>
      <c r="E7" s="1">
        <v>3793.3240000000001</v>
      </c>
      <c r="F7" s="49">
        <f t="shared" si="1"/>
        <v>4.0599999999999454</v>
      </c>
      <c r="G7" s="33">
        <f t="shared" si="2"/>
        <v>7713.9999999998954</v>
      </c>
      <c r="H7" s="1">
        <v>3682</v>
      </c>
      <c r="I7" s="49">
        <f t="shared" si="3"/>
        <v>9</v>
      </c>
      <c r="J7" s="33">
        <f t="shared" si="4"/>
        <v>17099.999999999996</v>
      </c>
      <c r="K7" s="7">
        <v>13595.44</v>
      </c>
      <c r="L7" s="49">
        <f t="shared" si="11"/>
        <v>4.25</v>
      </c>
      <c r="M7" s="33">
        <f t="shared" si="5"/>
        <v>8074.9999999999991</v>
      </c>
      <c r="N7" s="7">
        <v>3154.4050000000002</v>
      </c>
      <c r="O7" s="49">
        <f t="shared" si="6"/>
        <v>1.7670000000002801</v>
      </c>
      <c r="P7" s="33">
        <f t="shared" si="7"/>
        <v>3357.3000000005318</v>
      </c>
      <c r="Q7" s="7">
        <v>5014.1099999999997</v>
      </c>
      <c r="R7" s="49">
        <f t="shared" si="8"/>
        <v>4.2199999999993452</v>
      </c>
      <c r="S7" s="33">
        <f t="shared" si="9"/>
        <v>8017.9999999987558</v>
      </c>
      <c r="T7" s="8">
        <f t="shared" si="13"/>
        <v>41.231000000000677</v>
      </c>
      <c r="U7" s="35">
        <f t="shared" si="12"/>
        <v>78338.900000001289</v>
      </c>
    </row>
    <row r="8" spans="1:25" ht="16.5" thickBot="1" x14ac:dyDescent="0.25">
      <c r="A8" s="10">
        <v>44414</v>
      </c>
      <c r="B8" s="1">
        <v>21596.517</v>
      </c>
      <c r="C8" s="49">
        <f t="shared" si="10"/>
        <v>14.621999999999389</v>
      </c>
      <c r="D8" s="33">
        <f t="shared" si="0"/>
        <v>27781.799999998839</v>
      </c>
      <c r="E8" s="1">
        <v>3795.058</v>
      </c>
      <c r="F8" s="49">
        <f t="shared" si="1"/>
        <v>1.7339999999999236</v>
      </c>
      <c r="G8" s="33">
        <f t="shared" si="2"/>
        <v>3294.5999999998548</v>
      </c>
      <c r="H8" s="1">
        <v>3689</v>
      </c>
      <c r="I8" s="49">
        <f t="shared" si="3"/>
        <v>7</v>
      </c>
      <c r="J8" s="33">
        <f t="shared" si="4"/>
        <v>13299.999999999998</v>
      </c>
      <c r="K8" s="7">
        <v>13598.89</v>
      </c>
      <c r="L8" s="49">
        <f t="shared" si="11"/>
        <v>3.4499999999989086</v>
      </c>
      <c r="M8" s="33">
        <f t="shared" si="5"/>
        <v>6554.9999999979254</v>
      </c>
      <c r="N8" s="7">
        <v>3155.7089999999998</v>
      </c>
      <c r="O8" s="49">
        <f t="shared" si="6"/>
        <v>1.3039999999996326</v>
      </c>
      <c r="P8" s="33">
        <f t="shared" si="7"/>
        <v>2477.5999999993019</v>
      </c>
      <c r="Q8" s="7">
        <v>5017.3900000000003</v>
      </c>
      <c r="R8" s="49">
        <f t="shared" si="8"/>
        <v>3.2800000000006548</v>
      </c>
      <c r="S8" s="33">
        <f t="shared" si="9"/>
        <v>6232.0000000012433</v>
      </c>
      <c r="T8" s="8">
        <f t="shared" si="13"/>
        <v>31.389999999998508</v>
      </c>
      <c r="U8" s="35">
        <f t="shared" si="12"/>
        <v>59640.999999997162</v>
      </c>
    </row>
    <row r="9" spans="1:25" ht="16.5" thickBot="1" x14ac:dyDescent="0.25">
      <c r="A9" s="10">
        <v>44415</v>
      </c>
      <c r="B9" s="1">
        <v>21617.32</v>
      </c>
      <c r="C9" s="49">
        <f t="shared" si="10"/>
        <v>20.802999999999884</v>
      </c>
      <c r="D9" s="33">
        <f t="shared" si="0"/>
        <v>39525.699999999779</v>
      </c>
      <c r="E9" s="1">
        <v>3797.91</v>
      </c>
      <c r="F9" s="49">
        <f t="shared" si="1"/>
        <v>2.8519999999998618</v>
      </c>
      <c r="G9" s="33">
        <f t="shared" si="2"/>
        <v>5418.7999999997373</v>
      </c>
      <c r="H9" s="1">
        <v>3700</v>
      </c>
      <c r="I9" s="49">
        <f t="shared" si="3"/>
        <v>11</v>
      </c>
      <c r="J9" s="33">
        <f t="shared" si="4"/>
        <v>20900</v>
      </c>
      <c r="K9" s="7">
        <v>13603.58</v>
      </c>
      <c r="L9" s="49">
        <f t="shared" si="11"/>
        <v>4.6900000000005093</v>
      </c>
      <c r="M9" s="33">
        <f t="shared" si="5"/>
        <v>8911.0000000009677</v>
      </c>
      <c r="N9" s="7">
        <v>3157.5360000000001</v>
      </c>
      <c r="O9" s="49">
        <f t="shared" si="6"/>
        <v>1.8270000000002256</v>
      </c>
      <c r="P9" s="33">
        <f t="shared" si="7"/>
        <v>3471.3000000004286</v>
      </c>
      <c r="Q9" s="7">
        <v>5021.78</v>
      </c>
      <c r="R9" s="49">
        <f t="shared" si="8"/>
        <v>4.3899999999994179</v>
      </c>
      <c r="S9" s="33">
        <f t="shared" si="9"/>
        <v>8340.9999999988941</v>
      </c>
      <c r="T9" s="8">
        <f t="shared" si="13"/>
        <v>45.561999999999898</v>
      </c>
      <c r="U9" s="35">
        <f t="shared" si="12"/>
        <v>86567.799999999814</v>
      </c>
    </row>
    <row r="10" spans="1:25" ht="16.5" thickBot="1" x14ac:dyDescent="0.25">
      <c r="A10" s="10">
        <v>44416</v>
      </c>
      <c r="B10" s="1">
        <v>21637.174999999999</v>
      </c>
      <c r="C10" s="49">
        <f t="shared" si="10"/>
        <v>19.854999999999563</v>
      </c>
      <c r="D10" s="33">
        <f t="shared" si="0"/>
        <v>37724.499999999171</v>
      </c>
      <c r="E10" s="1">
        <v>3801.951</v>
      </c>
      <c r="F10" s="49">
        <f t="shared" si="1"/>
        <v>4.0410000000001673</v>
      </c>
      <c r="G10" s="33">
        <f t="shared" si="2"/>
        <v>7677.900000000317</v>
      </c>
      <c r="H10" s="1">
        <v>3710</v>
      </c>
      <c r="I10" s="49">
        <f t="shared" si="3"/>
        <v>10</v>
      </c>
      <c r="J10" s="33">
        <f t="shared" si="4"/>
        <v>19000</v>
      </c>
      <c r="K10" s="7">
        <v>13606.79</v>
      </c>
      <c r="L10" s="49">
        <f t="shared" si="11"/>
        <v>3.2100000000009459</v>
      </c>
      <c r="M10" s="33">
        <f t="shared" si="5"/>
        <v>6099.0000000017972</v>
      </c>
      <c r="N10" s="7">
        <v>3159.6039999999998</v>
      </c>
      <c r="O10" s="49">
        <f t="shared" si="6"/>
        <v>2.0679999999997563</v>
      </c>
      <c r="P10" s="33">
        <f t="shared" si="7"/>
        <v>3929.1999999995364</v>
      </c>
      <c r="Q10" s="7">
        <v>5025.54</v>
      </c>
      <c r="R10" s="49">
        <f t="shared" si="8"/>
        <v>3.7600000000002183</v>
      </c>
      <c r="S10" s="33">
        <f t="shared" si="9"/>
        <v>7144.0000000004138</v>
      </c>
      <c r="T10" s="8">
        <f t="shared" si="13"/>
        <v>42.934000000000651</v>
      </c>
      <c r="U10" s="35">
        <f t="shared" si="12"/>
        <v>81574.600000001243</v>
      </c>
    </row>
    <row r="11" spans="1:25" ht="16.5" thickBot="1" x14ac:dyDescent="0.25">
      <c r="A11" s="10">
        <v>44417</v>
      </c>
      <c r="B11" s="1">
        <v>21654.927</v>
      </c>
      <c r="C11" s="49">
        <f t="shared" si="10"/>
        <v>17.752000000000407</v>
      </c>
      <c r="D11" s="33">
        <f t="shared" si="0"/>
        <v>33728.800000000774</v>
      </c>
      <c r="E11" s="1">
        <v>3805.7809999999999</v>
      </c>
      <c r="F11" s="49">
        <f t="shared" si="1"/>
        <v>3.8299999999999272</v>
      </c>
      <c r="G11" s="33">
        <f t="shared" si="2"/>
        <v>7276.9999999998618</v>
      </c>
      <c r="H11" s="1">
        <v>3720</v>
      </c>
      <c r="I11" s="49">
        <f t="shared" si="3"/>
        <v>10</v>
      </c>
      <c r="J11" s="33">
        <f t="shared" si="4"/>
        <v>19000</v>
      </c>
      <c r="K11" s="7">
        <v>13610.9</v>
      </c>
      <c r="L11" s="49">
        <f t="shared" si="11"/>
        <v>4.1099999999987631</v>
      </c>
      <c r="M11" s="33">
        <f t="shared" si="5"/>
        <v>7808.999999997649</v>
      </c>
      <c r="N11" s="7">
        <v>3161.31</v>
      </c>
      <c r="O11" s="49">
        <f t="shared" si="6"/>
        <v>1.706000000000131</v>
      </c>
      <c r="P11" s="33">
        <f t="shared" si="7"/>
        <v>3241.4000000002488</v>
      </c>
      <c r="Q11" s="7">
        <v>5029.24</v>
      </c>
      <c r="R11" s="49">
        <f t="shared" si="8"/>
        <v>3.6999999999998181</v>
      </c>
      <c r="S11" s="33">
        <f t="shared" si="9"/>
        <v>7029.9999999996535</v>
      </c>
      <c r="T11" s="8">
        <f t="shared" si="13"/>
        <v>41.097999999999047</v>
      </c>
      <c r="U11" s="35">
        <f t="shared" si="12"/>
        <v>78086.199999998193</v>
      </c>
    </row>
    <row r="12" spans="1:25" ht="16.5" thickBot="1" x14ac:dyDescent="0.25">
      <c r="A12" s="10">
        <v>44418</v>
      </c>
      <c r="B12" s="1">
        <v>21671.057000000001</v>
      </c>
      <c r="C12" s="49">
        <f t="shared" si="10"/>
        <v>16.130000000001019</v>
      </c>
      <c r="D12" s="33">
        <f t="shared" si="0"/>
        <v>30647.000000001935</v>
      </c>
      <c r="E12" s="1">
        <v>3809.2469999999998</v>
      </c>
      <c r="F12" s="49">
        <f t="shared" si="1"/>
        <v>3.4659999999998945</v>
      </c>
      <c r="G12" s="33">
        <f t="shared" si="2"/>
        <v>6585.3999999997995</v>
      </c>
      <c r="H12" s="1">
        <v>3728</v>
      </c>
      <c r="I12" s="49">
        <f t="shared" si="3"/>
        <v>8</v>
      </c>
      <c r="J12" s="33">
        <f t="shared" si="4"/>
        <v>15200</v>
      </c>
      <c r="K12" s="7">
        <v>13614.57</v>
      </c>
      <c r="L12" s="49">
        <f t="shared" si="11"/>
        <v>3.6700000000000728</v>
      </c>
      <c r="M12" s="33">
        <f t="shared" si="5"/>
        <v>6973.0000000001373</v>
      </c>
      <c r="N12" s="7">
        <v>3162.9369999999999</v>
      </c>
      <c r="O12" s="49">
        <f t="shared" si="6"/>
        <v>1.6269999999999527</v>
      </c>
      <c r="P12" s="33">
        <f t="shared" si="7"/>
        <v>3091.2999999999097</v>
      </c>
      <c r="Q12" s="7">
        <v>5033.1400000000003</v>
      </c>
      <c r="R12" s="49">
        <f t="shared" si="8"/>
        <v>3.9000000000005457</v>
      </c>
      <c r="S12" s="33">
        <f t="shared" si="9"/>
        <v>7410.0000000010368</v>
      </c>
      <c r="T12" s="8">
        <f t="shared" si="13"/>
        <v>36.793000000001484</v>
      </c>
      <c r="U12" s="35">
        <f t="shared" si="12"/>
        <v>69906.70000000282</v>
      </c>
    </row>
    <row r="13" spans="1:25" ht="16.5" thickBot="1" x14ac:dyDescent="0.25">
      <c r="A13" s="10">
        <v>44419</v>
      </c>
      <c r="B13" s="1">
        <v>21684.061000000002</v>
      </c>
      <c r="C13" s="49">
        <f t="shared" si="10"/>
        <v>13.004000000000815</v>
      </c>
      <c r="D13" s="33">
        <f t="shared" si="0"/>
        <v>24707.600000001548</v>
      </c>
      <c r="E13" s="1">
        <v>3812.1930000000002</v>
      </c>
      <c r="F13" s="49">
        <f t="shared" si="1"/>
        <v>2.9460000000003674</v>
      </c>
      <c r="G13" s="33">
        <f t="shared" si="2"/>
        <v>5597.4000000006972</v>
      </c>
      <c r="H13" s="1">
        <v>3736</v>
      </c>
      <c r="I13" s="49">
        <f t="shared" si="3"/>
        <v>8</v>
      </c>
      <c r="J13" s="33">
        <f t="shared" si="4"/>
        <v>15200</v>
      </c>
      <c r="K13" s="7">
        <v>13617.57</v>
      </c>
      <c r="L13" s="49">
        <f t="shared" si="11"/>
        <v>3</v>
      </c>
      <c r="M13" s="33">
        <f t="shared" si="5"/>
        <v>5699.9999999999991</v>
      </c>
      <c r="N13" s="7">
        <v>3164.1790000000001</v>
      </c>
      <c r="O13" s="49">
        <f t="shared" si="6"/>
        <v>1.2420000000001892</v>
      </c>
      <c r="P13" s="33">
        <f t="shared" si="7"/>
        <v>2359.800000000359</v>
      </c>
      <c r="Q13" s="7">
        <v>5035.8999999999996</v>
      </c>
      <c r="R13" s="49">
        <f t="shared" si="8"/>
        <v>2.7599999999993088</v>
      </c>
      <c r="S13" s="33">
        <f t="shared" si="9"/>
        <v>5243.9999999986858</v>
      </c>
      <c r="T13" s="8">
        <f t="shared" si="13"/>
        <v>30.95200000000068</v>
      </c>
      <c r="U13" s="35">
        <f t="shared" si="12"/>
        <v>58808.800000001291</v>
      </c>
    </row>
    <row r="14" spans="1:25" ht="16.5" thickBot="1" x14ac:dyDescent="0.25">
      <c r="A14" s="10">
        <v>44420</v>
      </c>
      <c r="B14" s="1">
        <v>21698.423999999999</v>
      </c>
      <c r="C14" s="49">
        <f t="shared" si="10"/>
        <v>14.362999999997555</v>
      </c>
      <c r="D14" s="33">
        <f t="shared" si="0"/>
        <v>27289.699999995351</v>
      </c>
      <c r="E14" s="1">
        <v>3813.7809999999999</v>
      </c>
      <c r="F14" s="49">
        <f t="shared" si="1"/>
        <v>1.5879999999997381</v>
      </c>
      <c r="G14" s="33">
        <f t="shared" si="2"/>
        <v>3017.1999999995019</v>
      </c>
      <c r="H14" s="1">
        <v>3743</v>
      </c>
      <c r="I14" s="49">
        <f t="shared" si="3"/>
        <v>7</v>
      </c>
      <c r="J14" s="33">
        <f t="shared" si="4"/>
        <v>13299.999999999998</v>
      </c>
      <c r="K14" s="7">
        <v>13620.94</v>
      </c>
      <c r="L14" s="49">
        <f t="shared" si="11"/>
        <v>3.3700000000008004</v>
      </c>
      <c r="M14" s="33">
        <f t="shared" si="5"/>
        <v>6403.0000000015198</v>
      </c>
      <c r="N14" s="7">
        <v>3165.5509999999999</v>
      </c>
      <c r="O14" s="49">
        <f t="shared" si="6"/>
        <v>1.3719999999998436</v>
      </c>
      <c r="P14" s="33">
        <f t="shared" si="7"/>
        <v>2606.7999999997028</v>
      </c>
      <c r="Q14" s="7">
        <v>5039.38</v>
      </c>
      <c r="R14" s="49">
        <f t="shared" si="8"/>
        <v>3.4800000000004729</v>
      </c>
      <c r="S14" s="33">
        <f t="shared" si="9"/>
        <v>6612.0000000008977</v>
      </c>
      <c r="T14" s="8">
        <f t="shared" si="13"/>
        <v>31.17299999999841</v>
      </c>
      <c r="U14" s="35">
        <f t="shared" si="12"/>
        <v>59228.699999996978</v>
      </c>
    </row>
    <row r="15" spans="1:25" ht="16.5" thickBot="1" x14ac:dyDescent="0.25">
      <c r="A15" s="10">
        <v>44421</v>
      </c>
      <c r="B15" s="1">
        <v>21715.982</v>
      </c>
      <c r="C15" s="49">
        <f t="shared" si="10"/>
        <v>17.558000000000902</v>
      </c>
      <c r="D15" s="33">
        <f t="shared" si="0"/>
        <v>33360.200000001714</v>
      </c>
      <c r="E15" s="1">
        <v>3815.32</v>
      </c>
      <c r="F15" s="49">
        <f t="shared" si="1"/>
        <v>1.5390000000002146</v>
      </c>
      <c r="G15" s="33">
        <f t="shared" si="2"/>
        <v>2924.1000000004078</v>
      </c>
      <c r="H15" s="1">
        <v>3750</v>
      </c>
      <c r="I15" s="49">
        <f t="shared" si="3"/>
        <v>7</v>
      </c>
      <c r="J15" s="33">
        <f t="shared" si="4"/>
        <v>13299.999999999998</v>
      </c>
      <c r="K15" s="7">
        <v>13623.45</v>
      </c>
      <c r="L15" s="49">
        <f t="shared" si="11"/>
        <v>2.5100000000002183</v>
      </c>
      <c r="M15" s="33">
        <f t="shared" si="5"/>
        <v>4769.0000000004147</v>
      </c>
      <c r="N15" s="7">
        <v>3167.0239999999999</v>
      </c>
      <c r="O15" s="49">
        <f t="shared" si="6"/>
        <v>1.4729999999999563</v>
      </c>
      <c r="P15" s="33">
        <f t="shared" si="7"/>
        <v>2798.6999999999171</v>
      </c>
      <c r="Q15" s="7">
        <v>5041.7700000000004</v>
      </c>
      <c r="R15" s="49">
        <f t="shared" si="8"/>
        <v>2.3900000000003274</v>
      </c>
      <c r="S15" s="33">
        <f t="shared" si="9"/>
        <v>4541.0000000006221</v>
      </c>
      <c r="T15" s="8">
        <f t="shared" si="13"/>
        <v>32.470000000001619</v>
      </c>
      <c r="U15" s="35">
        <f t="shared" si="12"/>
        <v>61693.000000003078</v>
      </c>
      <c r="W15" t="s">
        <v>12</v>
      </c>
    </row>
    <row r="16" spans="1:25" ht="16.5" thickBot="1" x14ac:dyDescent="0.25">
      <c r="A16" s="10">
        <v>44422</v>
      </c>
      <c r="B16" s="1">
        <v>21734.537</v>
      </c>
      <c r="C16" s="49">
        <f t="shared" si="10"/>
        <v>18.555000000000291</v>
      </c>
      <c r="D16" s="33">
        <f t="shared" si="0"/>
        <v>35254.500000000553</v>
      </c>
      <c r="E16" s="1">
        <v>3818.1030000000001</v>
      </c>
      <c r="F16" s="49">
        <f t="shared" si="1"/>
        <v>2.7829999999999018</v>
      </c>
      <c r="G16" s="33">
        <f t="shared" si="2"/>
        <v>5287.6999999998134</v>
      </c>
      <c r="H16" s="1">
        <v>3759</v>
      </c>
      <c r="I16" s="49">
        <f t="shared" si="3"/>
        <v>9</v>
      </c>
      <c r="J16" s="33">
        <f t="shared" si="4"/>
        <v>17099.999999999996</v>
      </c>
      <c r="K16" s="7">
        <v>13627.29</v>
      </c>
      <c r="L16" s="49">
        <f t="shared" si="11"/>
        <v>3.8400000000001455</v>
      </c>
      <c r="M16" s="33">
        <f t="shared" si="5"/>
        <v>7296.0000000002765</v>
      </c>
      <c r="N16" s="7">
        <v>3168.62</v>
      </c>
      <c r="O16" s="49">
        <f t="shared" si="6"/>
        <v>1.5960000000000036</v>
      </c>
      <c r="P16" s="33">
        <f t="shared" si="7"/>
        <v>3032.4000000000065</v>
      </c>
      <c r="Q16" s="7">
        <v>5045.6099999999997</v>
      </c>
      <c r="R16" s="49">
        <f t="shared" si="8"/>
        <v>3.839999999999236</v>
      </c>
      <c r="S16" s="33">
        <f t="shared" si="9"/>
        <v>7295.9999999985484</v>
      </c>
      <c r="T16" s="8">
        <f t="shared" si="13"/>
        <v>39.613999999999578</v>
      </c>
      <c r="U16" s="35">
        <f t="shared" si="12"/>
        <v>75266.599999999205</v>
      </c>
      <c r="Y16" t="s">
        <v>12</v>
      </c>
    </row>
    <row r="17" spans="1:24" ht="16.5" thickBot="1" x14ac:dyDescent="0.25">
      <c r="A17" s="10">
        <v>44423</v>
      </c>
      <c r="B17" s="1">
        <v>21750.482</v>
      </c>
      <c r="C17" s="49">
        <f t="shared" si="10"/>
        <v>15.944999999999709</v>
      </c>
      <c r="D17" s="33">
        <f t="shared" si="0"/>
        <v>30295.499999999447</v>
      </c>
      <c r="E17" s="1">
        <v>3821.4690000000001</v>
      </c>
      <c r="F17" s="49">
        <f t="shared" si="1"/>
        <v>3.3659999999999854</v>
      </c>
      <c r="G17" s="33">
        <f t="shared" si="2"/>
        <v>6395.3999999999724</v>
      </c>
      <c r="H17" s="1">
        <v>3766</v>
      </c>
      <c r="I17" s="49">
        <f t="shared" si="3"/>
        <v>7</v>
      </c>
      <c r="J17" s="33">
        <f t="shared" si="4"/>
        <v>13299.999999999998</v>
      </c>
      <c r="K17" s="7">
        <v>13631.56</v>
      </c>
      <c r="L17" s="49">
        <f t="shared" si="11"/>
        <v>4.2699999999986176</v>
      </c>
      <c r="M17" s="33">
        <f t="shared" si="5"/>
        <v>8112.9999999973725</v>
      </c>
      <c r="N17" s="7">
        <v>3170.0129999999999</v>
      </c>
      <c r="O17" s="49">
        <f t="shared" si="6"/>
        <v>1.3930000000000291</v>
      </c>
      <c r="P17" s="33">
        <f t="shared" si="7"/>
        <v>2646.7000000000553</v>
      </c>
      <c r="Q17" s="7">
        <v>5049.53</v>
      </c>
      <c r="R17" s="49">
        <f t="shared" si="8"/>
        <v>3.9200000000000728</v>
      </c>
      <c r="S17" s="33">
        <f t="shared" si="9"/>
        <v>7448.0000000001382</v>
      </c>
      <c r="T17" s="8">
        <f t="shared" si="13"/>
        <v>35.893999999998414</v>
      </c>
      <c r="U17" s="35">
        <f t="shared" si="12"/>
        <v>68198.599999996979</v>
      </c>
    </row>
    <row r="18" spans="1:24" ht="16.5" thickBot="1" x14ac:dyDescent="0.25">
      <c r="A18" s="10">
        <v>44424</v>
      </c>
      <c r="B18" s="1">
        <v>21768.6</v>
      </c>
      <c r="C18" s="49">
        <f t="shared" si="10"/>
        <v>18.117999999998574</v>
      </c>
      <c r="D18" s="33">
        <f t="shared" si="0"/>
        <v>34424.19999999729</v>
      </c>
      <c r="E18" s="1">
        <v>3825.759</v>
      </c>
      <c r="F18" s="49">
        <f t="shared" si="1"/>
        <v>4.2899999999999636</v>
      </c>
      <c r="G18" s="33">
        <f t="shared" si="2"/>
        <v>8150.9999999999309</v>
      </c>
      <c r="H18" s="1">
        <v>3776</v>
      </c>
      <c r="I18" s="49">
        <f t="shared" si="3"/>
        <v>10</v>
      </c>
      <c r="J18" s="33">
        <f t="shared" si="4"/>
        <v>19000</v>
      </c>
      <c r="K18" s="7">
        <v>13635.28</v>
      </c>
      <c r="L18" s="49">
        <f t="shared" si="11"/>
        <v>3.7200000000011642</v>
      </c>
      <c r="M18" s="33">
        <f t="shared" si="5"/>
        <v>7068.000000002211</v>
      </c>
      <c r="N18" s="7">
        <v>3171.922</v>
      </c>
      <c r="O18" s="49">
        <f t="shared" si="6"/>
        <v>1.9090000000001055</v>
      </c>
      <c r="P18" s="33">
        <f t="shared" si="7"/>
        <v>3627.1000000002005</v>
      </c>
      <c r="Q18" s="7">
        <v>5053.68</v>
      </c>
      <c r="R18" s="49">
        <f t="shared" si="8"/>
        <v>4.1500000000005457</v>
      </c>
      <c r="S18" s="33">
        <f t="shared" si="9"/>
        <v>7885.0000000010359</v>
      </c>
      <c r="T18" s="8">
        <f t="shared" si="13"/>
        <v>42.187000000000353</v>
      </c>
      <c r="U18" s="35">
        <f t="shared" si="12"/>
        <v>80155.300000000658</v>
      </c>
    </row>
    <row r="19" spans="1:24" ht="16.5" thickBot="1" x14ac:dyDescent="0.25">
      <c r="A19" s="10">
        <v>44425</v>
      </c>
      <c r="B19" s="1">
        <v>21783.824000000001</v>
      </c>
      <c r="C19" s="49">
        <f t="shared" si="10"/>
        <v>15.224000000001979</v>
      </c>
      <c r="D19" s="33">
        <f t="shared" si="0"/>
        <v>28925.600000003757</v>
      </c>
      <c r="E19" s="1">
        <v>3829.5650000000001</v>
      </c>
      <c r="F19" s="49">
        <f t="shared" si="1"/>
        <v>3.80600000000004</v>
      </c>
      <c r="G19" s="33">
        <f t="shared" si="2"/>
        <v>7231.4000000000751</v>
      </c>
      <c r="H19" s="1">
        <v>3785</v>
      </c>
      <c r="I19" s="49">
        <f t="shared" si="3"/>
        <v>9</v>
      </c>
      <c r="J19" s="33">
        <f t="shared" si="4"/>
        <v>17099.999999999996</v>
      </c>
      <c r="K19" s="7">
        <v>13639.62</v>
      </c>
      <c r="L19" s="49">
        <f t="shared" si="11"/>
        <v>4.3400000000001455</v>
      </c>
      <c r="M19" s="33">
        <f t="shared" si="5"/>
        <v>8246.0000000002765</v>
      </c>
      <c r="N19" s="7">
        <v>3173.6219999999998</v>
      </c>
      <c r="O19" s="49">
        <f t="shared" si="6"/>
        <v>1.6999999999998181</v>
      </c>
      <c r="P19" s="33">
        <f t="shared" si="7"/>
        <v>3229.9999999996539</v>
      </c>
      <c r="Q19" s="7">
        <v>5057.34</v>
      </c>
      <c r="R19" s="49">
        <f t="shared" si="8"/>
        <v>3.6599999999998545</v>
      </c>
      <c r="S19" s="33">
        <f t="shared" si="9"/>
        <v>6953.9999999997235</v>
      </c>
      <c r="T19" s="8">
        <f t="shared" si="13"/>
        <v>37.730000000001837</v>
      </c>
      <c r="U19" s="35">
        <f t="shared" si="12"/>
        <v>71687.000000003492</v>
      </c>
    </row>
    <row r="20" spans="1:24" ht="16.5" thickBot="1" x14ac:dyDescent="0.25">
      <c r="A20" s="10">
        <v>44426</v>
      </c>
      <c r="B20" s="1">
        <v>21794.796999999999</v>
      </c>
      <c r="C20" s="49">
        <f t="shared" si="10"/>
        <v>10.972999999998137</v>
      </c>
      <c r="D20" s="33">
        <f t="shared" si="0"/>
        <v>20848.699999996457</v>
      </c>
      <c r="E20" s="1">
        <v>3831.8809999999999</v>
      </c>
      <c r="F20" s="49">
        <f t="shared" si="1"/>
        <v>2.3159999999998035</v>
      </c>
      <c r="G20" s="33">
        <f t="shared" si="2"/>
        <v>4400.3999999996267</v>
      </c>
      <c r="H20" s="1">
        <v>3792</v>
      </c>
      <c r="I20" s="49">
        <f t="shared" si="3"/>
        <v>7</v>
      </c>
      <c r="J20" s="33">
        <f t="shared" si="4"/>
        <v>13299.999999999998</v>
      </c>
      <c r="K20" s="7">
        <v>13641.6</v>
      </c>
      <c r="L20" s="49">
        <f t="shared" si="11"/>
        <v>1.9799999999995634</v>
      </c>
      <c r="M20" s="33">
        <f t="shared" si="5"/>
        <v>3761.9999999991705</v>
      </c>
      <c r="N20" s="7">
        <v>3174.2240000000002</v>
      </c>
      <c r="O20" s="49">
        <f t="shared" si="6"/>
        <v>0.6020000000003165</v>
      </c>
      <c r="P20" s="33">
        <f t="shared" si="7"/>
        <v>1143.8000000006011</v>
      </c>
      <c r="Q20" s="7">
        <v>5060.3599999999997</v>
      </c>
      <c r="R20" s="49">
        <f t="shared" si="8"/>
        <v>3.0199999999995271</v>
      </c>
      <c r="S20" s="33">
        <f t="shared" si="9"/>
        <v>5737.9999999991005</v>
      </c>
      <c r="T20" s="8">
        <f t="shared" si="13"/>
        <v>25.890999999997348</v>
      </c>
      <c r="U20" s="35">
        <f t="shared" si="12"/>
        <v>49192.899999994959</v>
      </c>
      <c r="X20" t="s">
        <v>12</v>
      </c>
    </row>
    <row r="21" spans="1:24" ht="16.5" thickBot="1" x14ac:dyDescent="0.25">
      <c r="A21" s="10">
        <v>44427</v>
      </c>
      <c r="B21" s="1">
        <v>21809.046999999999</v>
      </c>
      <c r="C21" s="49">
        <f t="shared" si="10"/>
        <v>14.25</v>
      </c>
      <c r="D21" s="33">
        <f t="shared" si="0"/>
        <v>27075</v>
      </c>
      <c r="E21" s="1">
        <v>3835.1979999999999</v>
      </c>
      <c r="F21" s="49">
        <f t="shared" si="1"/>
        <v>3.3170000000000073</v>
      </c>
      <c r="G21" s="33">
        <f t="shared" si="2"/>
        <v>6302.3000000000129</v>
      </c>
      <c r="H21" s="1">
        <v>3800</v>
      </c>
      <c r="I21" s="49">
        <f t="shared" si="3"/>
        <v>8</v>
      </c>
      <c r="J21" s="33">
        <f t="shared" si="4"/>
        <v>15200</v>
      </c>
      <c r="K21" s="7">
        <v>13644.03</v>
      </c>
      <c r="L21" s="49">
        <f t="shared" si="11"/>
        <v>2.430000000000291</v>
      </c>
      <c r="M21" s="33">
        <f t="shared" si="5"/>
        <v>4617.0000000005521</v>
      </c>
      <c r="N21" s="7">
        <v>3176.3159999999998</v>
      </c>
      <c r="O21" s="49">
        <f t="shared" si="6"/>
        <v>2.0919999999996435</v>
      </c>
      <c r="P21" s="33">
        <f t="shared" si="7"/>
        <v>3974.7999999993226</v>
      </c>
      <c r="Q21" s="7">
        <v>5062.9799999999996</v>
      </c>
      <c r="R21" s="49">
        <f t="shared" si="8"/>
        <v>2.6199999999998909</v>
      </c>
      <c r="S21" s="33">
        <f t="shared" si="9"/>
        <v>4977.9999999997926</v>
      </c>
      <c r="T21" s="8">
        <f t="shared" si="13"/>
        <v>32.708999999999833</v>
      </c>
      <c r="U21" s="35">
        <f t="shared" si="12"/>
        <v>62147.099999999686</v>
      </c>
    </row>
    <row r="22" spans="1:24" ht="16.5" thickBot="1" x14ac:dyDescent="0.25">
      <c r="A22" s="10">
        <v>44428</v>
      </c>
      <c r="B22" s="1"/>
      <c r="C22" s="49" t="str">
        <f t="shared" si="10"/>
        <v>0</v>
      </c>
      <c r="D22" s="33">
        <f t="shared" si="0"/>
        <v>0</v>
      </c>
      <c r="E22" s="1"/>
      <c r="F22" s="49" t="str">
        <f t="shared" si="1"/>
        <v>0</v>
      </c>
      <c r="G22" s="33">
        <f t="shared" si="2"/>
        <v>0</v>
      </c>
      <c r="H22" s="1"/>
      <c r="I22" s="49" t="str">
        <f t="shared" si="3"/>
        <v>0</v>
      </c>
      <c r="J22" s="33">
        <f t="shared" si="4"/>
        <v>0</v>
      </c>
      <c r="K22" s="7"/>
      <c r="L22" s="49" t="str">
        <f t="shared" si="11"/>
        <v>0</v>
      </c>
      <c r="M22" s="33">
        <f t="shared" si="5"/>
        <v>0</v>
      </c>
      <c r="N22" s="7"/>
      <c r="O22" s="49" t="str">
        <f t="shared" si="6"/>
        <v>0</v>
      </c>
      <c r="P22" s="33">
        <f t="shared" si="7"/>
        <v>0</v>
      </c>
      <c r="Q22" s="7"/>
      <c r="R22" s="49" t="str">
        <f t="shared" si="8"/>
        <v>0</v>
      </c>
      <c r="S22" s="33">
        <f t="shared" si="9"/>
        <v>0</v>
      </c>
      <c r="T22" s="8">
        <f t="shared" si="13"/>
        <v>0</v>
      </c>
      <c r="U22" s="35">
        <f t="shared" si="12"/>
        <v>0</v>
      </c>
    </row>
    <row r="23" spans="1:24" ht="16.5" thickBot="1" x14ac:dyDescent="0.25">
      <c r="A23" s="10">
        <v>44429</v>
      </c>
      <c r="B23" s="1"/>
      <c r="C23" s="49">
        <f t="shared" si="10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11"/>
        <v>0</v>
      </c>
      <c r="M23" s="33">
        <f t="shared" si="5"/>
        <v>0</v>
      </c>
      <c r="N23" s="7"/>
      <c r="O23" s="49">
        <f t="shared" si="6"/>
        <v>0</v>
      </c>
      <c r="P23" s="33">
        <f t="shared" si="7"/>
        <v>0</v>
      </c>
      <c r="Q23" s="7"/>
      <c r="R23" s="49">
        <f t="shared" si="8"/>
        <v>0</v>
      </c>
      <c r="S23" s="33">
        <f t="shared" si="9"/>
        <v>0</v>
      </c>
      <c r="T23" s="8">
        <f t="shared" si="13"/>
        <v>0</v>
      </c>
      <c r="U23" s="35">
        <f t="shared" si="12"/>
        <v>0</v>
      </c>
    </row>
    <row r="24" spans="1:24" ht="16.5" thickBot="1" x14ac:dyDescent="0.25">
      <c r="A24" s="10">
        <v>44430</v>
      </c>
      <c r="B24" s="1"/>
      <c r="C24" s="49">
        <f t="shared" si="10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11"/>
        <v>0</v>
      </c>
      <c r="M24" s="33">
        <f t="shared" si="5"/>
        <v>0</v>
      </c>
      <c r="N24" s="7"/>
      <c r="O24" s="49">
        <f t="shared" si="6"/>
        <v>0</v>
      </c>
      <c r="P24" s="33">
        <f t="shared" si="7"/>
        <v>0</v>
      </c>
      <c r="Q24" s="7"/>
      <c r="R24" s="49">
        <f t="shared" si="8"/>
        <v>0</v>
      </c>
      <c r="S24" s="33">
        <f t="shared" si="9"/>
        <v>0</v>
      </c>
      <c r="T24" s="8">
        <f t="shared" si="13"/>
        <v>0</v>
      </c>
      <c r="U24" s="35">
        <f t="shared" si="12"/>
        <v>0</v>
      </c>
    </row>
    <row r="25" spans="1:24" ht="16.5" thickBot="1" x14ac:dyDescent="0.25">
      <c r="A25" s="10">
        <v>44431</v>
      </c>
      <c r="B25" s="1"/>
      <c r="C25" s="49">
        <f t="shared" si="10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11"/>
        <v>0</v>
      </c>
      <c r="M25" s="33">
        <f t="shared" si="5"/>
        <v>0</v>
      </c>
      <c r="N25" s="7"/>
      <c r="O25" s="49">
        <f t="shared" si="6"/>
        <v>0</v>
      </c>
      <c r="P25" s="33">
        <f t="shared" si="7"/>
        <v>0</v>
      </c>
      <c r="Q25" s="7"/>
      <c r="R25" s="49">
        <f t="shared" si="8"/>
        <v>0</v>
      </c>
      <c r="S25" s="33">
        <f t="shared" si="9"/>
        <v>0</v>
      </c>
      <c r="T25" s="8">
        <f t="shared" si="13"/>
        <v>0</v>
      </c>
      <c r="U25" s="35">
        <f t="shared" si="12"/>
        <v>0</v>
      </c>
    </row>
    <row r="26" spans="1:24" ht="16.5" thickBot="1" x14ac:dyDescent="0.25">
      <c r="A26" s="10">
        <v>44432</v>
      </c>
      <c r="B26" s="1"/>
      <c r="C26" s="49">
        <f t="shared" si="10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11"/>
        <v>0</v>
      </c>
      <c r="M26" s="33">
        <f t="shared" si="5"/>
        <v>0</v>
      </c>
      <c r="N26" s="7"/>
      <c r="O26" s="49">
        <f t="shared" si="6"/>
        <v>0</v>
      </c>
      <c r="P26" s="33">
        <f t="shared" si="7"/>
        <v>0</v>
      </c>
      <c r="Q26" s="7"/>
      <c r="R26" s="49">
        <f t="shared" si="8"/>
        <v>0</v>
      </c>
      <c r="S26" s="33">
        <f t="shared" si="9"/>
        <v>0</v>
      </c>
      <c r="T26" s="8">
        <f t="shared" si="13"/>
        <v>0</v>
      </c>
      <c r="U26" s="35">
        <f t="shared" si="12"/>
        <v>0</v>
      </c>
      <c r="V26" t="s">
        <v>12</v>
      </c>
    </row>
    <row r="27" spans="1:24" ht="16.5" thickBot="1" x14ac:dyDescent="0.25">
      <c r="A27" s="10">
        <v>44433</v>
      </c>
      <c r="B27" s="1"/>
      <c r="C27" s="49">
        <f t="shared" si="10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11"/>
        <v>0</v>
      </c>
      <c r="M27" s="33">
        <f t="shared" si="5"/>
        <v>0</v>
      </c>
      <c r="N27" s="7"/>
      <c r="O27" s="49">
        <f t="shared" si="6"/>
        <v>0</v>
      </c>
      <c r="P27" s="33">
        <f t="shared" si="7"/>
        <v>0</v>
      </c>
      <c r="Q27" s="7"/>
      <c r="R27" s="49">
        <f t="shared" si="8"/>
        <v>0</v>
      </c>
      <c r="S27" s="33">
        <f t="shared" si="9"/>
        <v>0</v>
      </c>
      <c r="T27" s="8">
        <f t="shared" si="13"/>
        <v>0</v>
      </c>
      <c r="U27" s="35">
        <f t="shared" si="12"/>
        <v>0</v>
      </c>
      <c r="V27" t="s">
        <v>12</v>
      </c>
    </row>
    <row r="28" spans="1:24" ht="16.5" thickBot="1" x14ac:dyDescent="0.25">
      <c r="A28" s="10">
        <v>44434</v>
      </c>
      <c r="B28" s="1"/>
      <c r="C28" s="49">
        <f t="shared" si="10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11"/>
        <v>0</v>
      </c>
      <c r="M28" s="33">
        <f t="shared" si="5"/>
        <v>0</v>
      </c>
      <c r="N28" s="7"/>
      <c r="O28" s="49">
        <f t="shared" si="6"/>
        <v>0</v>
      </c>
      <c r="P28" s="33">
        <f t="shared" si="7"/>
        <v>0</v>
      </c>
      <c r="Q28" s="7"/>
      <c r="R28" s="49">
        <f t="shared" si="8"/>
        <v>0</v>
      </c>
      <c r="S28" s="33">
        <f t="shared" si="9"/>
        <v>0</v>
      </c>
      <c r="T28" s="8">
        <f t="shared" si="13"/>
        <v>0</v>
      </c>
      <c r="U28" s="35">
        <f t="shared" si="12"/>
        <v>0</v>
      </c>
    </row>
    <row r="29" spans="1:24" ht="16.5" thickBot="1" x14ac:dyDescent="0.25">
      <c r="A29" s="10">
        <v>44435</v>
      </c>
      <c r="B29" s="1"/>
      <c r="C29" s="49">
        <f t="shared" si="10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11"/>
        <v>0</v>
      </c>
      <c r="M29" s="33">
        <f t="shared" si="5"/>
        <v>0</v>
      </c>
      <c r="N29" s="7"/>
      <c r="O29" s="49">
        <f t="shared" si="6"/>
        <v>0</v>
      </c>
      <c r="P29" s="33">
        <f t="shared" si="7"/>
        <v>0</v>
      </c>
      <c r="Q29" s="7"/>
      <c r="R29" s="49">
        <f t="shared" si="8"/>
        <v>0</v>
      </c>
      <c r="S29" s="33">
        <f t="shared" si="9"/>
        <v>0</v>
      </c>
      <c r="T29" s="8">
        <f t="shared" si="13"/>
        <v>0</v>
      </c>
      <c r="U29" s="35">
        <f t="shared" si="12"/>
        <v>0</v>
      </c>
    </row>
    <row r="30" spans="1:24" ht="16.5" thickBot="1" x14ac:dyDescent="0.25">
      <c r="A30" s="10">
        <v>44436</v>
      </c>
      <c r="B30" s="1"/>
      <c r="C30" s="49">
        <f t="shared" si="10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11"/>
        <v>0</v>
      </c>
      <c r="M30" s="33">
        <f t="shared" si="5"/>
        <v>0</v>
      </c>
      <c r="N30" s="7"/>
      <c r="O30" s="49">
        <f t="shared" si="6"/>
        <v>0</v>
      </c>
      <c r="P30" s="33">
        <f t="shared" si="7"/>
        <v>0</v>
      </c>
      <c r="Q30" s="7"/>
      <c r="R30" s="49">
        <f t="shared" si="8"/>
        <v>0</v>
      </c>
      <c r="S30" s="33">
        <f t="shared" si="9"/>
        <v>0</v>
      </c>
      <c r="T30" s="8">
        <f t="shared" si="13"/>
        <v>0</v>
      </c>
      <c r="U30" s="35">
        <f t="shared" si="12"/>
        <v>0</v>
      </c>
    </row>
    <row r="31" spans="1:24" ht="16.5" thickBot="1" x14ac:dyDescent="0.25">
      <c r="A31" s="10">
        <v>44437</v>
      </c>
      <c r="B31" s="1"/>
      <c r="C31" s="49">
        <f t="shared" si="10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11"/>
        <v>0</v>
      </c>
      <c r="M31" s="33">
        <f t="shared" si="5"/>
        <v>0</v>
      </c>
      <c r="N31" s="7"/>
      <c r="O31" s="49">
        <f t="shared" si="6"/>
        <v>0</v>
      </c>
      <c r="P31" s="33">
        <f t="shared" si="7"/>
        <v>0</v>
      </c>
      <c r="Q31" s="7"/>
      <c r="R31" s="49">
        <f t="shared" si="8"/>
        <v>0</v>
      </c>
      <c r="S31" s="33">
        <f t="shared" si="9"/>
        <v>0</v>
      </c>
      <c r="T31" s="8">
        <f t="shared" si="13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/>
      <c r="C32" s="49">
        <f t="shared" si="10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11"/>
        <v>0</v>
      </c>
      <c r="M32" s="33">
        <f t="shared" si="5"/>
        <v>0</v>
      </c>
      <c r="N32" s="7"/>
      <c r="O32" s="49">
        <f t="shared" si="6"/>
        <v>0</v>
      </c>
      <c r="P32" s="33">
        <f t="shared" si="7"/>
        <v>0</v>
      </c>
      <c r="Q32" s="7"/>
      <c r="R32" s="49">
        <f t="shared" si="8"/>
        <v>0</v>
      </c>
      <c r="S32" s="33">
        <f t="shared" si="9"/>
        <v>0</v>
      </c>
      <c r="T32" s="8">
        <f t="shared" si="13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3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304.90499999999884</v>
      </c>
      <c r="D34" s="144">
        <f>SUM(D2:D33)</f>
        <v>579319.49999999767</v>
      </c>
      <c r="E34" s="144">
        <v>0</v>
      </c>
      <c r="F34" s="144">
        <f>SUM(F2:F33)</f>
        <v>59.143000000000029</v>
      </c>
      <c r="G34" s="144">
        <f>SUM(G2:G33)</f>
        <v>112371.70000000004</v>
      </c>
      <c r="H34" s="144"/>
      <c r="I34" s="144">
        <f>SUM(I2:I33)</f>
        <v>156</v>
      </c>
      <c r="J34" s="144">
        <f>SUM(J2:J33)</f>
        <v>296400</v>
      </c>
      <c r="K34" s="144"/>
      <c r="L34" s="144">
        <f>SUM(L2:L33)</f>
        <v>12307.931000000002</v>
      </c>
      <c r="M34" s="144">
        <f>SUM(M2:M33)</f>
        <v>23385068.899999995</v>
      </c>
      <c r="N34" s="144"/>
      <c r="O34" s="144">
        <f>SUM(O2:O33)</f>
        <v>29.472999999999956</v>
      </c>
      <c r="P34" s="144">
        <f>SUM(P2:P33)</f>
        <v>55998.69999999991</v>
      </c>
      <c r="Q34" s="144"/>
      <c r="R34" s="144">
        <f>SUM(R2:R33)</f>
        <v>67.479999999999563</v>
      </c>
      <c r="S34" s="144">
        <f>SUM(S2:S33)</f>
        <v>128211.99999999916</v>
      </c>
      <c r="T34" s="144">
        <f>SUM(T2:T33)</f>
        <v>12924.932000000004</v>
      </c>
      <c r="U34" s="144">
        <f>SUM(U2:U33)</f>
        <v>24557370.800000001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-66250086</v>
      </c>
      <c r="D2" s="102">
        <f>C2*1.27</f>
        <v>-84137609.219999999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0</v>
      </c>
      <c r="K3" s="97">
        <f>J3-I3</f>
        <v>-27109152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0</v>
      </c>
      <c r="K4" s="97">
        <f>J4-I4</f>
        <v>-85974955</v>
      </c>
    </row>
    <row r="5" spans="1:11" ht="13.5" thickBot="1" x14ac:dyDescent="0.25">
      <c r="A5" s="100"/>
      <c r="B5" s="106" t="s">
        <v>27</v>
      </c>
      <c r="C5" s="110">
        <f>(K10+K12)*0.842284+K26</f>
        <v>-28231298.545644</v>
      </c>
      <c r="D5" s="110">
        <f t="shared" ref="D5:D11" si="0">C5*1.27</f>
        <v>-35853749.152967878</v>
      </c>
      <c r="E5" s="111"/>
      <c r="F5" s="100"/>
      <c r="G5" s="100"/>
      <c r="H5" s="106" t="s">
        <v>23</v>
      </c>
      <c r="I5" s="112"/>
      <c r="J5" s="112"/>
      <c r="K5" s="132">
        <f>K3+K4</f>
        <v>-113084107</v>
      </c>
    </row>
    <row r="6" spans="1:11" ht="13.5" thickBot="1" x14ac:dyDescent="0.25">
      <c r="A6" s="100"/>
      <c r="B6" s="106" t="s">
        <v>99</v>
      </c>
      <c r="C6" s="110">
        <f>(K10+K12+K26)*0.1488</f>
        <v>-4904698.1327999998</v>
      </c>
      <c r="D6" s="110">
        <f t="shared" si="0"/>
        <v>-6228966.6286559999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0</v>
      </c>
      <c r="K6" s="97">
        <f>J6-I6</f>
        <v>-8437636</v>
      </c>
    </row>
    <row r="7" spans="1:11" ht="13.5" thickBot="1" x14ac:dyDescent="0.25">
      <c r="A7" s="100"/>
      <c r="B7" s="106" t="s">
        <v>101</v>
      </c>
      <c r="C7" s="110">
        <f>(K6+K7)-(C8+C9+C10+C11+K26)</f>
        <v>-13796581</v>
      </c>
      <c r="D7" s="110">
        <f t="shared" si="0"/>
        <v>-17521657.870000001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0</v>
      </c>
      <c r="K7" s="97">
        <f>J7-I7</f>
        <v>-8403344</v>
      </c>
    </row>
    <row r="8" spans="1:11" ht="13.5" thickBot="1" x14ac:dyDescent="0.25">
      <c r="A8" s="100"/>
      <c r="B8" s="106" t="s">
        <v>103</v>
      </c>
      <c r="C8" s="110">
        <f>K21+K22+K23+K24</f>
        <v>22991</v>
      </c>
      <c r="D8" s="110">
        <f t="shared" si="0"/>
        <v>29198.57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0</v>
      </c>
      <c r="K8" s="97">
        <f>(J8-I8)*2</f>
        <v>-11043800</v>
      </c>
    </row>
    <row r="9" spans="1:11" ht="13.5" thickBot="1" x14ac:dyDescent="0.25">
      <c r="A9" s="100"/>
      <c r="B9" s="106" t="s">
        <v>137</v>
      </c>
      <c r="C9" s="110">
        <f>K25+K16+K17</f>
        <v>3741</v>
      </c>
      <c r="D9" s="110">
        <f t="shared" si="0"/>
        <v>4751.07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0</v>
      </c>
      <c r="K9" s="97">
        <f>J9-I9</f>
        <v>-4343583</v>
      </c>
    </row>
    <row r="10" spans="1:11" ht="13.5" thickBot="1" x14ac:dyDescent="0.25">
      <c r="A10" s="100"/>
      <c r="B10" s="106" t="s">
        <v>106</v>
      </c>
      <c r="C10" s="110">
        <f>K18</f>
        <v>11360</v>
      </c>
      <c r="D10" s="110">
        <f t="shared" si="0"/>
        <v>14427.2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0</v>
      </c>
      <c r="K10" s="97">
        <f>J10-I10</f>
        <v>-18169577</v>
      </c>
    </row>
    <row r="11" spans="1:11" ht="13.5" thickBot="1" x14ac:dyDescent="0.25">
      <c r="A11" s="100"/>
      <c r="B11" s="106" t="s">
        <v>108</v>
      </c>
      <c r="C11" s="110">
        <f>K19+K20</f>
        <v>-113851</v>
      </c>
      <c r="D11" s="110">
        <f t="shared" si="0"/>
        <v>-144590.76999999999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0</v>
      </c>
      <c r="K12" s="97">
        <f>(J12-I12)*2</f>
        <v>-11823464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-62221404</v>
      </c>
    </row>
    <row r="14" spans="1:11" ht="13.5" thickBot="1" x14ac:dyDescent="0.25">
      <c r="A14" s="100"/>
      <c r="B14" s="106" t="s">
        <v>42</v>
      </c>
      <c r="C14" s="110">
        <f>K29</f>
        <v>-4197280</v>
      </c>
      <c r="D14" s="118">
        <f t="shared" ref="D14:D22" si="1">C14*10.03</f>
        <v>-42098718.399999999</v>
      </c>
      <c r="E14" s="119"/>
      <c r="F14" s="100"/>
      <c r="G14" s="100"/>
      <c r="H14" s="106" t="s">
        <v>114</v>
      </c>
      <c r="I14" s="115"/>
      <c r="J14" s="116"/>
      <c r="K14" s="98">
        <f>K5-K13</f>
        <v>-50862703</v>
      </c>
    </row>
    <row r="15" spans="1:11" ht="13.5" thickBot="1" x14ac:dyDescent="0.25">
      <c r="A15" s="100"/>
      <c r="B15" s="106" t="s">
        <v>115</v>
      </c>
      <c r="C15" s="120">
        <f>K30</f>
        <v>-20021.337</v>
      </c>
      <c r="D15" s="118">
        <f t="shared" si="1"/>
        <v>-200814.01010999997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-551329.76778340002</v>
      </c>
      <c r="D16" s="118">
        <f t="shared" si="1"/>
        <v>-5529837.5708675021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3741</v>
      </c>
      <c r="K16" s="99">
        <f>(J16-I16)*160</f>
        <v>3680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25277</v>
      </c>
      <c r="K18" s="99">
        <f>(J18-I18)*160</f>
        <v>11360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0</v>
      </c>
      <c r="K19" s="99">
        <f>J19-I19</f>
        <v>-113851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45761</v>
      </c>
      <c r="K21" s="99">
        <f>(J21-I21)*120</f>
        <v>12600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-3631748.8952166</v>
      </c>
      <c r="D22" s="118">
        <f t="shared" si="1"/>
        <v>-36426441.419022493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39773</v>
      </c>
      <c r="K22" s="99">
        <f>(J22-I22)*160</f>
        <v>8160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20691</v>
      </c>
      <c r="K23" s="99">
        <f>(J23-I23)*20</f>
        <v>1280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247297</v>
      </c>
      <c r="K24" s="99">
        <f>J24-I24</f>
        <v>951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215797</v>
      </c>
      <c r="K25" s="99">
        <f>J25-I25</f>
        <v>61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0</v>
      </c>
      <c r="K26" s="99">
        <f>(J26-I26)*160</f>
        <v>-2968640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0</v>
      </c>
      <c r="K29" s="99">
        <f>(J29-I29)*10</f>
        <v>-4197280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0</v>
      </c>
      <c r="K30" s="99">
        <f>(J30-I30)*0.027</f>
        <v>-20021.337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0</v>
      </c>
      <c r="K32" s="99">
        <f>(J32-I32)*0.027</f>
        <v>-120330.9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8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8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86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86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9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9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8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8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86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86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9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9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8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8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8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9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9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8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8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8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9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9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8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8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8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9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9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8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8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86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86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9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9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8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8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86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86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9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9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8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8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8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6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86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9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9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6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86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8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8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86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86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9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9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8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8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86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86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9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9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8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8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86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86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8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8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86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86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9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9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8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8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86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86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6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86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8">
        <v>23</v>
      </c>
      <c r="D49" s="66" t="s">
        <v>83</v>
      </c>
      <c r="E49" s="81"/>
      <c r="F49" s="81"/>
      <c r="G49" s="68">
        <f t="shared" si="0"/>
        <v>0</v>
      </c>
      <c r="H49" s="69"/>
      <c r="J49" s="17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6"/>
      <c r="D50" s="66" t="s">
        <v>82</v>
      </c>
      <c r="E50" s="81"/>
      <c r="F50" s="81"/>
      <c r="G50" s="68">
        <f t="shared" si="0"/>
        <v>0</v>
      </c>
      <c r="H50" s="69"/>
      <c r="J50" s="18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7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87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88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88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8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8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8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9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9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8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8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9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9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8">
        <v>28</v>
      </c>
      <c r="D62" s="173" t="s">
        <v>86</v>
      </c>
      <c r="E62" s="67"/>
      <c r="F62" s="67"/>
      <c r="G62" s="68"/>
      <c r="H62" s="175" t="s">
        <v>87</v>
      </c>
      <c r="I62" s="72"/>
      <c r="J62" s="178">
        <v>28</v>
      </c>
      <c r="K62" s="173" t="s">
        <v>86</v>
      </c>
      <c r="L62" s="67"/>
      <c r="M62" s="67"/>
      <c r="N62" s="68"/>
      <c r="O62" s="175" t="s">
        <v>87</v>
      </c>
    </row>
    <row r="63" spans="1:15" ht="15" x14ac:dyDescent="0.2">
      <c r="A63" s="72"/>
      <c r="B63" s="62"/>
      <c r="C63" s="179"/>
      <c r="D63" s="174"/>
      <c r="E63" s="67"/>
      <c r="F63" s="67"/>
      <c r="G63" s="68"/>
      <c r="H63" s="176"/>
      <c r="I63" s="72"/>
      <c r="J63" s="179"/>
      <c r="K63" s="174"/>
      <c r="L63" s="67"/>
      <c r="M63" s="67"/>
      <c r="N63" s="68"/>
      <c r="O63" s="176"/>
    </row>
    <row r="64" spans="1:15" x14ac:dyDescent="0.2">
      <c r="A64" s="72"/>
      <c r="B64" s="62"/>
      <c r="C64" s="177" t="s">
        <v>88</v>
      </c>
      <c r="D64" s="177"/>
      <c r="E64" s="177"/>
      <c r="F64" s="177"/>
      <c r="G64" s="86">
        <f>SUM(G2:G63)</f>
        <v>28469</v>
      </c>
      <c r="H64" s="87"/>
      <c r="I64" s="72"/>
      <c r="J64" s="177" t="s">
        <v>88</v>
      </c>
      <c r="K64" s="177"/>
      <c r="L64" s="177"/>
      <c r="M64" s="177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0">
        <v>44348</v>
      </c>
      <c r="C69" s="181"/>
      <c r="D69" s="181"/>
      <c r="E69" s="182"/>
      <c r="F69" s="90"/>
      <c r="G69" s="183">
        <v>44378</v>
      </c>
      <c r="H69" s="184"/>
      <c r="I69" s="184"/>
      <c r="J69" s="185"/>
      <c r="K69" s="90"/>
      <c r="L69" s="170" t="s">
        <v>25</v>
      </c>
      <c r="M69" s="171"/>
      <c r="N69" s="171"/>
      <c r="O69" s="172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2021-08-20T00:47:42Z</dcterms:modified>
</cp:coreProperties>
</file>